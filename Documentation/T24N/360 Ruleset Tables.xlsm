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Com 2022\Documentation\T24N\"/>
    </mc:Choice>
  </mc:AlternateContent>
  <xr:revisionPtr revIDLastSave="0" documentId="13_ncr:1_{CB67A928-D0FB-400E-8E94-A1CD6AB701C4}" xr6:coauthVersionLast="47" xr6:coauthVersionMax="47" xr10:uidLastSave="{00000000-0000-0000-0000-000000000000}"/>
  <bookViews>
    <workbookView xWindow="10725" yWindow="795" windowWidth="29730" windowHeight="18345" tabRatio="894" firstSheet="29" activeTab="32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" sheetId="56" r:id="rId41"/>
    <sheet name="UnitaryAC-HPMinEffReq_Old" sheetId="7" state="hidden" r:id="rId42"/>
    <sheet name="ChillerMinEffReq" sheetId="19" r:id="rId43"/>
    <sheet name="Sheet3" sheetId="9" r:id="rId44"/>
  </sheets>
  <externalReferences>
    <externalReference r:id="rId45"/>
    <externalReference r:id="rId46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39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C26" i="60"/>
  <c r="L26" i="60" s="1"/>
  <c r="C27" i="60"/>
  <c r="L27" i="60" s="1"/>
  <c r="C28" i="60"/>
  <c r="L28" i="60" s="1"/>
  <c r="C29" i="60"/>
  <c r="L29" i="60" s="1"/>
  <c r="C30" i="60"/>
  <c r="L30" i="60" s="1"/>
  <c r="C31" i="60"/>
  <c r="L31" i="60" s="1"/>
  <c r="C32" i="60"/>
  <c r="L32" i="60" s="1"/>
  <c r="C33" i="60"/>
  <c r="L33" i="60" s="1"/>
  <c r="C34" i="60"/>
  <c r="L34" i="60" s="1"/>
  <c r="C35" i="60"/>
  <c r="L35" i="60" s="1"/>
  <c r="C36" i="60"/>
  <c r="L36" i="60" s="1"/>
  <c r="C37" i="60"/>
  <c r="L37" i="60" s="1"/>
  <c r="C38" i="60"/>
  <c r="L38" i="60" s="1"/>
  <c r="C39" i="60"/>
  <c r="L39" i="60"/>
  <c r="C40" i="60"/>
  <c r="L40" i="60" s="1"/>
  <c r="C41" i="60"/>
  <c r="L41" i="60" s="1"/>
  <c r="C42" i="60"/>
  <c r="L42" i="60" s="1"/>
  <c r="C43" i="60"/>
  <c r="L43" i="60" s="1"/>
  <c r="C44" i="60"/>
  <c r="L44" i="60" s="1"/>
  <c r="C45" i="60"/>
  <c r="L45" i="60" s="1"/>
  <c r="C46" i="60"/>
  <c r="L46" i="60" s="1"/>
  <c r="C47" i="60"/>
  <c r="L47" i="60" s="1"/>
  <c r="C48" i="60"/>
  <c r="L48" i="60" s="1"/>
  <c r="C49" i="60"/>
  <c r="L49" i="60" s="1"/>
  <c r="C50" i="60"/>
  <c r="L50" i="60" s="1"/>
  <c r="C51" i="60"/>
  <c r="L51" i="60" s="1"/>
  <c r="C52" i="60"/>
  <c r="L52" i="60" s="1"/>
  <c r="C53" i="60"/>
  <c r="L53" i="60" s="1"/>
  <c r="C54" i="60"/>
  <c r="L54" i="60" s="1"/>
  <c r="C55" i="60"/>
  <c r="L55" i="60" s="1"/>
  <c r="C56" i="60"/>
  <c r="L56" i="60" s="1"/>
  <c r="C57" i="60"/>
  <c r="L57" i="60" s="1"/>
  <c r="C58" i="60"/>
  <c r="L58" i="60" s="1"/>
  <c r="C59" i="60"/>
  <c r="L59" i="60" s="1"/>
  <c r="C60" i="60"/>
  <c r="L60" i="60" s="1"/>
  <c r="C61" i="60"/>
  <c r="L61" i="60" s="1"/>
  <c r="C62" i="60"/>
  <c r="L62" i="60" s="1"/>
  <c r="C63" i="60"/>
  <c r="L63" i="60" s="1"/>
  <c r="C64" i="60"/>
  <c r="L64" i="60" s="1"/>
  <c r="C65" i="60"/>
  <c r="L65" i="60" s="1"/>
  <c r="C66" i="60"/>
  <c r="L66" i="60" s="1"/>
  <c r="C67" i="60"/>
  <c r="L67" i="60" s="1"/>
  <c r="C68" i="60"/>
  <c r="L68" i="60" s="1"/>
  <c r="C69" i="60"/>
  <c r="L69" i="60" s="1"/>
  <c r="C70" i="60"/>
  <c r="L70" i="60" s="1"/>
  <c r="C71" i="60"/>
  <c r="L71" i="60" s="1"/>
  <c r="C72" i="60"/>
  <c r="L72" i="60" s="1"/>
  <c r="C73" i="60"/>
  <c r="L73" i="60" s="1"/>
  <c r="C74" i="60"/>
  <c r="L74" i="60" s="1"/>
  <c r="C75" i="60"/>
  <c r="L75" i="60" s="1"/>
  <c r="C76" i="60"/>
  <c r="L76" i="60" s="1"/>
  <c r="C77" i="60"/>
  <c r="L77" i="60" s="1"/>
  <c r="C78" i="60"/>
  <c r="L78" i="60" s="1"/>
  <c r="C79" i="60"/>
  <c r="L79" i="60"/>
  <c r="C80" i="60"/>
  <c r="L80" i="60" s="1"/>
  <c r="C81" i="60"/>
  <c r="L81" i="60" s="1"/>
  <c r="C82" i="60"/>
  <c r="L82" i="60" s="1"/>
  <c r="C83" i="60"/>
  <c r="L83" i="60" s="1"/>
  <c r="C84" i="60"/>
  <c r="L84" i="60" s="1"/>
  <c r="C85" i="60"/>
  <c r="L85" i="60" s="1"/>
  <c r="C86" i="60"/>
  <c r="L86" i="60" s="1"/>
  <c r="C87" i="60"/>
  <c r="L87" i="60" s="1"/>
  <c r="C88" i="60"/>
  <c r="L88" i="60" s="1"/>
  <c r="C89" i="60"/>
  <c r="L89" i="60" s="1"/>
  <c r="C90" i="60"/>
  <c r="L90" i="60" s="1"/>
  <c r="C91" i="60"/>
  <c r="L91" i="60" s="1"/>
  <c r="C92" i="60"/>
  <c r="L92" i="60" s="1"/>
  <c r="C93" i="60"/>
  <c r="L93" i="60" s="1"/>
  <c r="C94" i="60"/>
  <c r="L94" i="60" s="1"/>
  <c r="C95" i="60"/>
  <c r="L95" i="60" s="1"/>
  <c r="C96" i="60"/>
  <c r="L96" i="60" s="1"/>
  <c r="C97" i="60"/>
  <c r="L97" i="60" s="1"/>
  <c r="C98" i="60"/>
  <c r="L98" i="60" s="1"/>
  <c r="C99" i="60"/>
  <c r="L99" i="60" s="1"/>
  <c r="C100" i="60"/>
  <c r="L100" i="60" s="1"/>
  <c r="C101" i="60"/>
  <c r="L101" i="60" s="1"/>
  <c r="C102" i="60"/>
  <c r="L102" i="60" s="1"/>
  <c r="C103" i="60"/>
  <c r="L103" i="60"/>
  <c r="C104" i="60"/>
  <c r="L104" i="60" s="1"/>
  <c r="C105" i="60"/>
  <c r="L105" i="60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C90" i="58"/>
  <c r="E89" i="58"/>
  <c r="C89" i="58"/>
  <c r="E88" i="58"/>
  <c r="C88" i="58"/>
  <c r="E87" i="58"/>
  <c r="C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W43" i="57"/>
  <c r="X43" i="57" s="1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84" i="56"/>
  <c r="K84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8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<sst xmlns="http://schemas.openxmlformats.org/spreadsheetml/2006/main" count="7863" uniqueCount="1202">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</sst>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51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(Cafetaria/Fast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  <row r="7">
          <cell r="A7" t="str">
            <v>Aging Eye/Low-vision (Dining)</v>
          </cell>
        </row>
        <row r="8">
          <cell r="A8" t="str">
            <v>Aging Eye/Low-vision (Lobby, Main Entry)</v>
          </cell>
        </row>
        <row r="9">
          <cell r="A9" t="str">
            <v>Aging Eye/Low-vision (Lounge/Waiting Area)</v>
          </cell>
        </row>
        <row r="10">
          <cell r="A10" t="str">
            <v>Aging Eye/Low-vision (Multipurpose Room)</v>
          </cell>
        </row>
        <row r="11">
          <cell r="A11" t="str">
            <v>Aging Eye/Low-vision (Religious Worship Area)</v>
          </cell>
        </row>
        <row r="12">
          <cell r="A12" t="str">
            <v>Aging Eye/Low-vision (Restroom)</v>
          </cell>
        </row>
        <row r="13">
          <cell r="A13" t="str">
            <v>Aging Eye/Low-vision (Stairwell)</v>
          </cell>
        </row>
        <row r="14">
          <cell r="A14" t="str">
            <v>Audience Seating Area</v>
          </cell>
        </row>
        <row r="15">
          <cell r="A15" t="str">
            <v>Auditorium Area</v>
          </cell>
        </row>
        <row r="16">
          <cell r="A16" t="str">
            <v>Auto Repair / Maintenance Area</v>
          </cell>
        </row>
        <row r="17">
          <cell r="A17" t="str">
            <v>Barber, Beauty Salon, Spa Area</v>
          </cell>
        </row>
        <row r="18">
          <cell r="A18" t="str">
            <v>Civic Meeting Place Area</v>
          </cell>
        </row>
        <row r="19">
          <cell r="A19" t="str">
            <v>Classroom, Lecture, Training, Vocational Areas</v>
          </cell>
        </row>
        <row r="20">
          <cell r="A20" t="str">
            <v>Computer Room</v>
          </cell>
        </row>
        <row r="21">
          <cell r="A21" t="str">
            <v>Concourse and Atria Area</v>
          </cell>
        </row>
        <row r="22">
          <cell r="A22" t="str">
            <v>Convention, Conference, Multipurpose and Meeting Area</v>
          </cell>
        </row>
        <row r="23">
          <cell r="A23" t="str">
            <v>Copy Room</v>
          </cell>
        </row>
        <row r="24">
          <cell r="A24" t="str">
            <v>Corridor Area</v>
          </cell>
        </row>
        <row r="25">
          <cell r="A25" t="str">
            <v>Dining Area (Bar/Lounge and Fine Dining)</v>
          </cell>
        </row>
        <row r="26">
          <cell r="A26" t="str">
            <v>Dining Area (Cafetaria/Fast Food)</v>
          </cell>
        </row>
        <row r="27">
          <cell r="A27" t="str">
            <v>Dining Area (Family and Leisure)</v>
          </cell>
        </row>
        <row r="28">
          <cell r="A28" t="str">
            <v>Electrical, Mechanical, Telephone Rooms</v>
          </cell>
        </row>
        <row r="29">
          <cell r="A29" t="str">
            <v>Exercise/Fitness Center and Gymnasium Areas</v>
          </cell>
        </row>
        <row r="30">
          <cell r="A30" t="str">
            <v>Financial Transaction Area</v>
          </cell>
        </row>
        <row r="31">
          <cell r="A31" t="str">
            <v>Healthcare Facility and Hospitals (Exam/Treatment Room)</v>
          </cell>
        </row>
        <row r="32">
          <cell r="A32" t="str">
            <v>Healthcare Facility and Hospitals (Imaging Room)</v>
          </cell>
        </row>
        <row r="33">
          <cell r="A33" t="str">
            <v>Healthcare Facility and Hospitals (Medical Supply Room)</v>
          </cell>
        </row>
        <row r="34">
          <cell r="A34" t="str">
            <v>Healthcare Facility and Hospitals (Nursery)</v>
          </cell>
        </row>
        <row r="35">
          <cell r="A35" t="str">
            <v>Healthcare Facility and Hospitals (Nurse's Station)</v>
          </cell>
        </row>
        <row r="36">
          <cell r="A36" t="str">
            <v>Healthcare Facility and Hospitals (Operating Room)</v>
          </cell>
        </row>
        <row r="37">
          <cell r="A37" t="str">
            <v>Healthcare Facility and Hospitals (Patient Room)</v>
          </cell>
        </row>
        <row r="38">
          <cell r="A38" t="str">
            <v>Healthcare Facility and Hospitals (Physical Therapy Room)</v>
          </cell>
        </row>
        <row r="39">
          <cell r="A39" t="str">
            <v>Healthcare Facility and Hospitals (Recovery Room)</v>
          </cell>
        </row>
        <row r="40">
          <cell r="A40" t="str">
            <v>High-Rise Residential Living Spaces</v>
          </cell>
        </row>
        <row r="41">
          <cell r="A41" t="str">
            <v>Hotel Function Area</v>
          </cell>
        </row>
        <row r="42">
          <cell r="A42" t="str">
            <v>Hotel/Motel Guest Room</v>
          </cell>
        </row>
        <row r="43">
          <cell r="A43" t="str">
            <v>Kitchen/Food Preparation Area</v>
          </cell>
        </row>
        <row r="44">
          <cell r="A44" t="str">
            <v>Kitchenette or Residential Kitchen</v>
          </cell>
        </row>
        <row r="45">
          <cell r="A45" t="str">
            <v>Laboratory, Scientific</v>
          </cell>
        </row>
        <row r="46">
          <cell r="A46" t="str">
            <v>Laundry Area</v>
          </cell>
        </row>
        <row r="47">
          <cell r="A47" t="str">
            <v>Library (Reading Area)</v>
          </cell>
        </row>
        <row r="48">
          <cell r="A48" t="str">
            <v>Library (Stacks Area)</v>
          </cell>
        </row>
        <row r="49">
          <cell r="A49" t="str">
            <v>Lobby, Main Entry</v>
          </cell>
        </row>
        <row r="50">
          <cell r="A50" t="str">
            <v>Locker Room</v>
          </cell>
        </row>
        <row r="51">
          <cell r="A51" t="str">
            <v>Lounge, Breakroom, or Waiting Area</v>
          </cell>
        </row>
        <row r="52">
          <cell r="A52" t="str">
            <v>Manufacturing, Commercial &amp; Industrial Work Area (Low Bay)</v>
          </cell>
        </row>
        <row r="53">
          <cell r="A53" t="str">
            <v>Manufacturing, Commercial &amp; Industrial Work Area (High Bay)</v>
          </cell>
        </row>
        <row r="54">
          <cell r="A54" t="str">
            <v>Manufacturing, Commercial &amp; Industrial Work Area (Precision)</v>
          </cell>
        </row>
        <row r="55">
          <cell r="A55" t="str">
            <v>Museum Area (Exhibition/Display)</v>
          </cell>
        </row>
        <row r="56">
          <cell r="A56" t="str">
            <v>Museum Area (Restoration Room)</v>
          </cell>
        </row>
        <row r="57">
          <cell r="A57" t="str">
            <v>Office Area (&gt;250 square feet)</v>
          </cell>
        </row>
        <row r="58">
          <cell r="A58" t="str">
            <v>Office Area (&lt;250 square feet)</v>
          </cell>
        </row>
        <row r="59">
          <cell r="A59" t="str">
            <v>Parking Garage Area (Parking Zone and Ramps)</v>
          </cell>
        </row>
        <row r="60">
          <cell r="A60" t="str">
            <v>Parking Garage Area (Daylight Adaptation Zones)</v>
          </cell>
        </row>
        <row r="61">
          <cell r="A61" t="str">
            <v>Pharmacy Area</v>
          </cell>
        </row>
        <row r="62">
          <cell r="A62" t="str">
            <v>Retail Sales Area (Grocery Sales)</v>
          </cell>
        </row>
        <row r="63">
          <cell r="A63" t="str">
            <v>Retail Sales Area (Retail Merchandise Sales)</v>
          </cell>
        </row>
        <row r="64">
          <cell r="A64" t="str">
            <v>Retail Sales Area (Fitting Room)</v>
          </cell>
        </row>
        <row r="65">
          <cell r="A65" t="str">
            <v>Religious Worship Area</v>
          </cell>
        </row>
        <row r="66">
          <cell r="A66" t="str">
            <v>Restrooms</v>
          </cell>
        </row>
        <row r="67">
          <cell r="A67" t="str">
            <v>Stairwell</v>
          </cell>
        </row>
        <row r="68">
          <cell r="A68" t="str">
            <v>Storage, Commercial/Industrial (Warehouse)</v>
          </cell>
        </row>
        <row r="69">
          <cell r="A69" t="str">
            <v>Storage, Commercial/Industrial (Refrigerated)</v>
          </cell>
        </row>
        <row r="70">
          <cell r="A70" t="str">
            <v>Storage, Commercial/Industrial (Shipping &amp; Handling)</v>
          </cell>
        </row>
        <row r="71">
          <cell r="A71" t="str">
            <v>Sports Arena - Playing Area (&gt; 5,000 Spectators)</v>
          </cell>
        </row>
        <row r="72">
          <cell r="A72" t="str">
            <v>Sports Arena - Playing Area (2,000 - 5,000 Spectators)</v>
          </cell>
        </row>
        <row r="73">
          <cell r="A73" t="str">
            <v>Sports Arena - Playing Area (&lt; 2,000 Spectators)</v>
          </cell>
        </row>
        <row r="74">
          <cell r="A74" t="str">
            <v>Sports Arena - Playing Area (Recreational)</v>
          </cell>
        </row>
        <row r="75">
          <cell r="A75" t="str">
            <v>Theater Area (Motion Picture)</v>
          </cell>
        </row>
        <row r="76">
          <cell r="A76" t="str">
            <v>Theater Area (Performance)</v>
          </cell>
        </row>
        <row r="77">
          <cell r="A77" t="str">
            <v>Transportation Function (Baggage Area)</v>
          </cell>
        </row>
        <row r="78">
          <cell r="A78" t="str">
            <v>Transportation Function (Ticketing Area)</v>
          </cell>
        </row>
        <row r="79">
          <cell r="A79" t="str">
            <v>Unleased Tenant Area</v>
          </cell>
        </row>
        <row r="80">
          <cell r="A80" t="str">
            <v>Unoccupied-Exclude from Gross Floor Area</v>
          </cell>
        </row>
        <row r="81">
          <cell r="A81" t="str">
            <v>Unoccupied-Include in Gross Floor Area</v>
          </cell>
        </row>
        <row r="82">
          <cell r="A82" t="str">
            <v>Videoconferencing Studio</v>
          </cell>
        </row>
        <row r="83">
          <cell r="A83" t="str">
            <v>All other</v>
          </cell>
        </row>
        <row r="84">
          <cell r="A84" t="str">
            <v/>
          </cell>
        </row>
        <row r="85">
          <cell r="A8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50" priority="4">
      <formula>IF($J6="NotUsed",TRUE,FALSE)</formula>
    </cfRule>
  </conditionalFormatting>
  <conditionalFormatting sqref="L46">
    <cfRule type="expression" dxfId="49" priority="3">
      <formula>IF($J46="NotUsed",TRUE,FALSE)</formula>
    </cfRule>
  </conditionalFormatting>
  <conditionalFormatting sqref="K51">
    <cfRule type="expression" dxfId="48" priority="2">
      <formula>IF($J51="NotUsed",TRUE,FALSE)</formula>
    </cfRule>
  </conditionalFormatting>
  <conditionalFormatting sqref="K56">
    <cfRule type="expression" dxfId="47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46" priority="2">
      <formula>D26=1</formula>
    </cfRule>
  </conditionalFormatting>
  <conditionalFormatting sqref="L79:S79">
    <cfRule type="expression" dxfId="45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44" priority="2">
      <formula>D26=1</formula>
    </cfRule>
  </conditionalFormatting>
  <conditionalFormatting sqref="D79:R79">
    <cfRule type="expression" dxfId="43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42" priority="13">
      <formula>D26&gt;0</formula>
    </cfRule>
  </conditionalFormatting>
  <conditionalFormatting sqref="O26:O96 O106:O109">
    <cfRule type="expression" dxfId="41" priority="11">
      <formula>O26&gt;0</formula>
    </cfRule>
  </conditionalFormatting>
  <conditionalFormatting sqref="K26:R33">
    <cfRule type="expression" dxfId="40" priority="10">
      <formula>K26&gt;0</formula>
    </cfRule>
  </conditionalFormatting>
  <conditionalFormatting sqref="D26:J33">
    <cfRule type="expression" dxfId="39" priority="9">
      <formula>D26&gt;0</formula>
    </cfRule>
  </conditionalFormatting>
  <conditionalFormatting sqref="D119:N119 P119:R119">
    <cfRule type="expression" dxfId="38" priority="8">
      <formula>D119&gt;0</formula>
    </cfRule>
  </conditionalFormatting>
  <conditionalFormatting sqref="O119">
    <cfRule type="expression" dxfId="37" priority="7">
      <formula>O119&gt;0</formula>
    </cfRule>
  </conditionalFormatting>
  <conditionalFormatting sqref="K111:R118">
    <cfRule type="expression" dxfId="36" priority="6">
      <formula>K111&gt;0</formula>
    </cfRule>
  </conditionalFormatting>
  <conditionalFormatting sqref="D111:J118">
    <cfRule type="expression" dxfId="35" priority="5">
      <formula>D111&gt;0</formula>
    </cfRule>
  </conditionalFormatting>
  <conditionalFormatting sqref="D105:N105 P105:R105">
    <cfRule type="expression" dxfId="34" priority="4">
      <formula>D105&gt;0</formula>
    </cfRule>
  </conditionalFormatting>
  <conditionalFormatting sqref="O105">
    <cfRule type="expression" dxfId="33" priority="3">
      <formula>O105&gt;0</formula>
    </cfRule>
  </conditionalFormatting>
  <conditionalFormatting sqref="K97:R104">
    <cfRule type="expression" dxfId="32" priority="2">
      <formula>K97&gt;0</formula>
    </cfRule>
  </conditionalFormatting>
  <conditionalFormatting sqref="D97:J104">
    <cfRule type="expression" dxfId="31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L102" sqref="L10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t="shared" ca="1" si="2"/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947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(Cafetaria/Fast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30" priority="12">
      <formula>D26&gt;0</formula>
    </cfRule>
  </conditionalFormatting>
  <conditionalFormatting sqref="O26:O96">
    <cfRule type="expression" dxfId="29" priority="11">
      <formula>O26&gt;0</formula>
    </cfRule>
  </conditionalFormatting>
  <conditionalFormatting sqref="K26:R33">
    <cfRule type="expression" dxfId="28" priority="10">
      <formula>K26&gt;0</formula>
    </cfRule>
  </conditionalFormatting>
  <conditionalFormatting sqref="D26:J33">
    <cfRule type="expression" dxfId="27" priority="9">
      <formula>D26&gt;0</formula>
    </cfRule>
  </conditionalFormatting>
  <conditionalFormatting sqref="D115:N115 P115:R115">
    <cfRule type="expression" dxfId="26" priority="8">
      <formula>D115&gt;0</formula>
    </cfRule>
  </conditionalFormatting>
  <conditionalFormatting sqref="O115">
    <cfRule type="expression" dxfId="25" priority="7">
      <formula>O115&gt;0</formula>
    </cfRule>
  </conditionalFormatting>
  <conditionalFormatting sqref="K107:R114">
    <cfRule type="expression" dxfId="24" priority="6">
      <formula>K107&gt;0</formula>
    </cfRule>
  </conditionalFormatting>
  <conditionalFormatting sqref="D107:J114">
    <cfRule type="expression" dxfId="23" priority="5">
      <formula>D107&gt;0</formula>
    </cfRule>
  </conditionalFormatting>
  <conditionalFormatting sqref="D105:N105 P105:R105">
    <cfRule type="expression" dxfId="22" priority="4">
      <formula>D105&gt;0</formula>
    </cfRule>
  </conditionalFormatting>
  <conditionalFormatting sqref="O105">
    <cfRule type="expression" dxfId="21" priority="3">
      <formula>O105&gt;0</formula>
    </cfRule>
  </conditionalFormatting>
  <conditionalFormatting sqref="K97:R104">
    <cfRule type="expression" dxfId="20" priority="2">
      <formula>K97&gt;0</formula>
    </cfRule>
  </conditionalFormatting>
  <conditionalFormatting sqref="D97:J104">
    <cfRule type="expression" dxfId="19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8" activePane="bottomRight" state="frozen"/>
      <selection pane="topRight" activeCell="B1" sqref="B1"/>
      <selection pane="bottomLeft" activeCell="A3" sqref="A3"/>
      <selection pane="bottomRight" activeCell="E21" sqref="E21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947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947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(Cafetaria/Fast Food)</v>
      </c>
    </row>
    <row r="89" spans="1:6" x14ac:dyDescent="0.2">
      <c r="A89" s="374" t="s">
        <v>947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947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18" priority="3">
      <formula>$A8&lt;&gt;$A7</formula>
    </cfRule>
    <cfRule type="expression" dxfId="17" priority="4">
      <formula>$A7=$A8</formula>
    </cfRule>
  </conditionalFormatting>
  <conditionalFormatting sqref="B3">
    <cfRule type="expression" dxfId="16" priority="1">
      <formula>$A3&lt;&gt;$A2</formula>
    </cfRule>
    <cfRule type="expression" dxfId="15" priority="2">
      <formula>$A2=$A3</formula>
    </cfRule>
  </conditionalFormatting>
  <conditionalFormatting sqref="A54:D54">
    <cfRule type="expression" dxfId="14" priority="5">
      <formula>$A54&lt;&gt;#REF!</formula>
    </cfRule>
    <cfRule type="expression" dxfId="13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12" priority="1">
      <formula>D26="Addl. Criteria"</formula>
    </cfRule>
    <cfRule type="expression" dxfId="11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1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topLeftCell="A10"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9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C39" sqref="C39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workbookViewId="0">
      <selection activeCell="O31" sqref="O31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tr">
        <f>'[2]2022SpcFunc BEMEnums Gen'!A15</f>
        <v>Auditorium Area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f ca="1">OFFSET('[2]For CSV - 2022 SpcFuncData'!$B$4,MATCH($C26,'[2]For CSV - 2022 SpcFuncData'!$B$5:$B$88,0),38,1,1)</f>
        <v>311</v>
      </c>
    </row>
    <row r="27" spans="1:12" x14ac:dyDescent="0.2">
      <c r="C27" s="376" t="str">
        <f>'[2]2022SpcFunc BEMEnums Gen'!A22</f>
        <v>Convention, Conference, Multipurpose and Meeting Area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f ca="1">OFFSET('[2]For CSV - 2022 SpcFuncData'!$B$4,MATCH($C27,'[2]For CSV - 2022 SpcFuncData'!$B$5:$B$88,0),38,1,1)</f>
        <v>318</v>
      </c>
    </row>
    <row r="28" spans="1:12" x14ac:dyDescent="0.2">
      <c r="C28" s="376" t="str">
        <f>'[2]2022SpcFunc BEMEnums Gen'!A25</f>
        <v>Dining Area (Bar/Lounge and Fine Dining)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f ca="1">OFFSET('[2]For CSV - 2022 SpcFuncData'!$B$4,MATCH($C28,'[2]For CSV - 2022 SpcFuncData'!$B$5:$B$88,0),38,1,1)</f>
        <v>321</v>
      </c>
    </row>
    <row r="29" spans="1:12" x14ac:dyDescent="0.2">
      <c r="C29" s="376" t="str">
        <f>'[2]2022SpcFunc BEMEnums Gen'!A26</f>
        <v>Dining Area (Cafetaria/Fast Food)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f ca="1">OFFSET('[2]For CSV - 2022 SpcFuncData'!$B$4,MATCH($C29,'[2]For CSV - 2022 SpcFuncData'!$B$5:$B$88,0),38,1,1)</f>
        <v>322</v>
      </c>
    </row>
    <row r="30" spans="1:12" x14ac:dyDescent="0.2">
      <c r="C30" s="376" t="str">
        <f>'[2]2022SpcFunc BEMEnums Gen'!A27</f>
        <v>Dining Area (Family and Leisure)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f ca="1">OFFSET('[2]For CSV - 2022 SpcFuncData'!$B$4,MATCH($C30,'[2]For CSV - 2022 SpcFuncData'!$B$5:$B$88,0),38,1,1)</f>
        <v>323</v>
      </c>
    </row>
    <row r="31" spans="1:12" x14ac:dyDescent="0.2">
      <c r="C31" s="376" t="str">
        <f>'[2]2022SpcFunc BEMEnums Gen'!A55</f>
        <v>Museum Area (Exhibition/Display)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f ca="1">OFFSET('[2]For CSV - 2022 SpcFuncData'!$B$4,MATCH($C31,'[2]For CSV - 2022 SpcFuncData'!$B$5:$B$88,0),38,1,1)</f>
        <v>351</v>
      </c>
    </row>
    <row r="32" spans="1:12" x14ac:dyDescent="0.2">
      <c r="C32" s="376" t="str">
        <f>'[2]2022SpcFunc BEMEnums Gen'!A41</f>
        <v>Hotel Function Area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f ca="1">OFFSET('[2]For CSV - 2022 SpcFuncData'!$B$4,MATCH($C32,'[2]For CSV - 2022 SpcFuncData'!$B$5:$B$88,0),38,1,1)</f>
        <v>337</v>
      </c>
    </row>
    <row r="33" spans="3:12" x14ac:dyDescent="0.2">
      <c r="C33" s="376" t="str">
        <f>'[2]2022SpcFunc BEMEnums Gen'!A49</f>
        <v>Lobby, Main Entry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f ca="1">OFFSET('[2]For CSV - 2022 SpcFuncData'!$B$4,MATCH($C33,'[2]For CSV - 2022 SpcFuncData'!$B$5:$B$88,0),38,1,1)</f>
        <v>345</v>
      </c>
    </row>
    <row r="34" spans="3:12" x14ac:dyDescent="0.2">
      <c r="C34" s="376" t="str">
        <f>'[2]2022SpcFunc BEMEnums Gen'!A65</f>
        <v>Religious Worship Area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f ca="1">OFFSET('[2]For CSV - 2022 SpcFuncData'!$B$4,MATCH($C34,'[2]For CSV - 2022 SpcFuncData'!$B$5:$B$88,0),38,1,1)</f>
        <v>361</v>
      </c>
    </row>
    <row r="35" spans="3:12" x14ac:dyDescent="0.2">
      <c r="C35" s="376" t="str">
        <f>'[2]2022SpcFunc BEMEnums Gen'!A62</f>
        <v>Retail Sales Area (Grocery Sales)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f ca="1">OFFSET('[2]For CSV - 2022 SpcFuncData'!$B$4,MATCH($C35,'[2]For CSV - 2022 SpcFuncData'!$B$5:$B$88,0),38,1,1)</f>
        <v>358</v>
      </c>
    </row>
    <row r="36" spans="3:12" x14ac:dyDescent="0.2">
      <c r="C36" s="376" t="str">
        <f>'[2]2022SpcFunc BEMEnums Gen'!A63</f>
        <v>Retail Sales Area (Retail Merchandise Sales)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f ca="1">OFFSET('[2]For CSV - 2022 SpcFuncData'!$B$4,MATCH($C36,'[2]For CSV - 2022 SpcFuncData'!$B$5:$B$88,0),38,1,1)</f>
        <v>359</v>
      </c>
    </row>
    <row r="37" spans="3:12" x14ac:dyDescent="0.2">
      <c r="C37" s="376" t="str">
        <f>'[2]2022SpcFunc BEMEnums Gen'!A75</f>
        <v>Theater Area (Motion Picture)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f ca="1">OFFSET('[2]For CSV - 2022 SpcFuncData'!$B$4,MATCH($C37,'[2]For CSV - 2022 SpcFuncData'!$B$5:$B$88,0),38,1,1)</f>
        <v>371</v>
      </c>
    </row>
    <row r="38" spans="3:12" x14ac:dyDescent="0.2">
      <c r="C38" s="376" t="str">
        <f>'[2]2022SpcFunc BEMEnums Gen'!A76</f>
        <v>Theater Area (Performance)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f ca="1">OFFSET('[2]For CSV - 2022 SpcFuncData'!$B$4,MATCH($C38,'[2]For CSV - 2022 SpcFuncData'!$B$5:$B$88,0),38,1,1)</f>
        <v>372</v>
      </c>
    </row>
    <row r="39" spans="3:12" x14ac:dyDescent="0.2">
      <c r="C39" s="376" t="str">
        <f>'[2]2022SpcFunc BEMEnums Gen'!A83</f>
        <v>All other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f ca="1">OFFSET('[2]For CSV - 2022 SpcFuncData'!$B$4,MATCH($C39,'[2]For CSV - 2022 SpcFuncData'!$B$5:$B$88,0),38,1,1)</f>
        <v>301</v>
      </c>
    </row>
    <row r="40" spans="3:12" x14ac:dyDescent="0.2">
      <c r="C40" s="376" t="str">
        <f>'[2]2022SpcFunc BEMEnums Gen'!A6</f>
        <v>Aging Eye/Low-vision (Corridor Area)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f ca="1">OFFSET('[2]For CSV - 2022 SpcFuncData'!$B$4,MATCH($C40,'[2]For CSV - 2022 SpcFuncData'!$B$5:$B$88,0),38,1,1)</f>
        <v>302</v>
      </c>
    </row>
    <row r="41" spans="3:12" x14ac:dyDescent="0.2">
      <c r="C41" s="376" t="str">
        <f>'[2]2022SpcFunc BEMEnums Gen'!A7</f>
        <v>Aging Eye/Low-vision (Dining)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f ca="1">OFFSET('[2]For CSV - 2022 SpcFuncData'!$B$4,MATCH($C41,'[2]For CSV - 2022 SpcFuncData'!$B$5:$B$88,0),38,1,1)</f>
        <v>303</v>
      </c>
    </row>
    <row r="42" spans="3:12" x14ac:dyDescent="0.2">
      <c r="C42" s="376" t="str">
        <f>'[2]2022SpcFunc BEMEnums Gen'!A8</f>
        <v>Aging Eye/Low-vision (Lobby, Main Entry)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f ca="1">OFFSET('[2]For CSV - 2022 SpcFuncData'!$B$4,MATCH($C42,'[2]For CSV - 2022 SpcFuncData'!$B$5:$B$88,0),38,1,1)</f>
        <v>304</v>
      </c>
    </row>
    <row r="43" spans="3:12" x14ac:dyDescent="0.2">
      <c r="C43" s="376" t="str">
        <f>'[2]2022SpcFunc BEMEnums Gen'!A9</f>
        <v>Aging Eye/Low-vision (Lounge/Waiting Area)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f ca="1">OFFSET('[2]For CSV - 2022 SpcFuncData'!$B$4,MATCH($C43,'[2]For CSV - 2022 SpcFuncData'!$B$5:$B$88,0),38,1,1)</f>
        <v>305</v>
      </c>
    </row>
    <row r="44" spans="3:12" x14ac:dyDescent="0.2">
      <c r="C44" s="376" t="str">
        <f>'[2]2022SpcFunc BEMEnums Gen'!A10</f>
        <v>Aging Eye/Low-vision (Multipurpose Room)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f ca="1">OFFSET('[2]For CSV - 2022 SpcFuncData'!$B$4,MATCH($C44,'[2]For CSV - 2022 SpcFuncData'!$B$5:$B$88,0),38,1,1)</f>
        <v>306</v>
      </c>
    </row>
    <row r="45" spans="3:12" x14ac:dyDescent="0.2">
      <c r="C45" s="376" t="str">
        <f>'[2]2022SpcFunc BEMEnums Gen'!A11</f>
        <v>Aging Eye/Low-vision (Religious Worship Area)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f ca="1">OFFSET('[2]For CSV - 2022 SpcFuncData'!$B$4,MATCH($C45,'[2]For CSV - 2022 SpcFuncData'!$B$5:$B$88,0),38,1,1)</f>
        <v>307</v>
      </c>
    </row>
    <row r="46" spans="3:12" x14ac:dyDescent="0.2">
      <c r="C46" s="376" t="str">
        <f>'[2]2022SpcFunc BEMEnums Gen'!A12</f>
        <v>Aging Eye/Low-vision (Restroom)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f ca="1">OFFSET('[2]For CSV - 2022 SpcFuncData'!$B$4,MATCH($C46,'[2]For CSV - 2022 SpcFuncData'!$B$5:$B$88,0),38,1,1)</f>
        <v>308</v>
      </c>
    </row>
    <row r="47" spans="3:12" x14ac:dyDescent="0.2">
      <c r="C47" s="376" t="str">
        <f>'[2]2022SpcFunc BEMEnums Gen'!A13</f>
        <v>Aging Eye/Low-vision (Stairwell)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f ca="1">OFFSET('[2]For CSV - 2022 SpcFuncData'!$B$4,MATCH($C47,'[2]For CSV - 2022 SpcFuncData'!$B$5:$B$88,0),38,1,1)</f>
        <v>309</v>
      </c>
    </row>
    <row r="48" spans="3:12" x14ac:dyDescent="0.2">
      <c r="C48" s="376" t="str">
        <f>'[2]2022SpcFunc BEMEnums Gen'!A14</f>
        <v>Audience Seating Area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f ca="1">OFFSET('[2]For CSV - 2022 SpcFuncData'!$B$4,MATCH($C48,'[2]For CSV - 2022 SpcFuncData'!$B$5:$B$88,0),38,1,1)</f>
        <v>310</v>
      </c>
    </row>
    <row r="49" spans="3:12" x14ac:dyDescent="0.2">
      <c r="C49" s="376" t="str">
        <f>'[2]2022SpcFunc BEMEnums Gen'!A16</f>
        <v>Auto Repair / Maintenance Area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f ca="1">OFFSET('[2]For CSV - 2022 SpcFuncData'!$B$4,MATCH($C49,'[2]For CSV - 2022 SpcFuncData'!$B$5:$B$88,0),38,1,1)</f>
        <v>312</v>
      </c>
    </row>
    <row r="50" spans="3:12" x14ac:dyDescent="0.2">
      <c r="C50" s="376" t="str">
        <f>'[2]2022SpcFunc BEMEnums Gen'!A17</f>
        <v>Barber, Beauty Salon, Spa Area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f ca="1">OFFSET('[2]For CSV - 2022 SpcFuncData'!$B$4,MATCH($C50,'[2]For CSV - 2022 SpcFuncData'!$B$5:$B$88,0),38,1,1)</f>
        <v>313</v>
      </c>
    </row>
    <row r="51" spans="3:12" x14ac:dyDescent="0.2">
      <c r="C51" s="376" t="str">
        <f>'[2]2022SpcFunc BEMEnums Gen'!A18</f>
        <v>Civic Meeting Place Area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f ca="1">OFFSET('[2]For CSV - 2022 SpcFuncData'!$B$4,MATCH($C51,'[2]For CSV - 2022 SpcFuncData'!$B$5:$B$88,0),38,1,1)</f>
        <v>314</v>
      </c>
    </row>
    <row r="52" spans="3:12" x14ac:dyDescent="0.2">
      <c r="C52" s="376" t="str">
        <f>'[2]2022SpcFunc BEMEnums Gen'!A19</f>
        <v>Classroom, Lecture, Training, Vocational Areas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f ca="1">OFFSET('[2]For CSV - 2022 SpcFuncData'!$B$4,MATCH($C52,'[2]For CSV - 2022 SpcFuncData'!$B$5:$B$88,0),38,1,1)</f>
        <v>315</v>
      </c>
    </row>
    <row r="53" spans="3:12" x14ac:dyDescent="0.2">
      <c r="C53" s="376" t="str">
        <f>'[2]2022SpcFunc BEMEnums Gen'!A20</f>
        <v>Computer Room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f ca="1">OFFSET('[2]For CSV - 2022 SpcFuncData'!$B$4,MATCH($C53,'[2]For CSV - 2022 SpcFuncData'!$B$5:$B$88,0),38,1,1)</f>
        <v>316</v>
      </c>
    </row>
    <row r="54" spans="3:12" x14ac:dyDescent="0.2">
      <c r="C54" s="376" t="str">
        <f>'[2]2022SpcFunc BEMEnums Gen'!A21</f>
        <v>Concourse and Atria Area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f ca="1">OFFSET('[2]For CSV - 2022 SpcFuncData'!$B$4,MATCH($C54,'[2]For CSV - 2022 SpcFuncData'!$B$5:$B$88,0),38,1,1)</f>
        <v>317</v>
      </c>
    </row>
    <row r="55" spans="3:12" x14ac:dyDescent="0.2">
      <c r="C55" s="376" t="str">
        <f>'[2]2022SpcFunc BEMEnums Gen'!A23</f>
        <v>Copy Room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f ca="1">OFFSET('[2]For CSV - 2022 SpcFuncData'!$B$4,MATCH($C55,'[2]For CSV - 2022 SpcFuncData'!$B$5:$B$88,0),38,1,1)</f>
        <v>319</v>
      </c>
    </row>
    <row r="56" spans="3:12" x14ac:dyDescent="0.2">
      <c r="C56" s="376" t="str">
        <f>'[2]2022SpcFunc BEMEnums Gen'!A24</f>
        <v>Corridor Area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f ca="1">OFFSET('[2]For CSV - 2022 SpcFuncData'!$B$4,MATCH($C56,'[2]For CSV - 2022 SpcFuncData'!$B$5:$B$88,0),38,1,1)</f>
        <v>320</v>
      </c>
    </row>
    <row r="57" spans="3:12" x14ac:dyDescent="0.2">
      <c r="C57" s="376" t="str">
        <f>'[2]2022SpcFunc BEMEnums Gen'!A28</f>
        <v>Electrical, Mechanical, Telephone Rooms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f ca="1">OFFSET('[2]For CSV - 2022 SpcFuncData'!$B$4,MATCH($C57,'[2]For CSV - 2022 SpcFuncData'!$B$5:$B$88,0),38,1,1)</f>
        <v>324</v>
      </c>
    </row>
    <row r="58" spans="3:12" x14ac:dyDescent="0.2">
      <c r="C58" s="376" t="str">
        <f>'[2]2022SpcFunc BEMEnums Gen'!A29</f>
        <v>Exercise/Fitness Center and Gymnasium Areas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f ca="1">OFFSET('[2]For CSV - 2022 SpcFuncData'!$B$4,MATCH($C58,'[2]For CSV - 2022 SpcFuncData'!$B$5:$B$88,0),38,1,1)</f>
        <v>325</v>
      </c>
    </row>
    <row r="59" spans="3:12" x14ac:dyDescent="0.2">
      <c r="C59" s="376" t="str">
        <f>'[2]2022SpcFunc BEMEnums Gen'!A30</f>
        <v>Financial Transaction Area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f ca="1">OFFSET('[2]For CSV - 2022 SpcFuncData'!$B$4,MATCH($C59,'[2]For CSV - 2022 SpcFuncData'!$B$5:$B$88,0),38,1,1)</f>
        <v>326</v>
      </c>
    </row>
    <row r="60" spans="3:12" x14ac:dyDescent="0.2">
      <c r="C60" s="376" t="str">
        <f>'[2]2022SpcFunc BEMEnums Gen'!A31</f>
        <v>Healthcare Facility and Hospitals (Exam/Treatment Room)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f ca="1">OFFSET('[2]For CSV - 2022 SpcFuncData'!$B$4,MATCH($C60,'[2]For CSV - 2022 SpcFuncData'!$B$5:$B$88,0),38,1,1)</f>
        <v>327</v>
      </c>
    </row>
    <row r="61" spans="3:12" x14ac:dyDescent="0.2">
      <c r="C61" s="376" t="str">
        <f>'[2]2022SpcFunc BEMEnums Gen'!A32</f>
        <v>Healthcare Facility and Hospitals (Imaging Room)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f ca="1">OFFSET('[2]For CSV - 2022 SpcFuncData'!$B$4,MATCH($C61,'[2]For CSV - 2022 SpcFuncData'!$B$5:$B$88,0),38,1,1)</f>
        <v>328</v>
      </c>
    </row>
    <row r="62" spans="3:12" x14ac:dyDescent="0.2">
      <c r="C62" s="376" t="str">
        <f>'[2]2022SpcFunc BEMEnums Gen'!A33</f>
        <v>Healthcare Facility and Hospitals (Medical Supply Room)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f ca="1">OFFSET('[2]For CSV - 2022 SpcFuncData'!$B$4,MATCH($C62,'[2]For CSV - 2022 SpcFuncData'!$B$5:$B$88,0),38,1,1)</f>
        <v>329</v>
      </c>
    </row>
    <row r="63" spans="3:12" x14ac:dyDescent="0.2">
      <c r="C63" s="376" t="str">
        <f>'[2]2022SpcFunc BEMEnums Gen'!A34</f>
        <v>Healthcare Facility and Hospitals (Nursery)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f ca="1">OFFSET('[2]For CSV - 2022 SpcFuncData'!$B$4,MATCH($C63,'[2]For CSV - 2022 SpcFuncData'!$B$5:$B$88,0),38,1,1)</f>
        <v>330</v>
      </c>
    </row>
    <row r="64" spans="3:12" x14ac:dyDescent="0.2">
      <c r="C64" s="376" t="str">
        <f>'[2]2022SpcFunc BEMEnums Gen'!A35</f>
        <v>Healthcare Facility and Hospitals (Nurse's Station)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f ca="1">OFFSET('[2]For CSV - 2022 SpcFuncData'!$B$4,MATCH($C64,'[2]For CSV - 2022 SpcFuncData'!$B$5:$B$88,0),38,1,1)</f>
        <v>331</v>
      </c>
    </row>
    <row r="65" spans="3:12" x14ac:dyDescent="0.2">
      <c r="C65" s="376" t="str">
        <f>'[2]2022SpcFunc BEMEnums Gen'!A36</f>
        <v>Healthcare Facility and Hospitals (Operating Room)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f ca="1">OFFSET('[2]For CSV - 2022 SpcFuncData'!$B$4,MATCH($C65,'[2]For CSV - 2022 SpcFuncData'!$B$5:$B$88,0),38,1,1)</f>
        <v>332</v>
      </c>
    </row>
    <row r="66" spans="3:12" x14ac:dyDescent="0.2">
      <c r="C66" s="376" t="str">
        <f>'[2]2022SpcFunc BEMEnums Gen'!A37</f>
        <v>Healthcare Facility and Hospitals (Patient Room)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f ca="1">OFFSET('[2]For CSV - 2022 SpcFuncData'!$B$4,MATCH($C66,'[2]For CSV - 2022 SpcFuncData'!$B$5:$B$88,0),38,1,1)</f>
        <v>333</v>
      </c>
    </row>
    <row r="67" spans="3:12" x14ac:dyDescent="0.2">
      <c r="C67" s="376" t="str">
        <f>'[2]2022SpcFunc BEMEnums Gen'!A38</f>
        <v>Healthcare Facility and Hospitals (Physical Therapy Room)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f ca="1">OFFSET('[2]For CSV - 2022 SpcFuncData'!$B$4,MATCH($C67,'[2]For CSV - 2022 SpcFuncData'!$B$5:$B$88,0),38,1,1)</f>
        <v>334</v>
      </c>
    </row>
    <row r="68" spans="3:12" x14ac:dyDescent="0.2">
      <c r="C68" s="376" t="str">
        <f>'[2]2022SpcFunc BEMEnums Gen'!A39</f>
        <v>Healthcare Facility and Hospitals (Recovery Room)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f ca="1">OFFSET('[2]For CSV - 2022 SpcFuncData'!$B$4,MATCH($C68,'[2]For CSV - 2022 SpcFuncData'!$B$5:$B$88,0),38,1,1)</f>
        <v>335</v>
      </c>
    </row>
    <row r="69" spans="3:12" x14ac:dyDescent="0.2">
      <c r="C69" s="376" t="str">
        <f>'[2]2022SpcFunc BEMEnums Gen'!A40</f>
        <v>High-Rise Residential Living Spaces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f ca="1">OFFSET('[2]For CSV - 2022 SpcFuncData'!$B$4,MATCH($C69,'[2]For CSV - 2022 SpcFuncData'!$B$5:$B$88,0),38,1,1)</f>
        <v>336</v>
      </c>
    </row>
    <row r="70" spans="3:12" x14ac:dyDescent="0.2">
      <c r="C70" s="376" t="str">
        <f>'[2]2022SpcFunc BEMEnums Gen'!A42</f>
        <v>Hotel/Motel Guest Room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f ca="1">OFFSET('[2]For CSV - 2022 SpcFuncData'!$B$4,MATCH($C70,'[2]For CSV - 2022 SpcFuncData'!$B$5:$B$88,0),38,1,1)</f>
        <v>338</v>
      </c>
    </row>
    <row r="71" spans="3:12" x14ac:dyDescent="0.2">
      <c r="C71" s="376" t="str">
        <f>'[2]2022SpcFunc BEMEnums Gen'!A43</f>
        <v>Kitchen/Food Preparation Area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f ca="1">OFFSET('[2]For CSV - 2022 SpcFuncData'!$B$4,MATCH($C71,'[2]For CSV - 2022 SpcFuncData'!$B$5:$B$88,0),38,1,1)</f>
        <v>339</v>
      </c>
    </row>
    <row r="72" spans="3:12" x14ac:dyDescent="0.2">
      <c r="C72" s="376" t="str">
        <f>'[2]2022SpcFunc BEMEnums Gen'!A44</f>
        <v>Kitchenette or Residential Kitchen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f ca="1">OFFSET('[2]For CSV - 2022 SpcFuncData'!$B$4,MATCH($C72,'[2]For CSV - 2022 SpcFuncData'!$B$5:$B$88,0),38,1,1)</f>
        <v>340</v>
      </c>
    </row>
    <row r="73" spans="3:12" x14ac:dyDescent="0.2">
      <c r="C73" s="376" t="str">
        <f>'[2]2022SpcFunc BEMEnums Gen'!A45</f>
        <v>Laboratory, Scientific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f ca="1">OFFSET('[2]For CSV - 2022 SpcFuncData'!$B$4,MATCH($C73,'[2]For CSV - 2022 SpcFuncData'!$B$5:$B$88,0),38,1,1)</f>
        <v>341</v>
      </c>
    </row>
    <row r="74" spans="3:12" x14ac:dyDescent="0.2">
      <c r="C74" s="376" t="str">
        <f>'[2]2022SpcFunc BEMEnums Gen'!A46</f>
        <v>Laundry Area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f ca="1">OFFSET('[2]For CSV - 2022 SpcFuncData'!$B$4,MATCH($C74,'[2]For CSV - 2022 SpcFuncData'!$B$5:$B$88,0),38,1,1)</f>
        <v>342</v>
      </c>
    </row>
    <row r="75" spans="3:12" x14ac:dyDescent="0.2">
      <c r="C75" s="376" t="str">
        <f>'[2]2022SpcFunc BEMEnums Gen'!A47</f>
        <v>Library (Reading Area)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f ca="1">OFFSET('[2]For CSV - 2022 SpcFuncData'!$B$4,MATCH($C75,'[2]For CSV - 2022 SpcFuncData'!$B$5:$B$88,0),38,1,1)</f>
        <v>343</v>
      </c>
    </row>
    <row r="76" spans="3:12" x14ac:dyDescent="0.2">
      <c r="C76" s="376" t="str">
        <f>'[2]2022SpcFunc BEMEnums Gen'!A48</f>
        <v>Library (Stacks Area)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f ca="1">OFFSET('[2]For CSV - 2022 SpcFuncData'!$B$4,MATCH($C76,'[2]For CSV - 2022 SpcFuncData'!$B$5:$B$88,0),38,1,1)</f>
        <v>344</v>
      </c>
    </row>
    <row r="77" spans="3:12" x14ac:dyDescent="0.2">
      <c r="C77" s="376" t="str">
        <f>'[2]2022SpcFunc BEMEnums Gen'!A50</f>
        <v>Locker Room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f ca="1">OFFSET('[2]For CSV - 2022 SpcFuncData'!$B$4,MATCH($C77,'[2]For CSV - 2022 SpcFuncData'!$B$5:$B$88,0),38,1,1)</f>
        <v>346</v>
      </c>
    </row>
    <row r="78" spans="3:12" x14ac:dyDescent="0.2">
      <c r="C78" s="376" t="str">
        <f>'[2]2022SpcFunc BEMEnums Gen'!A51</f>
        <v>Lounge, Breakroom, or Waiting Area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f ca="1">OFFSET('[2]For CSV - 2022 SpcFuncData'!$B$4,MATCH($C78,'[2]For CSV - 2022 SpcFuncData'!$B$5:$B$88,0),38,1,1)</f>
        <v>347</v>
      </c>
    </row>
    <row r="79" spans="3:12" x14ac:dyDescent="0.2">
      <c r="C79" s="376" t="str">
        <f>'[2]2022SpcFunc BEMEnums Gen'!A52</f>
        <v>Manufacturing, Commercial &amp; Industrial Work Area (Low Bay)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f ca="1">OFFSET('[2]For CSV - 2022 SpcFuncData'!$B$4,MATCH($C79,'[2]For CSV - 2022 SpcFuncData'!$B$5:$B$88,0),38,1,1)</f>
        <v>348</v>
      </c>
    </row>
    <row r="80" spans="3:12" x14ac:dyDescent="0.2">
      <c r="C80" s="376" t="str">
        <f>'[2]2022SpcFunc BEMEnums Gen'!A53</f>
        <v>Manufacturing, Commercial &amp; Industrial Work Area (High Bay)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f ca="1">OFFSET('[2]For CSV - 2022 SpcFuncData'!$B$4,MATCH($C80,'[2]For CSV - 2022 SpcFuncData'!$B$5:$B$88,0),38,1,1)</f>
        <v>349</v>
      </c>
    </row>
    <row r="81" spans="3:12" x14ac:dyDescent="0.2">
      <c r="C81" s="376" t="str">
        <f>'[2]2022SpcFunc BEMEnums Gen'!A54</f>
        <v>Manufacturing, Commercial &amp; Industrial Work Area (Precision)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f ca="1">OFFSET('[2]For CSV - 2022 SpcFuncData'!$B$4,MATCH($C81,'[2]For CSV - 2022 SpcFuncData'!$B$5:$B$88,0),38,1,1)</f>
        <v>350</v>
      </c>
    </row>
    <row r="82" spans="3:12" x14ac:dyDescent="0.2">
      <c r="C82" s="376" t="str">
        <f>'[2]2022SpcFunc BEMEnums Gen'!A56</f>
        <v>Museum Area (Restoration Room)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f ca="1">OFFSET('[2]For CSV - 2022 SpcFuncData'!$B$4,MATCH($C82,'[2]For CSV - 2022 SpcFuncData'!$B$5:$B$88,0),38,1,1)</f>
        <v>352</v>
      </c>
    </row>
    <row r="83" spans="3:12" x14ac:dyDescent="0.2">
      <c r="C83" s="376" t="str">
        <f>'[2]2022SpcFunc BEMEnums Gen'!A57</f>
        <v>Office Area (&gt;250 square feet)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f ca="1">OFFSET('[2]For CSV - 2022 SpcFuncData'!$B$4,MATCH($C83,'[2]For CSV - 2022 SpcFuncData'!$B$5:$B$88,0),38,1,1)</f>
        <v>353</v>
      </c>
    </row>
    <row r="84" spans="3:12" x14ac:dyDescent="0.2">
      <c r="C84" s="376" t="str">
        <f>'[2]2022SpcFunc BEMEnums Gen'!A58</f>
        <v>Office Area (&lt;250 square feet)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f ca="1">OFFSET('[2]For CSV - 2022 SpcFuncData'!$B$4,MATCH($C84,'[2]For CSV - 2022 SpcFuncData'!$B$5:$B$88,0),38,1,1)</f>
        <v>354</v>
      </c>
    </row>
    <row r="85" spans="3:12" x14ac:dyDescent="0.2">
      <c r="C85" s="376" t="str">
        <f>'[2]2022SpcFunc BEMEnums Gen'!A59</f>
        <v>Parking Garage Area (Parking Zone and Ramps)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f ca="1">OFFSET('[2]For CSV - 2022 SpcFuncData'!$B$4,MATCH($C85,'[2]For CSV - 2022 SpcFuncData'!$B$5:$B$88,0),38,1,1)</f>
        <v>355</v>
      </c>
    </row>
    <row r="86" spans="3:12" x14ac:dyDescent="0.2">
      <c r="C86" s="376" t="str">
        <f>'[2]2022SpcFunc BEMEnums Gen'!A60</f>
        <v>Parking Garage Area (Daylight Adaptation Zones)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f ca="1">OFFSET('[2]For CSV - 2022 SpcFuncData'!$B$4,MATCH($C86,'[2]For CSV - 2022 SpcFuncData'!$B$5:$B$88,0),38,1,1)</f>
        <v>356</v>
      </c>
    </row>
    <row r="87" spans="3:12" x14ac:dyDescent="0.2">
      <c r="C87" s="376" t="str">
        <f>'[2]2022SpcFunc BEMEnums Gen'!A61</f>
        <v>Pharmacy Area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f ca="1">OFFSET('[2]For CSV - 2022 SpcFuncData'!$B$4,MATCH($C87,'[2]For CSV - 2022 SpcFuncData'!$B$5:$B$88,0),38,1,1)</f>
        <v>357</v>
      </c>
    </row>
    <row r="88" spans="3:12" x14ac:dyDescent="0.2">
      <c r="C88" s="376" t="str">
        <f>'[2]2022SpcFunc BEMEnums Gen'!A64</f>
        <v>Retail Sales Area (Fitting Room)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f ca="1">OFFSET('[2]For CSV - 2022 SpcFuncData'!$B$4,MATCH($C88,'[2]For CSV - 2022 SpcFuncData'!$B$5:$B$88,0),38,1,1)</f>
        <v>360</v>
      </c>
    </row>
    <row r="89" spans="3:12" x14ac:dyDescent="0.2">
      <c r="C89" s="376" t="str">
        <f>'[2]2022SpcFunc BEMEnums Gen'!A66</f>
        <v>Restrooms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f ca="1">OFFSET('[2]For CSV - 2022 SpcFuncData'!$B$4,MATCH($C89,'[2]For CSV - 2022 SpcFuncData'!$B$5:$B$88,0),38,1,1)</f>
        <v>362</v>
      </c>
    </row>
    <row r="90" spans="3:12" x14ac:dyDescent="0.2">
      <c r="C90" s="376" t="str">
        <f>'[2]2022SpcFunc BEMEnums Gen'!A67</f>
        <v>Stairwell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f ca="1">OFFSET('[2]For CSV - 2022 SpcFuncData'!$B$4,MATCH($C90,'[2]For CSV - 2022 SpcFuncData'!$B$5:$B$88,0),38,1,1)</f>
        <v>363</v>
      </c>
    </row>
    <row r="91" spans="3:12" x14ac:dyDescent="0.2">
      <c r="C91" s="376" t="str">
        <f>'[2]2022SpcFunc BEMEnums Gen'!A68</f>
        <v>Storage, Commercial/Industrial (Warehouse)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f ca="1">OFFSET('[2]For CSV - 2022 SpcFuncData'!$B$4,MATCH($C91,'[2]For CSV - 2022 SpcFuncData'!$B$5:$B$88,0),38,1,1)</f>
        <v>364</v>
      </c>
    </row>
    <row r="92" spans="3:12" x14ac:dyDescent="0.2">
      <c r="C92" s="376" t="str">
        <f>'[2]2022SpcFunc BEMEnums Gen'!A69</f>
        <v>Storage, Commercial/Industrial (Refrigerated)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f ca="1">OFFSET('[2]For CSV - 2022 SpcFuncData'!$B$4,MATCH($C92,'[2]For CSV - 2022 SpcFuncData'!$B$5:$B$88,0),38,1,1)</f>
        <v>365</v>
      </c>
    </row>
    <row r="93" spans="3:12" x14ac:dyDescent="0.2">
      <c r="C93" s="376" t="str">
        <f>'[2]2022SpcFunc BEMEnums Gen'!A70</f>
        <v>Storage, Commercial/Industrial (Shipping &amp; Handling)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f ca="1">OFFSET('[2]For CSV - 2022 SpcFuncData'!$B$4,MATCH($C93,'[2]For CSV - 2022 SpcFuncData'!$B$5:$B$88,0),38,1,1)</f>
        <v>366</v>
      </c>
    </row>
    <row r="94" spans="3:12" x14ac:dyDescent="0.2">
      <c r="C94" s="376" t="str">
        <f>'[2]2022SpcFunc BEMEnums Gen'!A71</f>
        <v>Sports Arena - Playing Area (&gt; 5,000 Spectators)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f ca="1">OFFSET('[2]For CSV - 2022 SpcFuncData'!$B$4,MATCH($C94,'[2]For CSV - 2022 SpcFuncData'!$B$5:$B$88,0),38,1,1)</f>
        <v>367</v>
      </c>
    </row>
    <row r="95" spans="3:12" x14ac:dyDescent="0.2">
      <c r="C95" s="376" t="str">
        <f>'[2]2022SpcFunc BEMEnums Gen'!A72</f>
        <v>Sports Arena - Playing Area (2,000 - 5,000 Spectators)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f ca="1">OFFSET('[2]For CSV - 2022 SpcFuncData'!$B$4,MATCH($C95,'[2]For CSV - 2022 SpcFuncData'!$B$5:$B$88,0),38,1,1)</f>
        <v>368</v>
      </c>
    </row>
    <row r="96" spans="3:12" x14ac:dyDescent="0.2">
      <c r="C96" s="376" t="str">
        <f>'[2]2022SpcFunc BEMEnums Gen'!A73</f>
        <v>Sports Arena - Playing Area (&lt; 2,000 Spectators)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f ca="1">OFFSET('[2]For CSV - 2022 SpcFuncData'!$B$4,MATCH($C96,'[2]For CSV - 2022 SpcFuncData'!$B$5:$B$88,0),38,1,1)</f>
        <v>369</v>
      </c>
    </row>
    <row r="97" spans="2:12" x14ac:dyDescent="0.2">
      <c r="C97" s="376" t="str">
        <f>'[2]2022SpcFunc BEMEnums Gen'!A74</f>
        <v>Sports Arena - Playing Area (Recreational)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f ca="1">OFFSET('[2]For CSV - 2022 SpcFuncData'!$B$4,MATCH($C97,'[2]For CSV - 2022 SpcFuncData'!$B$5:$B$88,0),38,1,1)</f>
        <v>370</v>
      </c>
    </row>
    <row r="98" spans="2:12" x14ac:dyDescent="0.2">
      <c r="C98" s="376" t="str">
        <f>'[2]2022SpcFunc BEMEnums Gen'!A77</f>
        <v>Transportation Function (Baggage Area)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f ca="1">OFFSET('[2]For CSV - 2022 SpcFuncData'!$B$4,MATCH($C98,'[2]For CSV - 2022 SpcFuncData'!$B$5:$B$88,0),38,1,1)</f>
        <v>373</v>
      </c>
    </row>
    <row r="99" spans="2:12" x14ac:dyDescent="0.2">
      <c r="C99" s="376" t="str">
        <f>'[2]2022SpcFunc BEMEnums Gen'!A78</f>
        <v>Transportation Function (Ticketing Area)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f ca="1">OFFSET('[2]For CSV - 2022 SpcFuncData'!$B$4,MATCH($C99,'[2]For CSV - 2022 SpcFuncData'!$B$5:$B$88,0),38,1,1)</f>
        <v>374</v>
      </c>
    </row>
    <row r="100" spans="2:12" x14ac:dyDescent="0.2">
      <c r="C100" s="376" t="str">
        <f>'[2]2022SpcFunc BEMEnums Gen'!A79</f>
        <v>Unleased Tenant Area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f ca="1">OFFSET('[2]For CSV - 2022 SpcFuncData'!$B$4,MATCH($C100,'[2]For CSV - 2022 SpcFuncData'!$B$5:$B$88,0),38,1,1)</f>
        <v>375</v>
      </c>
    </row>
    <row r="101" spans="2:12" x14ac:dyDescent="0.2">
      <c r="C101" s="376" t="str">
        <f>'[2]2022SpcFunc BEMEnums Gen'!A80</f>
        <v>Unoccupied-Exclude from Gross Floor Area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f ca="1">OFFSET('[2]For CSV - 2022 SpcFuncData'!$B$4,MATCH($C101,'[2]For CSV - 2022 SpcFuncData'!$B$5:$B$88,0),38,1,1)</f>
        <v>376</v>
      </c>
    </row>
    <row r="102" spans="2:12" x14ac:dyDescent="0.2">
      <c r="C102" s="376" t="str">
        <f>'[2]2022SpcFunc BEMEnums Gen'!A81</f>
        <v>Unoccupied-Include in Gross Floor Area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f ca="1">OFFSET('[2]For CSV - 2022 SpcFuncData'!$B$4,MATCH($C102,'[2]For CSV - 2022 SpcFuncData'!$B$5:$B$88,0),38,1,1)</f>
        <v>377</v>
      </c>
    </row>
    <row r="103" spans="2:12" x14ac:dyDescent="0.2">
      <c r="C103" s="376" t="str">
        <f>'[2]2022SpcFunc BEMEnums Gen'!A82</f>
        <v>Videoconferencing Studio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f ca="1">OFFSET('[2]For CSV - 2022 SpcFuncData'!$B$4,MATCH($C103,'[2]For CSV - 2022 SpcFuncData'!$B$5:$B$88,0),38,1,1)</f>
        <v>378</v>
      </c>
    </row>
    <row r="104" spans="2:12" x14ac:dyDescent="0.2">
      <c r="C104" s="376" t="str">
        <f>'[2]2022SpcFunc BEMEnums Gen'!A84</f>
        <v/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f ca="1">OFFSET('[2]For CSV - 2022 SpcFuncData'!$B$4,MATCH($C104,'[2]For CSV - 2022 SpcFuncData'!$B$5:$B$88,0),38,1,1)</f>
        <v>0</v>
      </c>
    </row>
    <row r="105" spans="2:12" x14ac:dyDescent="0.2">
      <c r="C105" s="376" t="str">
        <f>'[2]2022SpcFunc BEMEnums Gen'!A85</f>
        <v/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f ca="1">OFFSET('[2]For CSV - 2022 SpcFuncData'!$B$4,MATCH($C105,'[2]For CSV - 2022 SpcFuncData'!$B$5:$B$88,0),38,1,1)</f>
        <v>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8" priority="1">
      <formula>G26=1</formula>
    </cfRule>
  </conditionalFormatting>
  <conditionalFormatting sqref="G26:R36">
    <cfRule type="expression" dxfId="7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6" priority="1">
      <formula>G26=1</formula>
    </cfRule>
  </conditionalFormatting>
  <conditionalFormatting sqref="G26:L29">
    <cfRule type="expression" dxfId="5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abSelected="1" topLeftCell="A22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40" zoomScaleNormal="40" workbookViewId="0">
      <selection activeCell="C25" sqref="C25:M75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94"/>
  <sheetViews>
    <sheetView topLeftCell="A28" zoomScale="85" zoomScaleNormal="85" workbookViewId="0">
      <selection activeCell="J57" sqref="J57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30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/>
      <c r="D12" s="145"/>
    </row>
    <row r="13" spans="1:14" s="138" customFormat="1" x14ac:dyDescent="0.25">
      <c r="A13" s="138" t="s">
        <v>250</v>
      </c>
      <c r="B13" s="116" t="s">
        <v>358</v>
      </c>
      <c r="C13" s="116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41"/>
    </row>
    <row r="14" spans="1:14" x14ac:dyDescent="0.25">
      <c r="A14" s="145" t="s">
        <v>250</v>
      </c>
      <c r="B14" s="351"/>
      <c r="C14" s="351" t="s">
        <v>381</v>
      </c>
    </row>
    <row r="15" spans="1:14" x14ac:dyDescent="0.25">
      <c r="A15" s="145" t="s">
        <v>250</v>
      </c>
      <c r="B15" s="351"/>
      <c r="C15" s="351" t="s">
        <v>1004</v>
      </c>
    </row>
    <row r="16" spans="1:14" x14ac:dyDescent="0.25">
      <c r="A16" s="145" t="s">
        <v>250</v>
      </c>
      <c r="B16" s="351"/>
      <c r="C16" s="351" t="s">
        <v>1005</v>
      </c>
    </row>
    <row r="17" spans="1:14" x14ac:dyDescent="0.25">
      <c r="A17" s="145" t="s">
        <v>250</v>
      </c>
      <c r="B17" s="351"/>
      <c r="C17" s="351" t="s">
        <v>1057</v>
      </c>
    </row>
    <row r="18" spans="1:14" x14ac:dyDescent="0.25">
      <c r="A18" s="145" t="s">
        <v>250</v>
      </c>
      <c r="B18" s="351"/>
      <c r="C18" s="351" t="s">
        <v>783</v>
      </c>
    </row>
    <row r="19" spans="1:14" s="138" customFormat="1" x14ac:dyDescent="0.25">
      <c r="A19" s="138" t="s">
        <v>250</v>
      </c>
      <c r="B19" s="116" t="s">
        <v>355</v>
      </c>
      <c r="C19" s="116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41"/>
    </row>
    <row r="20" spans="1:14" x14ac:dyDescent="0.25">
      <c r="A20" s="145" t="s">
        <v>250</v>
      </c>
      <c r="B20" s="351"/>
      <c r="C20" s="351" t="s">
        <v>382</v>
      </c>
      <c r="E20" s="352"/>
    </row>
    <row r="21" spans="1:14" x14ac:dyDescent="0.25">
      <c r="A21" s="145" t="s">
        <v>250</v>
      </c>
      <c r="B21" s="351"/>
      <c r="C21" s="351" t="s">
        <v>383</v>
      </c>
      <c r="E21" s="352"/>
    </row>
    <row r="22" spans="1:14" x14ac:dyDescent="0.25">
      <c r="A22" s="145" t="s">
        <v>250</v>
      </c>
      <c r="B22" s="351"/>
      <c r="C22" s="351" t="s">
        <v>1058</v>
      </c>
      <c r="E22" s="352"/>
    </row>
    <row r="23" spans="1:14" x14ac:dyDescent="0.25">
      <c r="A23" s="145" t="s">
        <v>250</v>
      </c>
      <c r="B23" s="351"/>
      <c r="C23" s="351"/>
      <c r="E23" s="352"/>
    </row>
    <row r="24" spans="1:14" s="138" customFormat="1" x14ac:dyDescent="0.25">
      <c r="A24" s="138" t="s">
        <v>250</v>
      </c>
      <c r="B24" s="116" t="s">
        <v>354</v>
      </c>
      <c r="C24" s="116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41"/>
    </row>
    <row r="25" spans="1:14" x14ac:dyDescent="0.25">
      <c r="A25" s="145" t="s">
        <v>250</v>
      </c>
      <c r="B25" s="351"/>
      <c r="C25" s="116" t="s">
        <v>911</v>
      </c>
      <c r="D25" s="353"/>
      <c r="E25" s="353"/>
      <c r="F25" s="353"/>
      <c r="G25" s="353"/>
      <c r="H25" s="353"/>
    </row>
    <row r="26" spans="1:14" x14ac:dyDescent="0.25">
      <c r="A26" s="145" t="s">
        <v>250</v>
      </c>
      <c r="B26" s="351"/>
      <c r="C26" s="351"/>
      <c r="E26" s="352"/>
    </row>
    <row r="27" spans="1:14" s="138" customFormat="1" x14ac:dyDescent="0.25">
      <c r="A27" s="138" t="s">
        <v>365</v>
      </c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41"/>
    </row>
    <row r="28" spans="1:14" s="151" customFormat="1" x14ac:dyDescent="0.25">
      <c r="A28" s="145"/>
      <c r="B28" s="140" t="str">
        <f>"TABLE "&amp;$C$4</f>
        <v>TABLE UnitaryACHPMinEffReq</v>
      </c>
      <c r="N28" s="145"/>
    </row>
    <row r="29" spans="1:14" x14ac:dyDescent="0.25">
      <c r="C29" s="151" t="s">
        <v>912</v>
      </c>
      <c r="D29" s="151" t="s">
        <v>558</v>
      </c>
      <c r="E29" s="151" t="s">
        <v>571</v>
      </c>
      <c r="F29" s="153" t="s">
        <v>568</v>
      </c>
      <c r="G29" s="153" t="s">
        <v>279</v>
      </c>
      <c r="H29" s="151" t="s">
        <v>11</v>
      </c>
      <c r="I29" s="151" t="s">
        <v>12</v>
      </c>
      <c r="J29" s="151" t="s">
        <v>559</v>
      </c>
      <c r="K29" s="151" t="s">
        <v>930</v>
      </c>
      <c r="L29" s="151" t="s">
        <v>931</v>
      </c>
      <c r="M29" s="151" t="s">
        <v>560</v>
      </c>
      <c r="N29" s="145" t="s">
        <v>9</v>
      </c>
    </row>
    <row r="30" spans="1:14" x14ac:dyDescent="0.25">
      <c r="C30" s="371" t="s">
        <v>1037</v>
      </c>
      <c r="D30" s="151" t="s">
        <v>1007</v>
      </c>
      <c r="E30" s="151" t="s">
        <v>348</v>
      </c>
      <c r="F30" s="153" t="s">
        <v>569</v>
      </c>
      <c r="G30" s="153" t="s">
        <v>561</v>
      </c>
      <c r="H30" s="370">
        <v>11</v>
      </c>
      <c r="I30" s="370">
        <v>0</v>
      </c>
      <c r="J30" s="151" t="s">
        <v>1008</v>
      </c>
      <c r="K30" s="358">
        <v>0</v>
      </c>
      <c r="L30" s="358">
        <v>0</v>
      </c>
      <c r="M30" s="151" t="s">
        <v>258</v>
      </c>
    </row>
    <row r="31" spans="1:14" x14ac:dyDescent="0.25">
      <c r="C31" s="354" t="s">
        <v>1006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55">
        <v>11</v>
      </c>
      <c r="I31" s="355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151" t="s">
        <v>348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150">
        <v>10</v>
      </c>
      <c r="I32" s="150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348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549</v>
      </c>
      <c r="E34" s="153" t="s">
        <v>928</v>
      </c>
      <c r="F34" s="153" t="s">
        <v>569</v>
      </c>
      <c r="G34" s="151" t="s">
        <v>927</v>
      </c>
      <c r="H34" s="150">
        <v>12.2</v>
      </c>
      <c r="I34" s="150">
        <v>0</v>
      </c>
      <c r="J34" s="151" t="s">
        <v>1038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561</v>
      </c>
      <c r="H35" s="150">
        <v>11.7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929</v>
      </c>
      <c r="F36" s="153" t="s">
        <v>569</v>
      </c>
      <c r="G36" s="151" t="s">
        <v>561</v>
      </c>
      <c r="H36" s="150">
        <v>11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s="151" customFormat="1" x14ac:dyDescent="0.25">
      <c r="C37" s="151" t="s">
        <v>348</v>
      </c>
      <c r="D37" s="151" t="s">
        <v>549</v>
      </c>
      <c r="E37" s="153" t="s">
        <v>348</v>
      </c>
      <c r="F37" s="153" t="s">
        <v>569</v>
      </c>
      <c r="G37" s="151" t="s">
        <v>561</v>
      </c>
      <c r="H37" s="358">
        <v>0</v>
      </c>
      <c r="I37" s="358">
        <v>0</v>
      </c>
      <c r="J37" s="356" t="s">
        <v>258</v>
      </c>
      <c r="K37" s="358">
        <v>0</v>
      </c>
      <c r="L37" s="358">
        <v>0</v>
      </c>
      <c r="M37" s="151" t="s">
        <v>258</v>
      </c>
      <c r="N37" s="145" t="s">
        <v>1053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553</v>
      </c>
      <c r="H38" s="150">
        <v>11.2</v>
      </c>
      <c r="I38" s="150">
        <v>12.9</v>
      </c>
      <c r="J38" s="151" t="s">
        <v>563</v>
      </c>
      <c r="K38" s="358">
        <v>0</v>
      </c>
      <c r="L38" s="358">
        <v>0</v>
      </c>
      <c r="M38" s="151" t="s">
        <v>258</v>
      </c>
      <c r="N38" s="145"/>
    </row>
    <row r="39" spans="3:14" s="151" customFormat="1" x14ac:dyDescent="0.25">
      <c r="C39" s="151" t="s">
        <v>348</v>
      </c>
      <c r="D39" s="151" t="s">
        <v>549</v>
      </c>
      <c r="E39" s="153" t="s">
        <v>348</v>
      </c>
      <c r="F39" s="153" t="s">
        <v>569</v>
      </c>
      <c r="G39" s="151" t="s">
        <v>552</v>
      </c>
      <c r="H39" s="150">
        <v>11</v>
      </c>
      <c r="I39" s="150">
        <v>12.4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151" t="s">
        <v>348</v>
      </c>
      <c r="D40" s="151" t="s">
        <v>549</v>
      </c>
      <c r="E40" s="153" t="s">
        <v>348</v>
      </c>
      <c r="F40" s="153" t="s">
        <v>569</v>
      </c>
      <c r="G40" s="151" t="s">
        <v>555</v>
      </c>
      <c r="H40" s="150">
        <v>10</v>
      </c>
      <c r="I40" s="150">
        <v>11.6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151" t="s">
        <v>348</v>
      </c>
      <c r="D41" s="151" t="s">
        <v>549</v>
      </c>
      <c r="E41" s="153" t="s">
        <v>348</v>
      </c>
      <c r="F41" s="153" t="s">
        <v>569</v>
      </c>
      <c r="G41" s="151" t="s">
        <v>554</v>
      </c>
      <c r="H41" s="150">
        <v>9.6999999999999993</v>
      </c>
      <c r="I41" s="150">
        <v>11.2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564</v>
      </c>
      <c r="H42" s="155">
        <v>12.1</v>
      </c>
      <c r="I42" s="155">
        <v>0</v>
      </c>
      <c r="J42" s="151" t="s">
        <v>565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151" t="s">
        <v>348</v>
      </c>
      <c r="D43" s="151" t="s">
        <v>549</v>
      </c>
      <c r="E43" s="151" t="s">
        <v>348</v>
      </c>
      <c r="F43" s="153" t="s">
        <v>546</v>
      </c>
      <c r="G43" s="151" t="s">
        <v>561</v>
      </c>
      <c r="H43" s="155">
        <v>12.1</v>
      </c>
      <c r="I43" s="155">
        <v>0</v>
      </c>
      <c r="J43" s="151" t="s">
        <v>565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553</v>
      </c>
      <c r="H44" s="150">
        <v>12.1</v>
      </c>
      <c r="I44" s="150">
        <v>13.9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151" t="s">
        <v>348</v>
      </c>
      <c r="D45" s="151" t="s">
        <v>549</v>
      </c>
      <c r="E45" s="151" t="s">
        <v>348</v>
      </c>
      <c r="F45" s="153" t="s">
        <v>546</v>
      </c>
      <c r="G45" s="151" t="s">
        <v>552</v>
      </c>
      <c r="H45" s="150">
        <v>12.5</v>
      </c>
      <c r="I45" s="150">
        <v>13.9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555</v>
      </c>
      <c r="H46" s="150">
        <v>12.4</v>
      </c>
      <c r="I46" s="150">
        <v>13.6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554</v>
      </c>
      <c r="H47" s="150">
        <v>12.2</v>
      </c>
      <c r="I47" s="150">
        <v>13.5</v>
      </c>
      <c r="J47" s="151" t="s">
        <v>563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561</v>
      </c>
      <c r="H48" s="150">
        <v>12.1</v>
      </c>
      <c r="I48" s="150">
        <v>0</v>
      </c>
      <c r="J48" s="151" t="s">
        <v>562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553</v>
      </c>
      <c r="H49" s="150">
        <v>12.1</v>
      </c>
      <c r="I49" s="150">
        <v>12.3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552</v>
      </c>
      <c r="H50" s="150">
        <v>12</v>
      </c>
      <c r="I50" s="150">
        <v>12.2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555</v>
      </c>
      <c r="H51" s="150">
        <v>11.9</v>
      </c>
      <c r="I51" s="150">
        <v>12.1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548</v>
      </c>
      <c r="G52" s="151" t="s">
        <v>554</v>
      </c>
      <c r="H52" s="150">
        <v>11.7</v>
      </c>
      <c r="I52" s="150">
        <v>11.9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x14ac:dyDescent="0.25">
      <c r="C53" s="371" t="s">
        <v>1037</v>
      </c>
      <c r="D53" s="151" t="s">
        <v>1009</v>
      </c>
      <c r="E53" s="151" t="s">
        <v>348</v>
      </c>
      <c r="F53" s="153" t="s">
        <v>569</v>
      </c>
      <c r="G53" s="153" t="s">
        <v>561</v>
      </c>
      <c r="H53" s="370">
        <v>11</v>
      </c>
      <c r="I53" s="370">
        <v>0</v>
      </c>
      <c r="J53" s="151" t="s">
        <v>1008</v>
      </c>
      <c r="K53" s="370">
        <v>3.3</v>
      </c>
      <c r="L53" s="370">
        <v>0</v>
      </c>
      <c r="M53" s="151" t="s">
        <v>1008</v>
      </c>
      <c r="N53" s="145" t="s">
        <v>1055</v>
      </c>
    </row>
    <row r="54" spans="3:15" x14ac:dyDescent="0.25">
      <c r="C54" s="354" t="s">
        <v>1006</v>
      </c>
      <c r="D54" s="151" t="s">
        <v>1009</v>
      </c>
      <c r="E54" s="151" t="s">
        <v>348</v>
      </c>
      <c r="F54" s="153" t="s">
        <v>569</v>
      </c>
      <c r="G54" s="153" t="s">
        <v>561</v>
      </c>
      <c r="H54" s="355">
        <v>11</v>
      </c>
      <c r="I54" s="355">
        <v>0</v>
      </c>
      <c r="J54" s="151" t="s">
        <v>1008</v>
      </c>
      <c r="K54" s="355">
        <v>3.3</v>
      </c>
      <c r="L54" s="355">
        <v>0</v>
      </c>
      <c r="M54" s="151" t="s">
        <v>1008</v>
      </c>
      <c r="N54" s="145" t="s">
        <v>1055</v>
      </c>
    </row>
    <row r="55" spans="3:15" x14ac:dyDescent="0.25">
      <c r="C55" s="151" t="s">
        <v>348</v>
      </c>
      <c r="D55" s="151" t="s">
        <v>1009</v>
      </c>
      <c r="E55" s="151" t="s">
        <v>348</v>
      </c>
      <c r="F55" s="153" t="s">
        <v>569</v>
      </c>
      <c r="G55" s="153" t="s">
        <v>561</v>
      </c>
      <c r="H55" s="150">
        <v>10</v>
      </c>
      <c r="I55" s="150">
        <v>0</v>
      </c>
      <c r="J55" s="151" t="s">
        <v>1008</v>
      </c>
      <c r="K55" s="150">
        <v>3</v>
      </c>
      <c r="L55" s="150">
        <v>0</v>
      </c>
      <c r="M55" s="151" t="s">
        <v>1008</v>
      </c>
      <c r="N55" s="145" t="s">
        <v>1055</v>
      </c>
    </row>
    <row r="56" spans="3:15" x14ac:dyDescent="0.25">
      <c r="C56" s="151" t="s">
        <v>348</v>
      </c>
      <c r="D56" s="151" t="s">
        <v>1009</v>
      </c>
      <c r="E56" s="151" t="s">
        <v>348</v>
      </c>
      <c r="F56" s="153" t="s">
        <v>569</v>
      </c>
      <c r="G56" s="153" t="s">
        <v>348</v>
      </c>
      <c r="H56" s="150">
        <v>10</v>
      </c>
      <c r="I56" s="150">
        <v>0</v>
      </c>
      <c r="J56" s="151" t="s">
        <v>1008</v>
      </c>
      <c r="K56" s="150">
        <v>3</v>
      </c>
      <c r="L56" s="150">
        <v>0</v>
      </c>
      <c r="M56" s="151" t="s">
        <v>1008</v>
      </c>
      <c r="N56" s="145" t="s">
        <v>1055</v>
      </c>
    </row>
    <row r="57" spans="3:15" x14ac:dyDescent="0.25">
      <c r="C57" s="151" t="s">
        <v>348</v>
      </c>
      <c r="D57" s="151" t="s">
        <v>550</v>
      </c>
      <c r="E57" s="153" t="s">
        <v>928</v>
      </c>
      <c r="F57" s="153" t="s">
        <v>569</v>
      </c>
      <c r="G57" s="151" t="s">
        <v>927</v>
      </c>
      <c r="H57" s="358">
        <v>0</v>
      </c>
      <c r="I57" s="150">
        <v>0</v>
      </c>
      <c r="J57" s="151" t="s">
        <v>1064</v>
      </c>
      <c r="K57" s="150">
        <v>0</v>
      </c>
      <c r="L57" s="150">
        <v>0</v>
      </c>
      <c r="M57" s="151" t="s">
        <v>258</v>
      </c>
      <c r="N57" s="145" t="s">
        <v>1054</v>
      </c>
      <c r="O57" s="145" t="s">
        <v>1063</v>
      </c>
    </row>
    <row r="58" spans="3:15" x14ac:dyDescent="0.25">
      <c r="C58" s="151" t="s">
        <v>348</v>
      </c>
      <c r="D58" s="151" t="s">
        <v>550</v>
      </c>
      <c r="E58" s="153" t="s">
        <v>928</v>
      </c>
      <c r="F58" s="153" t="s">
        <v>569</v>
      </c>
      <c r="G58" s="151" t="s">
        <v>561</v>
      </c>
      <c r="H58" s="358">
        <v>0</v>
      </c>
      <c r="I58" s="150">
        <v>0</v>
      </c>
      <c r="J58" s="151" t="s">
        <v>1064</v>
      </c>
      <c r="K58" s="150">
        <v>0</v>
      </c>
      <c r="L58" s="150">
        <v>0</v>
      </c>
      <c r="M58" s="151" t="s">
        <v>258</v>
      </c>
      <c r="N58" s="145" t="s">
        <v>1054</v>
      </c>
      <c r="O58" s="145" t="s">
        <v>1063</v>
      </c>
    </row>
    <row r="59" spans="3:15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569</v>
      </c>
      <c r="G59" s="151" t="s">
        <v>561</v>
      </c>
      <c r="H59" s="358">
        <v>0</v>
      </c>
      <c r="I59" s="358">
        <v>0</v>
      </c>
      <c r="J59" s="356" t="s">
        <v>258</v>
      </c>
      <c r="K59" s="358">
        <v>0</v>
      </c>
      <c r="L59" s="358">
        <v>0</v>
      </c>
      <c r="M59" s="151" t="s">
        <v>258</v>
      </c>
      <c r="N59" s="145" t="s">
        <v>1054</v>
      </c>
    </row>
    <row r="60" spans="3:15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569</v>
      </c>
      <c r="G60" s="151" t="s">
        <v>553</v>
      </c>
      <c r="H60" s="150">
        <v>11</v>
      </c>
      <c r="I60" s="150">
        <v>12.2</v>
      </c>
      <c r="J60" s="151" t="s">
        <v>566</v>
      </c>
      <c r="K60" s="152">
        <v>3.3</v>
      </c>
      <c r="L60" s="152">
        <v>2.25</v>
      </c>
      <c r="M60" s="151" t="s">
        <v>566</v>
      </c>
      <c r="N60" s="141"/>
    </row>
    <row r="61" spans="3:15" s="151" customFormat="1" x14ac:dyDescent="0.25">
      <c r="C61" s="151" t="s">
        <v>348</v>
      </c>
      <c r="D61" s="151" t="s">
        <v>550</v>
      </c>
      <c r="E61" s="151" t="s">
        <v>348</v>
      </c>
      <c r="F61" s="153" t="s">
        <v>569</v>
      </c>
      <c r="G61" s="151" t="s">
        <v>552</v>
      </c>
      <c r="H61" s="150">
        <v>10.6</v>
      </c>
      <c r="I61" s="150">
        <v>11.6</v>
      </c>
      <c r="J61" s="151" t="s">
        <v>566</v>
      </c>
      <c r="K61" s="152">
        <v>3.2</v>
      </c>
      <c r="L61" s="152">
        <v>2.0499999999999998</v>
      </c>
      <c r="M61" s="151" t="s">
        <v>566</v>
      </c>
      <c r="N61" s="141"/>
    </row>
    <row r="62" spans="3:15" s="151" customFormat="1" x14ac:dyDescent="0.25">
      <c r="C62" s="151" t="s">
        <v>348</v>
      </c>
      <c r="D62" s="356" t="s">
        <v>550</v>
      </c>
      <c r="E62" s="356" t="s">
        <v>348</v>
      </c>
      <c r="F62" s="357" t="s">
        <v>569</v>
      </c>
      <c r="G62" s="356" t="s">
        <v>551</v>
      </c>
      <c r="H62" s="358">
        <v>9.5</v>
      </c>
      <c r="I62" s="358">
        <v>10.6</v>
      </c>
      <c r="J62" s="356" t="s">
        <v>566</v>
      </c>
      <c r="K62" s="359">
        <v>3.2</v>
      </c>
      <c r="L62" s="359">
        <v>2.0499999999999998</v>
      </c>
      <c r="M62" s="151" t="s">
        <v>566</v>
      </c>
      <c r="N62" s="141"/>
    </row>
    <row r="63" spans="3:15" s="151" customFormat="1" x14ac:dyDescent="0.25">
      <c r="C63" s="151" t="s">
        <v>348</v>
      </c>
      <c r="D63" s="356" t="s">
        <v>550</v>
      </c>
      <c r="E63" s="356" t="s">
        <v>348</v>
      </c>
      <c r="F63" s="357" t="s">
        <v>546</v>
      </c>
      <c r="G63" s="356" t="s">
        <v>564</v>
      </c>
      <c r="H63" s="358">
        <v>11.2</v>
      </c>
      <c r="I63" s="358">
        <v>0</v>
      </c>
      <c r="J63" s="356" t="s">
        <v>562</v>
      </c>
      <c r="K63" s="359">
        <v>4.2</v>
      </c>
      <c r="L63" s="359">
        <v>0</v>
      </c>
      <c r="M63" s="151" t="s">
        <v>562</v>
      </c>
      <c r="N63" s="145"/>
    </row>
    <row r="64" spans="3:15" s="151" customFormat="1" x14ac:dyDescent="0.25">
      <c r="C64" s="151" t="s">
        <v>348</v>
      </c>
      <c r="D64" s="356" t="s">
        <v>550</v>
      </c>
      <c r="E64" s="356" t="s">
        <v>348</v>
      </c>
      <c r="F64" s="357" t="s">
        <v>546</v>
      </c>
      <c r="G64" s="356" t="s">
        <v>561</v>
      </c>
      <c r="H64" s="358">
        <v>12</v>
      </c>
      <c r="I64" s="358">
        <v>0</v>
      </c>
      <c r="J64" s="356" t="s">
        <v>562</v>
      </c>
      <c r="K64" s="359">
        <v>4.2</v>
      </c>
      <c r="L64" s="359">
        <v>0</v>
      </c>
      <c r="M64" s="151" t="s">
        <v>562</v>
      </c>
      <c r="N64" s="145"/>
    </row>
    <row r="65" spans="3:14" s="151" customFormat="1" x14ac:dyDescent="0.25">
      <c r="C65" s="151" t="s">
        <v>348</v>
      </c>
      <c r="D65" s="356" t="s">
        <v>550</v>
      </c>
      <c r="E65" s="356" t="s">
        <v>348</v>
      </c>
      <c r="F65" s="357" t="s">
        <v>546</v>
      </c>
      <c r="G65" s="356" t="s">
        <v>553</v>
      </c>
      <c r="H65" s="360">
        <v>13</v>
      </c>
      <c r="I65" s="360">
        <v>0</v>
      </c>
      <c r="J65" s="356" t="s">
        <v>566</v>
      </c>
      <c r="K65" s="360">
        <v>4.3</v>
      </c>
      <c r="L65" s="360">
        <v>0</v>
      </c>
      <c r="M65" s="151" t="s">
        <v>566</v>
      </c>
      <c r="N65" s="145"/>
    </row>
    <row r="66" spans="3:14" s="151" customFormat="1" x14ac:dyDescent="0.25">
      <c r="C66" s="151" t="s">
        <v>348</v>
      </c>
      <c r="D66" s="348" t="s">
        <v>550</v>
      </c>
      <c r="E66" s="348" t="s">
        <v>348</v>
      </c>
      <c r="F66" s="349" t="s">
        <v>546</v>
      </c>
      <c r="G66" s="348" t="s">
        <v>552</v>
      </c>
      <c r="H66" s="360">
        <v>12.3</v>
      </c>
      <c r="I66" s="360">
        <v>0</v>
      </c>
      <c r="J66" s="356" t="s">
        <v>562</v>
      </c>
      <c r="K66" s="360">
        <v>2.9</v>
      </c>
      <c r="L66" s="360">
        <v>0</v>
      </c>
      <c r="M66" s="151" t="s">
        <v>562</v>
      </c>
      <c r="N66" s="145"/>
    </row>
    <row r="67" spans="3:14" s="151" customFormat="1" x14ac:dyDescent="0.25">
      <c r="C67" s="151" t="s">
        <v>348</v>
      </c>
      <c r="D67" s="356" t="s">
        <v>550</v>
      </c>
      <c r="E67" s="356" t="s">
        <v>348</v>
      </c>
      <c r="F67" s="357" t="s">
        <v>546</v>
      </c>
      <c r="G67" s="356" t="s">
        <v>555</v>
      </c>
      <c r="H67" s="358">
        <v>12.2</v>
      </c>
      <c r="I67" s="358">
        <v>0</v>
      </c>
      <c r="J67" s="356" t="s">
        <v>562</v>
      </c>
      <c r="K67" s="358">
        <v>0</v>
      </c>
      <c r="L67" s="358">
        <v>0</v>
      </c>
      <c r="M67" s="151" t="s">
        <v>562</v>
      </c>
      <c r="N67" s="145"/>
    </row>
    <row r="68" spans="3:14" s="151" customFormat="1" x14ac:dyDescent="0.25">
      <c r="C68" s="151" t="s">
        <v>348</v>
      </c>
      <c r="D68" s="356" t="s">
        <v>550</v>
      </c>
      <c r="E68" s="356" t="s">
        <v>348</v>
      </c>
      <c r="F68" s="357" t="s">
        <v>546</v>
      </c>
      <c r="G68" s="151" t="s">
        <v>554</v>
      </c>
      <c r="H68" s="358">
        <v>0</v>
      </c>
      <c r="I68" s="358">
        <v>0</v>
      </c>
      <c r="J68" s="356" t="s">
        <v>258</v>
      </c>
      <c r="K68" s="358">
        <v>0</v>
      </c>
      <c r="L68" s="358">
        <v>0</v>
      </c>
      <c r="M68" s="151" t="s">
        <v>258</v>
      </c>
      <c r="N68" s="145" t="s">
        <v>1056</v>
      </c>
    </row>
    <row r="69" spans="3:14" s="151" customFormat="1" x14ac:dyDescent="0.25">
      <c r="C69" s="151" t="s">
        <v>348</v>
      </c>
      <c r="D69" s="356" t="s">
        <v>550</v>
      </c>
      <c r="E69" s="356" t="s">
        <v>348</v>
      </c>
      <c r="F69" s="357" t="s">
        <v>547</v>
      </c>
      <c r="G69" s="356" t="s">
        <v>553</v>
      </c>
      <c r="H69" s="360">
        <v>18</v>
      </c>
      <c r="I69" s="360">
        <v>0</v>
      </c>
      <c r="J69" s="356" t="s">
        <v>566</v>
      </c>
      <c r="K69" s="360">
        <v>3.7</v>
      </c>
      <c r="L69" s="360">
        <v>0</v>
      </c>
      <c r="M69" s="151" t="s">
        <v>566</v>
      </c>
      <c r="N69" s="145"/>
    </row>
    <row r="70" spans="3:14" s="151" customFormat="1" x14ac:dyDescent="0.25">
      <c r="C70" s="151" t="s">
        <v>348</v>
      </c>
      <c r="D70" s="356" t="s">
        <v>550</v>
      </c>
      <c r="E70" s="356" t="s">
        <v>348</v>
      </c>
      <c r="F70" s="357" t="s">
        <v>547</v>
      </c>
      <c r="G70" s="356" t="s">
        <v>557</v>
      </c>
      <c r="H70" s="358">
        <v>0</v>
      </c>
      <c r="I70" s="358">
        <v>0</v>
      </c>
      <c r="J70" s="356" t="s">
        <v>258</v>
      </c>
      <c r="K70" s="358">
        <v>0</v>
      </c>
      <c r="L70" s="358">
        <v>0</v>
      </c>
      <c r="M70" s="151" t="s">
        <v>258</v>
      </c>
      <c r="N70" s="145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556</v>
      </c>
      <c r="G71" s="356" t="s">
        <v>553</v>
      </c>
      <c r="H71" s="360">
        <v>14.1</v>
      </c>
      <c r="I71" s="360">
        <v>0</v>
      </c>
      <c r="J71" s="356" t="s">
        <v>566</v>
      </c>
      <c r="K71" s="360">
        <v>3.2</v>
      </c>
      <c r="L71" s="360">
        <v>0</v>
      </c>
      <c r="M71" s="151" t="s">
        <v>566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556</v>
      </c>
      <c r="G72" s="356" t="s">
        <v>557</v>
      </c>
      <c r="H72" s="358">
        <v>0</v>
      </c>
      <c r="I72" s="358">
        <v>0</v>
      </c>
      <c r="J72" s="356" t="s">
        <v>258</v>
      </c>
      <c r="K72" s="358">
        <v>0</v>
      </c>
      <c r="L72" s="358">
        <v>0</v>
      </c>
      <c r="M72" s="151" t="s">
        <v>258</v>
      </c>
      <c r="N72" s="145" t="s">
        <v>1056</v>
      </c>
    </row>
    <row r="73" spans="3:14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561</v>
      </c>
      <c r="H73" s="150">
        <v>11</v>
      </c>
      <c r="I73" s="150">
        <v>0</v>
      </c>
      <c r="J73" s="150" t="s">
        <v>802</v>
      </c>
      <c r="K73" s="358">
        <v>0</v>
      </c>
      <c r="L73" s="358">
        <v>0</v>
      </c>
      <c r="M73" s="151" t="s">
        <v>258</v>
      </c>
      <c r="N73" s="145"/>
    </row>
    <row r="74" spans="3:14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553</v>
      </c>
      <c r="H74" s="150">
        <v>10.4</v>
      </c>
      <c r="I74" s="150">
        <v>0</v>
      </c>
      <c r="J74" s="150" t="s">
        <v>802</v>
      </c>
      <c r="K74" s="358">
        <v>0</v>
      </c>
      <c r="L74" s="358">
        <v>0</v>
      </c>
      <c r="M74" s="151" t="s">
        <v>258</v>
      </c>
      <c r="N74" s="145"/>
    </row>
    <row r="75" spans="3:14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552</v>
      </c>
      <c r="H75" s="150">
        <v>10.199999999999999</v>
      </c>
      <c r="I75" s="150">
        <v>0</v>
      </c>
      <c r="J75" s="150" t="s">
        <v>802</v>
      </c>
      <c r="K75" s="358">
        <v>0</v>
      </c>
      <c r="L75" s="358">
        <v>0</v>
      </c>
      <c r="M75" s="151" t="s">
        <v>258</v>
      </c>
      <c r="N75" s="145"/>
    </row>
    <row r="76" spans="3:14" s="151" customFormat="1" x14ac:dyDescent="0.25">
      <c r="C76" s="151" t="s">
        <v>348</v>
      </c>
      <c r="D76" s="151" t="s">
        <v>549</v>
      </c>
      <c r="E76" s="151" t="s">
        <v>801</v>
      </c>
      <c r="F76" s="154" t="s">
        <v>569</v>
      </c>
      <c r="G76" s="151" t="s">
        <v>551</v>
      </c>
      <c r="H76" s="150">
        <v>10.199999999999999</v>
      </c>
      <c r="I76" s="150">
        <v>0</v>
      </c>
      <c r="J76" s="150" t="s">
        <v>803</v>
      </c>
      <c r="K76" s="358">
        <v>0</v>
      </c>
      <c r="L76" s="358">
        <v>0</v>
      </c>
      <c r="M76" s="151" t="s">
        <v>258</v>
      </c>
      <c r="N76" s="145"/>
    </row>
    <row r="77" spans="3:14" s="151" customFormat="1" x14ac:dyDescent="0.25">
      <c r="C77" s="151" t="s">
        <v>348</v>
      </c>
      <c r="D77" s="151" t="s">
        <v>1059</v>
      </c>
      <c r="E77" s="151" t="s">
        <v>549</v>
      </c>
      <c r="F77" s="154" t="s">
        <v>569</v>
      </c>
      <c r="G77" s="151" t="s">
        <v>561</v>
      </c>
      <c r="H77" s="150">
        <v>0</v>
      </c>
      <c r="I77" s="150">
        <v>0</v>
      </c>
      <c r="J77" s="150" t="s">
        <v>1060</v>
      </c>
      <c r="K77" s="358">
        <v>0</v>
      </c>
      <c r="L77" s="358">
        <v>0</v>
      </c>
      <c r="M77" s="151" t="s">
        <v>258</v>
      </c>
      <c r="N77" s="145" t="s">
        <v>1053</v>
      </c>
    </row>
    <row r="78" spans="3:14" s="151" customFormat="1" x14ac:dyDescent="0.25">
      <c r="C78" s="151" t="s">
        <v>348</v>
      </c>
      <c r="D78" s="151" t="s">
        <v>1059</v>
      </c>
      <c r="E78" s="151" t="s">
        <v>549</v>
      </c>
      <c r="F78" s="154" t="s">
        <v>569</v>
      </c>
      <c r="G78" s="151" t="s">
        <v>553</v>
      </c>
      <c r="H78" s="150">
        <v>11.2</v>
      </c>
      <c r="I78" s="150">
        <v>0</v>
      </c>
      <c r="J78" s="150" t="s">
        <v>1060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151" t="s">
        <v>1059</v>
      </c>
      <c r="E79" s="151" t="s">
        <v>549</v>
      </c>
      <c r="F79" s="154" t="s">
        <v>569</v>
      </c>
      <c r="G79" s="151" t="s">
        <v>552</v>
      </c>
      <c r="H79" s="150">
        <v>11</v>
      </c>
      <c r="I79" s="150">
        <v>0</v>
      </c>
      <c r="J79" s="150" t="s">
        <v>1060</v>
      </c>
      <c r="K79" s="358">
        <v>0</v>
      </c>
      <c r="L79" s="358">
        <v>0</v>
      </c>
      <c r="M79" s="151" t="s">
        <v>258</v>
      </c>
      <c r="N79" s="145"/>
    </row>
    <row r="80" spans="3:14" s="151" customFormat="1" x14ac:dyDescent="0.25">
      <c r="C80" s="151" t="s">
        <v>348</v>
      </c>
      <c r="D80" s="151" t="s">
        <v>1059</v>
      </c>
      <c r="E80" s="151" t="s">
        <v>549</v>
      </c>
      <c r="F80" s="154" t="s">
        <v>569</v>
      </c>
      <c r="G80" s="151" t="s">
        <v>551</v>
      </c>
      <c r="H80" s="150">
        <v>10</v>
      </c>
      <c r="I80" s="150">
        <v>0</v>
      </c>
      <c r="J80" s="150" t="s">
        <v>1060</v>
      </c>
      <c r="K80" s="358">
        <v>0</v>
      </c>
      <c r="L80" s="358">
        <v>0</v>
      </c>
      <c r="M80" s="151" t="s">
        <v>258</v>
      </c>
      <c r="N80" s="145"/>
    </row>
    <row r="81" spans="2:14" s="151" customFormat="1" x14ac:dyDescent="0.25">
      <c r="C81" s="151" t="s">
        <v>348</v>
      </c>
      <c r="D81" s="151" t="s">
        <v>1059</v>
      </c>
      <c r="E81" s="151" t="s">
        <v>550</v>
      </c>
      <c r="F81" s="154" t="s">
        <v>569</v>
      </c>
      <c r="G81" s="151" t="s">
        <v>561</v>
      </c>
      <c r="H81" s="150">
        <v>0</v>
      </c>
      <c r="I81" s="150">
        <v>0</v>
      </c>
      <c r="J81" s="150" t="s">
        <v>1061</v>
      </c>
      <c r="K81" s="358">
        <v>0</v>
      </c>
      <c r="L81" s="358">
        <v>0</v>
      </c>
      <c r="M81" s="151" t="s">
        <v>258</v>
      </c>
      <c r="N81" s="145" t="s">
        <v>1054</v>
      </c>
    </row>
    <row r="82" spans="2:14" s="151" customFormat="1" x14ac:dyDescent="0.25">
      <c r="C82" s="151" t="s">
        <v>348</v>
      </c>
      <c r="D82" s="151" t="s">
        <v>1059</v>
      </c>
      <c r="E82" s="151" t="s">
        <v>550</v>
      </c>
      <c r="F82" s="154" t="s">
        <v>569</v>
      </c>
      <c r="G82" s="151" t="s">
        <v>553</v>
      </c>
      <c r="H82" s="150">
        <v>11</v>
      </c>
      <c r="I82" s="150">
        <v>14.6</v>
      </c>
      <c r="J82" s="150" t="s">
        <v>1061</v>
      </c>
      <c r="K82" s="358">
        <v>3.3</v>
      </c>
      <c r="L82" s="373">
        <v>2.25</v>
      </c>
      <c r="M82" s="150" t="s">
        <v>1061</v>
      </c>
      <c r="N82" s="145"/>
    </row>
    <row r="83" spans="2:14" s="151" customFormat="1" x14ac:dyDescent="0.25">
      <c r="C83" s="151" t="s">
        <v>348</v>
      </c>
      <c r="D83" s="151" t="s">
        <v>1059</v>
      </c>
      <c r="E83" s="151" t="s">
        <v>550</v>
      </c>
      <c r="F83" s="154" t="s">
        <v>569</v>
      </c>
      <c r="G83" s="151" t="s">
        <v>552</v>
      </c>
      <c r="H83" s="150">
        <v>10.6</v>
      </c>
      <c r="I83" s="150">
        <v>13.9</v>
      </c>
      <c r="J83" s="150" t="s">
        <v>1061</v>
      </c>
      <c r="K83" s="358">
        <v>3.2</v>
      </c>
      <c r="L83" s="373">
        <v>2.0499999999999998</v>
      </c>
      <c r="M83" s="150" t="s">
        <v>1061</v>
      </c>
      <c r="N83" s="145"/>
    </row>
    <row r="84" spans="2:14" s="151" customFormat="1" x14ac:dyDescent="0.25">
      <c r="C84" s="151" t="s">
        <v>348</v>
      </c>
      <c r="D84" s="151" t="s">
        <v>1059</v>
      </c>
      <c r="E84" s="151" t="s">
        <v>550</v>
      </c>
      <c r="F84" s="154" t="s">
        <v>569</v>
      </c>
      <c r="G84" s="151" t="s">
        <v>551</v>
      </c>
      <c r="H84" s="150">
        <v>9.5</v>
      </c>
      <c r="I84" s="150">
        <v>12.7</v>
      </c>
      <c r="J84" s="150" t="s">
        <v>1061</v>
      </c>
      <c r="K84" s="358">
        <f>K83</f>
        <v>3.2</v>
      </c>
      <c r="L84" s="373">
        <f>L83</f>
        <v>2.0499999999999998</v>
      </c>
      <c r="M84" s="150" t="s">
        <v>1061</v>
      </c>
      <c r="N84" s="145"/>
    </row>
    <row r="85" spans="2:14" s="151" customFormat="1" x14ac:dyDescent="0.25">
      <c r="C85" s="151" t="s">
        <v>348</v>
      </c>
      <c r="D85" s="151" t="s">
        <v>1059</v>
      </c>
      <c r="E85" s="151" t="s">
        <v>550</v>
      </c>
      <c r="F85" s="357" t="s">
        <v>546</v>
      </c>
      <c r="G85" s="151" t="s">
        <v>561</v>
      </c>
      <c r="H85" s="150">
        <v>12</v>
      </c>
      <c r="I85" s="150">
        <v>15.8</v>
      </c>
      <c r="J85" s="150" t="s">
        <v>1061</v>
      </c>
      <c r="K85" s="358">
        <v>4.3</v>
      </c>
      <c r="L85" s="358">
        <v>0</v>
      </c>
      <c r="M85" s="150" t="s">
        <v>1061</v>
      </c>
      <c r="N85" s="145"/>
    </row>
    <row r="86" spans="2:14" s="151" customFormat="1" x14ac:dyDescent="0.25">
      <c r="C86" s="151" t="s">
        <v>348</v>
      </c>
      <c r="D86" s="151" t="s">
        <v>1059</v>
      </c>
      <c r="E86" s="151" t="s">
        <v>550</v>
      </c>
      <c r="F86" s="357" t="s">
        <v>546</v>
      </c>
      <c r="G86" s="151" t="s">
        <v>553</v>
      </c>
      <c r="H86" s="150">
        <v>12</v>
      </c>
      <c r="I86" s="150">
        <v>15.8</v>
      </c>
      <c r="J86" s="150" t="s">
        <v>1061</v>
      </c>
      <c r="K86" s="358">
        <v>4.3</v>
      </c>
      <c r="L86" s="358">
        <v>0</v>
      </c>
      <c r="M86" s="150" t="s">
        <v>1061</v>
      </c>
      <c r="N86" s="145"/>
    </row>
    <row r="87" spans="2:14" s="151" customFormat="1" x14ac:dyDescent="0.25">
      <c r="C87" s="151" t="s">
        <v>348</v>
      </c>
      <c r="D87" s="151" t="s">
        <v>1059</v>
      </c>
      <c r="E87" s="151" t="s">
        <v>550</v>
      </c>
      <c r="F87" s="357" t="s">
        <v>546</v>
      </c>
      <c r="G87" s="151" t="s">
        <v>552</v>
      </c>
      <c r="H87" s="150">
        <v>10</v>
      </c>
      <c r="I87" s="150">
        <v>13.8</v>
      </c>
      <c r="J87" s="150" t="s">
        <v>1061</v>
      </c>
      <c r="K87" s="358">
        <v>4</v>
      </c>
      <c r="L87" s="358">
        <v>0</v>
      </c>
      <c r="M87" s="150" t="s">
        <v>1061</v>
      </c>
      <c r="N87" s="145"/>
    </row>
    <row r="88" spans="2:14" s="151" customFormat="1" x14ac:dyDescent="0.25">
      <c r="C88" s="151" t="s">
        <v>348</v>
      </c>
      <c r="D88" s="151" t="s">
        <v>1059</v>
      </c>
      <c r="E88" s="151" t="s">
        <v>550</v>
      </c>
      <c r="F88" s="357" t="s">
        <v>546</v>
      </c>
      <c r="G88" s="151" t="s">
        <v>551</v>
      </c>
      <c r="H88" s="150">
        <v>10</v>
      </c>
      <c r="I88" s="150">
        <v>12</v>
      </c>
      <c r="J88" s="150" t="s">
        <v>1061</v>
      </c>
      <c r="K88" s="358">
        <v>3.9</v>
      </c>
      <c r="L88" s="358">
        <v>0</v>
      </c>
      <c r="M88" s="150" t="s">
        <v>1061</v>
      </c>
      <c r="N88" s="145"/>
    </row>
    <row r="89" spans="2:14" s="151" customFormat="1" x14ac:dyDescent="0.25">
      <c r="C89" s="151" t="s">
        <v>348</v>
      </c>
      <c r="D89" s="151" t="s">
        <v>1059</v>
      </c>
      <c r="E89" s="151" t="s">
        <v>550</v>
      </c>
      <c r="F89" s="357" t="s">
        <v>547</v>
      </c>
      <c r="G89" s="356" t="s">
        <v>553</v>
      </c>
      <c r="H89" s="360">
        <v>16.2</v>
      </c>
      <c r="I89" s="360">
        <v>0</v>
      </c>
      <c r="J89" s="150" t="s">
        <v>1061</v>
      </c>
      <c r="K89" s="358">
        <v>3.6</v>
      </c>
      <c r="L89" s="358">
        <v>0</v>
      </c>
      <c r="M89" s="150" t="s">
        <v>1061</v>
      </c>
      <c r="N89" s="145"/>
    </row>
    <row r="90" spans="2:14" s="151" customFormat="1" x14ac:dyDescent="0.25">
      <c r="C90" s="151" t="s">
        <v>348</v>
      </c>
      <c r="D90" s="151" t="s">
        <v>1059</v>
      </c>
      <c r="E90" s="151" t="s">
        <v>550</v>
      </c>
      <c r="F90" s="357" t="s">
        <v>547</v>
      </c>
      <c r="G90" s="356" t="s">
        <v>557</v>
      </c>
      <c r="H90" s="358">
        <v>13.8</v>
      </c>
      <c r="I90" s="358">
        <v>0</v>
      </c>
      <c r="J90" s="150" t="s">
        <v>1061</v>
      </c>
      <c r="K90" s="358">
        <v>3.3</v>
      </c>
      <c r="L90" s="358">
        <v>0</v>
      </c>
      <c r="M90" s="150" t="s">
        <v>1061</v>
      </c>
      <c r="N90" s="145"/>
    </row>
    <row r="91" spans="2:14" s="151" customFormat="1" x14ac:dyDescent="0.25">
      <c r="C91" s="151" t="s">
        <v>348</v>
      </c>
      <c r="D91" s="151" t="s">
        <v>1059</v>
      </c>
      <c r="E91" s="151" t="s">
        <v>550</v>
      </c>
      <c r="F91" s="357" t="s">
        <v>556</v>
      </c>
      <c r="G91" s="356" t="s">
        <v>553</v>
      </c>
      <c r="H91" s="360">
        <v>13.4</v>
      </c>
      <c r="I91" s="360">
        <v>0</v>
      </c>
      <c r="J91" s="150" t="s">
        <v>1061</v>
      </c>
      <c r="K91" s="358">
        <v>3.1</v>
      </c>
      <c r="L91" s="358">
        <v>0</v>
      </c>
      <c r="M91" s="150" t="s">
        <v>1061</v>
      </c>
      <c r="N91" s="145"/>
    </row>
    <row r="92" spans="2:14" s="151" customFormat="1" x14ac:dyDescent="0.25">
      <c r="C92" s="151" t="s">
        <v>348</v>
      </c>
      <c r="D92" s="151" t="s">
        <v>1059</v>
      </c>
      <c r="E92" s="151" t="s">
        <v>550</v>
      </c>
      <c r="F92" s="357" t="s">
        <v>556</v>
      </c>
      <c r="G92" s="356" t="s">
        <v>557</v>
      </c>
      <c r="H92" s="358">
        <v>11</v>
      </c>
      <c r="I92" s="358">
        <v>0</v>
      </c>
      <c r="J92" s="150" t="s">
        <v>1061</v>
      </c>
      <c r="K92" s="358">
        <v>2.8</v>
      </c>
      <c r="L92" s="358">
        <v>0</v>
      </c>
      <c r="M92" s="150" t="s">
        <v>1061</v>
      </c>
      <c r="N92" s="145"/>
    </row>
    <row r="93" spans="2:14" s="151" customFormat="1" x14ac:dyDescent="0.25">
      <c r="B93" s="145" t="s">
        <v>245</v>
      </c>
      <c r="N93" s="145"/>
    </row>
    <row r="94" spans="2:14" s="151" customFormat="1" x14ac:dyDescent="0.25">
      <c r="N94" s="145"/>
    </row>
  </sheetData>
  <phoneticPr fontId="32" type="noConversion"/>
  <conditionalFormatting sqref="K30:L76 K81:L92 H30:I80">
    <cfRule type="cellIs" dxfId="4" priority="5" operator="equal">
      <formula>0</formula>
    </cfRule>
  </conditionalFormatting>
  <conditionalFormatting sqref="K77:L80">
    <cfRule type="cellIs" dxfId="3" priority="4" operator="equal">
      <formula>0</formula>
    </cfRule>
  </conditionalFormatting>
  <conditionalFormatting sqref="H81:I84">
    <cfRule type="cellIs" dxfId="2" priority="3" operator="equal">
      <formula>0</formula>
    </cfRule>
  </conditionalFormatting>
  <conditionalFormatting sqref="H85:I88">
    <cfRule type="cellIs" dxfId="1" priority="2" operator="equal">
      <formula>0</formula>
    </cfRule>
  </conditionalFormatting>
  <conditionalFormatting sqref="H89:I9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2021-12-01T16:01:13Z</dcterms:modified>
</cp:coreProperties>
</file>