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360 Local\_CBECC Com MFamRestructure\Documentation\T24N\"/>
    </mc:Choice>
  </mc:AlternateContent>
  <xr:revisionPtr revIDLastSave="0" documentId="13_ncr:1_{7505E994-8FCF-4F41-886B-31EDF8A6C20E}" xr6:coauthVersionLast="47" xr6:coauthVersionMax="47" xr10:uidLastSave="{00000000-0000-0000-0000-000000000000}"/>
  <bookViews>
    <workbookView xWindow="12420" yWindow="570" windowWidth="27585" windowHeight="20070" tabRatio="894" activeTab="1" xr2:uid="{00000000-000D-0000-FFFF-FFFF00000000}"/>
  </bookViews>
  <sheets>
    <sheet name="Key" sheetId="25" r:id="rId1"/>
    <sheet name="2013StandardTableList" sheetId="1" r:id="rId2"/>
    <sheet name="LtgInputRestrictions_T24N_2013" sheetId="43" state="hidden" r:id="rId3"/>
    <sheet name="LtgInputRestrictions_T24N_2016" sheetId="45" state="hidden" r:id="rId4"/>
    <sheet name="LtgInputRestrictions_T24N_2019" sheetId="51" state="hidden" r:id="rId5"/>
    <sheet name="LtgInputRestrictions_T24N_2022" sheetId="57" r:id="rId6"/>
    <sheet name="LtgInputRestrictions_Alt" sheetId="58" r:id="rId7"/>
    <sheet name="LtgInputRestrictions_S901G" sheetId="44" r:id="rId8"/>
    <sheet name="PAFs_T24N_2013" sheetId="26" state="hidden" r:id="rId9"/>
    <sheet name="PAFs_T24N_2016" sheetId="46" state="hidden" r:id="rId10"/>
    <sheet name="PAFs_T24N_2019" sheetId="52" state="hidden" r:id="rId11"/>
    <sheet name="PAFs_T24N_2022" sheetId="59" r:id="rId12"/>
    <sheet name="PAFs_S901G" sheetId="42" r:id="rId13"/>
    <sheet name="AreaCategoryLPA" sheetId="27" r:id="rId14"/>
    <sheet name="TailoredMethodLPA_T24N_2013" sheetId="28" state="hidden" r:id="rId15"/>
    <sheet name="TailoredMethodLPA_T24N_2016" sheetId="49" state="hidden" r:id="rId16"/>
    <sheet name="TailoredMethodLPA_T24N_2019" sheetId="50" state="hidden" r:id="rId17"/>
    <sheet name="TailoredMethodLPA_T24_2022" sheetId="60" r:id="rId18"/>
    <sheet name="IlluminanceLevelLPD_T24N_2013" sheetId="29" state="hidden" r:id="rId19"/>
    <sheet name="IlluminanceLevelLPD_T24N_2016" sheetId="47" state="hidden" r:id="rId20"/>
    <sheet name="IlluminanceLevelLPD_T24N_2019" sheetId="54" state="hidden" r:id="rId21"/>
    <sheet name="IlluminanceLevelLPD_T24N_2022" sheetId="61" r:id="rId22"/>
    <sheet name="LightHeatGainDistribution" sheetId="34" r:id="rId23"/>
    <sheet name="DayltCtrlParms" sheetId="36" r:id="rId24"/>
    <sheet name="FenConsInputReqs_T24N" sheetId="35" r:id="rId25"/>
    <sheet name="FenConsInputReqs_S901G" sheetId="37" r:id="rId26"/>
    <sheet name="DefaultFenUFactors_T24N" sheetId="4" r:id="rId27"/>
    <sheet name="DefaultFenestrationSHGC_T24N" sheetId="30" r:id="rId28"/>
    <sheet name="DefaultVertFenPerf_S901G" sheetId="39" r:id="rId29"/>
    <sheet name="DefaultSkyltUFactors_S901G" sheetId="40" r:id="rId30"/>
    <sheet name="DefaultSkyltSHGC_S901G" sheetId="41" r:id="rId31"/>
    <sheet name="BaseVerticalFenPerf_T24N" sheetId="6" r:id="rId32"/>
    <sheet name="BaseVerticalFenPerf_T24N_2022" sheetId="62" r:id="rId33"/>
    <sheet name="BaseSkylightPerf_T24N" sheetId="10" r:id="rId34"/>
    <sheet name="BaselineFenPerf_S901G" sheetId="38" r:id="rId35"/>
    <sheet name="NA6FenestrationUFactorCoeff" sheetId="31" r:id="rId36"/>
    <sheet name="NA6FenestrationVTf_T24N" sheetId="32" r:id="rId37"/>
    <sheet name="AltFenPerformance" sheetId="33" r:id="rId38"/>
    <sheet name="BaseOpaqueEnvEffRValue" sheetId="3" r:id="rId39"/>
    <sheet name="UnitaryAC-HPMinEffReq_T24N_2016" sheetId="55" r:id="rId40"/>
    <sheet name="UnitaryAC-HPMinEffReq_T24N" sheetId="56" r:id="rId41"/>
    <sheet name="UnitaryAC-HPMinEffReq_Old" sheetId="7" state="hidden" r:id="rId42"/>
    <sheet name="ChillerMinEffReq" sheetId="19" r:id="rId43"/>
    <sheet name="Sheet3" sheetId="9" r:id="rId44"/>
  </sheets>
  <externalReferences>
    <externalReference r:id="rId45"/>
    <externalReference r:id="rId46"/>
  </externalReferences>
  <definedNames>
    <definedName name="_xlnm._FilterDatabase" localSheetId="6" hidden="1">LtgInputRestrictions_Alt!$A$7:$B$7</definedName>
    <definedName name="_xlnm._FilterDatabase" localSheetId="4" hidden="1">LtgInputRestrictions_T24N_2019!$A$25:$V$110</definedName>
    <definedName name="_xlnm._FilterDatabase" localSheetId="5" hidden="1">LtgInputRestrictions_T24N_2022!$A$25:$V$106</definedName>
    <definedName name="CFM" localSheetId="6">#REF!</definedName>
    <definedName name="CFM" localSheetId="17">#REF!</definedName>
    <definedName name="CFM">#REF!</definedName>
    <definedName name="CPD" localSheetId="6">#REF!</definedName>
    <definedName name="CPD" localSheetId="17">#REF!</definedName>
    <definedName name="CPD">#REF!</definedName>
    <definedName name="ECB" localSheetId="6">#REF!</definedName>
    <definedName name="ECB" localSheetId="17">#REF!</definedName>
    <definedName name="ECB">#REF!</definedName>
    <definedName name="ECBasic" localSheetId="6">#REF!</definedName>
    <definedName name="ECBasic" localSheetId="17">#REF!</definedName>
    <definedName name="ECBasic">#REF!</definedName>
    <definedName name="GAS" localSheetId="6">#REF!</definedName>
    <definedName name="GAS" localSheetId="17">#REF!</definedName>
    <definedName name="GAS">#REF!</definedName>
    <definedName name="NACM" localSheetId="6">#REF!</definedName>
    <definedName name="NACM" localSheetId="17">#REF!</definedName>
    <definedName name="NACM">#REF!</definedName>
    <definedName name="NACMWB" localSheetId="6">#REF!</definedName>
    <definedName name="NACMWB" localSheetId="17">#REF!</definedName>
    <definedName name="NACMWB">#REF!</definedName>
    <definedName name="NREL" localSheetId="6">#REF!</definedName>
    <definedName name="NREL" localSheetId="17">#REF!</definedName>
    <definedName name="NREL">#REF!</definedName>
    <definedName name="NRELPBA" localSheetId="6">#REF!</definedName>
    <definedName name="NRELPBA" localSheetId="17">#REF!</definedName>
    <definedName name="NRELPBA">#REF!</definedName>
    <definedName name="NRELWB" localSheetId="6">#REF!</definedName>
    <definedName name="NRELWB" localSheetId="17">#REF!</definedName>
    <definedName name="NRELWB">#REF!</definedName>
    <definedName name="PBAPLUS" localSheetId="6">#REF!</definedName>
    <definedName name="PBAPLUS" localSheetId="17">#REF!</definedName>
    <definedName name="PBAPLUS">#REF!</definedName>
    <definedName name="SDF" localSheetId="6">#REF!</definedName>
    <definedName name="SDF" localSheetId="17">#REF!</definedName>
    <definedName name="SDF">#REF!</definedName>
    <definedName name="Status" localSheetId="40">[1]Key!$B$4:$B$9</definedName>
    <definedName name="Status" localSheetId="39">[1]Key!$B$4:$B$9</definedName>
    <definedName name="Status">Key!$B$4:$B$9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2" i="62" l="1"/>
  <c r="D33" i="62" s="1"/>
  <c r="D34" i="62" s="1"/>
  <c r="D35" i="62" s="1"/>
  <c r="D36" i="62" s="1"/>
  <c r="D37" i="62" s="1"/>
  <c r="D38" i="62" s="1"/>
  <c r="D39" i="62" s="1"/>
  <c r="D40" i="62" s="1"/>
  <c r="D41" i="62" s="1"/>
  <c r="D42" i="62" s="1"/>
  <c r="D43" i="62" s="1"/>
  <c r="D44" i="62" s="1"/>
  <c r="D45" i="62" s="1"/>
  <c r="D46" i="62" s="1"/>
  <c r="C26" i="60"/>
  <c r="L26" i="60" s="1"/>
  <c r="C27" i="60"/>
  <c r="L27" i="60" s="1"/>
  <c r="C28" i="60"/>
  <c r="L28" i="60" s="1"/>
  <c r="C29" i="60"/>
  <c r="L29" i="60" s="1"/>
  <c r="C30" i="60"/>
  <c r="L30" i="60" s="1"/>
  <c r="C31" i="60"/>
  <c r="L31" i="60" s="1"/>
  <c r="C32" i="60"/>
  <c r="L32" i="60" s="1"/>
  <c r="C33" i="60"/>
  <c r="L33" i="60" s="1"/>
  <c r="C34" i="60"/>
  <c r="L34" i="60" s="1"/>
  <c r="C35" i="60"/>
  <c r="L35" i="60" s="1"/>
  <c r="C36" i="60"/>
  <c r="L36" i="60" s="1"/>
  <c r="C37" i="60"/>
  <c r="L37" i="60" s="1"/>
  <c r="C38" i="60"/>
  <c r="L38" i="60" s="1"/>
  <c r="C39" i="60"/>
  <c r="L39" i="60"/>
  <c r="C40" i="60"/>
  <c r="L40" i="60" s="1"/>
  <c r="C41" i="60"/>
  <c r="L41" i="60" s="1"/>
  <c r="C42" i="60"/>
  <c r="L42" i="60" s="1"/>
  <c r="C43" i="60"/>
  <c r="L43" i="60" s="1"/>
  <c r="C44" i="60"/>
  <c r="L44" i="60" s="1"/>
  <c r="C45" i="60"/>
  <c r="L45" i="60" s="1"/>
  <c r="C46" i="60"/>
  <c r="L46" i="60" s="1"/>
  <c r="C47" i="60"/>
  <c r="L47" i="60" s="1"/>
  <c r="C48" i="60"/>
  <c r="L48" i="60" s="1"/>
  <c r="C49" i="60"/>
  <c r="L49" i="60" s="1"/>
  <c r="C50" i="60"/>
  <c r="L50" i="60" s="1"/>
  <c r="C51" i="60"/>
  <c r="L51" i="60" s="1"/>
  <c r="C52" i="60"/>
  <c r="L52" i="60" s="1"/>
  <c r="C53" i="60"/>
  <c r="L53" i="60" s="1"/>
  <c r="C54" i="60"/>
  <c r="L54" i="60" s="1"/>
  <c r="C55" i="60"/>
  <c r="L55" i="60" s="1"/>
  <c r="C56" i="60"/>
  <c r="L56" i="60" s="1"/>
  <c r="C57" i="60"/>
  <c r="L57" i="60" s="1"/>
  <c r="C58" i="60"/>
  <c r="L58" i="60" s="1"/>
  <c r="C59" i="60"/>
  <c r="L59" i="60" s="1"/>
  <c r="C60" i="60"/>
  <c r="L60" i="60" s="1"/>
  <c r="C61" i="60"/>
  <c r="L61" i="60" s="1"/>
  <c r="C62" i="60"/>
  <c r="L62" i="60" s="1"/>
  <c r="C63" i="60"/>
  <c r="L63" i="60" s="1"/>
  <c r="C64" i="60"/>
  <c r="L64" i="60" s="1"/>
  <c r="C65" i="60"/>
  <c r="L65" i="60" s="1"/>
  <c r="C66" i="60"/>
  <c r="L66" i="60" s="1"/>
  <c r="C67" i="60"/>
  <c r="L67" i="60" s="1"/>
  <c r="C68" i="60"/>
  <c r="L68" i="60" s="1"/>
  <c r="C69" i="60"/>
  <c r="L69" i="60" s="1"/>
  <c r="C70" i="60"/>
  <c r="L70" i="60" s="1"/>
  <c r="C71" i="60"/>
  <c r="L71" i="60" s="1"/>
  <c r="C72" i="60"/>
  <c r="L72" i="60" s="1"/>
  <c r="C73" i="60"/>
  <c r="L73" i="60" s="1"/>
  <c r="C74" i="60"/>
  <c r="L74" i="60" s="1"/>
  <c r="C75" i="60"/>
  <c r="L75" i="60" s="1"/>
  <c r="C76" i="60"/>
  <c r="L76" i="60" s="1"/>
  <c r="C77" i="60"/>
  <c r="L77" i="60" s="1"/>
  <c r="C78" i="60"/>
  <c r="L78" i="60" s="1"/>
  <c r="C79" i="60"/>
  <c r="L79" i="60"/>
  <c r="C80" i="60"/>
  <c r="L80" i="60" s="1"/>
  <c r="C81" i="60"/>
  <c r="L81" i="60" s="1"/>
  <c r="C82" i="60"/>
  <c r="L82" i="60" s="1"/>
  <c r="C83" i="60"/>
  <c r="L83" i="60" s="1"/>
  <c r="C84" i="60"/>
  <c r="L84" i="60" s="1"/>
  <c r="C85" i="60"/>
  <c r="L85" i="60" s="1"/>
  <c r="C86" i="60"/>
  <c r="L86" i="60" s="1"/>
  <c r="C87" i="60"/>
  <c r="L87" i="60" s="1"/>
  <c r="C88" i="60"/>
  <c r="L88" i="60" s="1"/>
  <c r="C89" i="60"/>
  <c r="L89" i="60" s="1"/>
  <c r="C90" i="60"/>
  <c r="L90" i="60" s="1"/>
  <c r="C91" i="60"/>
  <c r="L91" i="60" s="1"/>
  <c r="C92" i="60"/>
  <c r="L92" i="60" s="1"/>
  <c r="C93" i="60"/>
  <c r="L93" i="60" s="1"/>
  <c r="C94" i="60"/>
  <c r="L94" i="60" s="1"/>
  <c r="C95" i="60"/>
  <c r="L95" i="60" s="1"/>
  <c r="C96" i="60"/>
  <c r="L96" i="60" s="1"/>
  <c r="C97" i="60"/>
  <c r="L97" i="60" s="1"/>
  <c r="C98" i="60"/>
  <c r="L98" i="60" s="1"/>
  <c r="C99" i="60"/>
  <c r="L99" i="60" s="1"/>
  <c r="C100" i="60"/>
  <c r="L100" i="60" s="1"/>
  <c r="C101" i="60"/>
  <c r="L101" i="60" s="1"/>
  <c r="C102" i="60"/>
  <c r="L102" i="60" s="1"/>
  <c r="C103" i="60"/>
  <c r="L103" i="60"/>
  <c r="C104" i="60"/>
  <c r="L104" i="60" s="1"/>
  <c r="C105" i="60"/>
  <c r="L105" i="60" s="1"/>
  <c r="D310" i="58" l="1"/>
  <c r="C224" i="58"/>
  <c r="A224" i="58"/>
  <c r="E224" i="58" s="1"/>
  <c r="D223" i="58"/>
  <c r="C223" i="58"/>
  <c r="A223" i="58"/>
  <c r="E223" i="58" s="1"/>
  <c r="E222" i="58"/>
  <c r="C222" i="58"/>
  <c r="E221" i="58"/>
  <c r="C221" i="58"/>
  <c r="E220" i="58"/>
  <c r="C220" i="58"/>
  <c r="E219" i="58"/>
  <c r="C219" i="58"/>
  <c r="E218" i="58"/>
  <c r="C218" i="58"/>
  <c r="E217" i="58"/>
  <c r="C217" i="58"/>
  <c r="E216" i="58"/>
  <c r="C216" i="58"/>
  <c r="E215" i="58"/>
  <c r="C215" i="58"/>
  <c r="E214" i="58"/>
  <c r="C214" i="58"/>
  <c r="E213" i="58"/>
  <c r="C213" i="58"/>
  <c r="E212" i="58"/>
  <c r="C212" i="58"/>
  <c r="E211" i="58"/>
  <c r="C211" i="58"/>
  <c r="E210" i="58"/>
  <c r="C210" i="58"/>
  <c r="E209" i="58"/>
  <c r="C209" i="58"/>
  <c r="E208" i="58"/>
  <c r="C208" i="58"/>
  <c r="E207" i="58"/>
  <c r="C207" i="58"/>
  <c r="E206" i="58"/>
  <c r="C206" i="58"/>
  <c r="E205" i="58"/>
  <c r="C205" i="58"/>
  <c r="E204" i="58"/>
  <c r="C204" i="58"/>
  <c r="E203" i="58"/>
  <c r="C203" i="58"/>
  <c r="E202" i="58"/>
  <c r="C202" i="58"/>
  <c r="E201" i="58"/>
  <c r="C201" i="58"/>
  <c r="E200" i="58"/>
  <c r="C200" i="58"/>
  <c r="E199" i="58"/>
  <c r="C199" i="58"/>
  <c r="E198" i="58"/>
  <c r="C198" i="58"/>
  <c r="E197" i="58"/>
  <c r="C197" i="58"/>
  <c r="E196" i="58"/>
  <c r="C196" i="58"/>
  <c r="E195" i="58"/>
  <c r="C195" i="58"/>
  <c r="E194" i="58"/>
  <c r="C194" i="58"/>
  <c r="E193" i="58"/>
  <c r="C193" i="58"/>
  <c r="E192" i="58"/>
  <c r="C192" i="58"/>
  <c r="E191" i="58"/>
  <c r="C191" i="58"/>
  <c r="E190" i="58"/>
  <c r="C190" i="58"/>
  <c r="E189" i="58"/>
  <c r="C189" i="58"/>
  <c r="E188" i="58"/>
  <c r="C188" i="58"/>
  <c r="E187" i="58"/>
  <c r="C187" i="58"/>
  <c r="E186" i="58"/>
  <c r="C186" i="58"/>
  <c r="E185" i="58"/>
  <c r="C185" i="58"/>
  <c r="E184" i="58"/>
  <c r="D184" i="58"/>
  <c r="F184" i="58" s="1"/>
  <c r="C184" i="58"/>
  <c r="E183" i="58"/>
  <c r="C183" i="58"/>
  <c r="E182" i="58"/>
  <c r="C182" i="58"/>
  <c r="E181" i="58"/>
  <c r="C181" i="58"/>
  <c r="E180" i="58"/>
  <c r="C180" i="58"/>
  <c r="E179" i="58"/>
  <c r="D179" i="58"/>
  <c r="C179" i="58"/>
  <c r="E178" i="58"/>
  <c r="C178" i="58"/>
  <c r="E177" i="58"/>
  <c r="C177" i="58"/>
  <c r="E176" i="58"/>
  <c r="C176" i="58"/>
  <c r="E175" i="58"/>
  <c r="C175" i="58"/>
  <c r="E174" i="58"/>
  <c r="C174" i="58"/>
  <c r="E173" i="58"/>
  <c r="C173" i="58"/>
  <c r="E172" i="58"/>
  <c r="C172" i="58"/>
  <c r="E171" i="58"/>
  <c r="C171" i="58"/>
  <c r="E170" i="58"/>
  <c r="C170" i="58"/>
  <c r="E169" i="58"/>
  <c r="D169" i="58"/>
  <c r="C169" i="58"/>
  <c r="E168" i="58"/>
  <c r="C168" i="58"/>
  <c r="E167" i="58"/>
  <c r="C167" i="58"/>
  <c r="E166" i="58"/>
  <c r="C166" i="58"/>
  <c r="E165" i="58"/>
  <c r="C165" i="58"/>
  <c r="E164" i="58"/>
  <c r="C164" i="58"/>
  <c r="E163" i="58"/>
  <c r="C163" i="58"/>
  <c r="E162" i="58"/>
  <c r="C162" i="58"/>
  <c r="E161" i="58"/>
  <c r="C161" i="58"/>
  <c r="E160" i="58"/>
  <c r="C160" i="58"/>
  <c r="E159" i="58"/>
  <c r="C159" i="58"/>
  <c r="E158" i="58"/>
  <c r="C158" i="58"/>
  <c r="E157" i="58"/>
  <c r="C157" i="58"/>
  <c r="E156" i="58"/>
  <c r="C156" i="58"/>
  <c r="E155" i="58"/>
  <c r="C155" i="58"/>
  <c r="E154" i="58"/>
  <c r="C154" i="58"/>
  <c r="E153" i="58"/>
  <c r="C153" i="58"/>
  <c r="E152" i="58"/>
  <c r="C152" i="58"/>
  <c r="E151" i="58"/>
  <c r="C151" i="58"/>
  <c r="E150" i="58"/>
  <c r="C150" i="58"/>
  <c r="E149" i="58"/>
  <c r="C149" i="58"/>
  <c r="E148" i="58"/>
  <c r="C148" i="58"/>
  <c r="E147" i="58"/>
  <c r="C147" i="58"/>
  <c r="E146" i="58"/>
  <c r="C146" i="58"/>
  <c r="E145" i="58"/>
  <c r="D145" i="58"/>
  <c r="C145" i="58"/>
  <c r="E144" i="58"/>
  <c r="C144" i="58"/>
  <c r="E143" i="58"/>
  <c r="C143" i="58"/>
  <c r="E142" i="58"/>
  <c r="C142" i="58"/>
  <c r="E141" i="58"/>
  <c r="C141" i="58"/>
  <c r="E140" i="58"/>
  <c r="C140" i="58"/>
  <c r="E139" i="58"/>
  <c r="C139" i="58"/>
  <c r="E138" i="58"/>
  <c r="C138" i="58"/>
  <c r="E137" i="58"/>
  <c r="C137" i="58"/>
  <c r="E136" i="58"/>
  <c r="D136" i="58"/>
  <c r="F136" i="58" s="1"/>
  <c r="C136" i="58"/>
  <c r="E135" i="58"/>
  <c r="C135" i="58"/>
  <c r="E134" i="58"/>
  <c r="C134" i="58"/>
  <c r="E133" i="58"/>
  <c r="C133" i="58"/>
  <c r="E132" i="58"/>
  <c r="C132" i="58"/>
  <c r="E131" i="58"/>
  <c r="C131" i="58"/>
  <c r="E130" i="58"/>
  <c r="C130" i="58"/>
  <c r="E129" i="58"/>
  <c r="C129" i="58"/>
  <c r="E128" i="58"/>
  <c r="C128" i="58"/>
  <c r="E127" i="58"/>
  <c r="C127" i="58"/>
  <c r="E126" i="58"/>
  <c r="C126" i="58"/>
  <c r="E125" i="58"/>
  <c r="C125" i="58"/>
  <c r="E124" i="58"/>
  <c r="C124" i="58"/>
  <c r="E123" i="58"/>
  <c r="C123" i="58"/>
  <c r="E122" i="58"/>
  <c r="C122" i="58"/>
  <c r="E121" i="58"/>
  <c r="C121" i="58"/>
  <c r="E120" i="58"/>
  <c r="C120" i="58"/>
  <c r="E119" i="58"/>
  <c r="C119" i="58"/>
  <c r="E118" i="58"/>
  <c r="C118" i="58"/>
  <c r="E117" i="58"/>
  <c r="C117" i="58"/>
  <c r="E116" i="58"/>
  <c r="C116" i="58"/>
  <c r="E115" i="58"/>
  <c r="C115" i="58"/>
  <c r="E114" i="58"/>
  <c r="C114" i="58"/>
  <c r="E113" i="58"/>
  <c r="D113" i="58"/>
  <c r="C113" i="58"/>
  <c r="E112" i="58"/>
  <c r="C112" i="58"/>
  <c r="E111" i="58"/>
  <c r="C111" i="58"/>
  <c r="E110" i="58"/>
  <c r="C110" i="58"/>
  <c r="E109" i="58"/>
  <c r="C109" i="58"/>
  <c r="E108" i="58"/>
  <c r="C108" i="58"/>
  <c r="E107" i="58"/>
  <c r="C107" i="58"/>
  <c r="E106" i="58"/>
  <c r="C106" i="58"/>
  <c r="E105" i="58"/>
  <c r="C105" i="58"/>
  <c r="E104" i="58"/>
  <c r="D104" i="58"/>
  <c r="F104" i="58" s="1"/>
  <c r="C104" i="58"/>
  <c r="E103" i="58"/>
  <c r="C103" i="58"/>
  <c r="E102" i="58"/>
  <c r="C102" i="58"/>
  <c r="E101" i="58"/>
  <c r="C101" i="58"/>
  <c r="E100" i="58"/>
  <c r="C100" i="58"/>
  <c r="E99" i="58"/>
  <c r="C99" i="58"/>
  <c r="E98" i="58"/>
  <c r="C98" i="58"/>
  <c r="E97" i="58"/>
  <c r="C97" i="58"/>
  <c r="E96" i="58"/>
  <c r="C96" i="58"/>
  <c r="E95" i="58"/>
  <c r="C95" i="58"/>
  <c r="E94" i="58"/>
  <c r="C94" i="58"/>
  <c r="E93" i="58"/>
  <c r="C93" i="58"/>
  <c r="E92" i="58"/>
  <c r="C92" i="58"/>
  <c r="E91" i="58"/>
  <c r="C91" i="58"/>
  <c r="E90" i="58"/>
  <c r="C90" i="58"/>
  <c r="E89" i="58"/>
  <c r="C89" i="58"/>
  <c r="E88" i="58"/>
  <c r="C88" i="58"/>
  <c r="E87" i="58"/>
  <c r="C87" i="58"/>
  <c r="E86" i="58"/>
  <c r="C86" i="58"/>
  <c r="E85" i="58"/>
  <c r="C85" i="58"/>
  <c r="E84" i="58"/>
  <c r="C84" i="58"/>
  <c r="E83" i="58"/>
  <c r="C83" i="58"/>
  <c r="E82" i="58"/>
  <c r="C82" i="58"/>
  <c r="E81" i="58"/>
  <c r="D81" i="58"/>
  <c r="C81" i="58"/>
  <c r="E80" i="58"/>
  <c r="C80" i="58"/>
  <c r="E79" i="58"/>
  <c r="C79" i="58"/>
  <c r="E78" i="58"/>
  <c r="C78" i="58"/>
  <c r="E77" i="58"/>
  <c r="C77" i="58"/>
  <c r="E76" i="58"/>
  <c r="C76" i="58"/>
  <c r="E75" i="58"/>
  <c r="C75" i="58"/>
  <c r="E74" i="58"/>
  <c r="C74" i="58"/>
  <c r="E73" i="58"/>
  <c r="C73" i="58"/>
  <c r="E72" i="58"/>
  <c r="D72" i="58"/>
  <c r="C72" i="58"/>
  <c r="E71" i="58"/>
  <c r="C71" i="58"/>
  <c r="E70" i="58"/>
  <c r="C70" i="58"/>
  <c r="E69" i="58"/>
  <c r="C69" i="58"/>
  <c r="E68" i="58"/>
  <c r="C68" i="58"/>
  <c r="E67" i="58"/>
  <c r="C67" i="58"/>
  <c r="E66" i="58"/>
  <c r="C66" i="58"/>
  <c r="E65" i="58"/>
  <c r="C65" i="58"/>
  <c r="E64" i="58"/>
  <c r="C64" i="58"/>
  <c r="E63" i="58"/>
  <c r="C63" i="58"/>
  <c r="E62" i="58"/>
  <c r="C62" i="58"/>
  <c r="E61" i="58"/>
  <c r="C61" i="58"/>
  <c r="E60" i="58"/>
  <c r="C60" i="58"/>
  <c r="E59" i="58"/>
  <c r="C59" i="58"/>
  <c r="E58" i="58"/>
  <c r="C58" i="58"/>
  <c r="E57" i="58"/>
  <c r="C57" i="58"/>
  <c r="E56" i="58"/>
  <c r="C56" i="58"/>
  <c r="E55" i="58"/>
  <c r="C55" i="58"/>
  <c r="E54" i="58"/>
  <c r="C54" i="58"/>
  <c r="E53" i="58"/>
  <c r="C53" i="58"/>
  <c r="E52" i="58"/>
  <c r="C52" i="58"/>
  <c r="E51" i="58"/>
  <c r="C51" i="58"/>
  <c r="E50" i="58"/>
  <c r="C50" i="58"/>
  <c r="E49" i="58"/>
  <c r="C49" i="58"/>
  <c r="E48" i="58"/>
  <c r="C48" i="58"/>
  <c r="E47" i="58"/>
  <c r="C47" i="58"/>
  <c r="E46" i="58"/>
  <c r="C46" i="58"/>
  <c r="E45" i="58"/>
  <c r="C45" i="58"/>
  <c r="E44" i="58"/>
  <c r="C44" i="58"/>
  <c r="E43" i="58"/>
  <c r="C43" i="58"/>
  <c r="E42" i="58"/>
  <c r="C42" i="58"/>
  <c r="E41" i="58"/>
  <c r="C41" i="58"/>
  <c r="E40" i="58"/>
  <c r="D40" i="58"/>
  <c r="F40" i="58" s="1"/>
  <c r="C40" i="58"/>
  <c r="E39" i="58"/>
  <c r="C39" i="58"/>
  <c r="E38" i="58"/>
  <c r="C38" i="58"/>
  <c r="E37" i="58"/>
  <c r="C37" i="58"/>
  <c r="E36" i="58"/>
  <c r="C36" i="58"/>
  <c r="E35" i="58"/>
  <c r="C35" i="58"/>
  <c r="E34" i="58"/>
  <c r="C34" i="58"/>
  <c r="E33" i="58"/>
  <c r="C33" i="58"/>
  <c r="E32" i="58"/>
  <c r="C32" i="58"/>
  <c r="E31" i="58"/>
  <c r="C31" i="58"/>
  <c r="E30" i="58"/>
  <c r="C30" i="58"/>
  <c r="E29" i="58"/>
  <c r="C29" i="58"/>
  <c r="E28" i="58"/>
  <c r="D28" i="58"/>
  <c r="F28" i="58" s="1"/>
  <c r="C28" i="58"/>
  <c r="E27" i="58"/>
  <c r="C27" i="58"/>
  <c r="E26" i="58"/>
  <c r="C26" i="58"/>
  <c r="E25" i="58"/>
  <c r="C25" i="58"/>
  <c r="E24" i="58"/>
  <c r="D24" i="58"/>
  <c r="C24" i="58"/>
  <c r="E23" i="58"/>
  <c r="C23" i="58"/>
  <c r="E22" i="58"/>
  <c r="C22" i="58"/>
  <c r="E21" i="58"/>
  <c r="C21" i="58"/>
  <c r="E20" i="58"/>
  <c r="C20" i="58"/>
  <c r="E19" i="58"/>
  <c r="C19" i="58"/>
  <c r="E18" i="58"/>
  <c r="C18" i="58"/>
  <c r="E17" i="58"/>
  <c r="C17" i="58"/>
  <c r="E16" i="58"/>
  <c r="C16" i="58"/>
  <c r="E15" i="58"/>
  <c r="C15" i="58"/>
  <c r="E14" i="58"/>
  <c r="D14" i="58"/>
  <c r="F14" i="58" s="1"/>
  <c r="C14" i="58"/>
  <c r="E13" i="58"/>
  <c r="D13" i="58"/>
  <c r="C13" i="58"/>
  <c r="E12" i="58"/>
  <c r="C12" i="58"/>
  <c r="E11" i="58"/>
  <c r="C11" i="58"/>
  <c r="M10" i="58"/>
  <c r="M11" i="58" s="1"/>
  <c r="E10" i="58"/>
  <c r="D10" i="58"/>
  <c r="C10" i="58"/>
  <c r="E9" i="58"/>
  <c r="C9" i="58"/>
  <c r="L8" i="58"/>
  <c r="D219" i="58" s="1"/>
  <c r="E8" i="58"/>
  <c r="D8" i="58"/>
  <c r="F8" i="58" s="1"/>
  <c r="C8" i="58"/>
  <c r="I3" i="58"/>
  <c r="AC60" i="57"/>
  <c r="AC99" i="57"/>
  <c r="W41" i="57"/>
  <c r="X41" i="57" s="1"/>
  <c r="Y41" i="57" s="1"/>
  <c r="AB41" i="57" s="1"/>
  <c r="W42" i="57"/>
  <c r="X42" i="57" s="1"/>
  <c r="Y42" i="57" s="1"/>
  <c r="AB42" i="57" s="1"/>
  <c r="W43" i="57"/>
  <c r="X43" i="57" s="1"/>
  <c r="Y43" i="57" s="1"/>
  <c r="AB43" i="57" s="1"/>
  <c r="W44" i="57"/>
  <c r="X44" i="57" s="1"/>
  <c r="Y44" i="57" s="1"/>
  <c r="AB44" i="57" s="1"/>
  <c r="W45" i="57"/>
  <c r="X45" i="57" s="1"/>
  <c r="Y45" i="57" s="1"/>
  <c r="AB45" i="57" s="1"/>
  <c r="W46" i="57"/>
  <c r="X46" i="57" s="1"/>
  <c r="Y46" i="57" s="1"/>
  <c r="AB46" i="57" s="1"/>
  <c r="W47" i="57"/>
  <c r="X47" i="57" s="1"/>
  <c r="Y47" i="57" s="1"/>
  <c r="AB47" i="57" s="1"/>
  <c r="W48" i="57"/>
  <c r="X48" i="57" s="1"/>
  <c r="Y48" i="57" s="1"/>
  <c r="AB48" i="57" s="1"/>
  <c r="W49" i="57"/>
  <c r="X49" i="57" s="1"/>
  <c r="Y49" i="57" s="1"/>
  <c r="AB49" i="57" s="1"/>
  <c r="W50" i="57"/>
  <c r="X50" i="57" s="1"/>
  <c r="Y50" i="57" s="1"/>
  <c r="AB50" i="57" s="1"/>
  <c r="W51" i="57"/>
  <c r="X51" i="57" s="1"/>
  <c r="Y51" i="57" s="1"/>
  <c r="AB51" i="57" s="1"/>
  <c r="W52" i="57"/>
  <c r="X52" i="57" s="1"/>
  <c r="Y52" i="57" s="1"/>
  <c r="AB52" i="57" s="1"/>
  <c r="W53" i="57"/>
  <c r="X53" i="57" s="1"/>
  <c r="Y53" i="57" s="1"/>
  <c r="AB53" i="57" s="1"/>
  <c r="W54" i="57"/>
  <c r="X54" i="57" s="1"/>
  <c r="Y54" i="57" s="1"/>
  <c r="AB54" i="57" s="1"/>
  <c r="W55" i="57"/>
  <c r="X55" i="57" s="1"/>
  <c r="Y55" i="57" s="1"/>
  <c r="AB55" i="57" s="1"/>
  <c r="W56" i="57"/>
  <c r="X56" i="57" s="1"/>
  <c r="Y56" i="57" s="1"/>
  <c r="AB56" i="57" s="1"/>
  <c r="W57" i="57"/>
  <c r="X57" i="57" s="1"/>
  <c r="Y57" i="57" s="1"/>
  <c r="AB57" i="57" s="1"/>
  <c r="W58" i="57"/>
  <c r="X58" i="57" s="1"/>
  <c r="Y58" i="57" s="1"/>
  <c r="AB58" i="57" s="1"/>
  <c r="W59" i="57"/>
  <c r="X59" i="57" s="1"/>
  <c r="Y59" i="57" s="1"/>
  <c r="AB59" i="57" s="1"/>
  <c r="W60" i="57"/>
  <c r="X60" i="57" s="1"/>
  <c r="Y60" i="57" s="1"/>
  <c r="AB60" i="57" s="1"/>
  <c r="W61" i="57"/>
  <c r="X61" i="57" s="1"/>
  <c r="Y61" i="57" s="1"/>
  <c r="AB61" i="57" s="1"/>
  <c r="W62" i="57"/>
  <c r="X62" i="57" s="1"/>
  <c r="Y62" i="57" s="1"/>
  <c r="AB62" i="57" s="1"/>
  <c r="W63" i="57"/>
  <c r="X63" i="57" s="1"/>
  <c r="Y63" i="57" s="1"/>
  <c r="AB63" i="57" s="1"/>
  <c r="W64" i="57"/>
  <c r="X64" i="57" s="1"/>
  <c r="Y64" i="57" s="1"/>
  <c r="AB64" i="57" s="1"/>
  <c r="W65" i="57"/>
  <c r="X65" i="57" s="1"/>
  <c r="Y65" i="57" s="1"/>
  <c r="AB65" i="57" s="1"/>
  <c r="W66" i="57"/>
  <c r="X66" i="57" s="1"/>
  <c r="Y66" i="57" s="1"/>
  <c r="AB66" i="57" s="1"/>
  <c r="W67" i="57"/>
  <c r="X67" i="57" s="1"/>
  <c r="Y67" i="57" s="1"/>
  <c r="AB67" i="57" s="1"/>
  <c r="W68" i="57"/>
  <c r="X68" i="57" s="1"/>
  <c r="Y68" i="57" s="1"/>
  <c r="AB68" i="57" s="1"/>
  <c r="W69" i="57"/>
  <c r="X69" i="57" s="1"/>
  <c r="Y69" i="57" s="1"/>
  <c r="AB69" i="57" s="1"/>
  <c r="W70" i="57"/>
  <c r="X70" i="57" s="1"/>
  <c r="Y70" i="57" s="1"/>
  <c r="AB70" i="57" s="1"/>
  <c r="W71" i="57"/>
  <c r="X71" i="57" s="1"/>
  <c r="Y71" i="57" s="1"/>
  <c r="AB71" i="57" s="1"/>
  <c r="W72" i="57"/>
  <c r="X72" i="57" s="1"/>
  <c r="Y72" i="57" s="1"/>
  <c r="AB72" i="57" s="1"/>
  <c r="W73" i="57"/>
  <c r="X73" i="57" s="1"/>
  <c r="Y73" i="57" s="1"/>
  <c r="AB73" i="57" s="1"/>
  <c r="W74" i="57"/>
  <c r="X74" i="57" s="1"/>
  <c r="Y74" i="57" s="1"/>
  <c r="AB74" i="57" s="1"/>
  <c r="W75" i="57"/>
  <c r="X75" i="57" s="1"/>
  <c r="Y75" i="57" s="1"/>
  <c r="AB75" i="57" s="1"/>
  <c r="W76" i="57"/>
  <c r="X76" i="57" s="1"/>
  <c r="Y76" i="57" s="1"/>
  <c r="AB76" i="57" s="1"/>
  <c r="W77" i="57"/>
  <c r="X77" i="57" s="1"/>
  <c r="Y77" i="57" s="1"/>
  <c r="AB77" i="57" s="1"/>
  <c r="W78" i="57"/>
  <c r="X78" i="57" s="1"/>
  <c r="Y78" i="57" s="1"/>
  <c r="AB78" i="57" s="1"/>
  <c r="W79" i="57"/>
  <c r="X79" i="57" s="1"/>
  <c r="Y79" i="57" s="1"/>
  <c r="AB79" i="57" s="1"/>
  <c r="W80" i="57"/>
  <c r="X80" i="57" s="1"/>
  <c r="Y80" i="57" s="1"/>
  <c r="AB80" i="57" s="1"/>
  <c r="W81" i="57"/>
  <c r="X81" i="57" s="1"/>
  <c r="Y81" i="57" s="1"/>
  <c r="AB81" i="57" s="1"/>
  <c r="W82" i="57"/>
  <c r="X82" i="57" s="1"/>
  <c r="Y82" i="57" s="1"/>
  <c r="AB82" i="57" s="1"/>
  <c r="W83" i="57"/>
  <c r="X83" i="57" s="1"/>
  <c r="Y83" i="57" s="1"/>
  <c r="AB83" i="57" s="1"/>
  <c r="W84" i="57"/>
  <c r="X84" i="57" s="1"/>
  <c r="Y84" i="57" s="1"/>
  <c r="AB84" i="57" s="1"/>
  <c r="W85" i="57"/>
  <c r="X85" i="57" s="1"/>
  <c r="Y85" i="57" s="1"/>
  <c r="AB85" i="57" s="1"/>
  <c r="W86" i="57"/>
  <c r="X86" i="57" s="1"/>
  <c r="Y86" i="57" s="1"/>
  <c r="AB86" i="57" s="1"/>
  <c r="W87" i="57"/>
  <c r="X87" i="57" s="1"/>
  <c r="Y87" i="57" s="1"/>
  <c r="AB87" i="57" s="1"/>
  <c r="W88" i="57"/>
  <c r="X88" i="57" s="1"/>
  <c r="Y88" i="57" s="1"/>
  <c r="AB88" i="57" s="1"/>
  <c r="W89" i="57"/>
  <c r="X89" i="57" s="1"/>
  <c r="Y89" i="57" s="1"/>
  <c r="AB89" i="57" s="1"/>
  <c r="W90" i="57"/>
  <c r="X90" i="57" s="1"/>
  <c r="Y90" i="57" s="1"/>
  <c r="AB90" i="57" s="1"/>
  <c r="W91" i="57"/>
  <c r="X91" i="57" s="1"/>
  <c r="Y91" i="57" s="1"/>
  <c r="AB91" i="57" s="1"/>
  <c r="W92" i="57"/>
  <c r="X92" i="57" s="1"/>
  <c r="Y92" i="57" s="1"/>
  <c r="AB92" i="57" s="1"/>
  <c r="W93" i="57"/>
  <c r="X93" i="57" s="1"/>
  <c r="Y93" i="57" s="1"/>
  <c r="AB93" i="57" s="1"/>
  <c r="W94" i="57"/>
  <c r="X94" i="57" s="1"/>
  <c r="Y94" i="57" s="1"/>
  <c r="AB94" i="57" s="1"/>
  <c r="W95" i="57"/>
  <c r="X95" i="57" s="1"/>
  <c r="Y95" i="57" s="1"/>
  <c r="AB95" i="57" s="1"/>
  <c r="W96" i="57"/>
  <c r="X96" i="57" s="1"/>
  <c r="Y96" i="57" s="1"/>
  <c r="AB96" i="57" s="1"/>
  <c r="W97" i="57"/>
  <c r="X97" i="57" s="1"/>
  <c r="Y97" i="57" s="1"/>
  <c r="AB97" i="57" s="1"/>
  <c r="W98" i="57"/>
  <c r="X98" i="57" s="1"/>
  <c r="Y98" i="57" s="1"/>
  <c r="AB98" i="57" s="1"/>
  <c r="W99" i="57"/>
  <c r="X99" i="57" s="1"/>
  <c r="Y99" i="57" s="1"/>
  <c r="AB99" i="57" s="1"/>
  <c r="W100" i="57"/>
  <c r="X100" i="57" s="1"/>
  <c r="Y100" i="57" s="1"/>
  <c r="AB100" i="57" s="1"/>
  <c r="W101" i="57"/>
  <c r="X101" i="57" s="1"/>
  <c r="Y101" i="57" s="1"/>
  <c r="AB101" i="57" s="1"/>
  <c r="W102" i="57"/>
  <c r="X102" i="57" s="1"/>
  <c r="Y102" i="57" s="1"/>
  <c r="AB102" i="57" s="1"/>
  <c r="W103" i="57"/>
  <c r="X103" i="57" s="1"/>
  <c r="Y103" i="57" s="1"/>
  <c r="AB103" i="57" s="1"/>
  <c r="W104" i="57"/>
  <c r="X104" i="57" s="1"/>
  <c r="Y104" i="57" s="1"/>
  <c r="AB104" i="57" s="1"/>
  <c r="W105" i="57"/>
  <c r="X105" i="57" s="1"/>
  <c r="Y105" i="57" s="1"/>
  <c r="AB105" i="57" s="1"/>
  <c r="W37" i="57"/>
  <c r="X37" i="57" s="1"/>
  <c r="Y37" i="57" s="1"/>
  <c r="AB37" i="57" s="1"/>
  <c r="W38" i="57"/>
  <c r="X38" i="57" s="1"/>
  <c r="Y38" i="57" s="1"/>
  <c r="AB38" i="57" s="1"/>
  <c r="W39" i="57"/>
  <c r="X39" i="57" s="1"/>
  <c r="Y39" i="57" s="1"/>
  <c r="AB39" i="57" s="1"/>
  <c r="W40" i="57"/>
  <c r="X40" i="57" s="1"/>
  <c r="Y40" i="57" s="1"/>
  <c r="AB40" i="57" s="1"/>
  <c r="W29" i="57"/>
  <c r="X29" i="57" s="1"/>
  <c r="Y29" i="57" s="1"/>
  <c r="AB29" i="57" s="1"/>
  <c r="W30" i="57"/>
  <c r="X30" i="57" s="1"/>
  <c r="Y30" i="57" s="1"/>
  <c r="AB30" i="57" s="1"/>
  <c r="W31" i="57"/>
  <c r="X31" i="57" s="1"/>
  <c r="Y31" i="57" s="1"/>
  <c r="AB31" i="57" s="1"/>
  <c r="W32" i="57"/>
  <c r="X32" i="57" s="1"/>
  <c r="Y32" i="57" s="1"/>
  <c r="AB32" i="57" s="1"/>
  <c r="W33" i="57"/>
  <c r="X33" i="57" s="1"/>
  <c r="Y33" i="57" s="1"/>
  <c r="AB33" i="57" s="1"/>
  <c r="W34" i="57"/>
  <c r="X34" i="57" s="1"/>
  <c r="Y34" i="57" s="1"/>
  <c r="AB34" i="57" s="1"/>
  <c r="W35" i="57"/>
  <c r="X35" i="57" s="1"/>
  <c r="Y35" i="57" s="1"/>
  <c r="AB35" i="57" s="1"/>
  <c r="W36" i="57"/>
  <c r="X36" i="57" s="1"/>
  <c r="Y36" i="57" s="1"/>
  <c r="AB36" i="57" s="1"/>
  <c r="W27" i="57"/>
  <c r="X27" i="57" s="1"/>
  <c r="Y27" i="57" s="1"/>
  <c r="AB27" i="57" s="1"/>
  <c r="W28" i="57"/>
  <c r="X28" i="57" s="1"/>
  <c r="Y28" i="57" s="1"/>
  <c r="AB28" i="57" s="1"/>
  <c r="W26" i="57"/>
  <c r="X26" i="57" s="1"/>
  <c r="Y26" i="57" s="1"/>
  <c r="AB26" i="57" s="1"/>
  <c r="Z105" i="57"/>
  <c r="V105" i="57"/>
  <c r="AC105" i="57" s="1"/>
  <c r="U105" i="57"/>
  <c r="Z104" i="57"/>
  <c r="V104" i="57"/>
  <c r="AC104" i="57" s="1"/>
  <c r="Z103" i="57"/>
  <c r="V103" i="57"/>
  <c r="AC103" i="57" s="1"/>
  <c r="Z102" i="57"/>
  <c r="V102" i="57"/>
  <c r="Z101" i="57"/>
  <c r="V101" i="57"/>
  <c r="AC101" i="57" s="1"/>
  <c r="Z100" i="57"/>
  <c r="V100" i="57"/>
  <c r="AC100" i="57" s="1"/>
  <c r="Z99" i="57"/>
  <c r="V99" i="57"/>
  <c r="Z98" i="57"/>
  <c r="V98" i="57"/>
  <c r="Z97" i="57"/>
  <c r="V97" i="57"/>
  <c r="AC97" i="57" s="1"/>
  <c r="Z96" i="57"/>
  <c r="V96" i="57"/>
  <c r="U96" i="57"/>
  <c r="Z95" i="57"/>
  <c r="V95" i="57"/>
  <c r="U95" i="57"/>
  <c r="Z94" i="57"/>
  <c r="V94" i="57"/>
  <c r="AC94" i="57" s="1"/>
  <c r="U94" i="57"/>
  <c r="Z93" i="57"/>
  <c r="V93" i="57"/>
  <c r="AC93" i="57" s="1"/>
  <c r="U93" i="57"/>
  <c r="Z92" i="57"/>
  <c r="V92" i="57"/>
  <c r="AC92" i="57" s="1"/>
  <c r="U92" i="57"/>
  <c r="Z91" i="57"/>
  <c r="V91" i="57"/>
  <c r="AC91" i="57" s="1"/>
  <c r="U91" i="57"/>
  <c r="Z90" i="57"/>
  <c r="V90" i="57"/>
  <c r="AC90" i="57" s="1"/>
  <c r="U90" i="57"/>
  <c r="Z89" i="57"/>
  <c r="V89" i="57"/>
  <c r="AC89" i="57" s="1"/>
  <c r="U89" i="57"/>
  <c r="Z88" i="57"/>
  <c r="V88" i="57"/>
  <c r="AC88" i="57" s="1"/>
  <c r="U88" i="57"/>
  <c r="Z87" i="57"/>
  <c r="V87" i="57"/>
  <c r="U87" i="57"/>
  <c r="Z86" i="57"/>
  <c r="V86" i="57"/>
  <c r="U86" i="57"/>
  <c r="Z85" i="57"/>
  <c r="V85" i="57"/>
  <c r="U85" i="57"/>
  <c r="Z84" i="57"/>
  <c r="V84" i="57"/>
  <c r="U84" i="57"/>
  <c r="Z83" i="57"/>
  <c r="V83" i="57"/>
  <c r="U83" i="57"/>
  <c r="Z82" i="57"/>
  <c r="V82" i="57"/>
  <c r="U82" i="57"/>
  <c r="Z81" i="57"/>
  <c r="V81" i="57"/>
  <c r="U81" i="57"/>
  <c r="Z80" i="57"/>
  <c r="V80" i="57"/>
  <c r="AC80" i="57" s="1"/>
  <c r="U80" i="57"/>
  <c r="Z79" i="57"/>
  <c r="V79" i="57"/>
  <c r="U79" i="57"/>
  <c r="Z78" i="57"/>
  <c r="V78" i="57"/>
  <c r="U78" i="57"/>
  <c r="Z77" i="57"/>
  <c r="V77" i="57"/>
  <c r="U77" i="57"/>
  <c r="Z76" i="57"/>
  <c r="V76" i="57"/>
  <c r="U76" i="57"/>
  <c r="Z75" i="57"/>
  <c r="V75" i="57"/>
  <c r="U75" i="57"/>
  <c r="Z74" i="57"/>
  <c r="V74" i="57"/>
  <c r="U74" i="57"/>
  <c r="Z73" i="57"/>
  <c r="V73" i="57"/>
  <c r="U73" i="57"/>
  <c r="Z72" i="57"/>
  <c r="V72" i="57"/>
  <c r="U72" i="57"/>
  <c r="Z71" i="57"/>
  <c r="V71" i="57"/>
  <c r="U71" i="57"/>
  <c r="Z70" i="57"/>
  <c r="V70" i="57"/>
  <c r="AC70" i="57" s="1"/>
  <c r="U70" i="57"/>
  <c r="Z69" i="57"/>
  <c r="V69" i="57"/>
  <c r="U69" i="57"/>
  <c r="Z68" i="57"/>
  <c r="V68" i="57"/>
  <c r="AC68" i="57" s="1"/>
  <c r="U68" i="57"/>
  <c r="Z67" i="57"/>
  <c r="V67" i="57"/>
  <c r="U67" i="57"/>
  <c r="Z66" i="57"/>
  <c r="V66" i="57"/>
  <c r="AC66" i="57" s="1"/>
  <c r="U66" i="57"/>
  <c r="Z65" i="57"/>
  <c r="V65" i="57"/>
  <c r="U65" i="57"/>
  <c r="Z64" i="57"/>
  <c r="V64" i="57"/>
  <c r="AC64" i="57" s="1"/>
  <c r="U64" i="57"/>
  <c r="Z63" i="57"/>
  <c r="V63" i="57"/>
  <c r="AC63" i="57" s="1"/>
  <c r="U63" i="57"/>
  <c r="Z62" i="57"/>
  <c r="V62" i="57"/>
  <c r="AC62" i="57" s="1"/>
  <c r="U62" i="57"/>
  <c r="Z61" i="57"/>
  <c r="V61" i="57"/>
  <c r="U61" i="57"/>
  <c r="Z60" i="57"/>
  <c r="V60" i="57"/>
  <c r="U60" i="57"/>
  <c r="Z59" i="57"/>
  <c r="V59" i="57"/>
  <c r="U59" i="57"/>
  <c r="Z58" i="57"/>
  <c r="V58" i="57"/>
  <c r="U58" i="57"/>
  <c r="Z57" i="57"/>
  <c r="V57" i="57"/>
  <c r="Z56" i="57"/>
  <c r="V56" i="57"/>
  <c r="AC56" i="57" s="1"/>
  <c r="Z55" i="57"/>
  <c r="V55" i="57"/>
  <c r="Z54" i="57"/>
  <c r="V54" i="57"/>
  <c r="U54" i="57"/>
  <c r="Z53" i="57"/>
  <c r="V53" i="57"/>
  <c r="AC53" i="57" s="1"/>
  <c r="Z52" i="57"/>
  <c r="V52" i="57"/>
  <c r="Z51" i="57"/>
  <c r="V51" i="57"/>
  <c r="AC51" i="57" s="1"/>
  <c r="U51" i="57"/>
  <c r="Z50" i="57"/>
  <c r="V50" i="57"/>
  <c r="U50" i="57"/>
  <c r="Z49" i="57"/>
  <c r="V49" i="57"/>
  <c r="AC49" i="57" s="1"/>
  <c r="U49" i="57"/>
  <c r="Z48" i="57"/>
  <c r="V48" i="57"/>
  <c r="U48" i="57"/>
  <c r="Z47" i="57"/>
  <c r="V47" i="57"/>
  <c r="U47" i="57"/>
  <c r="Z46" i="57"/>
  <c r="V46" i="57"/>
  <c r="U46" i="57"/>
  <c r="Z45" i="57"/>
  <c r="V45" i="57"/>
  <c r="U45" i="57"/>
  <c r="Z44" i="57"/>
  <c r="V44" i="57"/>
  <c r="U44" i="57"/>
  <c r="Z43" i="57"/>
  <c r="V43" i="57"/>
  <c r="AC43" i="57" s="1"/>
  <c r="U43" i="57"/>
  <c r="Z42" i="57"/>
  <c r="V42" i="57"/>
  <c r="U42" i="57"/>
  <c r="Z41" i="57"/>
  <c r="V41" i="57"/>
  <c r="U41" i="57"/>
  <c r="Z40" i="57"/>
  <c r="V40" i="57"/>
  <c r="AC40" i="57" s="1"/>
  <c r="U40" i="57"/>
  <c r="Z39" i="57"/>
  <c r="V39" i="57"/>
  <c r="U39" i="57"/>
  <c r="Z38" i="57"/>
  <c r="V38" i="57"/>
  <c r="U38" i="57"/>
  <c r="Z37" i="57"/>
  <c r="V37" i="57"/>
  <c r="U37" i="57"/>
  <c r="Z36" i="57"/>
  <c r="V36" i="57"/>
  <c r="U36" i="57"/>
  <c r="Z35" i="57"/>
  <c r="V35" i="57"/>
  <c r="U35" i="57"/>
  <c r="Z34" i="57"/>
  <c r="V34" i="57"/>
  <c r="U34" i="57"/>
  <c r="Z33" i="57"/>
  <c r="V33" i="57"/>
  <c r="U33" i="57"/>
  <c r="Z32" i="57"/>
  <c r="V32" i="57"/>
  <c r="U32" i="57"/>
  <c r="Z31" i="57"/>
  <c r="V31" i="57"/>
  <c r="U31" i="57"/>
  <c r="Z30" i="57"/>
  <c r="V30" i="57"/>
  <c r="U30" i="57"/>
  <c r="Z29" i="57"/>
  <c r="V29" i="57"/>
  <c r="U29" i="57"/>
  <c r="Z28" i="57"/>
  <c r="V28" i="57"/>
  <c r="U28" i="57"/>
  <c r="Z27" i="57"/>
  <c r="V27" i="57"/>
  <c r="U27" i="57"/>
  <c r="V26" i="57"/>
  <c r="U26" i="57"/>
  <c r="B22" i="57"/>
  <c r="AF17" i="57"/>
  <c r="AF16" i="57"/>
  <c r="AF15" i="57"/>
  <c r="AF14" i="57"/>
  <c r="AC46" i="57" l="1"/>
  <c r="F10" i="58"/>
  <c r="AC42" i="57"/>
  <c r="F72" i="58"/>
  <c r="F13" i="58"/>
  <c r="F24" i="58"/>
  <c r="AC78" i="57"/>
  <c r="AC79" i="57"/>
  <c r="AC47" i="57"/>
  <c r="AC54" i="57"/>
  <c r="AC71" i="57"/>
  <c r="D36" i="58"/>
  <c r="F36" i="58" s="1"/>
  <c r="M12" i="58"/>
  <c r="M13" i="58" s="1"/>
  <c r="M14" i="58" s="1"/>
  <c r="M15" i="58" s="1"/>
  <c r="M16" i="58" s="1"/>
  <c r="M17" i="58" s="1"/>
  <c r="M18" i="58" s="1"/>
  <c r="M19" i="58" s="1"/>
  <c r="M20" i="58" s="1"/>
  <c r="M21" i="58" s="1"/>
  <c r="M22" i="58" s="1"/>
  <c r="M23" i="58" s="1"/>
  <c r="D32" i="58" s="1"/>
  <c r="F32" i="58" s="1"/>
  <c r="D49" i="58"/>
  <c r="F49" i="58" s="1"/>
  <c r="D15" i="58"/>
  <c r="F15" i="58" s="1"/>
  <c r="D21" i="58"/>
  <c r="F21" i="58" s="1"/>
  <c r="D54" i="58"/>
  <c r="F54" i="58" s="1"/>
  <c r="D63" i="58"/>
  <c r="F63" i="58" s="1"/>
  <c r="F81" i="58"/>
  <c r="D86" i="58"/>
  <c r="F86" i="58" s="1"/>
  <c r="D95" i="58"/>
  <c r="F95" i="58" s="1"/>
  <c r="F113" i="58"/>
  <c r="D118" i="58"/>
  <c r="F118" i="58" s="1"/>
  <c r="D127" i="58"/>
  <c r="F127" i="58" s="1"/>
  <c r="F145" i="58"/>
  <c r="D150" i="58"/>
  <c r="F150" i="58" s="1"/>
  <c r="F169" i="58"/>
  <c r="F179" i="58"/>
  <c r="D189" i="58"/>
  <c r="F189" i="58" s="1"/>
  <c r="D199" i="58"/>
  <c r="F199" i="58" s="1"/>
  <c r="D204" i="58"/>
  <c r="F204" i="58" s="1"/>
  <c r="D230" i="58"/>
  <c r="D259" i="58"/>
  <c r="D266" i="58"/>
  <c r="D274" i="58"/>
  <c r="D288" i="58"/>
  <c r="D296" i="58"/>
  <c r="D303" i="58"/>
  <c r="D326" i="58"/>
  <c r="D18" i="58"/>
  <c r="F18" i="58" s="1"/>
  <c r="D45" i="58"/>
  <c r="F45" i="58" s="1"/>
  <c r="D68" i="58"/>
  <c r="F68" i="58" s="1"/>
  <c r="D77" i="58"/>
  <c r="F77" i="58" s="1"/>
  <c r="D100" i="58"/>
  <c r="F100" i="58" s="1"/>
  <c r="D109" i="58"/>
  <c r="F109" i="58" s="1"/>
  <c r="D132" i="58"/>
  <c r="F132" i="58" s="1"/>
  <c r="D141" i="58"/>
  <c r="F141" i="58" s="1"/>
  <c r="D155" i="58"/>
  <c r="F155" i="58" s="1"/>
  <c r="D209" i="58"/>
  <c r="F209" i="58" s="1"/>
  <c r="D316" i="58"/>
  <c r="D300" i="58"/>
  <c r="D284" i="58"/>
  <c r="D268" i="58"/>
  <c r="D252" i="58"/>
  <c r="D236" i="58"/>
  <c r="D325" i="58"/>
  <c r="D309" i="58"/>
  <c r="D293" i="58"/>
  <c r="D277" i="58"/>
  <c r="D261" i="58"/>
  <c r="D245" i="58"/>
  <c r="D229" i="58"/>
  <c r="D328" i="58"/>
  <c r="D315" i="58"/>
  <c r="D299" i="58"/>
  <c r="D283" i="58"/>
  <c r="D267" i="58"/>
  <c r="D251" i="58"/>
  <c r="D235" i="58"/>
  <c r="D318" i="58"/>
  <c r="D302" i="58"/>
  <c r="D286" i="58"/>
  <c r="D270" i="58"/>
  <c r="D254" i="58"/>
  <c r="D238" i="58"/>
  <c r="D222" i="58"/>
  <c r="F222" i="58" s="1"/>
  <c r="D218" i="58"/>
  <c r="F218" i="58" s="1"/>
  <c r="D214" i="58"/>
  <c r="F214" i="58" s="1"/>
  <c r="D210" i="58"/>
  <c r="F210" i="58" s="1"/>
  <c r="D206" i="58"/>
  <c r="F206" i="58" s="1"/>
  <c r="D202" i="58"/>
  <c r="F202" i="58" s="1"/>
  <c r="D198" i="58"/>
  <c r="F198" i="58" s="1"/>
  <c r="D194" i="58"/>
  <c r="F194" i="58" s="1"/>
  <c r="D190" i="58"/>
  <c r="F190" i="58" s="1"/>
  <c r="D186" i="58"/>
  <c r="F186" i="58" s="1"/>
  <c r="D182" i="58"/>
  <c r="F182" i="58" s="1"/>
  <c r="D178" i="58"/>
  <c r="F178" i="58" s="1"/>
  <c r="D174" i="58"/>
  <c r="F174" i="58" s="1"/>
  <c r="D170" i="58"/>
  <c r="F170" i="58" s="1"/>
  <c r="D166" i="58"/>
  <c r="F166" i="58" s="1"/>
  <c r="D162" i="58"/>
  <c r="F162" i="58" s="1"/>
  <c r="D158" i="58"/>
  <c r="F158" i="58" s="1"/>
  <c r="D154" i="58"/>
  <c r="F154" i="58" s="1"/>
  <c r="D321" i="58"/>
  <c r="D305" i="58"/>
  <c r="D289" i="58"/>
  <c r="D273" i="58"/>
  <c r="D257" i="58"/>
  <c r="D241" i="58"/>
  <c r="D225" i="58"/>
  <c r="D324" i="58"/>
  <c r="D308" i="58"/>
  <c r="D292" i="58"/>
  <c r="D276" i="58"/>
  <c r="D260" i="58"/>
  <c r="D244" i="58"/>
  <c r="D228" i="58"/>
  <c r="D327" i="58"/>
  <c r="D311" i="58"/>
  <c r="D295" i="58"/>
  <c r="D279" i="58"/>
  <c r="D263" i="58"/>
  <c r="D247" i="58"/>
  <c r="D231" i="58"/>
  <c r="D317" i="58"/>
  <c r="D301" i="58"/>
  <c r="D285" i="58"/>
  <c r="D269" i="58"/>
  <c r="D253" i="58"/>
  <c r="D237" i="58"/>
  <c r="D329" i="58"/>
  <c r="D313" i="58"/>
  <c r="D297" i="58"/>
  <c r="D281" i="58"/>
  <c r="D265" i="58"/>
  <c r="D249" i="58"/>
  <c r="D233" i="58"/>
  <c r="D50" i="58"/>
  <c r="F50" i="58" s="1"/>
  <c r="D59" i="58"/>
  <c r="F59" i="58" s="1"/>
  <c r="D82" i="58"/>
  <c r="F82" i="58" s="1"/>
  <c r="D91" i="58"/>
  <c r="F91" i="58" s="1"/>
  <c r="D114" i="58"/>
  <c r="F114" i="58" s="1"/>
  <c r="D123" i="58"/>
  <c r="F123" i="58" s="1"/>
  <c r="D146" i="58"/>
  <c r="F146" i="58" s="1"/>
  <c r="D165" i="58"/>
  <c r="F165" i="58" s="1"/>
  <c r="D175" i="58"/>
  <c r="F175" i="58" s="1"/>
  <c r="F219" i="58"/>
  <c r="D224" i="58"/>
  <c r="F224" i="58" s="1"/>
  <c r="D12" i="58"/>
  <c r="F12" i="58" s="1"/>
  <c r="D25" i="58"/>
  <c r="F25" i="58" s="1"/>
  <c r="D29" i="58"/>
  <c r="F29" i="58" s="1"/>
  <c r="D33" i="58"/>
  <c r="F33" i="58" s="1"/>
  <c r="D37" i="58"/>
  <c r="F37" i="58" s="1"/>
  <c r="D41" i="58"/>
  <c r="F41" i="58" s="1"/>
  <c r="D64" i="58"/>
  <c r="F64" i="58" s="1"/>
  <c r="D73" i="58"/>
  <c r="F73" i="58" s="1"/>
  <c r="D96" i="58"/>
  <c r="F96" i="58" s="1"/>
  <c r="D105" i="58"/>
  <c r="F105" i="58" s="1"/>
  <c r="D128" i="58"/>
  <c r="F128" i="58" s="1"/>
  <c r="D137" i="58"/>
  <c r="F137" i="58" s="1"/>
  <c r="D185" i="58"/>
  <c r="F185" i="58" s="1"/>
  <c r="D195" i="58"/>
  <c r="F195" i="58" s="1"/>
  <c r="D200" i="58"/>
  <c r="F200" i="58" s="1"/>
  <c r="D246" i="58"/>
  <c r="D275" i="58"/>
  <c r="D282" i="58"/>
  <c r="D290" i="58"/>
  <c r="D304" i="58"/>
  <c r="D312" i="58"/>
  <c r="D319" i="58"/>
  <c r="D9" i="58"/>
  <c r="F9" i="58" s="1"/>
  <c r="D46" i="58"/>
  <c r="F46" i="58" s="1"/>
  <c r="D55" i="58"/>
  <c r="F55" i="58" s="1"/>
  <c r="D78" i="58"/>
  <c r="F78" i="58" s="1"/>
  <c r="D87" i="58"/>
  <c r="F87" i="58" s="1"/>
  <c r="D110" i="58"/>
  <c r="F110" i="58" s="1"/>
  <c r="D119" i="58"/>
  <c r="F119" i="58" s="1"/>
  <c r="D142" i="58"/>
  <c r="F142" i="58" s="1"/>
  <c r="D151" i="58"/>
  <c r="F151" i="58" s="1"/>
  <c r="D156" i="58"/>
  <c r="F156" i="58" s="1"/>
  <c r="D205" i="58"/>
  <c r="F205" i="58" s="1"/>
  <c r="D215" i="58"/>
  <c r="F215" i="58" s="1"/>
  <c r="D220" i="58"/>
  <c r="F220" i="58" s="1"/>
  <c r="A225" i="58"/>
  <c r="D232" i="58"/>
  <c r="D239" i="58"/>
  <c r="D22" i="58"/>
  <c r="F22" i="58" s="1"/>
  <c r="D60" i="58"/>
  <c r="F60" i="58" s="1"/>
  <c r="D69" i="58"/>
  <c r="F69" i="58" s="1"/>
  <c r="D92" i="58"/>
  <c r="F92" i="58" s="1"/>
  <c r="D101" i="58"/>
  <c r="F101" i="58" s="1"/>
  <c r="D133" i="58"/>
  <c r="F133" i="58" s="1"/>
  <c r="D161" i="58"/>
  <c r="F161" i="58" s="1"/>
  <c r="D171" i="58"/>
  <c r="F171" i="58" s="1"/>
  <c r="D19" i="58"/>
  <c r="F19" i="58" s="1"/>
  <c r="D42" i="58"/>
  <c r="F42" i="58" s="1"/>
  <c r="D51" i="58"/>
  <c r="F51" i="58" s="1"/>
  <c r="D74" i="58"/>
  <c r="F74" i="58" s="1"/>
  <c r="D83" i="58"/>
  <c r="F83" i="58" s="1"/>
  <c r="D106" i="58"/>
  <c r="F106" i="58" s="1"/>
  <c r="D138" i="58"/>
  <c r="F138" i="58" s="1"/>
  <c r="D147" i="58"/>
  <c r="F147" i="58" s="1"/>
  <c r="D181" i="58"/>
  <c r="F181" i="58" s="1"/>
  <c r="D191" i="58"/>
  <c r="F191" i="58" s="1"/>
  <c r="D226" i="58"/>
  <c r="D262" i="58"/>
  <c r="D291" i="58"/>
  <c r="D298" i="58"/>
  <c r="D306" i="58"/>
  <c r="D320" i="58"/>
  <c r="D26" i="58"/>
  <c r="F26" i="58" s="1"/>
  <c r="D30" i="58"/>
  <c r="F30" i="58" s="1"/>
  <c r="D34" i="58"/>
  <c r="F34" i="58" s="1"/>
  <c r="D38" i="58"/>
  <c r="F38" i="58" s="1"/>
  <c r="D56" i="58"/>
  <c r="F56" i="58" s="1"/>
  <c r="D65" i="58"/>
  <c r="F65" i="58" s="1"/>
  <c r="D88" i="58"/>
  <c r="F88" i="58" s="1"/>
  <c r="D97" i="58"/>
  <c r="F97" i="58" s="1"/>
  <c r="D120" i="58"/>
  <c r="F120" i="58" s="1"/>
  <c r="D129" i="58"/>
  <c r="F129" i="58" s="1"/>
  <c r="D152" i="58"/>
  <c r="F152" i="58" s="1"/>
  <c r="D201" i="58"/>
  <c r="F201" i="58" s="1"/>
  <c r="D211" i="58"/>
  <c r="F211" i="58" s="1"/>
  <c r="D216" i="58"/>
  <c r="F216" i="58" s="1"/>
  <c r="D240" i="58"/>
  <c r="D248" i="58"/>
  <c r="D255" i="58"/>
  <c r="D47" i="58"/>
  <c r="F47" i="58" s="1"/>
  <c r="D79" i="58"/>
  <c r="F79" i="58" s="1"/>
  <c r="D102" i="58"/>
  <c r="F102" i="58" s="1"/>
  <c r="D111" i="58"/>
  <c r="F111" i="58" s="1"/>
  <c r="D134" i="58"/>
  <c r="F134" i="58" s="1"/>
  <c r="D143" i="58"/>
  <c r="F143" i="58" s="1"/>
  <c r="D157" i="58"/>
  <c r="F157" i="58" s="1"/>
  <c r="D167" i="58"/>
  <c r="F167" i="58" s="1"/>
  <c r="D172" i="58"/>
  <c r="F172" i="58" s="1"/>
  <c r="D221" i="58"/>
  <c r="F221" i="58" s="1"/>
  <c r="D322" i="58"/>
  <c r="D52" i="58"/>
  <c r="F52" i="58" s="1"/>
  <c r="D61" i="58"/>
  <c r="F61" i="58" s="1"/>
  <c r="D84" i="58"/>
  <c r="F84" i="58" s="1"/>
  <c r="D93" i="58"/>
  <c r="F93" i="58" s="1"/>
  <c r="D116" i="58"/>
  <c r="F116" i="58" s="1"/>
  <c r="D125" i="58"/>
  <c r="F125" i="58" s="1"/>
  <c r="D148" i="58"/>
  <c r="F148" i="58" s="1"/>
  <c r="D177" i="58"/>
  <c r="F177" i="58" s="1"/>
  <c r="D187" i="58"/>
  <c r="F187" i="58" s="1"/>
  <c r="D192" i="58"/>
  <c r="F192" i="58" s="1"/>
  <c r="D227" i="58"/>
  <c r="D278" i="58"/>
  <c r="D307" i="58"/>
  <c r="D314" i="58"/>
  <c r="D23" i="58"/>
  <c r="F23" i="58" s="1"/>
  <c r="D43" i="58"/>
  <c r="F43" i="58" s="1"/>
  <c r="D66" i="58"/>
  <c r="F66" i="58" s="1"/>
  <c r="D75" i="58"/>
  <c r="F75" i="58" s="1"/>
  <c r="D98" i="58"/>
  <c r="F98" i="58" s="1"/>
  <c r="D107" i="58"/>
  <c r="F107" i="58" s="1"/>
  <c r="D130" i="58"/>
  <c r="F130" i="58" s="1"/>
  <c r="D139" i="58"/>
  <c r="F139" i="58" s="1"/>
  <c r="D197" i="58"/>
  <c r="F197" i="58" s="1"/>
  <c r="D207" i="58"/>
  <c r="F207" i="58" s="1"/>
  <c r="D212" i="58"/>
  <c r="F212" i="58" s="1"/>
  <c r="D234" i="58"/>
  <c r="D242" i="58"/>
  <c r="D256" i="58"/>
  <c r="D264" i="58"/>
  <c r="D271" i="58"/>
  <c r="D20" i="58"/>
  <c r="F20" i="58" s="1"/>
  <c r="D27" i="58"/>
  <c r="F27" i="58" s="1"/>
  <c r="D31" i="58"/>
  <c r="F31" i="58" s="1"/>
  <c r="D35" i="58"/>
  <c r="F35" i="58" s="1"/>
  <c r="D39" i="58"/>
  <c r="F39" i="58" s="1"/>
  <c r="D48" i="58"/>
  <c r="F48" i="58" s="1"/>
  <c r="D57" i="58"/>
  <c r="F57" i="58" s="1"/>
  <c r="D80" i="58"/>
  <c r="F80" i="58" s="1"/>
  <c r="D89" i="58"/>
  <c r="F89" i="58" s="1"/>
  <c r="D112" i="58"/>
  <c r="F112" i="58" s="1"/>
  <c r="D121" i="58"/>
  <c r="F121" i="58" s="1"/>
  <c r="D144" i="58"/>
  <c r="F144" i="58" s="1"/>
  <c r="D153" i="58"/>
  <c r="F153" i="58" s="1"/>
  <c r="D163" i="58"/>
  <c r="F163" i="58" s="1"/>
  <c r="D168" i="58"/>
  <c r="F168" i="58" s="1"/>
  <c r="D217" i="58"/>
  <c r="F217" i="58" s="1"/>
  <c r="D323" i="58"/>
  <c r="D17" i="58"/>
  <c r="F17" i="58" s="1"/>
  <c r="D62" i="58"/>
  <c r="F62" i="58" s="1"/>
  <c r="D71" i="58"/>
  <c r="F71" i="58" s="1"/>
  <c r="D94" i="58"/>
  <c r="F94" i="58" s="1"/>
  <c r="D103" i="58"/>
  <c r="F103" i="58" s="1"/>
  <c r="D126" i="58"/>
  <c r="F126" i="58" s="1"/>
  <c r="D135" i="58"/>
  <c r="F135" i="58" s="1"/>
  <c r="D173" i="58"/>
  <c r="F173" i="58" s="1"/>
  <c r="D183" i="58"/>
  <c r="F183" i="58" s="1"/>
  <c r="D188" i="58"/>
  <c r="F188" i="58" s="1"/>
  <c r="D294" i="58"/>
  <c r="D44" i="58"/>
  <c r="F44" i="58" s="1"/>
  <c r="D53" i="58"/>
  <c r="F53" i="58" s="1"/>
  <c r="D76" i="58"/>
  <c r="F76" i="58" s="1"/>
  <c r="D85" i="58"/>
  <c r="F85" i="58" s="1"/>
  <c r="D108" i="58"/>
  <c r="F108" i="58" s="1"/>
  <c r="D117" i="58"/>
  <c r="F117" i="58" s="1"/>
  <c r="D140" i="58"/>
  <c r="F140" i="58" s="1"/>
  <c r="D149" i="58"/>
  <c r="F149" i="58" s="1"/>
  <c r="D193" i="58"/>
  <c r="F193" i="58" s="1"/>
  <c r="D203" i="58"/>
  <c r="F203" i="58" s="1"/>
  <c r="D208" i="58"/>
  <c r="F208" i="58" s="1"/>
  <c r="F223" i="58"/>
  <c r="D243" i="58"/>
  <c r="D250" i="58"/>
  <c r="D258" i="58"/>
  <c r="D272" i="58"/>
  <c r="D280" i="58"/>
  <c r="D287" i="58"/>
  <c r="D58" i="58"/>
  <c r="F58" i="58" s="1"/>
  <c r="D67" i="58"/>
  <c r="F67" i="58" s="1"/>
  <c r="D90" i="58"/>
  <c r="F90" i="58" s="1"/>
  <c r="D99" i="58"/>
  <c r="F99" i="58" s="1"/>
  <c r="D122" i="58"/>
  <c r="F122" i="58" s="1"/>
  <c r="D131" i="58"/>
  <c r="F131" i="58" s="1"/>
  <c r="D159" i="58"/>
  <c r="F159" i="58" s="1"/>
  <c r="D164" i="58"/>
  <c r="F164" i="58" s="1"/>
  <c r="D213" i="58"/>
  <c r="F213" i="58" s="1"/>
  <c r="AC95" i="57"/>
  <c r="AC86" i="57"/>
  <c r="AC58" i="57"/>
  <c r="AC87" i="57"/>
  <c r="AC102" i="57"/>
  <c r="AC74" i="57"/>
  <c r="AC73" i="57"/>
  <c r="AC57" i="57"/>
  <c r="AC41" i="57"/>
  <c r="AC72" i="57"/>
  <c r="AC39" i="57"/>
  <c r="AC38" i="57"/>
  <c r="AC85" i="57"/>
  <c r="AC69" i="57"/>
  <c r="AC36" i="57"/>
  <c r="AC83" i="57"/>
  <c r="AC67" i="57"/>
  <c r="AC35" i="57"/>
  <c r="AC98" i="57"/>
  <c r="AC82" i="57"/>
  <c r="AC50" i="57"/>
  <c r="AC34" i="57"/>
  <c r="AC81" i="57"/>
  <c r="AC65" i="57"/>
  <c r="AC33" i="57"/>
  <c r="AC96" i="57"/>
  <c r="AC48" i="57"/>
  <c r="AC32" i="57"/>
  <c r="AC77" i="57"/>
  <c r="AC61" i="57"/>
  <c r="AC45" i="57"/>
  <c r="AC76" i="57"/>
  <c r="AC44" i="57"/>
  <c r="AC75" i="57"/>
  <c r="AC59" i="57"/>
  <c r="AA64" i="57"/>
  <c r="AA58" i="57"/>
  <c r="AA56" i="57"/>
  <c r="AA70" i="57"/>
  <c r="AA54" i="57"/>
  <c r="AA52" i="57"/>
  <c r="AC52" i="57" s="1"/>
  <c r="AA42" i="57"/>
  <c r="AA34" i="57"/>
  <c r="AA80" i="57"/>
  <c r="AA102" i="57"/>
  <c r="AA74" i="57"/>
  <c r="AA55" i="57"/>
  <c r="AC55" i="57" s="1"/>
  <c r="AA76" i="57"/>
  <c r="AA98" i="57"/>
  <c r="AA72" i="57"/>
  <c r="AA71" i="57"/>
  <c r="AA96" i="57"/>
  <c r="AA88" i="57"/>
  <c r="AA87" i="57"/>
  <c r="AA48" i="57"/>
  <c r="AA68" i="57"/>
  <c r="AA86" i="57"/>
  <c r="AA44" i="57"/>
  <c r="AA84" i="57"/>
  <c r="AC84" i="57" s="1"/>
  <c r="AA60" i="57"/>
  <c r="AA38" i="57"/>
  <c r="AA28" i="57"/>
  <c r="AC28" i="57" s="1"/>
  <c r="AA101" i="57"/>
  <c r="AA93" i="57"/>
  <c r="AA85" i="57"/>
  <c r="AA77" i="57"/>
  <c r="AA69" i="57"/>
  <c r="AA61" i="57"/>
  <c r="AA53" i="57"/>
  <c r="AA45" i="57"/>
  <c r="AA37" i="57"/>
  <c r="AC37" i="57" s="1"/>
  <c r="AA62" i="57"/>
  <c r="AA78" i="57"/>
  <c r="AA100" i="57"/>
  <c r="AA92" i="57"/>
  <c r="AA36" i="57"/>
  <c r="AA46" i="57"/>
  <c r="AA94" i="57"/>
  <c r="AA99" i="57"/>
  <c r="AA91" i="57"/>
  <c r="AA83" i="57"/>
  <c r="AA75" i="57"/>
  <c r="AA67" i="57"/>
  <c r="AA59" i="57"/>
  <c r="AA51" i="57"/>
  <c r="AA43" i="57"/>
  <c r="AA35" i="57"/>
  <c r="AA82" i="57"/>
  <c r="AA90" i="57"/>
  <c r="AA66" i="57"/>
  <c r="AA50" i="57"/>
  <c r="AA105" i="57"/>
  <c r="AA97" i="57"/>
  <c r="AA89" i="57"/>
  <c r="AA81" i="57"/>
  <c r="AA73" i="57"/>
  <c r="AA65" i="57"/>
  <c r="AA57" i="57"/>
  <c r="AA49" i="57"/>
  <c r="AA41" i="57"/>
  <c r="AA33" i="57"/>
  <c r="AA40" i="57"/>
  <c r="AA32" i="57"/>
  <c r="AA104" i="57"/>
  <c r="AA103" i="57"/>
  <c r="AA95" i="57"/>
  <c r="AA79" i="57"/>
  <c r="AA63" i="57"/>
  <c r="AA47" i="57"/>
  <c r="AA39" i="57"/>
  <c r="AA31" i="57"/>
  <c r="AC31" i="57" s="1"/>
  <c r="AA26" i="57"/>
  <c r="AA30" i="57"/>
  <c r="AC30" i="57" s="1"/>
  <c r="AA29" i="57"/>
  <c r="AC29" i="57" s="1"/>
  <c r="AA27" i="57"/>
  <c r="AC27" i="57" s="1"/>
  <c r="Z26" i="57"/>
  <c r="AC26" i="57" s="1"/>
  <c r="L84" i="56"/>
  <c r="K84" i="56"/>
  <c r="D176" i="58" l="1"/>
  <c r="F176" i="58" s="1"/>
  <c r="E225" i="58"/>
  <c r="F225" i="58" s="1"/>
  <c r="C225" i="58"/>
  <c r="A226" i="58"/>
  <c r="D16" i="58"/>
  <c r="F16" i="58" s="1"/>
  <c r="D180" i="58"/>
  <c r="F180" i="58" s="1"/>
  <c r="D160" i="58"/>
  <c r="F160" i="58" s="1"/>
  <c r="D115" i="58"/>
  <c r="F115" i="58" s="1"/>
  <c r="D124" i="58"/>
  <c r="F124" i="58" s="1"/>
  <c r="D70" i="58"/>
  <c r="F70" i="58" s="1"/>
  <c r="D196" i="58"/>
  <c r="F196" i="58" s="1"/>
  <c r="V27" i="51"/>
  <c r="V28" i="51"/>
  <c r="V29" i="51"/>
  <c r="V30" i="51"/>
  <c r="V31" i="51"/>
  <c r="V32" i="51"/>
  <c r="AA32" i="51" s="1"/>
  <c r="V33" i="51"/>
  <c r="AA33" i="51" s="1"/>
  <c r="V34" i="51"/>
  <c r="AA34" i="51" s="1"/>
  <c r="V35" i="51"/>
  <c r="AA35" i="51" s="1"/>
  <c r="V36" i="51"/>
  <c r="V37" i="51"/>
  <c r="V38" i="51"/>
  <c r="AA38" i="51" s="1"/>
  <c r="V39" i="51"/>
  <c r="AA39" i="51" s="1"/>
  <c r="V40" i="51"/>
  <c r="V41" i="51"/>
  <c r="V42" i="51"/>
  <c r="V43" i="51"/>
  <c r="V44" i="51"/>
  <c r="AA44" i="51" s="1"/>
  <c r="V45" i="51"/>
  <c r="V46" i="51"/>
  <c r="V47" i="51"/>
  <c r="V48" i="51"/>
  <c r="V49" i="51"/>
  <c r="AA49" i="51" s="1"/>
  <c r="V50" i="51"/>
  <c r="AA50" i="51" s="1"/>
  <c r="V51" i="51"/>
  <c r="AA51" i="51" s="1"/>
  <c r="V52" i="51"/>
  <c r="V53" i="51"/>
  <c r="V54" i="51"/>
  <c r="AA54" i="51" s="1"/>
  <c r="V55" i="51"/>
  <c r="V56" i="51"/>
  <c r="V57" i="51"/>
  <c r="V58" i="51"/>
  <c r="AA58" i="51" s="1"/>
  <c r="V59" i="51"/>
  <c r="V60" i="51"/>
  <c r="AA60" i="51" s="1"/>
  <c r="V61" i="51"/>
  <c r="AA61" i="51" s="1"/>
  <c r="V62" i="51"/>
  <c r="AA62" i="51" s="1"/>
  <c r="V63" i="51"/>
  <c r="AA63" i="51" s="1"/>
  <c r="V64" i="51"/>
  <c r="V65" i="51"/>
  <c r="AA65" i="51" s="1"/>
  <c r="V66" i="51"/>
  <c r="AA66" i="51" s="1"/>
  <c r="V67" i="51"/>
  <c r="V68" i="51"/>
  <c r="V69" i="51"/>
  <c r="V70" i="51"/>
  <c r="V71" i="51"/>
  <c r="V72" i="51"/>
  <c r="V73" i="51"/>
  <c r="V74" i="51"/>
  <c r="AA74" i="51" s="1"/>
  <c r="V75" i="51"/>
  <c r="AA75" i="51" s="1"/>
  <c r="V76" i="51"/>
  <c r="V77" i="51"/>
  <c r="V78" i="51"/>
  <c r="V79" i="51"/>
  <c r="V80" i="51"/>
  <c r="V81" i="51"/>
  <c r="V82" i="51"/>
  <c r="V83" i="51"/>
  <c r="V84" i="51"/>
  <c r="AA84" i="51" s="1"/>
  <c r="V85" i="51"/>
  <c r="AA85" i="51" s="1"/>
  <c r="V86" i="51"/>
  <c r="AA86" i="51" s="1"/>
  <c r="V87" i="51"/>
  <c r="AA87" i="51" s="1"/>
  <c r="V88" i="51"/>
  <c r="V89" i="51"/>
  <c r="V90" i="51"/>
  <c r="V91" i="51"/>
  <c r="V92" i="51"/>
  <c r="V93" i="51"/>
  <c r="AA93" i="51" s="1"/>
  <c r="V94" i="51"/>
  <c r="AA94" i="51" s="1"/>
  <c r="V95" i="51"/>
  <c r="AA95" i="51" s="1"/>
  <c r="V96" i="51"/>
  <c r="V97" i="51"/>
  <c r="V98" i="51"/>
  <c r="V99" i="51"/>
  <c r="V100" i="51"/>
  <c r="V101" i="51"/>
  <c r="V102" i="51"/>
  <c r="V103" i="51"/>
  <c r="V104" i="51"/>
  <c r="AA104" i="51" s="1"/>
  <c r="V105" i="51"/>
  <c r="AA105" i="51" s="1"/>
  <c r="V106" i="51"/>
  <c r="AA106" i="51" s="1"/>
  <c r="V107" i="51"/>
  <c r="AA107" i="51" s="1"/>
  <c r="V108" i="51"/>
  <c r="AA108" i="51" s="1"/>
  <c r="V109" i="51"/>
  <c r="AA109" i="51" s="1"/>
  <c r="V26" i="51"/>
  <c r="W69" i="51"/>
  <c r="W36" i="51"/>
  <c r="W37" i="51"/>
  <c r="W38" i="51"/>
  <c r="X38" i="51" s="1"/>
  <c r="W39" i="51"/>
  <c r="X39" i="51" s="1"/>
  <c r="W40" i="51"/>
  <c r="W41" i="51"/>
  <c r="W42" i="51"/>
  <c r="W43" i="51"/>
  <c r="W44" i="51"/>
  <c r="X44" i="51" s="1"/>
  <c r="W45" i="51"/>
  <c r="W46" i="51"/>
  <c r="W47" i="51"/>
  <c r="W48" i="51"/>
  <c r="W49" i="51"/>
  <c r="X49" i="51" s="1"/>
  <c r="W50" i="51"/>
  <c r="X50" i="51" s="1"/>
  <c r="W51" i="51"/>
  <c r="X51" i="51" s="1"/>
  <c r="W52" i="51"/>
  <c r="W53" i="51"/>
  <c r="W54" i="51"/>
  <c r="X54" i="51" s="1"/>
  <c r="W55" i="51"/>
  <c r="W56" i="51"/>
  <c r="W57" i="51"/>
  <c r="W58" i="51"/>
  <c r="X58" i="51" s="1"/>
  <c r="W59" i="51"/>
  <c r="W60" i="51"/>
  <c r="X60" i="51" s="1"/>
  <c r="W61" i="51"/>
  <c r="X61" i="51" s="1"/>
  <c r="W62" i="51"/>
  <c r="X62" i="51" s="1"/>
  <c r="W63" i="51"/>
  <c r="X63" i="51" s="1"/>
  <c r="W64" i="51"/>
  <c r="W65" i="51"/>
  <c r="X65" i="51" s="1"/>
  <c r="W66" i="51"/>
  <c r="X66" i="51" s="1"/>
  <c r="W67" i="51"/>
  <c r="W68" i="51"/>
  <c r="W70" i="51"/>
  <c r="W71" i="51"/>
  <c r="W72" i="51"/>
  <c r="W73" i="51"/>
  <c r="W74" i="51"/>
  <c r="X74" i="51" s="1"/>
  <c r="W75" i="51"/>
  <c r="X75" i="51" s="1"/>
  <c r="W76" i="51"/>
  <c r="W77" i="51"/>
  <c r="W78" i="51"/>
  <c r="W79" i="51"/>
  <c r="W80" i="51"/>
  <c r="W81" i="51"/>
  <c r="W82" i="51"/>
  <c r="W83" i="51"/>
  <c r="W84" i="51"/>
  <c r="X84" i="51" s="1"/>
  <c r="W85" i="51"/>
  <c r="X85" i="51" s="1"/>
  <c r="W86" i="51"/>
  <c r="X86" i="51" s="1"/>
  <c r="W87" i="51"/>
  <c r="X87" i="51" s="1"/>
  <c r="W88" i="51"/>
  <c r="W89" i="51"/>
  <c r="W90" i="51"/>
  <c r="W91" i="51"/>
  <c r="W92" i="51"/>
  <c r="W93" i="51"/>
  <c r="X93" i="51" s="1"/>
  <c r="W94" i="51"/>
  <c r="X94" i="51" s="1"/>
  <c r="W95" i="51"/>
  <c r="X95" i="51" s="1"/>
  <c r="W96" i="51"/>
  <c r="W97" i="51"/>
  <c r="W98" i="51"/>
  <c r="W99" i="51"/>
  <c r="W100" i="51"/>
  <c r="W101" i="51"/>
  <c r="W102" i="51"/>
  <c r="W103" i="51"/>
  <c r="W104" i="51"/>
  <c r="X104" i="51" s="1"/>
  <c r="W105" i="51"/>
  <c r="X105" i="51" s="1"/>
  <c r="W106" i="51"/>
  <c r="X106" i="51" s="1"/>
  <c r="W107" i="51"/>
  <c r="X107" i="51" s="1"/>
  <c r="W108" i="51"/>
  <c r="X108" i="51" s="1"/>
  <c r="W109" i="51"/>
  <c r="X109" i="51" s="1"/>
  <c r="W32" i="51"/>
  <c r="X32" i="51" s="1"/>
  <c r="W33" i="51"/>
  <c r="X33" i="51" s="1"/>
  <c r="W34" i="51"/>
  <c r="X34" i="51" s="1"/>
  <c r="W35" i="51"/>
  <c r="X35" i="51" s="1"/>
  <c r="W27" i="51"/>
  <c r="W28" i="51"/>
  <c r="W29" i="51"/>
  <c r="W30" i="51"/>
  <c r="W31" i="51"/>
  <c r="W26" i="51"/>
  <c r="Y69" i="51"/>
  <c r="Z69" i="51" s="1"/>
  <c r="C226" i="58" l="1"/>
  <c r="A227" i="58"/>
  <c r="E226" i="58"/>
  <c r="F226" i="58" s="1"/>
  <c r="X100" i="51"/>
  <c r="X97" i="51"/>
  <c r="X48" i="51"/>
  <c r="X36" i="51"/>
  <c r="X96" i="51"/>
  <c r="X72" i="51"/>
  <c r="X59" i="51"/>
  <c r="X47" i="51"/>
  <c r="X69" i="51"/>
  <c r="X99" i="51"/>
  <c r="X98" i="51"/>
  <c r="X46" i="51"/>
  <c r="X82" i="51"/>
  <c r="X70" i="51"/>
  <c r="X57" i="51"/>
  <c r="X45" i="51"/>
  <c r="X73" i="51"/>
  <c r="X83" i="51"/>
  <c r="X71" i="51"/>
  <c r="X68" i="51"/>
  <c r="X56" i="51"/>
  <c r="X88" i="51"/>
  <c r="X76" i="51"/>
  <c r="X81" i="51"/>
  <c r="X92" i="51"/>
  <c r="X80" i="51"/>
  <c r="X67" i="51"/>
  <c r="X55" i="51"/>
  <c r="X43" i="51"/>
  <c r="X79" i="51"/>
  <c r="X42" i="51"/>
  <c r="X103" i="51"/>
  <c r="X90" i="51"/>
  <c r="X78" i="51"/>
  <c r="X53" i="51"/>
  <c r="X41" i="51"/>
  <c r="X91" i="51"/>
  <c r="X101" i="51"/>
  <c r="X89" i="51"/>
  <c r="X77" i="51"/>
  <c r="X64" i="51"/>
  <c r="X52" i="51"/>
  <c r="X40" i="51"/>
  <c r="X102" i="51"/>
  <c r="X37" i="51"/>
  <c r="X30" i="51"/>
  <c r="X31" i="51"/>
  <c r="X29" i="51"/>
  <c r="X28" i="51"/>
  <c r="X27" i="51"/>
  <c r="X26" i="51"/>
  <c r="Y105" i="51"/>
  <c r="Z105" i="51" s="1"/>
  <c r="U105" i="51"/>
  <c r="Y104" i="51"/>
  <c r="Z104" i="51" s="1"/>
  <c r="Y103" i="51"/>
  <c r="Z103" i="51" s="1"/>
  <c r="Y102" i="51"/>
  <c r="Z102" i="51" s="1"/>
  <c r="Y101" i="51"/>
  <c r="Z101" i="51" s="1"/>
  <c r="Y100" i="51"/>
  <c r="Z100" i="51" s="1"/>
  <c r="Y99" i="51"/>
  <c r="Z99" i="51" s="1"/>
  <c r="Y98" i="51"/>
  <c r="Z98" i="51" s="1"/>
  <c r="T98" i="51"/>
  <c r="T99" i="51" s="1"/>
  <c r="T100" i="51" s="1"/>
  <c r="Y97" i="51"/>
  <c r="Z97" i="51" s="1"/>
  <c r="Y96" i="51"/>
  <c r="Z96" i="51" s="1"/>
  <c r="U96" i="51"/>
  <c r="Y95" i="51"/>
  <c r="Z95" i="51" s="1"/>
  <c r="U95" i="51"/>
  <c r="Y94" i="51"/>
  <c r="Z94" i="51" s="1"/>
  <c r="U94" i="51"/>
  <c r="Y93" i="51"/>
  <c r="Z93" i="51" s="1"/>
  <c r="U93" i="51"/>
  <c r="Y92" i="51"/>
  <c r="Z92" i="51" s="1"/>
  <c r="U92" i="51"/>
  <c r="Y91" i="51"/>
  <c r="Z91" i="51" s="1"/>
  <c r="U91" i="51"/>
  <c r="Y90" i="51"/>
  <c r="Z90" i="51" s="1"/>
  <c r="U90" i="51"/>
  <c r="Y89" i="51"/>
  <c r="Z89" i="51" s="1"/>
  <c r="U89" i="51"/>
  <c r="Y88" i="51"/>
  <c r="Z88" i="51" s="1"/>
  <c r="U88" i="51"/>
  <c r="Y87" i="51"/>
  <c r="Z87" i="51" s="1"/>
  <c r="U87" i="51"/>
  <c r="Y86" i="51"/>
  <c r="Z86" i="51" s="1"/>
  <c r="U86" i="51"/>
  <c r="Y85" i="51"/>
  <c r="Z85" i="51" s="1"/>
  <c r="U85" i="51"/>
  <c r="Y84" i="51"/>
  <c r="Z84" i="51" s="1"/>
  <c r="U84" i="51"/>
  <c r="Y83" i="51"/>
  <c r="Z83" i="51" s="1"/>
  <c r="U83" i="51"/>
  <c r="Y82" i="51"/>
  <c r="Z82" i="51" s="1"/>
  <c r="U82" i="51"/>
  <c r="Y81" i="51"/>
  <c r="Z81" i="51" s="1"/>
  <c r="U81" i="51"/>
  <c r="Y80" i="51"/>
  <c r="Z80" i="51" s="1"/>
  <c r="U80" i="51"/>
  <c r="Y79" i="51"/>
  <c r="Z79" i="51" s="1"/>
  <c r="U79" i="51"/>
  <c r="Y78" i="51"/>
  <c r="Z78" i="51" s="1"/>
  <c r="U78" i="51"/>
  <c r="Y77" i="51"/>
  <c r="Z77" i="51" s="1"/>
  <c r="U77" i="51"/>
  <c r="Y76" i="51"/>
  <c r="Z76" i="51" s="1"/>
  <c r="U76" i="51"/>
  <c r="Y75" i="51"/>
  <c r="Z75" i="51" s="1"/>
  <c r="U75" i="51"/>
  <c r="Y74" i="51"/>
  <c r="Z74" i="51" s="1"/>
  <c r="U74" i="51"/>
  <c r="Y73" i="51"/>
  <c r="Z73" i="51" s="1"/>
  <c r="U73" i="51"/>
  <c r="Y72" i="51"/>
  <c r="Z72" i="51" s="1"/>
  <c r="U72" i="51"/>
  <c r="Y71" i="51"/>
  <c r="Z71" i="51" s="1"/>
  <c r="U71" i="51"/>
  <c r="Y70" i="51"/>
  <c r="Z70" i="51" s="1"/>
  <c r="U70" i="51"/>
  <c r="U69" i="51"/>
  <c r="Y68" i="51"/>
  <c r="Z68" i="51" s="1"/>
  <c r="U68" i="51"/>
  <c r="Y67" i="51"/>
  <c r="Z67" i="51" s="1"/>
  <c r="U67" i="51"/>
  <c r="Y66" i="51"/>
  <c r="Z66" i="51" s="1"/>
  <c r="U66" i="51"/>
  <c r="Y65" i="51"/>
  <c r="Z65" i="51" s="1"/>
  <c r="U65" i="51"/>
  <c r="Y64" i="51"/>
  <c r="Z64" i="51" s="1"/>
  <c r="U64" i="51"/>
  <c r="Y63" i="51"/>
  <c r="Z63" i="51" s="1"/>
  <c r="U63" i="51"/>
  <c r="Y62" i="51"/>
  <c r="Z62" i="51" s="1"/>
  <c r="U62" i="51"/>
  <c r="Y61" i="51"/>
  <c r="Z61" i="51" s="1"/>
  <c r="U61" i="51"/>
  <c r="Y60" i="51"/>
  <c r="Z60" i="51" s="1"/>
  <c r="U60" i="51"/>
  <c r="Y59" i="51"/>
  <c r="Z59" i="51" s="1"/>
  <c r="U59" i="51"/>
  <c r="Y58" i="51"/>
  <c r="Z58" i="51" s="1"/>
  <c r="U58" i="51"/>
  <c r="Y57" i="51"/>
  <c r="Z57" i="51" s="1"/>
  <c r="Y56" i="51"/>
  <c r="Z56" i="51" s="1"/>
  <c r="Y55" i="51"/>
  <c r="Z55" i="51" s="1"/>
  <c r="Y54" i="51"/>
  <c r="Z54" i="51" s="1"/>
  <c r="U54" i="51"/>
  <c r="Y53" i="51"/>
  <c r="Z53" i="51" s="1"/>
  <c r="Y52" i="51"/>
  <c r="Z52" i="51" s="1"/>
  <c r="Y51" i="51"/>
  <c r="Z51" i="51" s="1"/>
  <c r="U51" i="51"/>
  <c r="Y50" i="51"/>
  <c r="Z50" i="51" s="1"/>
  <c r="U50" i="51"/>
  <c r="Y49" i="51"/>
  <c r="Z49" i="51" s="1"/>
  <c r="U49" i="51"/>
  <c r="Y48" i="51"/>
  <c r="Z48" i="51" s="1"/>
  <c r="U48" i="51"/>
  <c r="Y47" i="51"/>
  <c r="Z47" i="51" s="1"/>
  <c r="U47" i="51"/>
  <c r="Y46" i="51"/>
  <c r="Z46" i="51" s="1"/>
  <c r="U46" i="51"/>
  <c r="Y45" i="51"/>
  <c r="Z45" i="51" s="1"/>
  <c r="U45" i="51"/>
  <c r="Y44" i="51"/>
  <c r="Z44" i="51" s="1"/>
  <c r="U44" i="51"/>
  <c r="Y43" i="51"/>
  <c r="Z43" i="51" s="1"/>
  <c r="U43" i="51"/>
  <c r="Y42" i="51"/>
  <c r="Z42" i="51" s="1"/>
  <c r="U42" i="51"/>
  <c r="Y41" i="51"/>
  <c r="Z41" i="51" s="1"/>
  <c r="U41" i="51"/>
  <c r="Y40" i="51"/>
  <c r="Z40" i="51" s="1"/>
  <c r="U40" i="51"/>
  <c r="Y39" i="51"/>
  <c r="Z39" i="51" s="1"/>
  <c r="U39" i="51"/>
  <c r="Y38" i="51"/>
  <c r="Z38" i="51" s="1"/>
  <c r="U38" i="51"/>
  <c r="Y37" i="51"/>
  <c r="Z37" i="51" s="1"/>
  <c r="U37" i="51"/>
  <c r="Y36" i="51"/>
  <c r="Z36" i="51" s="1"/>
  <c r="U36" i="51"/>
  <c r="Y35" i="51"/>
  <c r="Z35" i="51" s="1"/>
  <c r="U35" i="51"/>
  <c r="Y34" i="51"/>
  <c r="Z34" i="51" s="1"/>
  <c r="U34" i="51"/>
  <c r="Y33" i="51"/>
  <c r="Z33" i="51" s="1"/>
  <c r="U33" i="51"/>
  <c r="Y32" i="51"/>
  <c r="Z32" i="51" s="1"/>
  <c r="U32" i="51"/>
  <c r="Y31" i="51"/>
  <c r="Z31" i="51" s="1"/>
  <c r="U31" i="51"/>
  <c r="Y30" i="51"/>
  <c r="Z30" i="51" s="1"/>
  <c r="U30" i="51"/>
  <c r="Y29" i="51"/>
  <c r="Z29" i="51" s="1"/>
  <c r="U29" i="51"/>
  <c r="Y28" i="51"/>
  <c r="Z28" i="51" s="1"/>
  <c r="U28" i="51"/>
  <c r="Y27" i="51"/>
  <c r="Z27" i="51" s="1"/>
  <c r="U27" i="51"/>
  <c r="Y26" i="51"/>
  <c r="U26" i="51"/>
  <c r="A228" i="58" l="1"/>
  <c r="E227" i="58"/>
  <c r="F227" i="58" s="1"/>
  <c r="C227" i="58"/>
  <c r="AA91" i="51"/>
  <c r="Z26" i="51"/>
  <c r="T101" i="51"/>
  <c r="Y106" i="51"/>
  <c r="Z106" i="51" s="1"/>
  <c r="Y107" i="51"/>
  <c r="Z107" i="51" s="1"/>
  <c r="Y108" i="51"/>
  <c r="Z108" i="51" s="1"/>
  <c r="Y109" i="51"/>
  <c r="Z109" i="51" s="1"/>
  <c r="A229" i="58" l="1"/>
  <c r="E228" i="58"/>
  <c r="F228" i="58" s="1"/>
  <c r="C228" i="58"/>
  <c r="T102" i="51"/>
  <c r="A230" i="58" l="1"/>
  <c r="E229" i="58"/>
  <c r="F229" i="58" s="1"/>
  <c r="C229" i="58"/>
  <c r="T103" i="51"/>
  <c r="A231" i="58" l="1"/>
  <c r="C230" i="58"/>
  <c r="E230" i="58"/>
  <c r="F230" i="58" s="1"/>
  <c r="T104" i="51"/>
  <c r="B28" i="56"/>
  <c r="B23" i="55"/>
  <c r="A232" i="58" l="1"/>
  <c r="E231" i="58"/>
  <c r="F231" i="58" s="1"/>
  <c r="C231" i="58"/>
  <c r="C28" i="54"/>
  <c r="C29" i="54" s="1"/>
  <c r="C30" i="54" s="1"/>
  <c r="C31" i="54" s="1"/>
  <c r="B22" i="54"/>
  <c r="C18" i="54"/>
  <c r="E232" i="58" l="1"/>
  <c r="F232" i="58" s="1"/>
  <c r="C232" i="58"/>
  <c r="A233" i="58"/>
  <c r="AD17" i="51"/>
  <c r="AD16" i="51"/>
  <c r="AD15" i="51"/>
  <c r="AD14" i="51"/>
  <c r="U106" i="51"/>
  <c r="U107" i="51"/>
  <c r="U108" i="51"/>
  <c r="U109" i="51"/>
  <c r="C233" i="58" l="1"/>
  <c r="A234" i="58"/>
  <c r="E233" i="58"/>
  <c r="F233" i="58" s="1"/>
  <c r="AA69" i="51"/>
  <c r="AA81" i="51"/>
  <c r="AA73" i="51"/>
  <c r="AA103" i="51"/>
  <c r="AA27" i="51"/>
  <c r="AA57" i="51"/>
  <c r="AA98" i="51"/>
  <c r="AA80" i="51"/>
  <c r="AA89" i="51"/>
  <c r="AA96" i="51"/>
  <c r="AA68" i="51"/>
  <c r="AA67" i="51"/>
  <c r="AA31" i="51"/>
  <c r="AA70" i="51"/>
  <c r="AA92" i="51"/>
  <c r="AA55" i="51"/>
  <c r="AA37" i="51"/>
  <c r="AA83" i="51"/>
  <c r="AA79" i="51"/>
  <c r="AA47" i="51"/>
  <c r="AA41" i="51"/>
  <c r="AA78" i="51"/>
  <c r="AA97" i="51"/>
  <c r="AA52" i="51"/>
  <c r="AA88" i="51"/>
  <c r="AA40" i="51"/>
  <c r="AA45" i="51"/>
  <c r="AA56" i="51"/>
  <c r="AA26" i="51"/>
  <c r="AA77" i="51"/>
  <c r="AA46" i="51"/>
  <c r="AA99" i="51"/>
  <c r="AA71" i="51"/>
  <c r="AA100" i="51"/>
  <c r="AA30" i="51"/>
  <c r="AA29" i="51"/>
  <c r="AA36" i="51"/>
  <c r="AA82" i="51"/>
  <c r="AA72" i="51"/>
  <c r="AA90" i="51"/>
  <c r="AA59" i="51"/>
  <c r="AA64" i="51"/>
  <c r="AA28" i="51"/>
  <c r="AA76" i="51"/>
  <c r="AA53" i="51"/>
  <c r="AA48" i="51"/>
  <c r="AA42" i="51"/>
  <c r="AA43" i="51"/>
  <c r="AA102" i="51"/>
  <c r="AA101" i="51"/>
  <c r="B22" i="51"/>
  <c r="A235" i="58" l="1"/>
  <c r="E234" i="58"/>
  <c r="F234" i="58" s="1"/>
  <c r="C234" i="58"/>
  <c r="B22" i="50"/>
  <c r="C18" i="50"/>
  <c r="C235" i="58" l="1"/>
  <c r="A236" i="58"/>
  <c r="E235" i="58"/>
  <c r="F235" i="58" s="1"/>
  <c r="B22" i="49"/>
  <c r="C18" i="49"/>
  <c r="E236" i="58" l="1"/>
  <c r="F236" i="58" s="1"/>
  <c r="C236" i="58"/>
  <c r="A237" i="58"/>
  <c r="C28" i="47"/>
  <c r="C29" i="47" s="1"/>
  <c r="C30" i="47" s="1"/>
  <c r="C31" i="47" s="1"/>
  <c r="C32" i="47" s="1"/>
  <c r="C33" i="47" s="1"/>
  <c r="C34" i="47" s="1"/>
  <c r="C35" i="47" s="1"/>
  <c r="C36" i="47" s="1"/>
  <c r="B22" i="47"/>
  <c r="C18" i="47"/>
  <c r="A238" i="58" l="1"/>
  <c r="E237" i="58"/>
  <c r="F237" i="58" s="1"/>
  <c r="C237" i="58"/>
  <c r="B22" i="45"/>
  <c r="A239" i="58" l="1"/>
  <c r="E238" i="58"/>
  <c r="F238" i="58" s="1"/>
  <c r="C238" i="58"/>
  <c r="B22" i="44"/>
  <c r="E239" i="58" l="1"/>
  <c r="F239" i="58" s="1"/>
  <c r="A240" i="58"/>
  <c r="C239" i="58"/>
  <c r="B22" i="43"/>
  <c r="A241" i="58" l="1"/>
  <c r="E240" i="58"/>
  <c r="F240" i="58" s="1"/>
  <c r="C240" i="58"/>
  <c r="T34" i="35"/>
  <c r="T35" i="35"/>
  <c r="E241" i="58" l="1"/>
  <c r="F241" i="58" s="1"/>
  <c r="C241" i="58"/>
  <c r="A242" i="58"/>
  <c r="F21" i="41"/>
  <c r="F19" i="41"/>
  <c r="C242" i="58" l="1"/>
  <c r="A243" i="58"/>
  <c r="E242" i="58"/>
  <c r="F242" i="58" s="1"/>
  <c r="C119" i="38"/>
  <c r="C120" i="38" s="1"/>
  <c r="C121" i="38" s="1"/>
  <c r="C122" i="38" s="1"/>
  <c r="C123" i="38" s="1"/>
  <c r="C106" i="38"/>
  <c r="C107" i="38" s="1"/>
  <c r="C108" i="38" s="1"/>
  <c r="C109" i="38" s="1"/>
  <c r="C110" i="38" s="1"/>
  <c r="C93" i="38"/>
  <c r="C94" i="38" s="1"/>
  <c r="C95" i="38" s="1"/>
  <c r="C96" i="38" s="1"/>
  <c r="C97" i="38" s="1"/>
  <c r="C80" i="38"/>
  <c r="C81" i="38" s="1"/>
  <c r="C82" i="38" s="1"/>
  <c r="C83" i="38" s="1"/>
  <c r="C84" i="38" s="1"/>
  <c r="C67" i="38"/>
  <c r="C68" i="38" s="1"/>
  <c r="C69" i="38" s="1"/>
  <c r="C70" i="38" s="1"/>
  <c r="C71" i="38" s="1"/>
  <c r="C54" i="38"/>
  <c r="C55" i="38" s="1"/>
  <c r="C56" i="38" s="1"/>
  <c r="C57" i="38" s="1"/>
  <c r="C58" i="38" s="1"/>
  <c r="C41" i="38"/>
  <c r="C42" i="38" s="1"/>
  <c r="C43" i="38" s="1"/>
  <c r="C44" i="38" s="1"/>
  <c r="C45" i="38" s="1"/>
  <c r="C28" i="38"/>
  <c r="C29" i="38" s="1"/>
  <c r="C30" i="38" s="1"/>
  <c r="C31" i="38" s="1"/>
  <c r="C32" i="38" s="1"/>
  <c r="E243" i="58" l="1"/>
  <c r="F243" i="58" s="1"/>
  <c r="C243" i="58"/>
  <c r="A244" i="58"/>
  <c r="C124" i="38"/>
  <c r="C125" i="38" s="1"/>
  <c r="C126" i="38" s="1"/>
  <c r="C127" i="38" s="1"/>
  <c r="C128" i="38" s="1"/>
  <c r="C129" i="38" s="1"/>
  <c r="C130" i="38" s="1"/>
  <c r="C46" i="38"/>
  <c r="C47" i="38" s="1"/>
  <c r="C48" i="38" s="1"/>
  <c r="C49" i="38" s="1"/>
  <c r="C50" i="38" s="1"/>
  <c r="C51" i="38" s="1"/>
  <c r="C52" i="38" s="1"/>
  <c r="C72" i="38"/>
  <c r="C73" i="38" s="1"/>
  <c r="C74" i="38" s="1"/>
  <c r="C75" i="38" s="1"/>
  <c r="C76" i="38" s="1"/>
  <c r="C77" i="38" s="1"/>
  <c r="C78" i="38" s="1"/>
  <c r="C85" i="38"/>
  <c r="C86" i="38" s="1"/>
  <c r="C87" i="38" s="1"/>
  <c r="C88" i="38" s="1"/>
  <c r="C89" i="38" s="1"/>
  <c r="C90" i="38" s="1"/>
  <c r="C91" i="38" s="1"/>
  <c r="C33" i="38"/>
  <c r="C34" i="38" s="1"/>
  <c r="C35" i="38" s="1"/>
  <c r="C36" i="38" s="1"/>
  <c r="C37" i="38" s="1"/>
  <c r="C38" i="38" s="1"/>
  <c r="C39" i="38" s="1"/>
  <c r="C59" i="38"/>
  <c r="C60" i="38" s="1"/>
  <c r="C61" i="38" s="1"/>
  <c r="C62" i="38" s="1"/>
  <c r="C63" i="38" s="1"/>
  <c r="C64" i="38" s="1"/>
  <c r="C65" i="38" s="1"/>
  <c r="C98" i="38"/>
  <c r="C99" i="38" s="1"/>
  <c r="C100" i="38" s="1"/>
  <c r="C101" i="38" s="1"/>
  <c r="C102" i="38" s="1"/>
  <c r="C103" i="38" s="1"/>
  <c r="C104" i="38" s="1"/>
  <c r="C111" i="38"/>
  <c r="C112" i="38" s="1"/>
  <c r="C113" i="38" s="1"/>
  <c r="C114" i="38" s="1"/>
  <c r="C115" i="38" s="1"/>
  <c r="C116" i="38" s="1"/>
  <c r="C117" i="38" s="1"/>
  <c r="N29" i="37"/>
  <c r="N28" i="37"/>
  <c r="N27" i="37"/>
  <c r="N26" i="37"/>
  <c r="A245" i="58" l="1"/>
  <c r="E244" i="58"/>
  <c r="F244" i="58" s="1"/>
  <c r="C244" i="58"/>
  <c r="C18" i="36"/>
  <c r="A246" i="58" l="1"/>
  <c r="E245" i="58"/>
  <c r="F245" i="58" s="1"/>
  <c r="C245" i="58"/>
  <c r="T36" i="35"/>
  <c r="T33" i="35"/>
  <c r="T32" i="35"/>
  <c r="T31" i="35"/>
  <c r="T30" i="35"/>
  <c r="T29" i="35"/>
  <c r="T28" i="35"/>
  <c r="T27" i="35"/>
  <c r="T26" i="35"/>
  <c r="A247" i="58" l="1"/>
  <c r="C246" i="58"/>
  <c r="E246" i="58"/>
  <c r="F246" i="58" s="1"/>
  <c r="C18" i="34"/>
  <c r="B22" i="34"/>
  <c r="A248" i="58" l="1"/>
  <c r="E247" i="58"/>
  <c r="F247" i="58" s="1"/>
  <c r="C247" i="58"/>
  <c r="C18" i="29"/>
  <c r="C28" i="29"/>
  <c r="C29" i="29" s="1"/>
  <c r="C30" i="29" s="1"/>
  <c r="C31" i="29" s="1"/>
  <c r="C32" i="29" s="1"/>
  <c r="C33" i="29" s="1"/>
  <c r="C34" i="29" s="1"/>
  <c r="C35" i="29" s="1"/>
  <c r="C36" i="29" s="1"/>
  <c r="B22" i="29"/>
  <c r="C18" i="28"/>
  <c r="B22" i="28"/>
  <c r="B22" i="27"/>
  <c r="B24" i="19"/>
  <c r="B22" i="7"/>
  <c r="B57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F29" i="3"/>
  <c r="F30" i="3"/>
  <c r="F28" i="3"/>
  <c r="F47" i="3"/>
  <c r="I60" i="3" s="1"/>
  <c r="P47" i="3"/>
  <c r="G62" i="3" s="1"/>
  <c r="K47" i="3"/>
  <c r="F61" i="3" s="1"/>
  <c r="C61" i="3"/>
  <c r="D61" i="3"/>
  <c r="C62" i="3"/>
  <c r="D62" i="3"/>
  <c r="C63" i="3"/>
  <c r="D63" i="3"/>
  <c r="C64" i="3"/>
  <c r="D64" i="3"/>
  <c r="C65" i="3"/>
  <c r="D65" i="3"/>
  <c r="C66" i="3"/>
  <c r="D66" i="3"/>
  <c r="C67" i="3"/>
  <c r="D67" i="3"/>
  <c r="C68" i="3"/>
  <c r="D68" i="3"/>
  <c r="D60" i="3"/>
  <c r="C60" i="3"/>
  <c r="E248" i="58" l="1"/>
  <c r="F248" i="58" s="1"/>
  <c r="C248" i="58"/>
  <c r="A249" i="58"/>
  <c r="O66" i="3"/>
  <c r="F67" i="3"/>
  <c r="Q67" i="3"/>
  <c r="S66" i="3"/>
  <c r="N66" i="3"/>
  <c r="T68" i="3"/>
  <c r="H66" i="3"/>
  <c r="E68" i="3"/>
  <c r="R66" i="3"/>
  <c r="F66" i="3"/>
  <c r="M67" i="3"/>
  <c r="I67" i="3"/>
  <c r="K66" i="3"/>
  <c r="G66" i="3"/>
  <c r="T67" i="3"/>
  <c r="P66" i="3"/>
  <c r="F68" i="3"/>
  <c r="L67" i="3"/>
  <c r="H67" i="3"/>
  <c r="J66" i="3"/>
  <c r="R67" i="3"/>
  <c r="J67" i="3"/>
  <c r="P67" i="3"/>
  <c r="E66" i="3"/>
  <c r="E67" i="3"/>
  <c r="N67" i="3"/>
  <c r="T66" i="3"/>
  <c r="L66" i="3"/>
  <c r="Q68" i="3"/>
  <c r="M68" i="3"/>
  <c r="I68" i="3"/>
  <c r="R68" i="3"/>
  <c r="N68" i="3"/>
  <c r="J68" i="3"/>
  <c r="S68" i="3"/>
  <c r="O68" i="3"/>
  <c r="K68" i="3"/>
  <c r="G68" i="3"/>
  <c r="P68" i="3"/>
  <c r="L68" i="3"/>
  <c r="H68" i="3"/>
  <c r="S67" i="3"/>
  <c r="O67" i="3"/>
  <c r="K67" i="3"/>
  <c r="G67" i="3"/>
  <c r="Q66" i="3"/>
  <c r="M66" i="3"/>
  <c r="I66" i="3"/>
  <c r="P61" i="3"/>
  <c r="O63" i="3"/>
  <c r="J63" i="3"/>
  <c r="E60" i="3"/>
  <c r="R63" i="3"/>
  <c r="L63" i="3"/>
  <c r="G63" i="3"/>
  <c r="S60" i="3"/>
  <c r="M60" i="3"/>
  <c r="G60" i="3"/>
  <c r="S63" i="3"/>
  <c r="N63" i="3"/>
  <c r="H63" i="3"/>
  <c r="T60" i="3"/>
  <c r="O60" i="3"/>
  <c r="H60" i="3"/>
  <c r="T63" i="3"/>
  <c r="P60" i="3"/>
  <c r="K60" i="3"/>
  <c r="O64" i="3"/>
  <c r="P63" i="3"/>
  <c r="K63" i="3"/>
  <c r="F63" i="3"/>
  <c r="Q60" i="3"/>
  <c r="L60" i="3"/>
  <c r="S64" i="3"/>
  <c r="T61" i="3"/>
  <c r="G64" i="3"/>
  <c r="H61" i="3"/>
  <c r="K64" i="3"/>
  <c r="L61" i="3"/>
  <c r="E62" i="3"/>
  <c r="T65" i="3"/>
  <c r="L65" i="3"/>
  <c r="M62" i="3"/>
  <c r="I62" i="3"/>
  <c r="E61" i="3"/>
  <c r="E65" i="3"/>
  <c r="M65" i="3"/>
  <c r="T64" i="3"/>
  <c r="L64" i="3"/>
  <c r="H64" i="3"/>
  <c r="N62" i="3"/>
  <c r="F62" i="3"/>
  <c r="M61" i="3"/>
  <c r="E64" i="3"/>
  <c r="N65" i="3"/>
  <c r="F65" i="3"/>
  <c r="M64" i="3"/>
  <c r="S62" i="3"/>
  <c r="E63" i="3"/>
  <c r="S65" i="3"/>
  <c r="O65" i="3"/>
  <c r="K65" i="3"/>
  <c r="G65" i="3"/>
  <c r="R64" i="3"/>
  <c r="N64" i="3"/>
  <c r="J64" i="3"/>
  <c r="F64" i="3"/>
  <c r="Q63" i="3"/>
  <c r="M63" i="3"/>
  <c r="I63" i="3"/>
  <c r="T62" i="3"/>
  <c r="P62" i="3"/>
  <c r="L62" i="3"/>
  <c r="H62" i="3"/>
  <c r="S61" i="3"/>
  <c r="O61" i="3"/>
  <c r="K61" i="3"/>
  <c r="G61" i="3"/>
  <c r="R60" i="3"/>
  <c r="N60" i="3"/>
  <c r="J60" i="3"/>
  <c r="F60" i="3"/>
  <c r="P65" i="3"/>
  <c r="H65" i="3"/>
  <c r="Q62" i="3"/>
  <c r="Q65" i="3"/>
  <c r="I65" i="3"/>
  <c r="P64" i="3"/>
  <c r="R62" i="3"/>
  <c r="J62" i="3"/>
  <c r="Q61" i="3"/>
  <c r="I61" i="3"/>
  <c r="R65" i="3"/>
  <c r="J65" i="3"/>
  <c r="Q64" i="3"/>
  <c r="I64" i="3"/>
  <c r="O62" i="3"/>
  <c r="K62" i="3"/>
  <c r="R61" i="3"/>
  <c r="N61" i="3"/>
  <c r="J61" i="3"/>
  <c r="C249" i="58" l="1"/>
  <c r="A250" i="58"/>
  <c r="E249" i="58"/>
  <c r="F249" i="58" s="1"/>
  <c r="A251" i="58" l="1"/>
  <c r="E250" i="58"/>
  <c r="F250" i="58" s="1"/>
  <c r="C250" i="58"/>
  <c r="C251" i="58" l="1"/>
  <c r="E251" i="58"/>
  <c r="F251" i="58" s="1"/>
  <c r="A252" i="58"/>
  <c r="E252" i="58" l="1"/>
  <c r="F252" i="58" s="1"/>
  <c r="A253" i="58"/>
  <c r="C252" i="58"/>
  <c r="A254" i="58" l="1"/>
  <c r="E253" i="58"/>
  <c r="F253" i="58" s="1"/>
  <c r="C253" i="58"/>
  <c r="A255" i="58" l="1"/>
  <c r="E254" i="58"/>
  <c r="F254" i="58" s="1"/>
  <c r="C254" i="58"/>
  <c r="E255" i="58" l="1"/>
  <c r="F255" i="58" s="1"/>
  <c r="A256" i="58"/>
  <c r="C255" i="58"/>
  <c r="A257" i="58" l="1"/>
  <c r="E256" i="58"/>
  <c r="F256" i="58" s="1"/>
  <c r="C256" i="58"/>
  <c r="E257" i="58" l="1"/>
  <c r="F257" i="58" s="1"/>
  <c r="C257" i="58"/>
  <c r="A258" i="58"/>
  <c r="C258" i="58" l="1"/>
  <c r="A259" i="58"/>
  <c r="E258" i="58"/>
  <c r="F258" i="58" s="1"/>
  <c r="A260" i="58" l="1"/>
  <c r="E259" i="58"/>
  <c r="F259" i="58" s="1"/>
  <c r="C259" i="58"/>
  <c r="A261" i="58" l="1"/>
  <c r="E260" i="58"/>
  <c r="F260" i="58" s="1"/>
  <c r="C260" i="58"/>
  <c r="A262" i="58" l="1"/>
  <c r="E261" i="58"/>
  <c r="F261" i="58" s="1"/>
  <c r="C261" i="58"/>
  <c r="A263" i="58" l="1"/>
  <c r="C262" i="58"/>
  <c r="E262" i="58"/>
  <c r="F262" i="58" s="1"/>
  <c r="A264" i="58" l="1"/>
  <c r="E263" i="58"/>
  <c r="F263" i="58" s="1"/>
  <c r="C263" i="58"/>
  <c r="E264" i="58" l="1"/>
  <c r="F264" i="58" s="1"/>
  <c r="C264" i="58"/>
  <c r="A265" i="58"/>
  <c r="C265" i="58" l="1"/>
  <c r="E265" i="58"/>
  <c r="F265" i="58" s="1"/>
  <c r="A266" i="58"/>
  <c r="A267" i="58" l="1"/>
  <c r="E266" i="58"/>
  <c r="F266" i="58" s="1"/>
  <c r="C266" i="58"/>
  <c r="C267" i="58" l="1"/>
  <c r="A268" i="58"/>
  <c r="E267" i="58"/>
  <c r="F267" i="58" s="1"/>
  <c r="E268" i="58" l="1"/>
  <c r="F268" i="58" s="1"/>
  <c r="A269" i="58"/>
  <c r="C268" i="58"/>
  <c r="A270" i="58" l="1"/>
  <c r="E269" i="58"/>
  <c r="F269" i="58" s="1"/>
  <c r="C269" i="58"/>
  <c r="A271" i="58" l="1"/>
  <c r="E270" i="58"/>
  <c r="F270" i="58" s="1"/>
  <c r="C270" i="58"/>
  <c r="E271" i="58" l="1"/>
  <c r="F271" i="58" s="1"/>
  <c r="A272" i="58"/>
  <c r="C271" i="58"/>
  <c r="A273" i="58" l="1"/>
  <c r="E272" i="58"/>
  <c r="F272" i="58" s="1"/>
  <c r="C272" i="58"/>
  <c r="E273" i="58" l="1"/>
  <c r="F273" i="58" s="1"/>
  <c r="C273" i="58"/>
  <c r="A274" i="58"/>
  <c r="C274" i="58" l="1"/>
  <c r="A275" i="58"/>
  <c r="E274" i="58"/>
  <c r="F274" i="58" s="1"/>
  <c r="A276" i="58" l="1"/>
  <c r="E275" i="58"/>
  <c r="F275" i="58" s="1"/>
  <c r="C275" i="58"/>
  <c r="A277" i="58" l="1"/>
  <c r="E276" i="58"/>
  <c r="F276" i="58" s="1"/>
  <c r="C276" i="58"/>
  <c r="A278" i="58" l="1"/>
  <c r="E277" i="58"/>
  <c r="F277" i="58" s="1"/>
  <c r="C277" i="58"/>
  <c r="A279" i="58" l="1"/>
  <c r="C278" i="58"/>
  <c r="E278" i="58"/>
  <c r="F278" i="58" s="1"/>
  <c r="A280" i="58" l="1"/>
  <c r="E279" i="58"/>
  <c r="F279" i="58" s="1"/>
  <c r="C279" i="58"/>
  <c r="E280" i="58" l="1"/>
  <c r="F280" i="58" s="1"/>
  <c r="C280" i="58"/>
  <c r="A281" i="58"/>
  <c r="C281" i="58" l="1"/>
  <c r="A282" i="58"/>
  <c r="E281" i="58"/>
  <c r="F281" i="58" s="1"/>
  <c r="A283" i="58" l="1"/>
  <c r="E282" i="58"/>
  <c r="F282" i="58" s="1"/>
  <c r="C282" i="58"/>
  <c r="C283" i="58" l="1"/>
  <c r="A284" i="58"/>
  <c r="E283" i="58"/>
  <c r="F283" i="58" s="1"/>
  <c r="E284" i="58" l="1"/>
  <c r="F284" i="58" s="1"/>
  <c r="A285" i="58"/>
  <c r="C284" i="58"/>
  <c r="A286" i="58" l="1"/>
  <c r="E285" i="58"/>
  <c r="F285" i="58" s="1"/>
  <c r="C285" i="58"/>
  <c r="A287" i="58" l="1"/>
  <c r="E286" i="58"/>
  <c r="F286" i="58" s="1"/>
  <c r="C286" i="58"/>
  <c r="E287" i="58" l="1"/>
  <c r="F287" i="58" s="1"/>
  <c r="A288" i="58"/>
  <c r="C287" i="58"/>
  <c r="A289" i="58" l="1"/>
  <c r="E288" i="58"/>
  <c r="F288" i="58" s="1"/>
  <c r="C288" i="58"/>
  <c r="E289" i="58" l="1"/>
  <c r="F289" i="58" s="1"/>
  <c r="C289" i="58"/>
  <c r="A290" i="58"/>
  <c r="C290" i="58" l="1"/>
  <c r="A291" i="58"/>
  <c r="E290" i="58"/>
  <c r="F290" i="58" s="1"/>
  <c r="A292" i="58" l="1"/>
  <c r="E291" i="58"/>
  <c r="F291" i="58" s="1"/>
  <c r="C291" i="58"/>
  <c r="A293" i="58" l="1"/>
  <c r="E292" i="58"/>
  <c r="F292" i="58" s="1"/>
  <c r="C292" i="58"/>
  <c r="A294" i="58" l="1"/>
  <c r="E293" i="58"/>
  <c r="F293" i="58" s="1"/>
  <c r="C293" i="58"/>
  <c r="A295" i="58" l="1"/>
  <c r="C294" i="58"/>
  <c r="E294" i="58"/>
  <c r="F294" i="58" s="1"/>
  <c r="A296" i="58" l="1"/>
  <c r="E295" i="58"/>
  <c r="F295" i="58" s="1"/>
  <c r="C295" i="58"/>
  <c r="E296" i="58" l="1"/>
  <c r="F296" i="58" s="1"/>
  <c r="C296" i="58"/>
  <c r="A297" i="58"/>
  <c r="C297" i="58" l="1"/>
  <c r="A298" i="58"/>
  <c r="E297" i="58"/>
  <c r="F297" i="58" s="1"/>
  <c r="A299" i="58" l="1"/>
  <c r="E298" i="58"/>
  <c r="F298" i="58" s="1"/>
  <c r="C298" i="58"/>
  <c r="C299" i="58" l="1"/>
  <c r="A300" i="58"/>
  <c r="E299" i="58"/>
  <c r="F299" i="58" s="1"/>
  <c r="E300" i="58" l="1"/>
  <c r="F300" i="58" s="1"/>
  <c r="A301" i="58"/>
  <c r="C300" i="58"/>
  <c r="A302" i="58" l="1"/>
  <c r="E301" i="58"/>
  <c r="F301" i="58" s="1"/>
  <c r="C301" i="58"/>
  <c r="A303" i="58" l="1"/>
  <c r="E302" i="58"/>
  <c r="F302" i="58" s="1"/>
  <c r="C302" i="58"/>
  <c r="E303" i="58" l="1"/>
  <c r="F303" i="58" s="1"/>
  <c r="A304" i="58"/>
  <c r="C303" i="58"/>
  <c r="A305" i="58" l="1"/>
  <c r="E304" i="58"/>
  <c r="F304" i="58" s="1"/>
  <c r="C304" i="58"/>
  <c r="E305" i="58" l="1"/>
  <c r="F305" i="58" s="1"/>
  <c r="C305" i="58"/>
  <c r="A306" i="58"/>
  <c r="C306" i="58" l="1"/>
  <c r="A307" i="58"/>
  <c r="E306" i="58"/>
  <c r="F306" i="58" s="1"/>
  <c r="A308" i="58" l="1"/>
  <c r="E307" i="58"/>
  <c r="F307" i="58" s="1"/>
  <c r="C307" i="58"/>
  <c r="A309" i="58" l="1"/>
  <c r="E308" i="58"/>
  <c r="F308" i="58" s="1"/>
  <c r="C308" i="58"/>
  <c r="A310" i="58" l="1"/>
  <c r="E309" i="58"/>
  <c r="F309" i="58" s="1"/>
  <c r="C309" i="58"/>
  <c r="A311" i="58" l="1"/>
  <c r="C310" i="58"/>
  <c r="E310" i="58"/>
  <c r="F310" i="58" s="1"/>
  <c r="A312" i="58" l="1"/>
  <c r="E311" i="58"/>
  <c r="F311" i="58" s="1"/>
  <c r="C311" i="58"/>
  <c r="E312" i="58" l="1"/>
  <c r="F312" i="58" s="1"/>
  <c r="C312" i="58"/>
  <c r="A313" i="58"/>
  <c r="C313" i="58" l="1"/>
  <c r="A314" i="58"/>
  <c r="E313" i="58"/>
  <c r="F313" i="58" s="1"/>
  <c r="A315" i="58" l="1"/>
  <c r="E314" i="58"/>
  <c r="F314" i="58" s="1"/>
  <c r="C314" i="58"/>
  <c r="C315" i="58" l="1"/>
  <c r="A316" i="58"/>
  <c r="E315" i="58"/>
  <c r="F315" i="58" s="1"/>
  <c r="E316" i="58" l="1"/>
  <c r="F316" i="58" s="1"/>
  <c r="A317" i="58"/>
  <c r="C316" i="58"/>
  <c r="A318" i="58" l="1"/>
  <c r="E317" i="58"/>
  <c r="F317" i="58" s="1"/>
  <c r="C317" i="58"/>
  <c r="A319" i="58" l="1"/>
  <c r="E318" i="58"/>
  <c r="F318" i="58" s="1"/>
  <c r="C318" i="58"/>
  <c r="E319" i="58" l="1"/>
  <c r="F319" i="58" s="1"/>
  <c r="A320" i="58"/>
  <c r="C319" i="58"/>
  <c r="A321" i="58" l="1"/>
  <c r="E320" i="58"/>
  <c r="F320" i="58" s="1"/>
  <c r="C320" i="58"/>
  <c r="E321" i="58" l="1"/>
  <c r="F321" i="58" s="1"/>
  <c r="C321" i="58"/>
  <c r="A322" i="58"/>
  <c r="C322" i="58" l="1"/>
  <c r="A323" i="58"/>
  <c r="E322" i="58"/>
  <c r="F322" i="58" s="1"/>
  <c r="A324" i="58" l="1"/>
  <c r="E323" i="58"/>
  <c r="F323" i="58" s="1"/>
  <c r="C323" i="58"/>
  <c r="A325" i="58" l="1"/>
  <c r="E324" i="58"/>
  <c r="F324" i="58" s="1"/>
  <c r="C324" i="58"/>
  <c r="A326" i="58" l="1"/>
  <c r="E325" i="58"/>
  <c r="F325" i="58" s="1"/>
  <c r="C325" i="58"/>
  <c r="A327" i="58" l="1"/>
  <c r="C326" i="58"/>
  <c r="E326" i="58"/>
  <c r="F326" i="58" s="1"/>
  <c r="A328" i="58" l="1"/>
  <c r="E327" i="58"/>
  <c r="F327" i="58" s="1"/>
  <c r="C327" i="58"/>
  <c r="E328" i="58" l="1"/>
  <c r="F328" i="58" s="1"/>
  <c r="C328" i="58"/>
  <c r="A329" i="58"/>
  <c r="C329" i="58" l="1"/>
  <c r="E329" i="58"/>
  <c r="F329" i="58" s="1"/>
  <c r="B11" i="58" l="1"/>
  <c r="A400" i="58" l="1"/>
  <c r="N10" i="58"/>
  <c r="N11" i="58"/>
  <c r="N12" i="58"/>
  <c r="N13" i="58"/>
  <c r="N14" i="58"/>
  <c r="N15" i="58"/>
  <c r="N16" i="58"/>
  <c r="N17" i="58"/>
  <c r="N18" i="58"/>
  <c r="N19" i="58"/>
  <c r="N20" i="58"/>
  <c r="N21" i="58"/>
  <c r="N22" i="58"/>
  <c r="N23" i="58"/>
  <c r="N9" i="58"/>
  <c r="A429" i="58"/>
  <c r="A363" i="58"/>
  <c r="A392" i="58"/>
  <c r="A421" i="58"/>
  <c r="A355" i="58"/>
  <c r="A424" i="58"/>
  <c r="A379" i="58"/>
  <c r="A413" i="58"/>
  <c r="A347" i="58"/>
  <c r="A376" i="58"/>
  <c r="A405" i="58"/>
  <c r="A339" i="58"/>
  <c r="A397" i="58"/>
  <c r="A426" i="58"/>
  <c r="A360" i="58"/>
  <c r="A389" i="58"/>
  <c r="A418" i="58"/>
  <c r="A387" i="58"/>
  <c r="A371" i="58"/>
  <c r="A381" i="58"/>
  <c r="A410" i="58"/>
  <c r="A344" i="58"/>
  <c r="A373" i="58"/>
  <c r="A402" i="58"/>
  <c r="A365" i="58"/>
  <c r="A394" i="58"/>
  <c r="A423" i="58"/>
  <c r="A357" i="58"/>
  <c r="A386" i="58"/>
  <c r="A350" i="58"/>
  <c r="A349" i="58"/>
  <c r="A378" i="58"/>
  <c r="A407" i="58"/>
  <c r="A341" i="58"/>
  <c r="A370" i="58"/>
  <c r="A384" i="58"/>
  <c r="A428" i="58"/>
  <c r="A362" i="58"/>
  <c r="A391" i="58"/>
  <c r="A420" i="58"/>
  <c r="A354" i="58"/>
  <c r="A417" i="58"/>
  <c r="A369" i="58"/>
  <c r="A412" i="58"/>
  <c r="A346" i="58"/>
  <c r="A375" i="58"/>
  <c r="A404" i="58"/>
  <c r="A338" i="58"/>
  <c r="A342" i="58"/>
  <c r="A352" i="58"/>
  <c r="A385" i="58"/>
  <c r="A396" i="58"/>
  <c r="A425" i="58"/>
  <c r="A359" i="58"/>
  <c r="A388" i="58"/>
  <c r="A415" i="58"/>
  <c r="A401" i="58"/>
  <c r="A358" i="58"/>
  <c r="A353" i="58"/>
  <c r="A380" i="58"/>
  <c r="A409" i="58"/>
  <c r="A343" i="58"/>
  <c r="A372" i="58"/>
  <c r="A399" i="58"/>
  <c r="A430" i="58"/>
  <c r="A364" i="58"/>
  <c r="A393" i="58"/>
  <c r="A422" i="58"/>
  <c r="A356" i="58"/>
  <c r="A383" i="58"/>
  <c r="A395" i="58"/>
  <c r="A368" i="58"/>
  <c r="A414" i="58"/>
  <c r="A348" i="58"/>
  <c r="A377" i="58"/>
  <c r="A406" i="58"/>
  <c r="A340" i="58"/>
  <c r="A367" i="58"/>
  <c r="A416" i="58"/>
  <c r="A398" i="58"/>
  <c r="A427" i="58"/>
  <c r="A361" i="58"/>
  <c r="A390" i="58"/>
  <c r="A419" i="58"/>
  <c r="A351" i="58"/>
  <c r="D11" i="58"/>
  <c r="F11" i="58" s="1"/>
  <c r="A408" i="58"/>
  <c r="A382" i="58"/>
  <c r="A411" i="58"/>
  <c r="A345" i="58"/>
  <c r="A374" i="58"/>
  <c r="A403" i="58"/>
  <c r="A366" i="58"/>
</calcChain>
</file>

<file path=xl/sharedStrings.xml><?xml version="1.0" encoding="utf-8"?>
<sst xmlns="http://schemas.openxmlformats.org/spreadsheetml/2006/main" count="7863" uniqueCount="1203">
  <si>
    <t>Author</t>
  </si>
  <si>
    <t>Table Name</t>
  </si>
  <si>
    <t>Num. Dependents</t>
  </si>
  <si>
    <t>Num Independents</t>
  </si>
  <si>
    <t>Standards/ACM Reference</t>
  </si>
  <si>
    <t>Independents</t>
  </si>
  <si>
    <t>Dependents</t>
  </si>
  <si>
    <t>T. 110.2-A</t>
  </si>
  <si>
    <t>ELECTRICALLY OPERATED UNITARY AIR CONDITIONERS AND CONDENSING UNITS –
MINIMUM EFFICIENCY REQUIREMENTS</t>
  </si>
  <si>
    <t>Notes</t>
  </si>
  <si>
    <t>Equipment Type</t>
  </si>
  <si>
    <t>EER</t>
  </si>
  <si>
    <t>IEER</t>
  </si>
  <si>
    <t>T. 110.2-C</t>
  </si>
  <si>
    <t>AIR-COOLED GAS-ENGINE HEAT PUMPS</t>
  </si>
  <si>
    <t>COP</t>
  </si>
  <si>
    <t>T. 110.2-D</t>
  </si>
  <si>
    <t>T. 110.2-G</t>
  </si>
  <si>
    <t>PERFORMANCE REQUIREMENTS FOR HEAT REJECTION EQUIPMENT</t>
  </si>
  <si>
    <t>T. 110.2-H</t>
  </si>
  <si>
    <t>T. 110.2-J</t>
  </si>
  <si>
    <t>T. 110.2-K</t>
  </si>
  <si>
    <t>Equipment Type
Sub Category
Size Category</t>
  </si>
  <si>
    <t>Equipment Type
Construction (new/replacements)
Capacity
Mfr Date</t>
  </si>
  <si>
    <t>PACKAGED TERMINAL AIR CONDITIONERS AND PACKAGED TERMINAL HEAT PUMPS – MINIMUM EFFICIENCY REQUIREMENTS (Cooling Mode)</t>
  </si>
  <si>
    <t>PACKAGED TERMINAL AIR CONDITIONERS AND PACKAGED TERMINAL HEAT PUMPS – MINIMUM EFFICIENCY REQUIREMENTS (Heating Mode)</t>
  </si>
  <si>
    <t>T. 110.2-E(2)</t>
  </si>
  <si>
    <t>T. 110.2-E(1)</t>
  </si>
  <si>
    <t>Equipment Type
Size Category</t>
  </si>
  <si>
    <t>Equipment Type
Size Category
Heating Section Type</t>
  </si>
  <si>
    <t>T. 110.2-I(1)</t>
  </si>
  <si>
    <t>T. 110.2-I(2)</t>
  </si>
  <si>
    <t>T.110.6-A</t>
  </si>
  <si>
    <t>DEFAULT FENESTRATION PRODUCT U-FACTORS</t>
  </si>
  <si>
    <t xml:space="preserve">ELECTRICALLY OPERATED VARIABLE REFRIGERANT FLOW (VRF) AIR CONDITIONERS-MINIMUM EFFICIENCY REQUIREMENTS </t>
  </si>
  <si>
    <t>ELECTRICALLY OPERATED VARIABLE REFRIGERANT FLOW (VRF) AIR-TO-AIR AND APPLIED HEAT PUMPS - MINIMUM EFFICIENCY REQUIREMENTS (Cooling Mode)</t>
  </si>
  <si>
    <t>ELECTRICALLY OPERATED VARIABLE REFRIGERANT FLOW (VRF) AIR-TO-AIR AND APPLIED HEAT PUMPS - MINIMUM EFFICIENCY REQUIREMENTS (Heating Mode)</t>
  </si>
  <si>
    <t>WARM-AIR FURNACES AND COMBINATION WARM-AIR FURNACES/AIR-CONDITIONING UNITS, WARM-AIR DUCT FURNACES, AND UNIT HEATERS</t>
  </si>
  <si>
    <t>GAS- AND OIL-FIRED BOILERS, MINIMUM EFFICIENCY REQUIREMENTS</t>
  </si>
  <si>
    <t>SLAB INSULATION REQUIREMENTS FOR HEATED SLAB FLOOR</t>
  </si>
  <si>
    <t>T.110.8-A</t>
  </si>
  <si>
    <t>Insulation Location
Insulation Orientation
Climate Zone</t>
  </si>
  <si>
    <t>R-Value</t>
  </si>
  <si>
    <t>T.110.8-B</t>
  </si>
  <si>
    <t>T.110.8-C</t>
  </si>
  <si>
    <t>MINIMUM PERFORMANCE REQUIREMENTS FOR LIQUID APPLIED ROOF COATINGS</t>
  </si>
  <si>
    <t>MINIMUM VENTILATION RATES</t>
  </si>
  <si>
    <t>T.120.1-A</t>
  </si>
  <si>
    <t>Type of Use</t>
  </si>
  <si>
    <t>T.120.3-A</t>
  </si>
  <si>
    <t>PIPE INSULATION THICKNESS</t>
  </si>
  <si>
    <t>T.120.6-A</t>
  </si>
  <si>
    <t>REFRIGERATED WAREHOUSE INSULATION</t>
  </si>
  <si>
    <t>Space 
Surface</t>
  </si>
  <si>
    <t>Minimum R-Value</t>
  </si>
  <si>
    <t>T.120.6-B</t>
  </si>
  <si>
    <t>Condenser Type
Refrigerant Type</t>
  </si>
  <si>
    <t>Minimum Efficiency</t>
  </si>
  <si>
    <t>FAN-POWERED CONDENSERS – MINIMUM EFFICIENCY REQUIREMENTS</t>
  </si>
  <si>
    <t>T.120.6-C</t>
  </si>
  <si>
    <t>FAN-POWERED CONDENSERS –SPECIFIC EFFICIENCY REQUIREMENTS</t>
  </si>
  <si>
    <t>Condenser Type</t>
  </si>
  <si>
    <t>Minimum Specific Efficiency</t>
  </si>
  <si>
    <t>T.130.1-A</t>
  </si>
  <si>
    <t>MULTI-LEVEL LIGHTING CONTROLS AND UNIFORMITY REQUIREMENTS</t>
  </si>
  <si>
    <t>Luminaire Type</t>
  </si>
  <si>
    <t>T.130.2-A</t>
  </si>
  <si>
    <t>Secondary solid angle
Outdoor Lighting Zone (OLZ)</t>
  </si>
  <si>
    <t>Maximum Zonal Lumens</t>
  </si>
  <si>
    <t>Minimum Required Control Steps</t>
  </si>
  <si>
    <t>UPLIGHT RATING (MAXIMUM ZONAL LUMENS)</t>
  </si>
  <si>
    <t>T.130.2-B(1)</t>
  </si>
  <si>
    <t>GLARE RATINGS FOR ASYMMETRICAL LUMINAIRE (MAXIMUM ZONAL LUMENS)</t>
  </si>
  <si>
    <t>GLARE RATINGS FOR QUADRILATERAL SYMMETRICAL LUMINAIRE (MAXIMUM ZONAL LUMENS)</t>
  </si>
  <si>
    <t>T.130.5-A</t>
  </si>
  <si>
    <t>T.130.5-B</t>
  </si>
  <si>
    <t>T.140.3</t>
  </si>
  <si>
    <t>ROOF/CEILING INSULATION TRADEOFF FOR AGED SOLAR REFLECTANCE</t>
  </si>
  <si>
    <t>U-factor - Building Framing Type (metal, wood or other)
Climate Zone</t>
  </si>
  <si>
    <t xml:space="preserve">Aged Solar Reflectance - Trade off </t>
  </si>
  <si>
    <t>T.140.3-A</t>
  </si>
  <si>
    <t>T.140.3-B(1)</t>
  </si>
  <si>
    <t>T.140.3-B(2)</t>
  </si>
  <si>
    <t>T.140.3-B(3)</t>
  </si>
  <si>
    <t>T.140.3-B(4)</t>
  </si>
  <si>
    <t>PRESCRIPTIVE ENVELOPE CRITERIA FOR NONRESIDENTIAL BUILDINGS (roofing products)</t>
  </si>
  <si>
    <t>Surface</t>
  </si>
  <si>
    <t>Surface
Construction Type
Climate Zone</t>
  </si>
  <si>
    <t>Surface
Climate Zone</t>
  </si>
  <si>
    <t>Aged Solar Reflectance
Thermal Emittance</t>
  </si>
  <si>
    <t>Climate Zone</t>
  </si>
  <si>
    <t>Maximum U-factor</t>
  </si>
  <si>
    <t>T.140.3-B(5)</t>
  </si>
  <si>
    <t>T.140.3-C(1)</t>
  </si>
  <si>
    <t>PRESCRIPTIVE ENVELOPE CRITERIA FOR HIGH-RISE RESIDENTIAL BUILDINGS AND GUEST ROOMS OF HOTEL/MOTEL BUILDINGS (roofing products)</t>
  </si>
  <si>
    <t>T.140.3-C(2)</t>
  </si>
  <si>
    <t>T.140.3-C(3)</t>
  </si>
  <si>
    <t>T.140.3-C(4)</t>
  </si>
  <si>
    <t>T.140.3-C(5)</t>
  </si>
  <si>
    <t>T.140.3-D(1)</t>
  </si>
  <si>
    <t>T.140.3-D(2)</t>
  </si>
  <si>
    <t>T.140.3-D(3)</t>
  </si>
  <si>
    <t>T.140.3-D(4)</t>
  </si>
  <si>
    <t>T.140.3-D(5)</t>
  </si>
  <si>
    <t>PRESCRIPTIVE ENVELOPE CRITERIA FOR RELOCATABLE PUBLIC SCHOOL BUILDINGS FOR USE IN ALL CLIMATE ZONES (roofing products)</t>
  </si>
  <si>
    <t>T.140.4-A</t>
  </si>
  <si>
    <t>ECONOMIZER TRADE-OFF TABLE FOR COOLING SYSTEMS</t>
  </si>
  <si>
    <t>AIR ECONOMIZER HIGH LIMIT SHUT OFF CONTROL REQUIREMENTS</t>
  </si>
  <si>
    <t>T.140.4-B</t>
  </si>
  <si>
    <t>Device Type
Climate Zone
Altitude (for fixed enthalpy limit, elevated places)</t>
  </si>
  <si>
    <t>T.140.4-C</t>
  </si>
  <si>
    <t>DIRECT EXPANSION (DX) UNIT REQUIREMENTS FOR COOLING STAGES AND COMPRESSOR DISPLACEMENT</t>
  </si>
  <si>
    <t>Cooling Capacity</t>
  </si>
  <si>
    <t>Cooling Stages
Compressor Displacement</t>
  </si>
  <si>
    <t>T.140.4-D</t>
  </si>
  <si>
    <t>EFFECTIVE DATES FOR FAN CONTROL SYSTEMS</t>
  </si>
  <si>
    <t>T.140.6-A</t>
  </si>
  <si>
    <t>Type of Control
Type of Area</t>
  </si>
  <si>
    <t>Factor</t>
  </si>
  <si>
    <t>COMPLETE BUILDING METHOD LIGHTING POWER DENSITY VALUES</t>
  </si>
  <si>
    <t>T.140.6-B</t>
  </si>
  <si>
    <t>Type of Building</t>
  </si>
  <si>
    <t>Allowed LPD</t>
  </si>
  <si>
    <t>AREA CATEGORY METHOD - LIGHTING POWER DENSITY VALUES (WATTS/FT²)</t>
  </si>
  <si>
    <t>T.140.6-C</t>
  </si>
  <si>
    <t>Primary Function Area</t>
  </si>
  <si>
    <t>Primary Function Area
Sub Function Area
Added Specialized Functions in Area</t>
  </si>
  <si>
    <t>TAILORED METHOD LIGHTING POWER ALLOWANCES</t>
  </si>
  <si>
    <t>ADJUSTMENTS FOR MOUNTING HEIGHT ABOVE FLOOR</t>
  </si>
  <si>
    <t>T.140.6-D</t>
  </si>
  <si>
    <t>T.140.6-E</t>
  </si>
  <si>
    <t>T.140.6-F</t>
  </si>
  <si>
    <t>ROOM CAVITY RATIO (RCR) EQUATIONS</t>
  </si>
  <si>
    <t>T.140.6-G</t>
  </si>
  <si>
    <t>ILLUMINANCE LEVEL (LUX) POWER DENSITY VALUES (WATTS/FT²)</t>
  </si>
  <si>
    <t>GENERAL HARDSCAPE LIGHTING POWER ALLOWANCE</t>
  </si>
  <si>
    <t>T.140.7-A</t>
  </si>
  <si>
    <t xml:space="preserve">Maximum Window Wall Ratio Percentage (WWR%) = 40%
</t>
  </si>
  <si>
    <t>Maximum U-factor
Maximum RSHGC (vertical)
Minimum VT</t>
  </si>
  <si>
    <t xml:space="preserve">
Maximum Skylight Roof Ratio Percentage (SRR%) = 5%</t>
  </si>
  <si>
    <t>T.140.3-B(6)</t>
  </si>
  <si>
    <t>Maximum U-factor
Maximum SHGC
Minimum VT</t>
  </si>
  <si>
    <t>Maximum U-factor
Maximum SHGC (skylights)
Minimum VT</t>
  </si>
  <si>
    <t>Type of Power Allowance
Lighting Zone</t>
  </si>
  <si>
    <t>Lighting Power Density</t>
  </si>
  <si>
    <t>T.140.7-B</t>
  </si>
  <si>
    <t>ADDITIONAL LIGHTING POWER ALLOWANCE FOR SPECIFIC APPLICATIONS</t>
  </si>
  <si>
    <t>MAXIMUM NET EXHAUST FLOW RATE, CFM PER LINEAR FOOT OF HOOD LENGTH</t>
  </si>
  <si>
    <t>T.140.9-A</t>
  </si>
  <si>
    <t>Type of Hood
Type of Equipment (sizing)</t>
  </si>
  <si>
    <t>CFM per Linear Foot of Hood Length</t>
  </si>
  <si>
    <t>T.141.0-A</t>
  </si>
  <si>
    <t>A ALTERED WINDOW MAXIMUM U-FACTOR AND  MINIMUM RSHGC</t>
  </si>
  <si>
    <t xml:space="preserve">Climate Zone
</t>
  </si>
  <si>
    <t>U-Factor
RSHGC
VT</t>
  </si>
  <si>
    <t>T.141.0-B</t>
  </si>
  <si>
    <t>Climate Zone
U-Factor</t>
  </si>
  <si>
    <t>Aged Solar Reflectance</t>
  </si>
  <si>
    <t>T.141.0-C</t>
  </si>
  <si>
    <t>INSULATION REQUIREMENTS FOR ROOF ALTERATIONS</t>
  </si>
  <si>
    <t>Continuous  Insulation (R-Value)
U-Factor</t>
  </si>
  <si>
    <t>T.141.0-D</t>
  </si>
  <si>
    <t>THE STANDARD DESIGN FOR AN ALTERED COMPONENT</t>
  </si>
  <si>
    <t>T.141.0-E</t>
  </si>
  <si>
    <t>T.141.0-F</t>
  </si>
  <si>
    <t>REQUIREMENTS FOR LUMINAIRE ALTERATIONS</t>
  </si>
  <si>
    <t>REQUIREMENTS FOR LUMINAIRE MODIFICATIONS-IN-PLACE</t>
  </si>
  <si>
    <t>CLASSIFICATION OF HIGH EFFICACY AND LOW EFFICACY LIGHT SOURCES</t>
  </si>
  <si>
    <t>T.150.0-A</t>
  </si>
  <si>
    <t>T.150.0-B</t>
  </si>
  <si>
    <t>T.150.0-C</t>
  </si>
  <si>
    <t>T.150.0-D</t>
  </si>
  <si>
    <t>MINIMUM REQUIREMENTS FOR OTHER LIGHT SOURCES TO QUALIFY AS HIGH EFFICACY</t>
  </si>
  <si>
    <t>RETURN DUCT SIZING FOR SINGLE RETURN DUCT SYSTEMS</t>
  </si>
  <si>
    <t>RETURN DUCT SIZING FOR MULTIPLE RETURN DUCT SYSTEMS</t>
  </si>
  <si>
    <t>Equipment Type
Size Category
Heating Section Type
Heating Recovery Section</t>
  </si>
  <si>
    <t>Product Type/ CRRC Product Category</t>
  </si>
  <si>
    <t>Fluid Temperature Range 
Conductivity Range 
Insulation Mean Rating Temperature
Nominal Pipe Diameter
Space Heating or Space Cooling system</t>
  </si>
  <si>
    <t>Climate Zone
Building Type</t>
  </si>
  <si>
    <t>Efficiency Improvement Percentage</t>
  </si>
  <si>
    <t>Requirement Specification</t>
  </si>
  <si>
    <t>cfm/Sqft of conditioned area</t>
  </si>
  <si>
    <t>WATER CHILLING PACKAGES – MINIMUM EFFICIENCY REQUIREMENTS</t>
  </si>
  <si>
    <t>VALUES OF (ROOF) SOILING RESISTANCE β BY PRODUCT TYPE</t>
  </si>
  <si>
    <t>Need to define in ACM the default orientation and F-factors for baseline.</t>
  </si>
  <si>
    <t>Not used in ruleset</t>
  </si>
  <si>
    <t>Roof Soiling Resistance</t>
  </si>
  <si>
    <t>Mandatory requirement, no table needed, will be hard-coded into rules.</t>
  </si>
  <si>
    <t>MINIMUM REQUIREMENTS FOR METERING OF ELECTRICAL LOAD</t>
  </si>
  <si>
    <t>MINIMUM REQUIREMENTS FOR SEPARATION OF ELECTRICAL LOAD</t>
  </si>
  <si>
    <t>MATERIALS DEEMED TO COMPLY WITH SECTION 140.3(a)9A</t>
  </si>
  <si>
    <t>PRESCRIPTIVE ENVELOPE CRITERIA FOR HIGH-RISE RESIDENTIAL BUILDINGS AND GUEST ROOMS OF HOTEL/MOTEL BUILDINGS (exterior doors)</t>
  </si>
  <si>
    <t>PRESCRIPTIVE ENVELOPE CRITERIA FOR HIGH-RISE RESIDENTIAL BUILDINGS AND GUEST ROOMS OF HOTEL/MOTEL BUILDINGS (vertical fenestration)</t>
  </si>
  <si>
    <t>PRESCRIPTIVE ENVELOPE CRITERIA FOR HIGH-RISE RESIDENTIAL BUILDINGS AND GUEST ROOMS OF HOTEL/MOTEL BUILDINGS (skylights)</t>
  </si>
  <si>
    <t>PRESCRIPTIVE ENVELOPE CRITERIA FOR RELOCATABLE PUBLIC SCHOOL BUILDINGS FOR USE IN ALL CLIMATE ZONES (vertical fenestration)</t>
  </si>
  <si>
    <t>PRESCRIPTIVE ENVELOPE CRITERIA FOR RELOCATABLE PUBLIC SCHOOL BUILDINGS FOR USE IN ALL CLIMATE ZONES (exterior doors)</t>
  </si>
  <si>
    <t>PRESCRIPTIVE ENVELOPE CRITERIA FOR NONRESIDENTIAL BUILDINGS (vertical fenestration)</t>
  </si>
  <si>
    <t>PRESCRIPTIVE ENVELOPE CRITERIA FOR NONRESIDENTIAL BUILDINGS (exterior doors)</t>
  </si>
  <si>
    <t>PRESCRIPTIVE ENVELOPE CRITERIA FOR NONRESIDENTIAL BUILDINGS (air barrier)</t>
  </si>
  <si>
    <t>PRESCRIPTIVE ENVELOPE CRITERIA FOR NONRESIDENTIAL BUILDINGS (skylights)</t>
  </si>
  <si>
    <t>PRESCRIPTIVE ENVELOPE CRITERIA FOR RELOCATABLE PUBLIC SCHOOL BUILDINGS FOR USE IN ALL CLIMATE ZONES (skylights)</t>
  </si>
  <si>
    <t xml:space="preserve">Maximum U-factor
Maximum SHGC
</t>
  </si>
  <si>
    <t>gpm/hp
Btu/h-hp</t>
  </si>
  <si>
    <t>Additional LPD allowances to be defiend by separate table?</t>
  </si>
  <si>
    <t>Height from floor ro bottom of luminaire</t>
  </si>
  <si>
    <t>Multiplier</t>
  </si>
  <si>
    <t>Lighting Watts</t>
  </si>
  <si>
    <t>Not clear how ruleset will define exterior lighting</t>
  </si>
  <si>
    <t>Additions, alterations, and repairs</t>
  </si>
  <si>
    <t>SHGC</t>
  </si>
  <si>
    <t>Product type
Climate zone</t>
  </si>
  <si>
    <t>Surface
Construction type</t>
  </si>
  <si>
    <t>Door Type (Swinging/Non-Swinging)</t>
  </si>
  <si>
    <t>Door Type (Swinging/Non-Swinging)
Climate Zone</t>
  </si>
  <si>
    <t>Product type (material/mounting type)</t>
  </si>
  <si>
    <t>Product type (Window/Glazing Type)</t>
  </si>
  <si>
    <t xml:space="preserve">Maximum U-factor
Maximum RSHGC (vertical)
</t>
  </si>
  <si>
    <t xml:space="preserve">Product Type (window/glazed door)
</t>
  </si>
  <si>
    <t>Product Type
Skylight roof ratio (SRR)</t>
  </si>
  <si>
    <t>T. 100.0-A</t>
  </si>
  <si>
    <t>APPLICATION OF STANDARDS</t>
  </si>
  <si>
    <t>T. 110.2-F</t>
  </si>
  <si>
    <t>HEAT TRANSFER EQUIPMENT</t>
  </si>
  <si>
    <t>T.150.1-A</t>
  </si>
  <si>
    <t>A COMPONENT PACKAGE-A Standard Building Design</t>
  </si>
  <si>
    <t>T.150.2-A</t>
  </si>
  <si>
    <t>AGED SOLAR REFLECTANCE INSULATION TRADE OFF TABLE</t>
  </si>
  <si>
    <t>T.150.2-B</t>
  </si>
  <si>
    <t>STANDARD DESIGN FOR AN ALTERED COMPONENT</t>
  </si>
  <si>
    <t>Additions, alterations, and repairs, Not used in ruleset</t>
  </si>
  <si>
    <t>For tailored lighting method</t>
  </si>
  <si>
    <t>Illuminance Level
RCR</t>
  </si>
  <si>
    <t>Section</t>
  </si>
  <si>
    <t>Frame Type
Product Type
Panes (single, double, glass block)</t>
  </si>
  <si>
    <t>DefaultFenestrationUFactors</t>
  </si>
  <si>
    <t>ProductType</t>
  </si>
  <si>
    <t>UFactor</t>
  </si>
  <si>
    <t>Panes=</t>
  </si>
  <si>
    <t>Skylight</t>
  </si>
  <si>
    <t>DefaultFenestrationUFactors.UFactor(ProductType=u.Proj:FenCons:ProdType, Frame=u.Proj:FenCons:Frame, Panes=u.Proj:FenCons:Panes)</t>
  </si>
  <si>
    <t>DefaultFenestrationUFactors.UFactor(ProductType=u.ProdType, Frame=u.Frm, Panes=u.Panes)</t>
  </si>
  <si>
    <t>VT</t>
  </si>
  <si>
    <t>GlazedDoor</t>
  </si>
  <si>
    <t>SurfaceType</t>
  </si>
  <si>
    <t>ClimateZone=</t>
  </si>
  <si>
    <t>ENDTABLE</t>
  </si>
  <si>
    <t>PRESCRIPTIVE ENVELOPE CRITERIA FOR NONRESIDENTIAL BUILDINGS (roofs, walls, floors)</t>
  </si>
  <si>
    <t>Roof</t>
  </si>
  <si>
    <t>Wall</t>
  </si>
  <si>
    <t>Floor</t>
  </si>
  <si>
    <t>;</t>
  </si>
  <si>
    <t>Notes:</t>
  </si>
  <si>
    <t>GlassBlock</t>
  </si>
  <si>
    <t>GardenWindow</t>
  </si>
  <si>
    <t>EffRValue</t>
  </si>
  <si>
    <t xml:space="preserve">Ufactor
</t>
  </si>
  <si>
    <t>TABLE 110.6-A - DEFAULT FENESTRATION PRODUCT U-FACTORS</t>
  </si>
  <si>
    <t>SinglePane</t>
  </si>
  <si>
    <t>NA</t>
  </si>
  <si>
    <t>BaseNonResVertFenPerf.VT(ProductType=u.ProductType)</t>
  </si>
  <si>
    <t>BaseNonResVertFenPerf.SHGC(ProductType=u.ProductType)</t>
  </si>
  <si>
    <t>BaseNonResVertFenPerf.UFactor(ProductType=u.ProductType)</t>
  </si>
  <si>
    <t>Date</t>
  </si>
  <si>
    <t>Name</t>
  </si>
  <si>
    <t>Purpose</t>
  </si>
  <si>
    <t>Initial ruleset setup</t>
  </si>
  <si>
    <t>Standards/ACM Reference:</t>
  </si>
  <si>
    <t>ACM Sections 5.5.3, 5.5.4, 5.5.5</t>
  </si>
  <si>
    <t>BaseNonResEnvEffRValue.EffRValue(SurfaceType="Roof", ClimateZone=u.Proj:CliZn)</t>
  </si>
  <si>
    <t>BaseNonResEnvEffRValue.EffRValue(SurfaceType="Wall", ClimateZone=u.Proj:CliZn)</t>
  </si>
  <si>
    <t>BaseNonResEnvEffRValue.EffRValue(SurfaceType="Floor", ClimateZone=u.Proj:CliZn)</t>
  </si>
  <si>
    <t>; ----------------------------------------------------- Start of Table -----------------------------------------------------</t>
  </si>
  <si>
    <t>Syntax Examples:</t>
  </si>
  <si>
    <t>Standards TABLE 140.3-B(1) PRESCRIPTIVE ENVELOPE CRITERIA FOR NONRESIDENTIAL BUILDINGS  defines baseline overall U-factor performance for roofs, walls, and floors; shown below for reference</t>
  </si>
  <si>
    <t>TABLE ElecOp_UnitaryA/C-CU_MinEffReq</t>
  </si>
  <si>
    <t>&lt;240</t>
  </si>
  <si>
    <t>&lt;760</t>
  </si>
  <si>
    <t>&gt;=760</t>
  </si>
  <si>
    <t>&lt;135</t>
  </si>
  <si>
    <t>SizeCategory</t>
  </si>
  <si>
    <t>EquipmentType</t>
  </si>
  <si>
    <t>&gt;240</t>
  </si>
  <si>
    <t>AC, air-cooled, split/pkgd</t>
  </si>
  <si>
    <t xml:space="preserve">Air-cooled (cooling mode) </t>
  </si>
  <si>
    <t>BaseNonResSkylightPerf.UFactor(ProductType=u.ProductType)</t>
  </si>
  <si>
    <t>BaseNonResSkylightPerf.SHGC(ProductType=u.ProductType)</t>
  </si>
  <si>
    <t>BaseNonResSkylightPerf.VT(ProductType=u.ProductType)</t>
  </si>
  <si>
    <t>Maximum 'Window to Wall Ratio' (WWR%) is 40%.</t>
  </si>
  <si>
    <t>Maximum 'Skylight to Roof Ratio' (SRR%) is 5%.</t>
  </si>
  <si>
    <t>Outside Air Film</t>
  </si>
  <si>
    <t xml:space="preserve">Roofs - Wood framed  and other </t>
  </si>
  <si>
    <t>Inside Air Film</t>
  </si>
  <si>
    <t>Roof Gravel or Slag (1.0 in.)</t>
  </si>
  <si>
    <t>Plywood (1/2 in.)</t>
  </si>
  <si>
    <t>Metal Deck</t>
  </si>
  <si>
    <t>Metal Framing</t>
  </si>
  <si>
    <t>Air Layer (4 in. or more)</t>
  </si>
  <si>
    <t>Acoustic Tile (3/4 in.)</t>
  </si>
  <si>
    <t>Stucco (7/8 in.)</t>
  </si>
  <si>
    <t>Building Paper</t>
  </si>
  <si>
    <t>Metal Framing, no insulation</t>
  </si>
  <si>
    <t>Gypsum Board (5/8 in.)</t>
  </si>
  <si>
    <t>Walls - Metal Framed</t>
  </si>
  <si>
    <t>Floor - Steel Framed</t>
  </si>
  <si>
    <t>Exterior Finish (metal or none)</t>
  </si>
  <si>
    <t>Steel Joists</t>
  </si>
  <si>
    <t>Wood Sheathing (5/8 in.)</t>
  </si>
  <si>
    <t>Carpet with Fibrous Pad</t>
  </si>
  <si>
    <t>Inside Air Film (down)</t>
  </si>
  <si>
    <t>TABLE 110.2-D - WATER CHILLING PACKAGES – MINIMUM EFFICIENCY REQUIREMENTS</t>
  </si>
  <si>
    <t>No requirements for Positive displacement chillers with design leaving fluid temperature &lt;= 32°F</t>
  </si>
  <si>
    <t>&lt;300</t>
  </si>
  <si>
    <t>kW/ton</t>
  </si>
  <si>
    <t>&gt;=300</t>
  </si>
  <si>
    <t>JG</t>
  </si>
  <si>
    <t>Started</t>
  </si>
  <si>
    <t>InReview</t>
  </si>
  <si>
    <t>Completed</t>
  </si>
  <si>
    <t>Status</t>
  </si>
  <si>
    <t>^^^ Insert Above ^^^</t>
  </si>
  <si>
    <t>NotUsed</t>
  </si>
  <si>
    <t>SEER
EER
IEER</t>
  </si>
  <si>
    <t>SEER
EER
HSPF
COP
IEER</t>
  </si>
  <si>
    <r>
      <t>AFUE
E</t>
    </r>
    <r>
      <rPr>
        <vertAlign val="subscript"/>
        <sz val="11"/>
        <rFont val="Calibri"/>
        <family val="2"/>
        <scheme val="minor"/>
      </rPr>
      <t xml:space="preserve">t
</t>
    </r>
    <r>
      <rPr>
        <sz val="11"/>
        <rFont val="Calibri"/>
        <family val="2"/>
        <scheme val="minor"/>
      </rPr>
      <t>E</t>
    </r>
    <r>
      <rPr>
        <vertAlign val="subscript"/>
        <sz val="11"/>
        <rFont val="Calibri"/>
        <family val="2"/>
        <scheme val="minor"/>
      </rPr>
      <t>c</t>
    </r>
  </si>
  <si>
    <r>
      <t>Outdoor Air Temperature</t>
    </r>
    <r>
      <rPr>
        <vertAlign val="subscript"/>
        <sz val="11"/>
        <rFont val="Calibri"/>
        <family val="2"/>
        <scheme val="minor"/>
      </rPr>
      <t xml:space="preserve">
</t>
    </r>
    <r>
      <rPr>
        <sz val="11"/>
        <rFont val="Calibri"/>
        <family val="2"/>
        <scheme val="minor"/>
      </rPr>
      <t>Return Air Temperature</t>
    </r>
  </si>
  <si>
    <r>
      <t>General Illumination Level (Lux)
Wall Display Power (W/ft)
Allowed combined floor display Power and Task Lighting power (W/ft</t>
    </r>
    <r>
      <rPr>
        <vertAlign val="super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)
Allowed Ornamental/Special Effect Lighting</t>
    </r>
  </si>
  <si>
    <t>SC</t>
  </si>
  <si>
    <t>Included in Appendix 5.4A (separate spreadsheet)</t>
  </si>
  <si>
    <t>NotStarted</t>
  </si>
  <si>
    <t>Does not apply to baseline design</t>
  </si>
  <si>
    <t>OpaqueEnvelope-Doors.txt</t>
  </si>
  <si>
    <t>Error1</t>
  </si>
  <si>
    <t>Error2</t>
  </si>
  <si>
    <t>GlassBlock is not an acceptable specification for the specified ProductType.  Check inputs for consistency.</t>
  </si>
  <si>
    <t>Default U-factors are not available for thermally-broken frames with Single or GlassBlock glazing options.  Check inputs for consistency.</t>
  </si>
  <si>
    <t>T.110.6-B</t>
  </si>
  <si>
    <t>DEFAULT SOLAR HEAT GAIN COEFFICIENT (SHGC)</t>
  </si>
  <si>
    <t>Product Type
Glazing Tint
Panes (single, double, glass block)</t>
  </si>
  <si>
    <t xml:space="preserve">Added Error codes </t>
  </si>
  <si>
    <t>Insulation layer</t>
  </si>
  <si>
    <r>
      <t>R</t>
    </r>
    <r>
      <rPr>
        <b/>
        <vertAlign val="subscript"/>
        <sz val="11"/>
        <color rgb="FF0000FF"/>
        <rFont val="Calibri"/>
        <family val="2"/>
        <scheme val="minor"/>
      </rPr>
      <t>insulation</t>
    </r>
  </si>
  <si>
    <t>Surface Type
Climate Zone</t>
  </si>
  <si>
    <t>Standards table defines maximum U-factor performance.  Ruleset table defines R-value of insulation layer that results in an equivalent U-factor based on ACM specified assembly layers.</t>
  </si>
  <si>
    <t>Ruleset File</t>
  </si>
  <si>
    <t>BldgType</t>
  </si>
  <si>
    <t>NonResidential</t>
  </si>
  <si>
    <t>Residential</t>
  </si>
  <si>
    <t>RelocClass</t>
  </si>
  <si>
    <t>*</t>
  </si>
  <si>
    <t>However, the baseline wall perfromance will be defined by a standard ConstructionAssembly definitions, as described by the layer materials and R-values listed below:</t>
  </si>
  <si>
    <t>TOTAL ASSEMBLY R-Value</t>
  </si>
  <si>
    <t>; -----------------------------------------------------------------------------------------------------------------------------------------------------------------------------------------------------------------------------------</t>
  </si>
  <si>
    <t>Mat R-value</t>
  </si>
  <si>
    <t>Layer</t>
  </si>
  <si>
    <t>SYNTAX EXAMPLES:</t>
  </si>
  <si>
    <t>NOTES:</t>
  </si>
  <si>
    <t>TABLE NAME:</t>
  </si>
  <si>
    <t>MODIFICATION HISTORY:</t>
  </si>
  <si>
    <t>STANDARDS/ACM REFERENCE(S):</t>
  </si>
  <si>
    <t>BaseEnvelopeEffRValue</t>
  </si>
  <si>
    <t>PRESCRIPTIVE ENVELOPE CRITERIA FOR HIGH-RISE RESIDENTIAL BUILDINGS AND GUEST ROOMS OF HOTEL/MOTEL BUILDINGS (roofs, walls, floors)</t>
  </si>
  <si>
    <t>PRESCRIPTIVE ENVELOPE CRITERIA FOR RELOCATABLE PUBLIC SCHOOL BUILDINGS FOR USE IN ALL CLIMATE ZONES (roofs, walls, floors)</t>
  </si>
  <si>
    <t>Requirement is same for all CZs</t>
  </si>
  <si>
    <t xml:space="preserve">Added calculated cavity R-value using actual assembly layer R-values.  Consolidated to have one table for NRes, Res, and RelocClass </t>
  </si>
  <si>
    <t>; ======================================================================================================================================================================</t>
  </si>
  <si>
    <t>; ####################################  Start of Table ####################################</t>
  </si>
  <si>
    <t>TABLE 140.3-C - PRESCRIPTIVE ENVELOPE CRITERIA FOR HIGH-RISE RESIDENTIAL BUILDINGS AND GUEST ROOMS OF HOTEL/MOTEL BUILDINGS (vertical fenestration)</t>
  </si>
  <si>
    <t>TABLE 140.3-B - PRESCRIPTIVE ENVELOPE CRITERIA FOR NONRESIDENTIAL BUILDINGS (vertical fenestration)</t>
  </si>
  <si>
    <t>TABLE 140.3-B PRESCRIPTIVE ENVELOPE CRITERIA FOR NONRESIDENTIAL BUILDINGS (roofs, walls, floors)</t>
  </si>
  <si>
    <t>TABLE 140.3-C PRESCRIPTIVE ENVELOPE CRITERIA FOR HIGH-RISE RESIDENTIAL BUILDINGS AND GUEST ROOMS OF HOTEL/MOTEL BUILDINGS (roofs, walls, floors)</t>
  </si>
  <si>
    <t>TABLE 140.3-D PRESCRIPTIVE ENVELOPE CRITERIA FOR RELOCATABLE PUBLIC SCHOOL BUILDINGS FOR USE IN ALL CLIMATE ZONES (roofs, walls, floors)</t>
  </si>
  <si>
    <t>TABLE 140.3-D - PRESCRIPTIVE ENVELOPE CRITERIA FOR RELOCATABLE PUBLIC SCHOOL BUILDINGS FOR USE IN ALL CLIMATE ZONES (vertical fenestration)</t>
  </si>
  <si>
    <t>TABLE 140.3-B - PRESCRIPTIVE ENVELOPE CRITERIA FOR NONRESIDENTIAL BUILDINGS (skylights)</t>
  </si>
  <si>
    <t>TABLE 140.3-C - PRESCRIPTIVE ENVELOPE CRITERIA FOR HIGH-RISE RESIDENTIAL BUILDINGS AND GUEST ROOMS OF HOTEL/MOTEL BUILDINGS (skylights)</t>
  </si>
  <si>
    <t>TABLE 140.3-D - PRESCRIPTIVE ENVELOPE CRITERIA FOR RELOCATABLE PUBLIC SCHOOL BUILDINGS FOR USE IN ALL CLIMATE ZONES (skylights)</t>
  </si>
  <si>
    <t>Relocatable classroom glazing performance is based on SRR</t>
  </si>
  <si>
    <t>TO DO: Review SDD terms and update independent values and syntax examples as necessary.</t>
  </si>
  <si>
    <t>BaseVerticalFenPerformance</t>
  </si>
  <si>
    <t>UnitaryAC-HPMinEffReq</t>
  </si>
  <si>
    <t>TABLE 110.2-B - UNITARY AND APPLIED HEAT PUMPS, MINIMUM EFFICIENCY REQUIREMENTS</t>
  </si>
  <si>
    <t>BaseSkylightPerformance</t>
  </si>
  <si>
    <t>TABLE 110.2-A - ELECTRICALLY OPERATED UNITARY AIR CONDITIONERS AND CONDENSING UNITS – MINIMUM EFFICIENCY REQUIREMENTS</t>
  </si>
  <si>
    <t xml:space="preserve">Adjustments to EER for systems with a heating section other than electric resistance heat performed in rules </t>
  </si>
  <si>
    <t>HP COP requirement specified at 47F db/43f wb outdoor air rating point</t>
  </si>
  <si>
    <t>Reformat table and add error codes</t>
  </si>
  <si>
    <t>Consolidated to have one table for NRes, Res, and RelocClass.  Add Warning codes</t>
  </si>
  <si>
    <t>D. Reddy</t>
  </si>
  <si>
    <t xml:space="preserve">EER
</t>
  </si>
  <si>
    <t>UNITARY AND APPLIED HEAT PUMPS, MINIMUM EFFICIENCY REQUIREMENTS</t>
  </si>
  <si>
    <t>T. 110.2-B</t>
  </si>
  <si>
    <t>Equipment Type
Size Category
Mfr Date</t>
  </si>
  <si>
    <t>Adjustment to efficiency for heating source performed in rules</t>
  </si>
  <si>
    <t>DR</t>
  </si>
  <si>
    <t>ChillerMinEffReq</t>
  </si>
  <si>
    <t>Baseline chiller performance is assumed to meet requirements of Path B</t>
  </si>
  <si>
    <t>Screw</t>
  </si>
  <si>
    <t>Screw chiller = Positive Displacement</t>
  </si>
  <si>
    <t>&lt;75</t>
  </si>
  <si>
    <t>&lt;150</t>
  </si>
  <si>
    <t>Centrifugal</t>
  </si>
  <si>
    <t>&lt;600</t>
  </si>
  <si>
    <t>&gt;=600</t>
  </si>
  <si>
    <t>Path B only for baseline design</t>
  </si>
  <si>
    <t xml:space="preserve">kW/ton
</t>
  </si>
  <si>
    <t>Baseline efficiency defined by equation, not look up table</t>
  </si>
  <si>
    <t>Only one baseline equipment category.  Will implement efficiency requirement in rules</t>
  </si>
  <si>
    <t>ExteriorDoorUFactor</t>
  </si>
  <si>
    <t>Insulation Layer R-value</t>
  </si>
  <si>
    <t>LIGHTING POWER ADJUSTMENT FACTORS (PAF)</t>
  </si>
  <si>
    <t>PowerAdjustmentFactors</t>
  </si>
  <si>
    <t>L. Hovee</t>
  </si>
  <si>
    <t>TABLE 140.6-A - Power Adjustment Factors</t>
  </si>
  <si>
    <t>PartialOnOccupantSensingControl</t>
  </si>
  <si>
    <t>OccupantSensingControls-1to125SF</t>
  </si>
  <si>
    <t>OccupantSensingControls-126to250SF</t>
  </si>
  <si>
    <t>OccupantSensingControls-251to500SF</t>
  </si>
  <si>
    <t>ManualDimming</t>
  </si>
  <si>
    <t>MultisceneProgrammableControls</t>
  </si>
  <si>
    <t>DemandResponsiveControl</t>
  </si>
  <si>
    <t>CombinedManualDimmingPlusPartialOnOccupantSensingControl</t>
  </si>
  <si>
    <t>PAF</t>
  </si>
  <si>
    <t>PowerAdjustmentFactors.PAF(PAFCreditType=u:IntLtgSys:PAFCreditType)</t>
  </si>
  <si>
    <t>TABLE 140.6-C Footnotes</t>
  </si>
  <si>
    <t>MaxAreaCategoryAllowances.MaxAreaCatAllow(AreaCatAllowType=u:IntLtgSys:AreaCatAllowType)</t>
  </si>
  <si>
    <t>WhiteOrChalkBoard</t>
  </si>
  <si>
    <t>AccentDisplayFeature</t>
  </si>
  <si>
    <t>Decorative</t>
  </si>
  <si>
    <t>AreaCatAllowType</t>
  </si>
  <si>
    <t>SpecializedLabTaskWork</t>
  </si>
  <si>
    <t>SpecializedTaskWork</t>
  </si>
  <si>
    <t>Ornamental</t>
  </si>
  <si>
    <t>PrecisionCommercialIndustrial</t>
  </si>
  <si>
    <t>VideoconferencingStudioLighting</t>
  </si>
  <si>
    <t>AreaCatAllowMax</t>
  </si>
  <si>
    <t>TABLE 140.6-D - Tailored Method Lighting Power Allowances</t>
  </si>
  <si>
    <t>SpaceFunction</t>
  </si>
  <si>
    <t>GenIllum</t>
  </si>
  <si>
    <t>WallDispPwr</t>
  </si>
  <si>
    <t>FlrDispAndTaskPwr</t>
  </si>
  <si>
    <t>(Lux)</t>
  </si>
  <si>
    <t>(W/ft)</t>
  </si>
  <si>
    <t>(W/ft2)</t>
  </si>
  <si>
    <t>; units -&gt;</t>
  </si>
  <si>
    <t>TailoredMethodLPA</t>
  </si>
  <si>
    <t>AreaCategoryLPA</t>
  </si>
  <si>
    <t>IlluminanceLevelLPD</t>
  </si>
  <si>
    <t>TABLE 140.6-G - Illuminance Level Power Density Values</t>
  </si>
  <si>
    <t>IllumLevel</t>
  </si>
  <si>
    <t>(&lt;=2.0)</t>
  </si>
  <si>
    <t>(&lt;=3.5)</t>
  </si>
  <si>
    <t>(&lt;=7.0)</t>
  </si>
  <si>
    <t>(&gt;7.0)</t>
  </si>
  <si>
    <t>RCRCat1</t>
  </si>
  <si>
    <t>RCRCat2</t>
  </si>
  <si>
    <t>RCRCat3</t>
  </si>
  <si>
    <t>RCRCat4</t>
  </si>
  <si>
    <t>LPD</t>
  </si>
  <si>
    <t>LDH</t>
  </si>
  <si>
    <t>T.140.6-C Notes</t>
  </si>
  <si>
    <t>AREA CATEGORY METHOD - ADDITIONAL ALLOWANCES</t>
  </si>
  <si>
    <t>Area Category Allowance Type</t>
  </si>
  <si>
    <t>Maximum Area Category Allowance</t>
  </si>
  <si>
    <t>Not Used</t>
  </si>
  <si>
    <t>Equation:
Indepedents - Constant value- 2.5, in eq. for irregularly shaped rooms.
Dependents - W- Width of room
H - Vertical distance form the work plane to the centerline of the lighting fixture
P- Perimeter of room
A- Area of room
Implemented Directly in Ruleset - LDH360</t>
  </si>
  <si>
    <t xml:space="preserve">
Implemented Directly in Ruleset - LDH360</t>
  </si>
  <si>
    <t>Glass</t>
  </si>
  <si>
    <t>Plastic</t>
  </si>
  <si>
    <t>OccupancyClass</t>
  </si>
  <si>
    <t>SkylightCurb</t>
  </si>
  <si>
    <t>CurbMounted</t>
  </si>
  <si>
    <t>DeckMounted</t>
  </si>
  <si>
    <t>Re-arranged to match Standards layout, Added row for CurtianWall</t>
  </si>
  <si>
    <t>TABLE DefaultFenestrationUFactors</t>
  </si>
  <si>
    <t>FenestrationFraming</t>
  </si>
  <si>
    <t>MetalFraming</t>
  </si>
  <si>
    <t>; Added this row for consistancy with SDD 'ProductType'</t>
  </si>
  <si>
    <t>NonMetalFraming</t>
  </si>
  <si>
    <t>DefaultFenestrationSHGC</t>
  </si>
  <si>
    <t>Added</t>
  </si>
  <si>
    <t>TABLE 110.6-B - DEFAULT FENESTRATION PRODUCT SHGC</t>
  </si>
  <si>
    <t>TABLE DefaultFenestrationSHGC</t>
  </si>
  <si>
    <t>GlazingTint</t>
  </si>
  <si>
    <t>ClearGlazing</t>
  </si>
  <si>
    <t>TintedGlazing</t>
  </si>
  <si>
    <t>GlassBlock is not an acceptable specification for the specified GlazingTint.  Check inputs for consistency.</t>
  </si>
  <si>
    <t>NA6FenestrationUFactorCoeff</t>
  </si>
  <si>
    <t>Re-arranged to match Standards layout</t>
  </si>
  <si>
    <t>Appendix NA-6  - Alternate Default Fenestration Procedure to Calculate Thermal Performance</t>
  </si>
  <si>
    <t>NA6FenestrationUFactorCoeff.C1(FenestrationType=u:FenType, SkylightCurb=u:SkylightCurb, FrameType=u:FrameType)</t>
  </si>
  <si>
    <t>TABLE NA6FenestrationUFactorCoeff</t>
  </si>
  <si>
    <t>FenestrationType</t>
  </si>
  <si>
    <t>FrameType</t>
  </si>
  <si>
    <t>C1</t>
  </si>
  <si>
    <t>C2</t>
  </si>
  <si>
    <t>NA6FenestrationVTf</t>
  </si>
  <si>
    <t>Appendix NA-6.4  - Alternate Default Fenestration Procedure to Calculate Thermal Performance</t>
  </si>
  <si>
    <t>TABLE NA6FenestrationVTf</t>
  </si>
  <si>
    <t>FenestrationProductType</t>
  </si>
  <si>
    <t>OperableWindowConfiguration</t>
  </si>
  <si>
    <t>VTf</t>
  </si>
  <si>
    <t>Sliding</t>
  </si>
  <si>
    <t>NA6 is not supported for this input combination. Check inputs for consistency.</t>
  </si>
  <si>
    <t>BaseVerticalFenPerf</t>
  </si>
  <si>
    <t>Updated to Reflect Standards Table format</t>
  </si>
  <si>
    <t>ProductType=</t>
  </si>
  <si>
    <t>Updated to Match Format in Standards</t>
  </si>
  <si>
    <t>TABLE BaseSkylightPerformance</t>
  </si>
  <si>
    <t>SkylightGlazing=</t>
  </si>
  <si>
    <t>Updated to Match ACM/Standards Structure - 360LDH</t>
  </si>
  <si>
    <t>T. NA6-5</t>
  </si>
  <si>
    <t>NA6</t>
  </si>
  <si>
    <t>U-Factor Coefficients</t>
  </si>
  <si>
    <t>Product Type
Frame Type</t>
  </si>
  <si>
    <t>Coefficient 1
Coefficient 2</t>
  </si>
  <si>
    <t>VT Coefficients</t>
  </si>
  <si>
    <t>NA6.4</t>
  </si>
  <si>
    <t>Product Type
Operation
Assembly Context
Skylight Curb</t>
  </si>
  <si>
    <t xml:space="preserve">Maximum Window Wall Ratio Percentage (WWR%) = 40%
Updated to Match ACM/Standards Structure - 360LDH
</t>
  </si>
  <si>
    <t>Maximum Skylight Roof Ratio Percentage (SRR%) = 5%
Updated to Match ACM/Standards Structure - 360LDH</t>
  </si>
  <si>
    <t>Nonresidential</t>
  </si>
  <si>
    <t>TABLE BaseVerticalFenPerformance</t>
  </si>
  <si>
    <t>FixedWindow</t>
  </si>
  <si>
    <t>OperableWindow</t>
  </si>
  <si>
    <t>CurtainWall</t>
  </si>
  <si>
    <t>VerticalFenestration</t>
  </si>
  <si>
    <t>Auditorium Area</t>
  </si>
  <si>
    <t>Civic Meeting Place Area</t>
  </si>
  <si>
    <t>Convention, Conference, Multipurpose and Meeting Center Areas</t>
  </si>
  <si>
    <t>Dining Area</t>
  </si>
  <si>
    <t>Exhibit, Museum Areas</t>
  </si>
  <si>
    <t>Financial Transaction Area</t>
  </si>
  <si>
    <t>Grocery Sales Areas</t>
  </si>
  <si>
    <t>Hotel Function Area</t>
  </si>
  <si>
    <t>Lobby, Hotel</t>
  </si>
  <si>
    <t>Lobby, Main Entry</t>
  </si>
  <si>
    <t>Lounge, Recreation</t>
  </si>
  <si>
    <t>Malls and Atria</t>
  </si>
  <si>
    <t>Religious Worship Area</t>
  </si>
  <si>
    <t>Retail Merchandise Sales, Wholesale Showroom</t>
  </si>
  <si>
    <t>Theater, Motion Picture</t>
  </si>
  <si>
    <t>Theater, Performance</t>
  </si>
  <si>
    <t>Transportation Function</t>
  </si>
  <si>
    <t>Waiting Area</t>
  </si>
  <si>
    <t>RCRCat=</t>
  </si>
  <si>
    <t>MetalFramingWithThermalBreak</t>
  </si>
  <si>
    <t>Table Exists in RuleList 'InteriorLighting.rule' - Noted Here</t>
  </si>
  <si>
    <t>WaterSource</t>
  </si>
  <si>
    <t>GroundwaterSource</t>
  </si>
  <si>
    <t>EvaporativelyCooled</t>
  </si>
  <si>
    <t>AC</t>
  </si>
  <si>
    <t>HP</t>
  </si>
  <si>
    <t>&gt;=240000</t>
  </si>
  <si>
    <t>&lt;240000</t>
  </si>
  <si>
    <t>&lt;135000</t>
  </si>
  <si>
    <t>&gt;=760000</t>
  </si>
  <si>
    <t>&lt;760000</t>
  </si>
  <si>
    <t>GroundSource</t>
  </si>
  <si>
    <t>&gt;=135000</t>
  </si>
  <si>
    <t>Category</t>
  </si>
  <si>
    <t>EERSource</t>
  </si>
  <si>
    <t>COPSource</t>
  </si>
  <si>
    <t>&lt;65000</t>
  </si>
  <si>
    <t>Appl Std Table C-4</t>
  </si>
  <si>
    <t>T24 Std Table 110.2-A</t>
  </si>
  <si>
    <t>&lt;17000</t>
  </si>
  <si>
    <t>Appl Std Table C-5</t>
  </si>
  <si>
    <t>T24 Std Table 110.2-B</t>
  </si>
  <si>
    <t>Appl Std Table C-2</t>
  </si>
  <si>
    <t>CondenserType</t>
  </si>
  <si>
    <t>Air</t>
  </si>
  <si>
    <t>UnitaryACHPMinEffReq</t>
  </si>
  <si>
    <t>SubCategory</t>
  </si>
  <si>
    <t>S. Criswell</t>
  </si>
  <si>
    <t>Fixed typo in independent row title: 'Sklight' -&gt; 'Skylight'</t>
  </si>
  <si>
    <t>SkylightCurb=</t>
  </si>
  <si>
    <t>LTE 0.2</t>
  </si>
  <si>
    <t>GT 0.2</t>
  </si>
  <si>
    <t>SRRCat</t>
  </si>
  <si>
    <t>Not identified in standards as a valid input combination</t>
  </si>
  <si>
    <t>CasementAwning</t>
  </si>
  <si>
    <t>AltFenPerformance</t>
  </si>
  <si>
    <t>Alterations (without additional area) to fenestration</t>
  </si>
  <si>
    <t>Standards, TABLE 141.0-A</t>
  </si>
  <si>
    <t>ClimateZoneNumber</t>
  </si>
  <si>
    <t>AltFenPerformance.UFactor(ClimateZoneNumber=u:Project:CliZnNum)</t>
  </si>
  <si>
    <t>TABLE AltFenPerformance</t>
  </si>
  <si>
    <t xml:space="preserve">5.4.4-Table 9 – Light Heat Gain Parameters for Typical Operating Conditions </t>
  </si>
  <si>
    <t>LightHeatGainDistribution</t>
  </si>
  <si>
    <t>FixtureType</t>
  </si>
  <si>
    <t>LampType</t>
  </si>
  <si>
    <t>ReturnType</t>
  </si>
  <si>
    <t>HtGnSpcFrac</t>
  </si>
  <si>
    <t>HtGnRadFrac</t>
  </si>
  <si>
    <t>RecessedWithLens</t>
  </si>
  <si>
    <t>LinearFluorescent</t>
  </si>
  <si>
    <t>Ducted/Direct</t>
  </si>
  <si>
    <t>Plenum</t>
  </si>
  <si>
    <t>CFL</t>
  </si>
  <si>
    <t>Incandescent</t>
  </si>
  <si>
    <t>LED</t>
  </si>
  <si>
    <t>MetalHalide</t>
  </si>
  <si>
    <t>MercuryVapor</t>
  </si>
  <si>
    <t>HighPressureSodium</t>
  </si>
  <si>
    <t>NotInCeiling</t>
  </si>
  <si>
    <t>RecessedOrDownlight</t>
  </si>
  <si>
    <t>; Garden Window</t>
  </si>
  <si>
    <t>FenType</t>
  </si>
  <si>
    <t>CertificationMethod</t>
  </si>
  <si>
    <t>None</t>
  </si>
  <si>
    <t>Panes</t>
  </si>
  <si>
    <t>FenProdTypeReq</t>
  </si>
  <si>
    <t>FenFrmReq</t>
  </si>
  <si>
    <t>FenPanesReq</t>
  </si>
  <si>
    <t>OperableWinConfigurationReq</t>
  </si>
  <si>
    <t>WinDividerReq</t>
  </si>
  <si>
    <t>GreenhouseGardenWinReq</t>
  </si>
  <si>
    <t>UFactorCOGReq</t>
  </si>
  <si>
    <t>SHGCCOGReq</t>
  </si>
  <si>
    <t>VTCOGReq</t>
  </si>
  <si>
    <t>All Cols Filled</t>
  </si>
  <si>
    <t>NFRCRated</t>
  </si>
  <si>
    <t>DoublePane</t>
  </si>
  <si>
    <t>Screens Control and InputChecking Flags</t>
  </si>
  <si>
    <t>GlazingTintReq</t>
  </si>
  <si>
    <t>SkylightGlazingReq</t>
  </si>
  <si>
    <t>SkylightCurbReq</t>
  </si>
  <si>
    <t>DayltgCtrlParms</t>
  </si>
  <si>
    <t>Daylighting Control Setpoints by fixture type</t>
  </si>
  <si>
    <t xml:space="preserve">5.4.5 - Minimum Dimming Power/Light Fractions </t>
  </si>
  <si>
    <t>TABLE DayltCtrlParms</t>
  </si>
  <si>
    <t>MinDimPwrFrac</t>
  </si>
  <si>
    <t>MinDimLtgFrac</t>
  </si>
  <si>
    <t>Boolean</t>
  </si>
  <si>
    <t>Auto Repair Area</t>
  </si>
  <si>
    <t>Bar, Cocktail Lounge and Casino Areas</t>
  </si>
  <si>
    <t>Beauty Salon Area</t>
  </si>
  <si>
    <t>Classrooms, Lecture, Training, Vocational Areas</t>
  </si>
  <si>
    <t>Commercial and Industrial Storage Areas (conditioned or unconditioned)</t>
  </si>
  <si>
    <t>Commercial and Industrial Storage Areas (refrigerated)</t>
  </si>
  <si>
    <t>Computer Room</t>
  </si>
  <si>
    <t>Corridors, Restrooms, Stairs, and Support Areas</t>
  </si>
  <si>
    <t>Dry Cleaning (Coin Operated)</t>
  </si>
  <si>
    <t>Dry Cleaning (Full Service Commercial)</t>
  </si>
  <si>
    <t>Electrical, Mechanical, Telephone Rooms</t>
  </si>
  <si>
    <t>General Commercial and Industrial Work Areas, High Bay</t>
  </si>
  <si>
    <t>General Commercial and Industrial Work Areas, Low Bay</t>
  </si>
  <si>
    <t>General Commercial and Industrial Work Areas, Precision</t>
  </si>
  <si>
    <t>High-Rise Residential Living Spaces</t>
  </si>
  <si>
    <t>Hotel/Motel Guest Room</t>
  </si>
  <si>
    <t>Housing, Public and Common Areas: Multi-family, Dormitory</t>
  </si>
  <si>
    <t>Housing, Public and Common Areas: Senior Housing</t>
  </si>
  <si>
    <t>Kitchen, Commercial Food Preparation</t>
  </si>
  <si>
    <t>Kitchenette or Residential Kitchen</t>
  </si>
  <si>
    <t>Laboratory, Scientific</t>
  </si>
  <si>
    <t>Laboratory, Equipment Room</t>
  </si>
  <si>
    <t>Laundry</t>
  </si>
  <si>
    <t>Library, Reading Areas</t>
  </si>
  <si>
    <t>Library, Stacks</t>
  </si>
  <si>
    <t>Locker/Dressing Room</t>
  </si>
  <si>
    <t>Medical and Clinical Care</t>
  </si>
  <si>
    <t>Office (Greater than 250 square feet in floor area)</t>
  </si>
  <si>
    <t>Office (250 square feet in floor area or less)</t>
  </si>
  <si>
    <t>Parking Garage Building, Parking Area</t>
  </si>
  <si>
    <t>Parking Garage Area Dedicated Ramps</t>
  </si>
  <si>
    <t>Parking Garage Area Daylight Adaptation Zones</t>
  </si>
  <si>
    <t>Police Station and Fire Station</t>
  </si>
  <si>
    <t>Unoccupied-Exclude from Gross Floor Area</t>
  </si>
  <si>
    <t>Unoccupied-Include in Gross Floor Area</t>
  </si>
  <si>
    <t>Videoconferencing Studio</t>
  </si>
  <si>
    <t>All Others (including unleased tenant space in multi-tenant facilities)</t>
  </si>
  <si>
    <t>Sort order (for future updates)</t>
  </si>
  <si>
    <t>TMAllowed</t>
  </si>
  <si>
    <t>ASHRAE 90.1-2010 PRM Ruleset</t>
  </si>
  <si>
    <t>FenConsInputReqs_T24N</t>
  </si>
  <si>
    <t>DefaultPerformance</t>
  </si>
  <si>
    <t>TABLE FenConsInputReqs</t>
  </si>
  <si>
    <t>FenConsInputReqs</t>
  </si>
  <si>
    <t>90.1 2012 Update</t>
  </si>
  <si>
    <t>SkylightGlazing</t>
  </si>
  <si>
    <t>Ufactor</t>
  </si>
  <si>
    <t>ClimateZone</t>
  </si>
  <si>
    <t>Wood</t>
  </si>
  <si>
    <t>Vinyl</t>
  </si>
  <si>
    <t>Fiberglass</t>
  </si>
  <si>
    <t>Metal</t>
  </si>
  <si>
    <t>Other</t>
  </si>
  <si>
    <t>CurtainwallStorefront</t>
  </si>
  <si>
    <t>EntranceDoor</t>
  </si>
  <si>
    <t>SkylightRoofRatioCat</t>
  </si>
  <si>
    <t>Reference:</t>
  </si>
  <si>
    <t>TriplePane</t>
  </si>
  <si>
    <t>ID-1: SingleGlazing_1/8in_Glass</t>
  </si>
  <si>
    <t>ID-2: SingleGlazing_1/8in_Acrylic_Polcarb</t>
  </si>
  <si>
    <t>ID-3: SingleGlazing_1/4in_Acrylic_Polcarb</t>
  </si>
  <si>
    <t>ID-4: DoubleGlazing_1/4in_AirSpace</t>
  </si>
  <si>
    <t>ID-5: DoubleGlazing_1/2in_AirSpace</t>
  </si>
  <si>
    <t>ID-6: DoubleGlazing_1/4in_ArgonSpace</t>
  </si>
  <si>
    <t>ID-7: DoubleGlazing_1/2in_ArgonSpace</t>
  </si>
  <si>
    <t>ID-8: DoubleGlazing_1/4in_AirSpace_e=0.60 on surface 2 or 3</t>
  </si>
  <si>
    <t>ID-9: DoubleGlazing_1/2in_AirSpace_e=0.60 on surface 2 or 3</t>
  </si>
  <si>
    <t>ID-10: DoubleGlazing_1/4in_ArgonSpace_e=0.60 on surface 2 or 3</t>
  </si>
  <si>
    <t>ID-11: DoubleGlazing_1/2in_ArgonSpace_e=0.60 on surface 2 or 3</t>
  </si>
  <si>
    <t>ID-12: DoubleGlazing_1/4in_AirSpace_e=0.40 on surface 2 or 3</t>
  </si>
  <si>
    <t>ID-13: DoubleGlazing_1/2in_AirSpace_e=0.40 on surface 2 or 3</t>
  </si>
  <si>
    <t>ID-14: DoubleGlazing_1/4in_ArgonSpace_e=0.40 on surface 2 or 3</t>
  </si>
  <si>
    <t>ID-15: DoubleGlazing_1/2in_ArgonSpace_e=0.40 on surface 2 or 3</t>
  </si>
  <si>
    <t>ID-16: DoubleGlazing_1/4in_AirSpace_e=0.20 on surface 2 or 3</t>
  </si>
  <si>
    <t>ID-17: DoubleGlazing_1/2in_AirSpace_e=0.20 on surface 2 or 3</t>
  </si>
  <si>
    <t>ID-18: DoubleGlazing_1/4in_ArgonSpace_e=0.20 on surface 2 or 3</t>
  </si>
  <si>
    <t>ID-19: DoubleGlazing_1/2in_ArgonSpace_e=0.20 on surface 2 or 3</t>
  </si>
  <si>
    <t>ID-20: DoubleGlazing_1/4in_AirSpace_e=0.10 on surface 2 or 3</t>
  </si>
  <si>
    <t>ID-21: DoubleGlazing_1/2in_AirSpace_e=0.10 on surface 2 or 3</t>
  </si>
  <si>
    <t>ID-22: DoubleGlazing_1/4in_ArgonSpace_e=0.10 on surface 2 or 3</t>
  </si>
  <si>
    <t>ID-23: DoubleGlazing_1/2in_ArgonSpace_e=0.10 on surface 2 or 3</t>
  </si>
  <si>
    <t>ID-24: DoubleGlazing_1/4in_AirSpace_e=0.05 on surface 2 or 3</t>
  </si>
  <si>
    <t>ID-25: DoubleGlazing_1/2in_AirSpace_e=0.05 on surface 2 or 3</t>
  </si>
  <si>
    <t>ID-26: DoubleGlazing_1/4in_ArgonSpace_e=0.05 on surface 2 or 3</t>
  </si>
  <si>
    <t>ID-27: DoubleGlazing_1/2in_ArgonSpace_e=0.05 on surface 2 or 3</t>
  </si>
  <si>
    <t>ID-28: TripleGlazing_1/4in_AirSpaces</t>
  </si>
  <si>
    <t>ID-29: TripleGlazing_1/2in_AirSpaces</t>
  </si>
  <si>
    <t>ID-30: TripleGlazing_1/4in_ArgonSpaces</t>
  </si>
  <si>
    <t>ID-31: TripleGlazing_1/2in_ArgonSpaces</t>
  </si>
  <si>
    <t>ID-32: TripleGlazing_1/4in_AirSpaces_e=0.20 on surface 2,3,4 or 5</t>
  </si>
  <si>
    <t>ID-33: TripleGlazing_1/2in_AirSpaces_e=0.20 on surface 2,3,4 or 5</t>
  </si>
  <si>
    <t>ID-34: TripleGlazing_1/4in_ArgonSpaces_e=0.20 on surface 2,3,4 or 5</t>
  </si>
  <si>
    <t>ID-35: TripleGlazing_1/2in_ArgonSpaces_e=0.20 on surface 2,3,4 or 5</t>
  </si>
  <si>
    <t>ID-36: TripleGlazing_1/4in_AirSpaces_e=0.20 on surface 2 or 3 and 4 or 5</t>
  </si>
  <si>
    <t>ID-37: TripleGlazing_1/2in_AirSpaces_e=0.20 on surface 2 or 3 and 4 or 5</t>
  </si>
  <si>
    <t>ID-38: TripleGlazing_1/4in_ArgonSpaces_e=0.20 on surface 2 or 3 and 4 or 5</t>
  </si>
  <si>
    <t>ID-39: TripleGlazing_1/2in_ArgonSpaces_e=0.20 on surface 2 or 3 and 4 or 5</t>
  </si>
  <si>
    <t>ID-40: TripleGlazing_1/4in_AirSpaces_e=0.10 on surface 2 or 3 and 4 or 5</t>
  </si>
  <si>
    <t>ID-41: TripleGlazing_1/2in_AirSpaces_e=0.10 on surface 2 or 3 and 4 or 5</t>
  </si>
  <si>
    <t>ID-42: TripleGlazing_1/4in_ArgonSpaces_e=0.10 on surface 2 or 3 and 4 or 5</t>
  </si>
  <si>
    <t>ID-43: TripleGlazing_1/2in_ArgonSpaces_e=0.10 on surface 2 or 3 and 4 or 5</t>
  </si>
  <si>
    <t>ID-44: QuadrupleGlazing_1/4in_AirSpaces_e=0.10 on surface 2 or 3 and 4 or 5</t>
  </si>
  <si>
    <t>ID-45: QuadrupleGlazing_1/2in_AirSpaces_e=0.10 on surface 2 or 3 and 4 or 5</t>
  </si>
  <si>
    <t>ID-46: QuadrupleGlazing_1/4in_ArgonSpaces_e=0.10 on surface 2 or 3 and 4 or 5</t>
  </si>
  <si>
    <t>ID-47: QuadrupleGlazing_1/2in_ArgonSpaces_e=0.10 on surface 2 or 3 and 4 or 5</t>
  </si>
  <si>
    <t>ID-48: QuadrupleGlazing_1/4in_KryptonSpaces_e=0.10 on surface 2 or 3 and 4 or 5</t>
  </si>
  <si>
    <t>Glazing Type</t>
  </si>
  <si>
    <t>Single glazing, 1/8 in. glass</t>
  </si>
  <si>
    <t>Single glazing, 1/4 in. glass</t>
  </si>
  <si>
    <t>Single glazing, acrylic/polycarbonate</t>
  </si>
  <si>
    <t>Double glazing</t>
  </si>
  <si>
    <t>Double glazing, E = 0.40 on surface 2 or 3</t>
  </si>
  <si>
    <t>Double glazing, E = 0.20 on surface 2 or 3</t>
  </si>
  <si>
    <t>Double glazing, E = 0.10 on surface 2 or 3</t>
  </si>
  <si>
    <t>Double glazing, acrylic/polycarbonate</t>
  </si>
  <si>
    <t>Triple Glazing</t>
  </si>
  <si>
    <t>Triple Glazing, E= 0.40 on surface 2,3,4, or 5</t>
  </si>
  <si>
    <t>Triple Glazing, E= 0.20 on surface 2,3,4, or 5</t>
  </si>
  <si>
    <t>Triple Glazing, E= 0.40 on surfaces 3 and 5</t>
  </si>
  <si>
    <t>Triple Glazing, E= 0.10 on surface 2,3,4, or 5</t>
  </si>
  <si>
    <t>Triple Glazing, E= 0.20 on surfaces 3 and 5</t>
  </si>
  <si>
    <t>Triple Glazing, E= 0.10 on surfaces 3 and 5</t>
  </si>
  <si>
    <t>Quadruple Glazing, E= 0.10 on surfaces 3 and 5</t>
  </si>
  <si>
    <t>Triple Glazing, acrylic/polycarbonate</t>
  </si>
  <si>
    <t>Quadruple Glazing, acrylic/polycarbonate</t>
  </si>
  <si>
    <t>FenestrationPanes</t>
  </si>
  <si>
    <t>BaseVerticalFenPerformance:UFactor("FenestrationFrame",FenFrm,"FenestrationPanes",FenPanes)</t>
  </si>
  <si>
    <t>BaseSkylightFenPerformance:UFactor("Fenestration Panes",FenPanes,"Skylight Curb",SkylightCurb,"FrameType",FenFrm)</t>
  </si>
  <si>
    <t>BaselineEnvelopeCategory=</t>
  </si>
  <si>
    <t>FenestrationFraming=</t>
  </si>
  <si>
    <t>COGEquations</t>
  </si>
  <si>
    <t>FenConsInputReqs:FenProdTypeReq("FenType",FenType, "CertificationMethod",CertificationMthd, "ProductType",FenProdType, "Panes",FenPanes)</t>
  </si>
  <si>
    <t>TABLE DefaultVertFenPerf</t>
  </si>
  <si>
    <t>DefaultVertFenPerf</t>
  </si>
  <si>
    <t>TABLE DefaultSkyltUFactors</t>
  </si>
  <si>
    <t>DefaultSkyltUFactors</t>
  </si>
  <si>
    <t>TABLE BaselineFenPerf</t>
  </si>
  <si>
    <t>BaselineFenPerf.UFactor(</t>
  </si>
  <si>
    <t>TABLE DefaultSkyltSHGC</t>
  </si>
  <si>
    <t>DefaultSkyltSHGC</t>
  </si>
  <si>
    <t>DefaultSkyltSHGC:SHGC("Glazing Tint",GlzTint,"Fenestration Panes",FenPanes)</t>
  </si>
  <si>
    <t>AllOther</t>
  </si>
  <si>
    <t>999 = No Requirement - Will be set equal to proposed design</t>
  </si>
  <si>
    <t>AluminumWithThermalBreak</t>
  </si>
  <si>
    <t>AluminumWithoutThermalBreak</t>
  </si>
  <si>
    <t>ReinforcedVinyl_AluminumCladWood</t>
  </si>
  <si>
    <t>Wood_Vinyl</t>
  </si>
  <si>
    <t>StructuralGlazing</t>
  </si>
  <si>
    <t>For the purposes of this table, Structural Glazing is assumed to have the same transmittance parameters as Aluminum without Thermal Break</t>
  </si>
  <si>
    <t>-999 = Invalid Input Combination Flag</t>
  </si>
  <si>
    <t xml:space="preserve"> </t>
  </si>
  <si>
    <t>PAFCredType</t>
  </si>
  <si>
    <t>90.1-2007 Nonresdiential ACM Ruleset</t>
  </si>
  <si>
    <t>PAFCat=</t>
  </si>
  <si>
    <t>Non24hAndLT5000SqFt</t>
  </si>
  <si>
    <t>ProgramableTimingControl</t>
  </si>
  <si>
    <t>OccupancySensor</t>
  </si>
  <si>
    <t>OccupancySensorAndProgramableTimingControl</t>
  </si>
  <si>
    <t>SemiExterior</t>
  </si>
  <si>
    <t>TranslucentOrTransparentPanel</t>
  </si>
  <si>
    <t>NA6FenestrationVTf:VTf(FenestrationProductType=u:FenProdType, OperableWindowConfiguration=u:OperableWinConfiguration, SkylightCurb=u:SkylightCurb)</t>
  </si>
  <si>
    <t>Sort Order (for future updates)</t>
  </si>
  <si>
    <t>Note: No longer implemented via Table Lookup.  Implemented Directly in Rules</t>
  </si>
  <si>
    <t>LtgInputRestrictions</t>
  </si>
  <si>
    <t>Lighting Allowance and PAF validity verification</t>
  </si>
  <si>
    <t>Allowance Permitted?</t>
  </si>
  <si>
    <t>PAF Permitted?</t>
  </si>
  <si>
    <t>Table 140.6-A</t>
  </si>
  <si>
    <t>CRAC</t>
  </si>
  <si>
    <t>Appl Std Table C-9</t>
  </si>
  <si>
    <t>CBECC Default</t>
  </si>
  <si>
    <t>UnitaryACHPMinEffReq:EER(Category = "AC", SubCategory = "CRAC", CondenserType = "Air", SizeCategory = 80000)</t>
  </si>
  <si>
    <t>ASHRAE 90.1-2012 PRM</t>
  </si>
  <si>
    <t>Standards/PRM Reference:</t>
  </si>
  <si>
    <t>PRM Table 7</t>
  </si>
  <si>
    <t>Stds 9.1.2 (b)</t>
  </si>
  <si>
    <t>Atrium - First 40 ft in height</t>
  </si>
  <si>
    <t>Atrium - Height above 40 ft</t>
  </si>
  <si>
    <t>Attic or Crawlspace (Naturally or Mechanically Ventilated)</t>
  </si>
  <si>
    <t>Attic or Crawlspace (Not Ventilated)</t>
  </si>
  <si>
    <t>Audience/Seating Area—Permanent - For auditorium</t>
  </si>
  <si>
    <t>Audience/Seating Area—Permanent - For Performing Arts Theater</t>
  </si>
  <si>
    <t>Audience/Seating Area—Permanent - For Motion Picture Theater</t>
  </si>
  <si>
    <t>Classroom/Lecture/Training</t>
  </si>
  <si>
    <t>Conference/Meeting/Multipurpose</t>
  </si>
  <si>
    <t>Corridor/Transition</t>
  </si>
  <si>
    <t>Dining Area  - For Bar Lounge/Leisure Dining</t>
  </si>
  <si>
    <t>Dining Area - For Family Dining</t>
  </si>
  <si>
    <t>Dressing/Fitting Room for Performing Arts Theater</t>
  </si>
  <si>
    <t>Electrical/Mechanical</t>
  </si>
  <si>
    <t>Food Preparation</t>
  </si>
  <si>
    <t>Laboratory - For Classrooms</t>
  </si>
  <si>
    <t>Laboratory - For Medical/Industrial/Research</t>
  </si>
  <si>
    <t>Lobby</t>
  </si>
  <si>
    <t>Lobby  - For Elevator</t>
  </si>
  <si>
    <t>Lobby  - For Performing Arts Theater</t>
  </si>
  <si>
    <t>Lobby  - For Motion Picture Theater</t>
  </si>
  <si>
    <t>Locker Room</t>
  </si>
  <si>
    <t>Lounge/Recreation</t>
  </si>
  <si>
    <t>Office - Enclosed</t>
  </si>
  <si>
    <t>Office - Open Plan</t>
  </si>
  <si>
    <t>Restrooms</t>
  </si>
  <si>
    <t>Sales Area (for accent lighting, see Section 9.6.2 (b))</t>
  </si>
  <si>
    <t>Stairway</t>
  </si>
  <si>
    <t>Storage</t>
  </si>
  <si>
    <t>Workshop</t>
  </si>
  <si>
    <t>Automotive - Service/Repair</t>
  </si>
  <si>
    <t>Bank/Office - Banking Activity Area</t>
  </si>
  <si>
    <t>Convention Center - Exhibit Space</t>
  </si>
  <si>
    <t>Courthouse/Police Station/Penitentiary - Courtroom</t>
  </si>
  <si>
    <t>Courthouse/Police Station/Penitentiary - Confinement Cells</t>
  </si>
  <si>
    <t>Courthouse/Police Station/Penitentiary - Judges’ Chambers</t>
  </si>
  <si>
    <t>Courthouse/Police Station/Penitentiary - Penitentiary Audience Seating</t>
  </si>
  <si>
    <t>Courthouse/Police Station/Penitentiary - Penitentiary Classroom</t>
  </si>
  <si>
    <t>Courthouse/Police Station/Penitentiary - Penitentiary Dining</t>
  </si>
  <si>
    <t>Dormitory - Living Quarters</t>
  </si>
  <si>
    <t>Fire Stations - Engine Room</t>
  </si>
  <si>
    <t>Fire Stations - Sleeping Quarters</t>
  </si>
  <si>
    <t>Gymnasium/Fitness Center - Fitness Area 0.72 4</t>
  </si>
  <si>
    <t>Gymnasium/Fitness Center - Gymnasium Audience Seating 0.43 6</t>
  </si>
  <si>
    <t>Gymnasium/Fitness Center - Playing Area 1.20 4</t>
  </si>
  <si>
    <t>Hospital - Corridor/Transition</t>
  </si>
  <si>
    <t>Hospital - Emergency</t>
  </si>
  <si>
    <t>Hospital - Exam/Treatment</t>
  </si>
  <si>
    <t>Hospital - Laundry/Washing</t>
  </si>
  <si>
    <t>Hospital - Lounge/Recreation</t>
  </si>
  <si>
    <t>Hospital - Medical Supply</t>
  </si>
  <si>
    <t>Hospital - Nursery</t>
  </si>
  <si>
    <t>Hospital - Nurses’ Station</t>
  </si>
  <si>
    <t>Hospital - Operating Room</t>
  </si>
  <si>
    <t>Hospital - Patient Room</t>
  </si>
  <si>
    <t>Hospital - Pharmacy</t>
  </si>
  <si>
    <t>Hospital - Physical Therapy</t>
  </si>
  <si>
    <t>Hospital - Radiology/Imaging</t>
  </si>
  <si>
    <t>Hospital - Recovery</t>
  </si>
  <si>
    <t>Hotel/Highway Lodging - Hotel Dining</t>
  </si>
  <si>
    <t>Hotel/Highway Lodging - Hotel Guest Rooms</t>
  </si>
  <si>
    <t>Hotel/Highway Lodging - Hotel Lobby</t>
  </si>
  <si>
    <t>Hotel/Highway Lodging - Highway Lodging Dining</t>
  </si>
  <si>
    <t>Hotel/Highway Lodging - Highway Lodging Guest Rooms</t>
  </si>
  <si>
    <t>Library - Card File and Cataloging</t>
  </si>
  <si>
    <t>Library - Reading Area</t>
  </si>
  <si>
    <t>Manufacturing - Corridor/Transition</t>
  </si>
  <si>
    <t>Manufacturing - Detailed Manufacturing 1.29 4</t>
  </si>
  <si>
    <t>Manufacturing - Equipment Room 0.95 6</t>
  </si>
  <si>
    <t>Manufacturing - Extra High Bay (&gt;50 ft Floor to Ceiling Height)</t>
  </si>
  <si>
    <t>Manufacturing - High Bay (25–50 ft Floor to Ceiling Height)</t>
  </si>
  <si>
    <t>Manufacturing - Low Bay (&lt;25 ft Floor to Ceiling Ht)</t>
  </si>
  <si>
    <t>Multifamily - Dwelling/Sleeping Units</t>
  </si>
  <si>
    <t>Museum - General Exhibition</t>
  </si>
  <si>
    <t>Museum - Restoration</t>
  </si>
  <si>
    <t>Parking Garage - Garage Area</t>
  </si>
  <si>
    <t>Post Office - Sorting Area</t>
  </si>
  <si>
    <t>Religious Buildings - Audience Seating</t>
  </si>
  <si>
    <t>Religious Buildings - Fellowship Hall</t>
  </si>
  <si>
    <t>Religious Buildings - Worship Pulpit, Choir</t>
  </si>
  <si>
    <t>Retail - Dressing/Fitting Room</t>
  </si>
  <si>
    <t>Retail - Mall Concourse</t>
  </si>
  <si>
    <t>Retail - Sales Area (for accent lighting, see Section 9.6.3(c))</t>
  </si>
  <si>
    <t>Sports Arena - Audience Seating</t>
  </si>
  <si>
    <t>Sports Arena - Court Sports Arena—Class 4</t>
  </si>
  <si>
    <t>Sports Arena - Court Sports Arena—Class 3</t>
  </si>
  <si>
    <t>Sports Arena - Court Sports Arena—Class 2</t>
  </si>
  <si>
    <t>Sports Arena - Court Sports Arena—Class 1</t>
  </si>
  <si>
    <t>Sports Arena - Ring Sports Arena</t>
  </si>
  <si>
    <t>Transportation - Air/Train/Bus—Baggage Area</t>
  </si>
  <si>
    <t>Transportation - Airport—Concourse</t>
  </si>
  <si>
    <t>Transportation - Audience Seating</t>
  </si>
  <si>
    <t>Transportation - Terminal—Ticket Counter</t>
  </si>
  <si>
    <t>Warehouse - Fine Material Storage</t>
  </si>
  <si>
    <t>Warehouse - Medium/Bulky Material Storage</t>
  </si>
  <si>
    <t>CreditType =</t>
  </si>
  <si>
    <t>DaylightDimmingPlusOff</t>
  </si>
  <si>
    <t>PAF Permitted (Boolean)</t>
  </si>
  <si>
    <t>InstitutionalTuning</t>
  </si>
  <si>
    <t>TABLE PAFs</t>
  </si>
  <si>
    <t>ParkingGarageATMLighting</t>
  </si>
  <si>
    <t>Modify to support 2016 (and future) efficiency requirements based on Proj:StdsVersion</t>
  </si>
  <si>
    <r>
      <t>UnitaryACHPMinEffReq:EER(</t>
    </r>
    <r>
      <rPr>
        <sz val="11"/>
        <color rgb="FFFF0000"/>
        <rFont val="Calibri"/>
        <family val="2"/>
        <scheme val="minor"/>
      </rPr>
      <t>StandardsVersion=Proj:StdsVersion</t>
    </r>
    <r>
      <rPr>
        <sz val="11"/>
        <color theme="1"/>
        <rFont val="Calibri"/>
        <family val="2"/>
        <scheme val="minor"/>
      </rPr>
      <t>,Category = "AC", SubCategory = "CRAC", CondenserType = "Air", SizeCategory = 80000)</t>
    </r>
  </si>
  <si>
    <t>StandardsVersion</t>
  </si>
  <si>
    <t>Compliance2016</t>
  </si>
  <si>
    <t>Transportation Function, Concourse &amp; Baggage</t>
  </si>
  <si>
    <t>Transportation Function, Ticketing</t>
  </si>
  <si>
    <t>OrnAndSpclEftPwr</t>
  </si>
  <si>
    <t>CEC 2013 Nonresidential ACM Ruleset</t>
  </si>
  <si>
    <t>CEC 2016 Nonresidential ACM Ruleset</t>
  </si>
  <si>
    <t>Note - Column for 'Non24hAndLT5000SqFt no longer used as per issue 1245</t>
  </si>
  <si>
    <t>Note: No PAF forProgramableTimingControl as per issue 1245 - selection will be dis-allowed in rules</t>
  </si>
  <si>
    <t>OccupancySensorAndProgramableTimingControl is irrelevant as per above - selection will be dis-allowed in rules</t>
  </si>
  <si>
    <t>Copy Room</t>
  </si>
  <si>
    <t>Employee Breakroom</t>
  </si>
  <si>
    <t>na</t>
  </si>
  <si>
    <t>Note: Assigned in Rules, no table lookup</t>
  </si>
  <si>
    <t>NOTE:  Lookups Resulting in 'na' are to should be handled exclusively in rules</t>
  </si>
  <si>
    <t>&lt;45000</t>
  </si>
  <si>
    <t>Split1Phase</t>
  </si>
  <si>
    <t>Packaged1Phase</t>
  </si>
  <si>
    <t>COP47</t>
  </si>
  <si>
    <t>COP17</t>
  </si>
  <si>
    <t>Exercise Room</t>
  </si>
  <si>
    <t>Gymnasium/Sports Arena</t>
  </si>
  <si>
    <t>Nurseries for Children - Day Care</t>
  </si>
  <si>
    <t>Unleased Tenant Area</t>
  </si>
  <si>
    <t>All other</t>
  </si>
  <si>
    <t>Audience Seating Area</t>
  </si>
  <si>
    <t>Auto Repair / Maintenance Area</t>
  </si>
  <si>
    <t>Classroom, Lecture, Training, Vocational Areas</t>
  </si>
  <si>
    <t>Commercial/Industrial Storage Areas (refrigerated)</t>
  </si>
  <si>
    <t>Commercial/Industrial Storage (Shipping &amp; Handling)</t>
  </si>
  <si>
    <t>Commercial/Industrial Storage (Warehouse)</t>
  </si>
  <si>
    <t>Concourse and Atria Area</t>
  </si>
  <si>
    <t>Convention, Conference, Multipurpose and Meeting Area</t>
  </si>
  <si>
    <t>Corridor Area</t>
  </si>
  <si>
    <t>Dining Area (Bar/Lounge and Fine Dining)</t>
  </si>
  <si>
    <t>Dining Area (Cafetaria/Fast Food)</t>
  </si>
  <si>
    <t>Dining Area (Family and Leisure)</t>
  </si>
  <si>
    <t>Exercise/Fitness Center and Gymnasium Areas</t>
  </si>
  <si>
    <t>General/Commercial &amp; Industrial Work Area (High Bay)</t>
  </si>
  <si>
    <t>General/Commercial &amp; Industrial Work Area (Low Bay)</t>
  </si>
  <si>
    <t>General/Commercial &amp; Industrial Work Area (Precision)</t>
  </si>
  <si>
    <t>Healthcare Facility and Hospitals (Exam/Treatment Room)</t>
  </si>
  <si>
    <t>Kitchen/Food Preparation Area</t>
  </si>
  <si>
    <t>Laundry Area</t>
  </si>
  <si>
    <t>Library (Reading Area)</t>
  </si>
  <si>
    <t>Library (Stacks Area)</t>
  </si>
  <si>
    <t>Lounge, Breakroom, or Waiting Area</t>
  </si>
  <si>
    <t>Main Entry Lobby</t>
  </si>
  <si>
    <t>Museum Area (Exhibition/Display)</t>
  </si>
  <si>
    <t>Museum Area (Restoration Room)</t>
  </si>
  <si>
    <t>Office Area (&lt;250 square feet)</t>
  </si>
  <si>
    <t>Office Area (&gt;250 square feet)</t>
  </si>
  <si>
    <t>Office Area (Open plan office)</t>
  </si>
  <si>
    <t>Parking Garage Area (Daylight Adaptation Zones)</t>
  </si>
  <si>
    <t>Parking Garage Area (Dedicated Ramps)</t>
  </si>
  <si>
    <t>Parking Garage Area (Parking Zone)</t>
  </si>
  <si>
    <t>Pharmacy Area</t>
  </si>
  <si>
    <t>Retail Sales Area (Fitting Room)</t>
  </si>
  <si>
    <t>Retail Sales Area (Grocery Sales)</t>
  </si>
  <si>
    <t>Retail Sales Area (Retail Merchandise Sales)</t>
  </si>
  <si>
    <t>Scientific Laboratory Area</t>
  </si>
  <si>
    <t>Stairwell</t>
  </si>
  <si>
    <t>Theater Area (Motion Picture)</t>
  </si>
  <si>
    <t>Theater Area (Performance)</t>
  </si>
  <si>
    <t>Transportation Function (Baggage Area)</t>
  </si>
  <si>
    <t>Transportation Function (Ticketing Area)</t>
  </si>
  <si>
    <t>_Invalid from 2016 - Corridors, Restrooms, Stairs, and Support Areas</t>
  </si>
  <si>
    <t>_Invalid from 2016 - Police Station and Fire Station</t>
  </si>
  <si>
    <t>_Invalid from 2016 - Housing, Public and Common Areas: Multi-family, Dormitory</t>
  </si>
  <si>
    <t>_Invalid from 2016 - Housing, Public and Common Areas: Senior Housing</t>
  </si>
  <si>
    <t>2019 Ruleset Updates</t>
  </si>
  <si>
    <t>DetailedTaskWork</t>
  </si>
  <si>
    <t>PortableLightingForOffice</t>
  </si>
  <si>
    <t>Filter</t>
  </si>
  <si>
    <t>Text File Generation</t>
  </si>
  <si>
    <t>line</t>
  </si>
  <si>
    <t xml:space="preserve">1,    IntLtgSys:ParentSpcFunc,  </t>
  </si>
  <si>
    <t>Line Feed</t>
  </si>
  <si>
    <t>2,              0,    "- none specified -"</t>
  </si>
  <si>
    <t xml:space="preserve">2,              </t>
  </si>
  <si>
    <t>,    "</t>
  </si>
  <si>
    <t>"</t>
  </si>
  <si>
    <t>1,    IntLtgSys:IntLtgSpecMthd,   1,    0   ; AreaCategoryMethod</t>
  </si>
  <si>
    <t xml:space="preserve">,    0   ; </t>
  </si>
  <si>
    <t>PrecisionWork</t>
  </si>
  <si>
    <t>PAFs.PAF(PAFCreditType=u:IntLtgSys:PAFCreditType)</t>
  </si>
  <si>
    <t>Updated for 2019 Rules</t>
  </si>
  <si>
    <t>Clerestories</t>
  </si>
  <si>
    <t>HorizontalSlats</t>
  </si>
  <si>
    <t>LightShelves</t>
  </si>
  <si>
    <t>T24 Nonresidential ACM Ruleset</t>
  </si>
  <si>
    <t>Copy of 2016 table, modified for 2019 ruleset</t>
  </si>
  <si>
    <t>TABLE 110.2-B - UNITARY AND APPLIED HEAT PUMPS - MINIMUM EFFICIENCY REQUIREMENTS</t>
  </si>
  <si>
    <t>TABLE 110.2-E - PACKAGED TERMINAL AIR CONDITIONER AND  PACKAGED TERMINAL HEAT PUMP - MINIMUM EFFICIENCY REQUIREMENTS</t>
  </si>
  <si>
    <t>Compliance2019</t>
  </si>
  <si>
    <t>SPVAC</t>
  </si>
  <si>
    <t>T24 Std Table 110.2-E</t>
  </si>
  <si>
    <t>SPVHP</t>
  </si>
  <si>
    <t>ExternalIlluminatedMirror</t>
  </si>
  <si>
    <t>InternalIlluminatedMirror</t>
  </si>
  <si>
    <t>Sports Arena - Playing Area (&gt; 5,000 Spectators)</t>
  </si>
  <si>
    <t>Sports Arena - Playing Area (2,000 - 5,000 Spectators)</t>
  </si>
  <si>
    <t>Sports Arena - Playing Area (&lt; 2,000 Spectators)</t>
  </si>
  <si>
    <t>Sports Arena - Playing Area (Recreational)</t>
  </si>
  <si>
    <t>TransitionLightingOffAtNight</t>
  </si>
  <si>
    <t>TunableWhiteOrDimToWarm</t>
  </si>
  <si>
    <t>Aging Eye/Low-vision (Corridor Area)</t>
  </si>
  <si>
    <t>Aging Eye/Low-vision (Dining)</t>
  </si>
  <si>
    <t>Aging Eye/Low-vision (Lounge/Waiting Area)</t>
  </si>
  <si>
    <t>Aging Eye/Low-vision (Main Entry Lobby)</t>
  </si>
  <si>
    <t>Aging Eye/Low-vision (Multipurpose Room)</t>
  </si>
  <si>
    <t>Aging Eye/Low-vision (Religious Worship Area)</t>
  </si>
  <si>
    <t>Aging Eye/Low-vision (Restroom)</t>
  </si>
  <si>
    <t>Aging Eye/Low-vision (Stairwell)</t>
  </si>
  <si>
    <t>Healthcare Facility and Hospitals (Imaging Room)</t>
  </si>
  <si>
    <t>Healthcare Facility and Hospitals (Medical Supply Room)</t>
  </si>
  <si>
    <t>Healthcare Facility and Hospitals (Nursery)</t>
  </si>
  <si>
    <t>Healthcare Facility and Hospitals (Nurse's Station)</t>
  </si>
  <si>
    <t>Healthcare Facility and Hospitals (Operating Room)</t>
  </si>
  <si>
    <t>Healthcare Facility and Hospitals (Patient Room)</t>
  </si>
  <si>
    <t>Healthcare Facility and Hospitals (Physical Therapy Room)</t>
  </si>
  <si>
    <t>Healthcare Facility and Hospitals (Recovery Room)</t>
  </si>
  <si>
    <t>All Other</t>
  </si>
  <si>
    <t>PAFCombError</t>
  </si>
  <si>
    <t>Incorporate 2022 records (copied from 2019) and revise table name removing '2019'</t>
  </si>
  <si>
    <t>Compliance2022</t>
  </si>
  <si>
    <t>Appl Std Table C-3</t>
  </si>
  <si>
    <t xml:space="preserve">Update &lt;65kBtu/hr table reference and add min EER reqs for Split1Phase HPs </t>
  </si>
  <si>
    <t>GlazingTint=</t>
  </si>
  <si>
    <t>Tinted Glazing is not a valid selection for GlassBlock fenestration products</t>
  </si>
  <si>
    <t>Convention Center - Audience Seating</t>
  </si>
  <si>
    <t>AllowanceType =</t>
  </si>
  <si>
    <t>DaylitLum=</t>
  </si>
  <si>
    <t>PrevPAFCredType=</t>
  </si>
  <si>
    <t>AccentDisplayFeature-Museum</t>
  </si>
  <si>
    <t>Count Enums</t>
  </si>
  <si>
    <t>1st Match</t>
  </si>
  <si>
    <t>2nd Match</t>
  </si>
  <si>
    <t>2nd Match Pos.</t>
  </si>
  <si>
    <t>1st Match APos.</t>
  </si>
  <si>
    <t>NOTE:  TABLE NOT IMPLEMENTED IN RULES - USED ONLY TO GENERATE ENUMS</t>
  </si>
  <si>
    <t>SEER req. covered by separate rule</t>
  </si>
  <si>
    <t>SEER/HSPF req. covered by separate rule</t>
  </si>
  <si>
    <t>No min COP at 17F</t>
  </si>
  <si>
    <t>No min eff req</t>
  </si>
  <si>
    <t>T20 Appliance Efficiency Standards</t>
  </si>
  <si>
    <t>Zero values indicate there is no requirement</t>
  </si>
  <si>
    <t>VRF</t>
  </si>
  <si>
    <t>T24 Std Table 110.2-H</t>
  </si>
  <si>
    <t>T24 Std Table 110.2-I</t>
  </si>
  <si>
    <t>Updates for Ticket 3217 (Fix for WSHP). Change EER/COP 'NA' values to 0. Add values for VRF. Add notes column</t>
  </si>
  <si>
    <t>https://govt.westlaw.com/calregs/Document/IC95DA848BDAD489294F06754177B0C50?viewType=FullText&amp;originationContext=documenttoc&amp;transitionType=CategoryPageItem&amp;contextData=(sc.Default)&amp;bhcp=1</t>
  </si>
  <si>
    <t>T20 Std Table C-3</t>
  </si>
  <si>
    <t>Aging Eye/Low-vision (Lobby, Main Entry)</t>
  </si>
  <si>
    <t>Barber, Beauty Salon, Spa Area</t>
  </si>
  <si>
    <t>Manufacturing, Commercial &amp; Industrial Work Area (Low Bay)</t>
  </si>
  <si>
    <t>Manufacturing, Commercial &amp; Industrial Work Area (High Bay)</t>
  </si>
  <si>
    <t>Manufacturing, Commercial &amp; Industrial Work Area (Precision)</t>
  </si>
  <si>
    <t>Parking Garage Area (Parking Zone and Ramps)</t>
  </si>
  <si>
    <t>Storage, Commercial/Industrial (Warehouse)</t>
  </si>
  <si>
    <t>Storage, Commercial/Industrial (Refrigerated)</t>
  </si>
  <si>
    <t>Storage, Commercial/Industrial (Shipping &amp; Handling)</t>
  </si>
  <si>
    <t>_Invalid from 2019 - Parking Garage Area (Dedicated Ramp)</t>
  </si>
  <si>
    <t>_Invalid from 2019 - Office Area (Open plan office)</t>
  </si>
  <si>
    <t>Decorative/Display</t>
  </si>
  <si>
    <t>Decorative(Combined with Ornamental as Decorative/Display)</t>
  </si>
  <si>
    <t>3rd Match</t>
  </si>
  <si>
    <t>3rd Match Pos.</t>
  </si>
  <si>
    <t xml:space="preserve">1,    IntLtgSys:IntLtgSpecMthd,  </t>
  </si>
  <si>
    <t xml:space="preserve"> 1,    </t>
  </si>
  <si>
    <t xml:space="preserve">   ; AreaCategoryMethod</t>
  </si>
  <si>
    <t xml:space="preserve">,    </t>
  </si>
  <si>
    <t xml:space="preserve">   ; </t>
  </si>
  <si>
    <t>,     "</t>
  </si>
  <si>
    <t>2022 NACM Space Type</t>
  </si>
  <si>
    <r>
      <t xml:space="preserve">Allowed Additional Lighting System Type </t>
    </r>
    <r>
      <rPr>
        <sz val="10"/>
        <rFont val="Arial"/>
        <family val="2"/>
      </rPr>
      <t xml:space="preserve">(Default in </t>
    </r>
    <r>
      <rPr>
        <b/>
        <sz val="10"/>
        <color rgb="FFFF0000"/>
        <rFont val="Arial"/>
        <family val="2"/>
      </rPr>
      <t>Bold Red</t>
    </r>
    <r>
      <rPr>
        <sz val="10"/>
        <rFont val="Arial"/>
        <family val="2"/>
      </rPr>
      <t>)</t>
    </r>
  </si>
  <si>
    <t>SpcFuncIdx - 2022</t>
  </si>
  <si>
    <t>AllowTypeIdx</t>
  </si>
  <si>
    <t>SpcFunc</t>
  </si>
  <si>
    <t>VentSpcFunc</t>
  </si>
  <si>
    <t>0, IntLtgSys:AllowType, 0</t>
  </si>
  <si>
    <t>- none specified -</t>
  </si>
  <si>
    <t># times referenced above</t>
  </si>
  <si>
    <t>VentSpcFunc from ventilation list</t>
  </si>
  <si>
    <t>Assembly - Auditorium seating area</t>
  </si>
  <si>
    <t>Assembly - Courtrooms</t>
  </si>
  <si>
    <t>Assembly - Legislative chambers</t>
  </si>
  <si>
    <t>Assembly - Libraries (reading rooms and stack areas)</t>
  </si>
  <si>
    <t>Assembly - Lobbies</t>
  </si>
  <si>
    <t>Assembly - Museums (childrens)</t>
  </si>
  <si>
    <t>Assembly - Museums/galleries</t>
  </si>
  <si>
    <t>Assembly - Places of religious worship</t>
  </si>
  <si>
    <t>Education - Art classroom</t>
  </si>
  <si>
    <t>Education - Classrooms (ages 9-18)</t>
  </si>
  <si>
    <t>Education - Classrooms (ages 5-8)</t>
  </si>
  <si>
    <t>Education - Computer lab</t>
  </si>
  <si>
    <t>Education - Daycare (through age 4)</t>
  </si>
  <si>
    <t>Education - Daycare sickroom</t>
  </si>
  <si>
    <t>Education - Lecture hall (fixed seats)</t>
  </si>
  <si>
    <t>Education - Lecture/postsecondary classroom</t>
  </si>
  <si>
    <t>Education - Media center</t>
  </si>
  <si>
    <t>Education - Multiuse assembly</t>
  </si>
  <si>
    <t>Education - Music/theater/dance </t>
  </si>
  <si>
    <t>Education - Science laboratories</t>
  </si>
  <si>
    <t>Education - University/college laboratories</t>
  </si>
  <si>
    <t>Education - Wood shop</t>
  </si>
  <si>
    <t>Exhaust - All other locker rooms</t>
  </si>
  <si>
    <t>Exhaust - Arenas</t>
  </si>
  <si>
    <t>Exhaust - Auto repair rooms</t>
  </si>
  <si>
    <t>Exhaust - Cells with toilet</t>
  </si>
  <si>
    <t>Exhaust - Copy, printing rooms</t>
  </si>
  <si>
    <t>Exhaust - Darkrooms</t>
  </si>
  <si>
    <t>Exhaust - Janitor closets, trash rooms, recycling</t>
  </si>
  <si>
    <t>Exhaust - Kitchenettes</t>
  </si>
  <si>
    <t>Exhaust - Locker rooms for athletic or industrial facilities</t>
  </si>
  <si>
    <t>Exhaust - Paint spray booths</t>
  </si>
  <si>
    <t>Exhaust - Parking garages</t>
  </si>
  <si>
    <t>Exhaust - Refrigerating machinery rooms</t>
  </si>
  <si>
    <t>Exhaust - Shower rooms</t>
  </si>
  <si>
    <t>Exhaust - Soiled laundry storage rooms</t>
  </si>
  <si>
    <t>Exhaust - Storage rooms, chemical</t>
  </si>
  <si>
    <t>Exhaust - Toilets - private</t>
  </si>
  <si>
    <t>Exhaust - Toilets, public</t>
  </si>
  <si>
    <t>Exhaust - Woodwork shop/classrooms</t>
  </si>
  <si>
    <t>Food Service - Bars, cocktail lounges</t>
  </si>
  <si>
    <t>Food Service - Cafeteria/fast-food dining</t>
  </si>
  <si>
    <t>Food Service - Kitchen (cooking)</t>
  </si>
  <si>
    <t>Food Service - Restaurant dining rooms</t>
  </si>
  <si>
    <t>General - Break rooms</t>
  </si>
  <si>
    <t>General - Coffee Stations</t>
  </si>
  <si>
    <t>General - Conference/meeting</t>
  </si>
  <si>
    <t>General - Corridors</t>
  </si>
  <si>
    <t>General - Occupiable storage rooms for liquids or gels</t>
  </si>
  <si>
    <t>General - Unoccupied</t>
  </si>
  <si>
    <t>Lodging - Barracks sleeping areas</t>
  </si>
  <si>
    <t>Lodging - Bedroom/living room</t>
  </si>
  <si>
    <t>Lodging - Laundry rooms within dwelling units</t>
  </si>
  <si>
    <t>Lodging - Laundry rooms, central</t>
  </si>
  <si>
    <t>Lodging - Lobbies/pre-function</t>
  </si>
  <si>
    <t>Lodging - Multipurpose assembly</t>
  </si>
  <si>
    <t>Misc - All others</t>
  </si>
  <si>
    <t>Misc - Bank vaults/safe deposit</t>
  </si>
  <si>
    <t>Misc - Banks or bank lobbies</t>
  </si>
  <si>
    <t>Misc - Computer (not printing)</t>
  </si>
  <si>
    <t>Misc - Freezer and refrigerated spaces (&lt;50F)</t>
  </si>
  <si>
    <t>Misc - General manufacturing (excludes heavy industrial and process using chemicals)</t>
  </si>
  <si>
    <t>Misc - Pharmacy (preparation area)</t>
  </si>
  <si>
    <t>Misc - Photo studios</t>
  </si>
  <si>
    <t>Misc - Shipping/receiving</t>
  </si>
  <si>
    <t>Misc - Sorting, packing, light assembly</t>
  </si>
  <si>
    <t>Misc - Telephone closets</t>
  </si>
  <si>
    <t>Misc - Transportation waiting</t>
  </si>
  <si>
    <t>Misc - Warehouses</t>
  </si>
  <si>
    <t>Office - Breakrooms</t>
  </si>
  <si>
    <t>Office - Main entry lobbies</t>
  </si>
  <si>
    <t>Office - Occupiable storage rooms for dry materials</t>
  </si>
  <si>
    <t>Office - Office space</t>
  </si>
  <si>
    <t>Office - Reception areas</t>
  </si>
  <si>
    <t>Office - Telephone/data entry</t>
  </si>
  <si>
    <t>Residential - Common corridors</t>
  </si>
  <si>
    <t>Retail - Barbershop</t>
  </si>
  <si>
    <t>Retail - Beauty and nail salons</t>
  </si>
  <si>
    <t>Retail - Coin-operated laundries</t>
  </si>
  <si>
    <t>Retail - Mall common areas</t>
  </si>
  <si>
    <t>Retail - Pet shops (animal areas)</t>
  </si>
  <si>
    <t>Retail - Sales</t>
  </si>
  <si>
    <t>Retail - Supermarket</t>
  </si>
  <si>
    <t>Sports/Entertainment - Bowling alley (seating)</t>
  </si>
  <si>
    <t>Sports/Entertainment - Disco/dance floors</t>
  </si>
  <si>
    <t>Sports/Entertainment - Gambling casinos</t>
  </si>
  <si>
    <t>Sports/Entertainment - Game arcades</t>
  </si>
  <si>
    <t>Sports/Entertainment - Gym, sports arena (play area)</t>
  </si>
  <si>
    <t>Sports/Entertainment - Health club/aerobics room</t>
  </si>
  <si>
    <t>Sports/Entertainment - Health club/weight rooms</t>
  </si>
  <si>
    <t>Sports/Entertainment - Spectator areas</t>
  </si>
  <si>
    <t>Sports/Entertainment - Stages, studios</t>
  </si>
  <si>
    <t>Sports/Entertainment - Swimming (deck)</t>
  </si>
  <si>
    <t>TABLE TailoredMethodLPA</t>
  </si>
  <si>
    <t>TailoredMethodLPA.GenIllum(SpaceFunction=u:SpaceFunction)</t>
  </si>
  <si>
    <t>2022 Ruleset Updates</t>
  </si>
  <si>
    <t>J. Peng</t>
  </si>
  <si>
    <t>IlluminanceLevelLPD.LPD(IllumLevel=u:TMGenIlmRnd, RCRCat=u:RCRCat)</t>
  </si>
  <si>
    <t>TABLE IlluminanceLevelLPD</t>
  </si>
  <si>
    <t>Decorative/Display&amp;PortableLightingForOffice</t>
  </si>
  <si>
    <t>Cnt</t>
  </si>
  <si>
    <t>ParkingGarageATM/TicketMachine</t>
  </si>
  <si>
    <t>Updated to 2022</t>
  </si>
  <si>
    <t>EnergyCodeYear</t>
  </si>
  <si>
    <t>GuestRm</t>
  </si>
  <si>
    <t>; EnergyCodeYear = 2013, 2016, 2019</t>
  </si>
  <si>
    <t>CEC Nonresidential ACM Ruleset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</si>
</sst>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3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ourier New"/>
      <family val="3"/>
    </font>
    <font>
      <sz val="11"/>
      <color theme="1"/>
      <name val="Courier New"/>
      <family val="3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vertAlign val="subscript"/>
      <sz val="11"/>
      <name val="Calibri"/>
      <family val="2"/>
      <scheme val="minor"/>
    </font>
    <font>
      <vertAlign val="superscript"/>
      <sz val="1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vertAlign val="subscript"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</borders>
  <cellStyleXfs count="43">
    <xf numFmtId="0" fontId="0" fillId="0" borderId="0"/>
    <xf numFmtId="0" fontId="8" fillId="3" borderId="0" applyNumberFormat="0" applyBorder="0" applyAlignment="0" applyProtection="0"/>
    <xf numFmtId="0" fontId="10" fillId="0" borderId="0" applyNumberFormat="0" applyFill="0" applyBorder="0" applyAlignment="0" applyProtection="0"/>
    <xf numFmtId="0" fontId="11" fillId="0" borderId="1" applyNumberFormat="0" applyFill="0" applyAlignment="0" applyProtection="0"/>
    <xf numFmtId="0" fontId="12" fillId="0" borderId="2" applyNumberFormat="0" applyFill="0" applyAlignment="0" applyProtection="0"/>
    <xf numFmtId="0" fontId="13" fillId="0" borderId="3" applyNumberFormat="0" applyFill="0" applyAlignment="0" applyProtection="0"/>
    <xf numFmtId="0" fontId="13" fillId="0" borderId="0" applyNumberFormat="0" applyFill="0" applyBorder="0" applyAlignment="0" applyProtection="0"/>
    <xf numFmtId="0" fontId="14" fillId="4" borderId="0" applyNumberFormat="0" applyBorder="0" applyAlignment="0" applyProtection="0"/>
    <xf numFmtId="0" fontId="15" fillId="5" borderId="0" applyNumberFormat="0" applyBorder="0" applyAlignment="0" applyProtection="0"/>
    <xf numFmtId="0" fontId="16" fillId="6" borderId="4" applyNumberFormat="0" applyAlignment="0" applyProtection="0"/>
    <xf numFmtId="0" fontId="17" fillId="7" borderId="5" applyNumberFormat="0" applyAlignment="0" applyProtection="0"/>
    <xf numFmtId="0" fontId="18" fillId="7" borderId="4" applyNumberFormat="0" applyAlignment="0" applyProtection="0"/>
    <xf numFmtId="0" fontId="19" fillId="0" borderId="6" applyNumberFormat="0" applyFill="0" applyAlignment="0" applyProtection="0"/>
    <xf numFmtId="0" fontId="20" fillId="8" borderId="7" applyNumberFormat="0" applyAlignment="0" applyProtection="0"/>
    <xf numFmtId="0" fontId="1" fillId="0" borderId="0" applyNumberFormat="0" applyFill="0" applyBorder="0" applyAlignment="0" applyProtection="0"/>
    <xf numFmtId="0" fontId="9" fillId="9" borderId="8" applyNumberFormat="0" applyFont="0" applyAlignment="0" applyProtection="0"/>
    <xf numFmtId="0" fontId="21" fillId="0" borderId="0" applyNumberFormat="0" applyFill="0" applyBorder="0" applyAlignment="0" applyProtection="0"/>
    <xf numFmtId="0" fontId="5" fillId="0" borderId="9" applyNumberFormat="0" applyFill="0" applyAlignment="0" applyProtection="0"/>
    <xf numFmtId="0" fontId="22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22" fillId="13" borderId="0" applyNumberFormat="0" applyBorder="0" applyAlignment="0" applyProtection="0"/>
    <xf numFmtId="0" fontId="22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22" fillId="17" borderId="0" applyNumberFormat="0" applyBorder="0" applyAlignment="0" applyProtection="0"/>
    <xf numFmtId="0" fontId="22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22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22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22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34" fillId="0" borderId="0"/>
  </cellStyleXfs>
  <cellXfs count="391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wrapText="1"/>
    </xf>
    <xf numFmtId="0" fontId="3" fillId="0" borderId="0" xfId="0" applyFont="1"/>
    <xf numFmtId="0" fontId="2" fillId="0" borderId="0" xfId="0" applyFont="1" applyAlignment="1">
      <alignment wrapText="1"/>
    </xf>
    <xf numFmtId="0" fontId="2" fillId="0" borderId="0" xfId="0" applyFont="1" applyFill="1" applyAlignment="1">
      <alignment horizontal="left" vertical="top"/>
    </xf>
    <xf numFmtId="0" fontId="2" fillId="0" borderId="0" xfId="0" applyFont="1" applyFill="1" applyAlignment="1">
      <alignment horizontal="left" vertical="top" wrapText="1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vertical="top" wrapText="1"/>
    </xf>
    <xf numFmtId="0" fontId="4" fillId="0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vertical="center"/>
    </xf>
    <xf numFmtId="0" fontId="0" fillId="0" borderId="0" xfId="0" applyAlignment="1">
      <alignment vertical="top"/>
    </xf>
    <xf numFmtId="0" fontId="2" fillId="0" borderId="0" xfId="0" applyFont="1" applyFill="1" applyAlignment="1">
      <alignment vertical="top"/>
    </xf>
    <xf numFmtId="0" fontId="0" fillId="0" borderId="0" xfId="0" applyAlignment="1">
      <alignment horizontal="left" wrapText="1"/>
    </xf>
    <xf numFmtId="2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quotePrefix="1"/>
    <xf numFmtId="0" fontId="4" fillId="2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6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8" fillId="3" borderId="0" xfId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164" fontId="8" fillId="3" borderId="0" xfId="1" applyNumberFormat="1" applyAlignment="1">
      <alignment horizontal="left" vertical="center"/>
    </xf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2" fontId="0" fillId="0" borderId="0" xfId="0" applyNumberFormat="1"/>
    <xf numFmtId="0" fontId="0" fillId="34" borderId="0" xfId="0" applyFill="1" applyAlignment="1">
      <alignment horizontal="left"/>
    </xf>
    <xf numFmtId="0" fontId="2" fillId="0" borderId="0" xfId="0" applyFont="1" applyAlignment="1">
      <alignment vertical="top"/>
    </xf>
    <xf numFmtId="0" fontId="2" fillId="0" borderId="0" xfId="0" applyFont="1" applyAlignment="1">
      <alignment horizontal="center" vertical="top"/>
    </xf>
    <xf numFmtId="0" fontId="23" fillId="2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top" wrapText="1"/>
    </xf>
    <xf numFmtId="0" fontId="2" fillId="0" borderId="0" xfId="0" applyFont="1" applyFill="1" applyAlignment="1">
      <alignment horizontal="center" vertical="top"/>
    </xf>
    <xf numFmtId="0" fontId="1" fillId="0" borderId="0" xfId="0" applyFont="1"/>
    <xf numFmtId="0" fontId="26" fillId="0" borderId="0" xfId="0" applyFont="1"/>
    <xf numFmtId="0" fontId="0" fillId="0" borderId="0" xfId="0" applyFont="1" applyBorder="1"/>
    <xf numFmtId="0" fontId="0" fillId="0" borderId="0" xfId="0" applyBorder="1"/>
    <xf numFmtId="2" fontId="0" fillId="0" borderId="0" xfId="0" applyNumberFormat="1" applyBorder="1"/>
    <xf numFmtId="0" fontId="0" fillId="0" borderId="0" xfId="0" quotePrefix="1" applyBorder="1"/>
    <xf numFmtId="0" fontId="0" fillId="0" borderId="0" xfId="0" applyFont="1" applyFill="1" applyBorder="1"/>
    <xf numFmtId="0" fontId="2" fillId="0" borderId="0" xfId="0" applyFont="1" applyFill="1" applyAlignment="1">
      <alignment horizontal="left"/>
    </xf>
    <xf numFmtId="2" fontId="2" fillId="0" borderId="0" xfId="0" applyNumberFormat="1" applyFont="1" applyFill="1" applyAlignment="1">
      <alignment horizontal="left"/>
    </xf>
    <xf numFmtId="2" fontId="2" fillId="0" borderId="0" xfId="1" applyNumberFormat="1" applyFont="1" applyFill="1" applyAlignment="1">
      <alignment horizontal="left"/>
    </xf>
    <xf numFmtId="164" fontId="0" fillId="0" borderId="0" xfId="0" applyNumberFormat="1"/>
    <xf numFmtId="1" fontId="0" fillId="0" borderId="0" xfId="0" applyNumberFormat="1" applyAlignment="1"/>
    <xf numFmtId="2" fontId="2" fillId="0" borderId="0" xfId="0" applyNumberFormat="1" applyFont="1" applyFill="1" applyAlignment="1"/>
    <xf numFmtId="2" fontId="0" fillId="0" borderId="0" xfId="0" applyNumberFormat="1" applyAlignment="1"/>
    <xf numFmtId="164" fontId="0" fillId="0" borderId="0" xfId="0" applyNumberFormat="1" applyAlignment="1"/>
    <xf numFmtId="164" fontId="2" fillId="0" borderId="0" xfId="0" applyNumberFormat="1" applyFont="1" applyFill="1" applyAlignment="1"/>
    <xf numFmtId="2" fontId="8" fillId="0" borderId="0" xfId="1" applyNumberFormat="1" applyFill="1" applyAlignment="1">
      <alignment horizontal="left"/>
    </xf>
    <xf numFmtId="2" fontId="0" fillId="0" borderId="0" xfId="0" applyNumberFormat="1" applyFill="1" applyAlignment="1">
      <alignment horizontal="left"/>
    </xf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/>
    <xf numFmtId="2" fontId="8" fillId="3" borderId="0" xfId="1" applyNumberFormat="1" applyAlignment="1">
      <alignment horizontal="center"/>
    </xf>
    <xf numFmtId="2" fontId="0" fillId="0" borderId="0" xfId="0" applyNumberFormat="1" applyAlignment="1">
      <alignment horizontal="center"/>
    </xf>
    <xf numFmtId="0" fontId="1" fillId="0" borderId="0" xfId="0" applyFont="1"/>
    <xf numFmtId="0" fontId="28" fillId="0" borderId="0" xfId="0" applyFont="1"/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2" fontId="8" fillId="3" borderId="0" xfId="1" applyNumberFormat="1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/>
    <xf numFmtId="2" fontId="8" fillId="3" borderId="0" xfId="1" applyNumberFormat="1" applyAlignment="1">
      <alignment horizontal="center"/>
    </xf>
    <xf numFmtId="2" fontId="0" fillId="0" borderId="0" xfId="0" applyNumberFormat="1" applyAlignment="1">
      <alignment horizontal="center"/>
    </xf>
    <xf numFmtId="0" fontId="1" fillId="0" borderId="0" xfId="0" applyFont="1"/>
    <xf numFmtId="0" fontId="28" fillId="0" borderId="0" xfId="0" applyFont="1"/>
    <xf numFmtId="2" fontId="28" fillId="0" borderId="0" xfId="0" applyNumberFormat="1" applyFont="1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1" fillId="0" borderId="0" xfId="0" applyFont="1"/>
    <xf numFmtId="0" fontId="0" fillId="0" borderId="0" xfId="0" applyFill="1" applyAlignment="1">
      <alignment horizontal="left" vertical="center" wrapText="1"/>
    </xf>
    <xf numFmtId="0" fontId="0" fillId="0" borderId="0" xfId="0" applyFill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0" fontId="8" fillId="0" borderId="0" xfId="1" applyFill="1" applyAlignment="1">
      <alignment horizontal="left" vertical="center"/>
    </xf>
    <xf numFmtId="165" fontId="0" fillId="0" borderId="0" xfId="0" applyNumberFormat="1" applyFill="1" applyAlignment="1">
      <alignment horizontal="left" vertical="center" wrapText="1"/>
    </xf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0" fillId="0" borderId="0" xfId="0" applyAlignment="1"/>
    <xf numFmtId="2" fontId="8" fillId="3" borderId="0" xfId="1" applyNumberFormat="1" applyAlignment="1">
      <alignment horizontal="center"/>
    </xf>
    <xf numFmtId="0" fontId="1" fillId="0" borderId="0" xfId="0" applyFont="1"/>
    <xf numFmtId="0" fontId="0" fillId="0" borderId="0" xfId="0" applyFill="1" applyAlignment="1">
      <alignment horizontal="left" vertical="center" wrapText="1"/>
    </xf>
    <xf numFmtId="0" fontId="0" fillId="0" borderId="0" xfId="0" applyFill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0" fontId="8" fillId="0" borderId="0" xfId="1" applyFill="1" applyAlignment="1">
      <alignment horizontal="left" vertical="center"/>
    </xf>
    <xf numFmtId="165" fontId="0" fillId="0" borderId="0" xfId="0" applyNumberFormat="1" applyFill="1" applyAlignment="1">
      <alignment horizontal="left" vertical="center" wrapText="1"/>
    </xf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vertic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 vertical="center"/>
    </xf>
    <xf numFmtId="0" fontId="1" fillId="0" borderId="0" xfId="0" applyFont="1"/>
    <xf numFmtId="0" fontId="15" fillId="5" borderId="0" xfId="8" applyAlignment="1">
      <alignment horizontal="left"/>
    </xf>
    <xf numFmtId="0" fontId="0" fillId="0" borderId="0" xfId="0" applyFont="1" applyAlignment="1">
      <alignment horizontal="left" wrapText="1"/>
    </xf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vertic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 vertical="center"/>
    </xf>
    <xf numFmtId="0" fontId="1" fillId="0" borderId="0" xfId="0" applyFont="1"/>
    <xf numFmtId="0" fontId="15" fillId="5" borderId="0" xfId="8" applyAlignment="1">
      <alignment horizontal="left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wrapText="1"/>
    </xf>
    <xf numFmtId="164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164" fontId="2" fillId="0" borderId="0" xfId="0" applyNumberFormat="1" applyFont="1" applyAlignment="1">
      <alignment horizontal="right" vertical="center"/>
    </xf>
    <xf numFmtId="0" fontId="15" fillId="0" borderId="0" xfId="8" applyFill="1" applyAlignment="1">
      <alignment horizontal="left"/>
    </xf>
    <xf numFmtId="0" fontId="8" fillId="3" borderId="0" xfId="1" applyAlignment="1">
      <alignment horizontal="left"/>
    </xf>
    <xf numFmtId="2" fontId="0" fillId="0" borderId="0" xfId="0" applyNumberFormat="1" applyAlignment="1">
      <alignment horizontal="right"/>
    </xf>
    <xf numFmtId="0" fontId="0" fillId="0" borderId="10" xfId="0" applyBorder="1"/>
    <xf numFmtId="0" fontId="0" fillId="0" borderId="10" xfId="0" applyBorder="1" applyAlignment="1">
      <alignment horizontal="left"/>
    </xf>
    <xf numFmtId="0" fontId="0" fillId="0" borderId="12" xfId="0" applyBorder="1" applyAlignment="1">
      <alignment horizontal="left"/>
    </xf>
    <xf numFmtId="2" fontId="0" fillId="0" borderId="11" xfId="0" applyNumberFormat="1" applyBorder="1" applyAlignment="1">
      <alignment horizontal="left"/>
    </xf>
    <xf numFmtId="2" fontId="28" fillId="0" borderId="11" xfId="0" applyNumberFormat="1" applyFont="1" applyBorder="1" applyAlignment="1">
      <alignment horizontal="left"/>
    </xf>
    <xf numFmtId="2" fontId="8" fillId="3" borderId="11" xfId="1" applyNumberFormat="1" applyBorder="1" applyAlignment="1">
      <alignment horizontal="left"/>
    </xf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16" xfId="0" applyBorder="1" applyAlignment="1">
      <alignment horizontal="left"/>
    </xf>
    <xf numFmtId="0" fontId="0" fillId="0" borderId="11" xfId="0" applyBorder="1"/>
    <xf numFmtId="2" fontId="0" fillId="0" borderId="0" xfId="0" applyNumberFormat="1" applyBorder="1" applyAlignment="1">
      <alignment horizontal="left"/>
    </xf>
    <xf numFmtId="2" fontId="0" fillId="0" borderId="17" xfId="0" applyNumberFormat="1" applyBorder="1" applyAlignment="1">
      <alignment horizontal="left"/>
    </xf>
    <xf numFmtId="0" fontId="28" fillId="0" borderId="11" xfId="0" applyFont="1" applyBorder="1"/>
    <xf numFmtId="0" fontId="28" fillId="0" borderId="0" xfId="0" applyFont="1" applyBorder="1"/>
    <xf numFmtId="2" fontId="28" fillId="0" borderId="0" xfId="0" applyNumberFormat="1" applyFont="1" applyBorder="1" applyAlignment="1">
      <alignment horizontal="left"/>
    </xf>
    <xf numFmtId="2" fontId="28" fillId="0" borderId="17" xfId="0" applyNumberFormat="1" applyFont="1" applyBorder="1" applyAlignment="1">
      <alignment horizontal="left"/>
    </xf>
    <xf numFmtId="2" fontId="8" fillId="3" borderId="17" xfId="1" applyNumberFormat="1" applyBorder="1" applyAlignment="1">
      <alignment horizontal="left"/>
    </xf>
    <xf numFmtId="2" fontId="0" fillId="0" borderId="13" xfId="0" applyNumberFormat="1" applyBorder="1" applyAlignment="1">
      <alignment horizontal="left"/>
    </xf>
    <xf numFmtId="2" fontId="0" fillId="0" borderId="14" xfId="0" applyNumberFormat="1" applyBorder="1" applyAlignment="1">
      <alignment horizontal="left"/>
    </xf>
    <xf numFmtId="2" fontId="8" fillId="3" borderId="15" xfId="1" applyNumberFormat="1" applyBorder="1" applyAlignment="1">
      <alignment horizontal="left"/>
    </xf>
    <xf numFmtId="0" fontId="0" fillId="0" borderId="18" xfId="0" applyBorder="1"/>
    <xf numFmtId="0" fontId="0" fillId="0" borderId="19" xfId="0" applyBorder="1" applyAlignment="1">
      <alignment horizontal="left" vertical="top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0" xfId="0" applyBorder="1" applyAlignment="1">
      <alignment horizontal="center"/>
    </xf>
    <xf numFmtId="0" fontId="28" fillId="0" borderId="0" xfId="0" applyFont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0" fillId="0" borderId="10" xfId="0" applyBorder="1" applyAlignment="1">
      <alignment horizontal="center"/>
    </xf>
    <xf numFmtId="0" fontId="0" fillId="0" borderId="10" xfId="0" applyBorder="1" applyAlignment="1">
      <alignment horizontal="center" vertical="top"/>
    </xf>
    <xf numFmtId="0" fontId="0" fillId="0" borderId="10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4" xfId="0" applyFont="1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9" xfId="0" applyBorder="1"/>
    <xf numFmtId="0" fontId="0" fillId="0" borderId="22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17" xfId="0" applyBorder="1"/>
    <xf numFmtId="0" fontId="0" fillId="0" borderId="15" xfId="0" applyBorder="1"/>
    <xf numFmtId="0" fontId="0" fillId="0" borderId="18" xfId="0" applyBorder="1" applyAlignment="1">
      <alignment horizontal="left" vertical="top"/>
    </xf>
    <xf numFmtId="0" fontId="0" fillId="0" borderId="19" xfId="0" applyFill="1" applyBorder="1" applyAlignment="1">
      <alignment horizontal="left"/>
    </xf>
    <xf numFmtId="0" fontId="0" fillId="0" borderId="24" xfId="0" applyBorder="1"/>
    <xf numFmtId="0" fontId="0" fillId="0" borderId="25" xfId="0" applyBorder="1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Border="1" applyAlignment="1">
      <alignment horizontal="center" wrapText="1"/>
    </xf>
    <xf numFmtId="0" fontId="2" fillId="0" borderId="0" xfId="0" applyFont="1" applyBorder="1" applyAlignment="1">
      <alignment wrapText="1"/>
    </xf>
    <xf numFmtId="2" fontId="2" fillId="0" borderId="0" xfId="1" applyNumberFormat="1" applyFont="1" applyFill="1" applyBorder="1" applyAlignment="1">
      <alignment horizontal="left"/>
    </xf>
    <xf numFmtId="2" fontId="2" fillId="0" borderId="0" xfId="1" applyNumberFormat="1" applyFont="1" applyFill="1" applyBorder="1" applyAlignment="1">
      <alignment horizontal="center"/>
    </xf>
    <xf numFmtId="0" fontId="0" fillId="0" borderId="13" xfId="0" applyFill="1" applyBorder="1"/>
    <xf numFmtId="0" fontId="0" fillId="0" borderId="0" xfId="0" applyFill="1"/>
    <xf numFmtId="0" fontId="0" fillId="0" borderId="11" xfId="0" applyFill="1" applyBorder="1"/>
    <xf numFmtId="0" fontId="0" fillId="0" borderId="22" xfId="0" applyBorder="1"/>
    <xf numFmtId="0" fontId="2" fillId="0" borderId="14" xfId="0" applyFont="1" applyFill="1" applyBorder="1"/>
    <xf numFmtId="2" fontId="2" fillId="0" borderId="14" xfId="1" applyNumberFormat="1" applyFont="1" applyFill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0" fillId="0" borderId="21" xfId="0" applyBorder="1"/>
    <xf numFmtId="0" fontId="0" fillId="0" borderId="21" xfId="0" applyBorder="1" applyAlignment="1">
      <alignment horizontal="left"/>
    </xf>
    <xf numFmtId="0" fontId="2" fillId="0" borderId="22" xfId="0" applyFont="1" applyBorder="1"/>
    <xf numFmtId="0" fontId="2" fillId="0" borderId="22" xfId="0" applyFont="1" applyBorder="1" applyAlignment="1">
      <alignment horizontal="center"/>
    </xf>
    <xf numFmtId="0" fontId="0" fillId="0" borderId="20" xfId="0" applyBorder="1"/>
    <xf numFmtId="0" fontId="0" fillId="0" borderId="26" xfId="0" applyBorder="1"/>
    <xf numFmtId="2" fontId="0" fillId="0" borderId="11" xfId="0" applyNumberFormat="1" applyBorder="1"/>
    <xf numFmtId="2" fontId="0" fillId="0" borderId="0" xfId="0" applyNumberFormat="1" applyFill="1" applyBorder="1"/>
    <xf numFmtId="2" fontId="0" fillId="0" borderId="17" xfId="0" applyNumberFormat="1" applyBorder="1"/>
    <xf numFmtId="2" fontId="0" fillId="0" borderId="13" xfId="0" applyNumberFormat="1" applyBorder="1"/>
    <xf numFmtId="2" fontId="0" fillId="0" borderId="14" xfId="0" applyNumberFormat="1" applyBorder="1"/>
    <xf numFmtId="2" fontId="0" fillId="0" borderId="15" xfId="0" applyNumberFormat="1" applyBorder="1"/>
    <xf numFmtId="2" fontId="2" fillId="0" borderId="11" xfId="0" applyNumberFormat="1" applyFont="1" applyFill="1" applyBorder="1" applyAlignment="1"/>
    <xf numFmtId="2" fontId="2" fillId="0" borderId="11" xfId="1" applyNumberFormat="1" applyFont="1" applyFill="1" applyBorder="1" applyAlignment="1"/>
    <xf numFmtId="2" fontId="0" fillId="0" borderId="22" xfId="0" applyNumberFormat="1" applyBorder="1" applyAlignment="1"/>
    <xf numFmtId="2" fontId="0" fillId="0" borderId="0" xfId="0" applyNumberFormat="1" applyBorder="1" applyAlignment="1"/>
    <xf numFmtId="2" fontId="0" fillId="0" borderId="14" xfId="0" applyNumberFormat="1" applyBorder="1" applyAlignment="1"/>
    <xf numFmtId="2" fontId="0" fillId="0" borderId="11" xfId="0" applyNumberFormat="1" applyBorder="1" applyAlignment="1"/>
    <xf numFmtId="2" fontId="0" fillId="0" borderId="13" xfId="0" applyNumberFormat="1" applyBorder="1" applyAlignment="1"/>
    <xf numFmtId="2" fontId="0" fillId="0" borderId="21" xfId="0" applyNumberFormat="1" applyBorder="1" applyAlignment="1"/>
    <xf numFmtId="2" fontId="2" fillId="0" borderId="21" xfId="0" applyNumberFormat="1" applyFont="1" applyFill="1" applyBorder="1" applyAlignment="1"/>
    <xf numFmtId="2" fontId="2" fillId="0" borderId="22" xfId="0" applyNumberFormat="1" applyFont="1" applyBorder="1" applyAlignment="1"/>
    <xf numFmtId="2" fontId="2" fillId="0" borderId="22" xfId="0" applyNumberFormat="1" applyFont="1" applyFill="1" applyBorder="1" applyAlignment="1"/>
    <xf numFmtId="2" fontId="2" fillId="0" borderId="0" xfId="0" applyNumberFormat="1" applyFont="1" applyBorder="1" applyAlignment="1"/>
    <xf numFmtId="2" fontId="2" fillId="0" borderId="0" xfId="0" applyNumberFormat="1" applyFont="1" applyFill="1" applyBorder="1" applyAlignment="1"/>
    <xf numFmtId="2" fontId="2" fillId="0" borderId="11" xfId="0" applyNumberFormat="1" applyFont="1" applyBorder="1" applyAlignment="1"/>
    <xf numFmtId="2" fontId="0" fillId="0" borderId="18" xfId="0" applyNumberFormat="1" applyBorder="1"/>
    <xf numFmtId="2" fontId="0" fillId="0" borderId="19" xfId="0" applyNumberFormat="1" applyBorder="1"/>
    <xf numFmtId="2" fontId="0" fillId="0" borderId="20" xfId="0" applyNumberFormat="1" applyBorder="1"/>
    <xf numFmtId="0" fontId="0" fillId="0" borderId="16" xfId="0" applyBorder="1"/>
    <xf numFmtId="0" fontId="0" fillId="0" borderId="11" xfId="0" applyBorder="1" applyAlignment="1">
      <alignment horizontal="left"/>
    </xf>
    <xf numFmtId="2" fontId="0" fillId="0" borderId="21" xfId="0" applyNumberFormat="1" applyBorder="1"/>
    <xf numFmtId="2" fontId="0" fillId="0" borderId="22" xfId="0" applyNumberFormat="1" applyBorder="1"/>
    <xf numFmtId="2" fontId="0" fillId="0" borderId="23" xfId="0" applyNumberFormat="1" applyBorder="1"/>
    <xf numFmtId="0" fontId="0" fillId="0" borderId="13" xfId="0" applyBorder="1" applyAlignment="1">
      <alignment horizontal="left"/>
    </xf>
    <xf numFmtId="0" fontId="0" fillId="0" borderId="23" xfId="0" applyBorder="1"/>
    <xf numFmtId="0" fontId="30" fillId="0" borderId="18" xfId="0" applyFont="1" applyBorder="1"/>
    <xf numFmtId="0" fontId="30" fillId="0" borderId="12" xfId="0" applyFont="1" applyBorder="1"/>
    <xf numFmtId="2" fontId="5" fillId="35" borderId="0" xfId="0" applyNumberFormat="1" applyFont="1" applyFill="1" applyBorder="1"/>
    <xf numFmtId="0" fontId="0" fillId="35" borderId="0" xfId="0" applyFill="1" applyBorder="1"/>
    <xf numFmtId="0" fontId="0" fillId="0" borderId="0" xfId="0" applyFill="1" applyBorder="1"/>
    <xf numFmtId="0" fontId="0" fillId="36" borderId="11" xfId="0" applyFill="1" applyBorder="1" applyAlignment="1">
      <alignment horizontal="left"/>
    </xf>
    <xf numFmtId="0" fontId="0" fillId="0" borderId="11" xfId="0" applyFill="1" applyBorder="1" applyAlignment="1">
      <alignment horizontal="left"/>
    </xf>
    <xf numFmtId="0" fontId="0" fillId="36" borderId="21" xfId="0" applyFill="1" applyBorder="1" applyAlignment="1">
      <alignment horizontal="left"/>
    </xf>
    <xf numFmtId="0" fontId="1" fillId="0" borderId="11" xfId="0" applyFont="1" applyBorder="1" applyAlignment="1">
      <alignment horizontal="left"/>
    </xf>
    <xf numFmtId="0" fontId="1" fillId="0" borderId="21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0" fontId="0" fillId="36" borderId="13" xfId="0" applyFill="1" applyBorder="1" applyAlignment="1">
      <alignment horizontal="left"/>
    </xf>
    <xf numFmtId="0" fontId="2" fillId="0" borderId="11" xfId="0" applyFont="1" applyBorder="1" applyAlignment="1">
      <alignment horizontal="left"/>
    </xf>
    <xf numFmtId="0" fontId="2" fillId="36" borderId="11" xfId="0" applyFont="1" applyFill="1" applyBorder="1" applyAlignment="1">
      <alignment horizontal="left"/>
    </xf>
    <xf numFmtId="0" fontId="2" fillId="0" borderId="21" xfId="0" applyFont="1" applyBorder="1" applyAlignment="1">
      <alignment horizontal="left"/>
    </xf>
    <xf numFmtId="0" fontId="2" fillId="0" borderId="13" xfId="0" applyFont="1" applyBorder="1" applyAlignment="1">
      <alignment horizontal="left"/>
    </xf>
    <xf numFmtId="0" fontId="2" fillId="36" borderId="21" xfId="0" applyFont="1" applyFill="1" applyBorder="1" applyAlignment="1">
      <alignment horizontal="left"/>
    </xf>
    <xf numFmtId="0" fontId="2" fillId="36" borderId="18" xfId="0" applyFont="1" applyFill="1" applyBorder="1" applyAlignment="1">
      <alignment horizontal="left"/>
    </xf>
    <xf numFmtId="0" fontId="2" fillId="36" borderId="27" xfId="0" applyFont="1" applyFill="1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 vertical="top"/>
    </xf>
    <xf numFmtId="0" fontId="0" fillId="0" borderId="25" xfId="0" applyBorder="1" applyAlignment="1">
      <alignment horizontal="center"/>
    </xf>
    <xf numFmtId="0" fontId="0" fillId="0" borderId="24" xfId="0" applyBorder="1" applyAlignment="1">
      <alignment horizontal="center" vertical="top"/>
    </xf>
    <xf numFmtId="0" fontId="0" fillId="0" borderId="25" xfId="0" applyFill="1" applyBorder="1" applyAlignment="1">
      <alignment horizontal="center"/>
    </xf>
    <xf numFmtId="0" fontId="0" fillId="0" borderId="26" xfId="0" applyFill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0" xfId="0" applyFill="1" applyBorder="1" applyAlignment="1">
      <alignment horizontal="left"/>
    </xf>
    <xf numFmtId="1" fontId="2" fillId="0" borderId="22" xfId="0" applyNumberFormat="1" applyFont="1" applyBorder="1" applyAlignment="1"/>
    <xf numFmtId="1" fontId="2" fillId="0" borderId="0" xfId="0" applyNumberFormat="1" applyFont="1" applyBorder="1" applyAlignment="1"/>
    <xf numFmtId="1" fontId="2" fillId="0" borderId="0" xfId="0" applyNumberFormat="1" applyFont="1" applyFill="1" applyBorder="1" applyAlignment="1"/>
    <xf numFmtId="1" fontId="0" fillId="0" borderId="0" xfId="0" applyNumberFormat="1" applyBorder="1" applyAlignment="1"/>
    <xf numFmtId="1" fontId="0" fillId="0" borderId="14" xfId="0" applyNumberFormat="1" applyBorder="1" applyAlignment="1"/>
    <xf numFmtId="1" fontId="0" fillId="0" borderId="22" xfId="0" applyNumberFormat="1" applyBorder="1" applyAlignment="1"/>
    <xf numFmtId="1" fontId="0" fillId="0" borderId="23" xfId="0" applyNumberFormat="1" applyBorder="1"/>
    <xf numFmtId="1" fontId="0" fillId="0" borderId="17" xfId="0" applyNumberFormat="1" applyBorder="1"/>
    <xf numFmtId="1" fontId="0" fillId="0" borderId="15" xfId="0" applyNumberFormat="1" applyBorder="1"/>
    <xf numFmtId="1" fontId="2" fillId="0" borderId="22" xfId="0" applyNumberFormat="1" applyFont="1" applyFill="1" applyBorder="1" applyAlignment="1"/>
    <xf numFmtId="1" fontId="2" fillId="0" borderId="17" xfId="0" applyNumberFormat="1" applyFont="1" applyBorder="1" applyAlignment="1">
      <alignment wrapText="1"/>
    </xf>
    <xf numFmtId="1" fontId="2" fillId="0" borderId="17" xfId="0" applyNumberFormat="1" applyFont="1" applyBorder="1" applyAlignment="1">
      <alignment horizontal="right"/>
    </xf>
    <xf numFmtId="1" fontId="2" fillId="0" borderId="23" xfId="0" applyNumberFormat="1" applyFont="1" applyBorder="1"/>
    <xf numFmtId="1" fontId="2" fillId="0" borderId="17" xfId="0" applyNumberFormat="1" applyFont="1" applyBorder="1"/>
    <xf numFmtId="2" fontId="2" fillId="0" borderId="0" xfId="0" applyNumberFormat="1" applyFont="1" applyFill="1" applyBorder="1" applyAlignment="1">
      <alignment horizontal="left"/>
    </xf>
    <xf numFmtId="2" fontId="2" fillId="0" borderId="14" xfId="0" applyNumberFormat="1" applyFont="1" applyFill="1" applyBorder="1" applyAlignment="1">
      <alignment horizontal="left"/>
    </xf>
    <xf numFmtId="1" fontId="2" fillId="0" borderId="23" xfId="0" applyNumberFormat="1" applyFont="1" applyBorder="1" applyAlignment="1"/>
    <xf numFmtId="1" fontId="2" fillId="0" borderId="17" xfId="0" applyNumberFormat="1" applyFont="1" applyBorder="1" applyAlignment="1"/>
    <xf numFmtId="1" fontId="2" fillId="0" borderId="17" xfId="0" applyNumberFormat="1" applyFont="1" applyFill="1" applyBorder="1" applyAlignment="1"/>
    <xf numFmtId="1" fontId="0" fillId="0" borderId="17" xfId="0" applyNumberFormat="1" applyBorder="1" applyAlignment="1"/>
    <xf numFmtId="1" fontId="0" fillId="0" borderId="15" xfId="0" applyNumberFormat="1" applyBorder="1" applyAlignment="1"/>
    <xf numFmtId="1" fontId="0" fillId="0" borderId="23" xfId="0" applyNumberFormat="1" applyBorder="1" applyAlignment="1"/>
    <xf numFmtId="2" fontId="2" fillId="0" borderId="21" xfId="1" applyNumberFormat="1" applyFont="1" applyFill="1" applyBorder="1" applyAlignment="1"/>
    <xf numFmtId="2" fontId="2" fillId="0" borderId="21" xfId="0" applyNumberFormat="1" applyFont="1" applyBorder="1" applyAlignment="1"/>
    <xf numFmtId="1" fontId="0" fillId="0" borderId="0" xfId="0" applyNumberFormat="1" applyBorder="1"/>
    <xf numFmtId="1" fontId="0" fillId="0" borderId="22" xfId="0" applyNumberFormat="1" applyBorder="1"/>
    <xf numFmtId="1" fontId="0" fillId="0" borderId="14" xfId="0" applyNumberFormat="1" applyBorder="1"/>
    <xf numFmtId="1" fontId="0" fillId="0" borderId="19" xfId="0" applyNumberFormat="1" applyBorder="1"/>
    <xf numFmtId="2" fontId="0" fillId="0" borderId="11" xfId="0" applyNumberFormat="1" applyFill="1" applyBorder="1"/>
    <xf numFmtId="1" fontId="0" fillId="0" borderId="20" xfId="0" applyNumberFormat="1" applyBorder="1"/>
    <xf numFmtId="0" fontId="0" fillId="0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29" fillId="0" borderId="0" xfId="0" applyFont="1" applyBorder="1"/>
    <xf numFmtId="0" fontId="15" fillId="5" borderId="0" xfId="8"/>
    <xf numFmtId="0" fontId="2" fillId="0" borderId="0" xfId="0" applyFont="1" applyFill="1" applyAlignment="1"/>
    <xf numFmtId="1" fontId="2" fillId="0" borderId="0" xfId="0" applyNumberFormat="1" applyFont="1" applyFill="1" applyAlignment="1"/>
    <xf numFmtId="1" fontId="0" fillId="0" borderId="0" xfId="0" applyNumberFormat="1"/>
    <xf numFmtId="0" fontId="5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2" fillId="0" borderId="0" xfId="0" applyNumberFormat="1" applyFont="1" applyFill="1" applyAlignment="1">
      <alignment horizontal="center"/>
    </xf>
    <xf numFmtId="0" fontId="0" fillId="0" borderId="0" xfId="0" quotePrefix="1" applyAlignment="1">
      <alignment horizontal="left" vertical="top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14" xfId="0" applyBorder="1" applyAlignment="1">
      <alignment wrapText="1"/>
    </xf>
    <xf numFmtId="0" fontId="0" fillId="0" borderId="14" xfId="0" applyBorder="1" applyAlignment="1">
      <alignment horizontal="left" wrapText="1"/>
    </xf>
    <xf numFmtId="0" fontId="0" fillId="0" borderId="0" xfId="0" applyBorder="1" applyAlignment="1">
      <alignment horizontal="center" textRotation="90" wrapText="1"/>
    </xf>
    <xf numFmtId="0" fontId="0" fillId="0" borderId="10" xfId="0" applyBorder="1" applyAlignment="1">
      <alignment horizontal="left" vertical="top"/>
    </xf>
    <xf numFmtId="0" fontId="2" fillId="0" borderId="10" xfId="0" applyFont="1" applyFill="1" applyBorder="1" applyAlignment="1">
      <alignment horizontal="center"/>
    </xf>
    <xf numFmtId="165" fontId="0" fillId="0" borderId="0" xfId="0" applyNumberFormat="1"/>
    <xf numFmtId="0" fontId="8" fillId="3" borderId="0" xfId="1" applyAlignment="1">
      <alignment horizontal="right" vertical="center"/>
    </xf>
    <xf numFmtId="164" fontId="8" fillId="3" borderId="0" xfId="1" applyNumberFormat="1" applyAlignment="1">
      <alignment horizontal="right" vertical="center"/>
    </xf>
    <xf numFmtId="2" fontId="2" fillId="37" borderId="0" xfId="0" applyNumberFormat="1" applyFont="1" applyFill="1" applyAlignment="1">
      <alignment horizontal="left"/>
    </xf>
    <xf numFmtId="0" fontId="0" fillId="37" borderId="0" xfId="0" applyFill="1"/>
    <xf numFmtId="14" fontId="0" fillId="34" borderId="0" xfId="0" applyNumberFormat="1" applyFill="1" applyAlignment="1">
      <alignment horizontal="left"/>
    </xf>
    <xf numFmtId="2" fontId="0" fillId="0" borderId="0" xfId="0" applyNumberFormat="1" applyFill="1" applyBorder="1" applyAlignment="1">
      <alignment horizontal="left"/>
    </xf>
    <xf numFmtId="0" fontId="2" fillId="0" borderId="0" xfId="1" applyFont="1" applyFill="1" applyAlignment="1">
      <alignment horizontal="right" vertical="center"/>
    </xf>
    <xf numFmtId="0" fontId="2" fillId="0" borderId="0" xfId="1" applyFont="1" applyFill="1" applyAlignment="1">
      <alignment horizontal="right" vertical="center" wrapText="1"/>
    </xf>
    <xf numFmtId="164" fontId="0" fillId="0" borderId="0" xfId="0" applyNumberFormat="1" applyFill="1" applyAlignment="1">
      <alignment horizontal="right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right" vertical="center"/>
    </xf>
    <xf numFmtId="0" fontId="6" fillId="0" borderId="0" xfId="0" applyFont="1" applyAlignment="1">
      <alignment horizontal="right" vertical="center"/>
    </xf>
    <xf numFmtId="0" fontId="31" fillId="38" borderId="0" xfId="0" applyFont="1" applyFill="1" applyAlignment="1">
      <alignment horizontal="right" vertical="center"/>
    </xf>
    <xf numFmtId="164" fontId="31" fillId="38" borderId="0" xfId="0" applyNumberFormat="1" applyFont="1" applyFill="1" applyAlignment="1">
      <alignment horizontal="right" vertical="center"/>
    </xf>
    <xf numFmtId="0" fontId="2" fillId="0" borderId="0" xfId="0" applyFont="1" applyFill="1" applyAlignment="1">
      <alignment horizontal="right" vertical="center"/>
    </xf>
    <xf numFmtId="0" fontId="2" fillId="0" borderId="0" xfId="0" applyFont="1" applyFill="1" applyAlignment="1">
      <alignment horizontal="right" vertical="center" wrapText="1"/>
    </xf>
    <xf numFmtId="164" fontId="2" fillId="0" borderId="0" xfId="0" applyNumberFormat="1" applyFont="1" applyFill="1" applyAlignment="1">
      <alignment horizontal="right" vertical="center"/>
    </xf>
    <xf numFmtId="0" fontId="2" fillId="0" borderId="0" xfId="0" applyFont="1" applyFill="1" applyAlignment="1">
      <alignment horizontal="right"/>
    </xf>
    <xf numFmtId="164" fontId="2" fillId="0" borderId="0" xfId="1" applyNumberFormat="1" applyFont="1" applyFill="1" applyAlignment="1">
      <alignment horizontal="right" vertical="center"/>
    </xf>
    <xf numFmtId="1" fontId="1" fillId="0" borderId="0" xfId="0" applyNumberFormat="1" applyFont="1" applyAlignment="1">
      <alignment horizontal="center"/>
    </xf>
    <xf numFmtId="0" fontId="0" fillId="0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10" xfId="0" applyBorder="1" applyAlignment="1">
      <alignment horizontal="center" wrapText="1"/>
    </xf>
    <xf numFmtId="0" fontId="0" fillId="0" borderId="28" xfId="0" applyBorder="1" applyAlignment="1">
      <alignment horizontal="left" vertical="top"/>
    </xf>
    <xf numFmtId="0" fontId="0" fillId="0" borderId="28" xfId="0" applyBorder="1" applyAlignment="1">
      <alignment horizontal="center"/>
    </xf>
    <xf numFmtId="0" fontId="2" fillId="0" borderId="28" xfId="0" applyFont="1" applyFill="1" applyBorder="1" applyAlignment="1">
      <alignment horizontal="center"/>
    </xf>
    <xf numFmtId="0" fontId="0" fillId="0" borderId="28" xfId="0" applyBorder="1" applyAlignment="1">
      <alignment horizontal="center" textRotation="90" wrapText="1"/>
    </xf>
    <xf numFmtId="0" fontId="0" fillId="0" borderId="28" xfId="0" applyFill="1" applyBorder="1" applyAlignment="1">
      <alignment horizontal="center" textRotation="90" wrapText="1"/>
    </xf>
    <xf numFmtId="164" fontId="31" fillId="39" borderId="0" xfId="0" applyNumberFormat="1" applyFont="1" applyFill="1" applyAlignment="1">
      <alignment horizontal="right" vertical="center"/>
    </xf>
    <xf numFmtId="0" fontId="31" fillId="39" borderId="0" xfId="0" applyFont="1" applyFill="1" applyAlignment="1">
      <alignment horizontal="right" vertical="center"/>
    </xf>
    <xf numFmtId="0" fontId="29" fillId="0" borderId="0" xfId="0" applyFont="1"/>
    <xf numFmtId="2" fontId="2" fillId="0" borderId="0" xfId="0" applyNumberFormat="1" applyFont="1" applyFill="1" applyAlignment="1">
      <alignment horizontal="right" vertical="center"/>
    </xf>
    <xf numFmtId="0" fontId="34" fillId="0" borderId="0" xfId="42" applyAlignment="1">
      <alignment vertical="top"/>
    </xf>
    <xf numFmtId="0" fontId="35" fillId="0" borderId="0" xfId="42" applyFont="1"/>
    <xf numFmtId="0" fontId="34" fillId="0" borderId="0" xfId="42"/>
    <xf numFmtId="0" fontId="34" fillId="0" borderId="0" xfId="42" applyAlignment="1">
      <alignment vertical="center"/>
    </xf>
    <xf numFmtId="0" fontId="34" fillId="40" borderId="0" xfId="42" applyFill="1"/>
    <xf numFmtId="0" fontId="34" fillId="40" borderId="0" xfId="42" applyFill="1" applyAlignment="1">
      <alignment wrapText="1"/>
    </xf>
    <xf numFmtId="0" fontId="36" fillId="0" borderId="0" xfId="42" applyFont="1" applyAlignment="1">
      <alignment vertical="center"/>
    </xf>
    <xf numFmtId="0" fontId="34" fillId="0" borderId="0" xfId="42" applyAlignment="1">
      <alignment wrapText="1"/>
    </xf>
    <xf numFmtId="0" fontId="37" fillId="0" borderId="0" xfId="42" applyFont="1" applyAlignment="1">
      <alignment vertical="center"/>
    </xf>
    <xf numFmtId="0" fontId="35" fillId="0" borderId="0" xfId="42" applyFont="1" applyAlignment="1">
      <alignment vertical="center"/>
    </xf>
    <xf numFmtId="0" fontId="34" fillId="0" borderId="0" xfId="42" applyAlignment="1">
      <alignment horizontal="right" vertical="top"/>
    </xf>
    <xf numFmtId="0" fontId="34" fillId="0" borderId="0" xfId="42" applyAlignment="1">
      <alignment horizontal="center" vertical="top"/>
    </xf>
    <xf numFmtId="0" fontId="35" fillId="0" borderId="0" xfId="42" applyFont="1" applyAlignment="1">
      <alignment vertical="top"/>
    </xf>
    <xf numFmtId="0" fontId="16" fillId="6" borderId="4" xfId="9"/>
    <xf numFmtId="14" fontId="16" fillId="6" borderId="4" xfId="9" applyNumberFormat="1"/>
    <xf numFmtId="14" fontId="34" fillId="0" borderId="0" xfId="42" applyNumberFormat="1"/>
    <xf numFmtId="14" fontId="0" fillId="0" borderId="0" xfId="0" applyNumberForma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1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rmal 2" xfId="42" xr:uid="{1AC092EC-E8A2-4D30-BB75-B5CD480A7A31}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51"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ill>
        <patternFill>
          <bgColor rgb="FFFFC000"/>
        </patternFill>
      </fill>
    </dxf>
    <dxf>
      <font>
        <color theme="0" tint="-0.24994659260841701"/>
      </font>
    </dxf>
    <dxf>
      <font>
        <b/>
        <i val="0"/>
      </font>
    </dxf>
    <dxf>
      <font>
        <color theme="0" tint="-0.24994659260841701"/>
      </font>
    </dxf>
    <dxf>
      <font>
        <b/>
        <i val="0"/>
      </font>
    </dxf>
    <dxf>
      <font>
        <color theme="0" tint="-0.24994659260841701"/>
      </font>
    </dxf>
    <dxf>
      <font>
        <b/>
        <i val="0"/>
      </font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19050</xdr:colOff>
          <xdr:row>0</xdr:row>
          <xdr:rowOff>142875</xdr:rowOff>
        </xdr:from>
        <xdr:to>
          <xdr:col>11</xdr:col>
          <xdr:colOff>1676400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142875</xdr:rowOff>
        </xdr:from>
        <xdr:to>
          <xdr:col>4</xdr:col>
          <xdr:colOff>523875</xdr:colOff>
          <xdr:row>5</xdr:row>
          <xdr:rowOff>9525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142875</xdr:rowOff>
        </xdr:from>
        <xdr:to>
          <xdr:col>4</xdr:col>
          <xdr:colOff>523875</xdr:colOff>
          <xdr:row>5</xdr:row>
          <xdr:rowOff>9525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4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142875</xdr:rowOff>
        </xdr:from>
        <xdr:to>
          <xdr:col>4</xdr:col>
          <xdr:colOff>523875</xdr:colOff>
          <xdr:row>5</xdr:row>
          <xdr:rowOff>9525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00000000-0008-0000-0500-00000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685800</xdr:colOff>
          <xdr:row>0</xdr:row>
          <xdr:rowOff>85725</xdr:rowOff>
        </xdr:from>
        <xdr:to>
          <xdr:col>7</xdr:col>
          <xdr:colOff>47625</xdr:colOff>
          <xdr:row>3</xdr:row>
          <xdr:rowOff>95250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7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47625</xdr:rowOff>
        </xdr:from>
        <xdr:to>
          <xdr:col>8</xdr:col>
          <xdr:colOff>104775</xdr:colOff>
          <xdr:row>3</xdr:row>
          <xdr:rowOff>57150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8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400050</xdr:colOff>
          <xdr:row>4</xdr:row>
          <xdr:rowOff>47625</xdr:rowOff>
        </xdr:from>
        <xdr:to>
          <xdr:col>12</xdr:col>
          <xdr:colOff>104775</xdr:colOff>
          <xdr:row>7</xdr:row>
          <xdr:rowOff>57150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9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400050</xdr:colOff>
          <xdr:row>1</xdr:row>
          <xdr:rowOff>47625</xdr:rowOff>
        </xdr:from>
        <xdr:to>
          <xdr:col>10</xdr:col>
          <xdr:colOff>409575</xdr:colOff>
          <xdr:row>4</xdr:row>
          <xdr:rowOff>57150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A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400050</xdr:colOff>
          <xdr:row>1</xdr:row>
          <xdr:rowOff>47625</xdr:rowOff>
        </xdr:from>
        <xdr:to>
          <xdr:col>10</xdr:col>
          <xdr:colOff>409575</xdr:colOff>
          <xdr:row>4</xdr:row>
          <xdr:rowOff>57150</xdr:rowOff>
        </xdr:to>
        <xdr:sp macro="" textlink="">
          <xdr:nvSpPr>
            <xdr:cNvPr id="88065" name="Button 1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0B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247650</xdr:colOff>
          <xdr:row>1</xdr:row>
          <xdr:rowOff>47625</xdr:rowOff>
        </xdr:from>
        <xdr:to>
          <xdr:col>9</xdr:col>
          <xdr:colOff>438150</xdr:colOff>
          <xdr:row>4</xdr:row>
          <xdr:rowOff>57150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C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47625</xdr:colOff>
          <xdr:row>1</xdr:row>
          <xdr:rowOff>85725</xdr:rowOff>
        </xdr:from>
        <xdr:to>
          <xdr:col>5</xdr:col>
          <xdr:colOff>19050</xdr:colOff>
          <xdr:row>4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E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57150</xdr:rowOff>
        </xdr:from>
        <xdr:to>
          <xdr:col>4</xdr:col>
          <xdr:colOff>695325</xdr:colOff>
          <xdr:row>4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F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57150</xdr:rowOff>
        </xdr:from>
        <xdr:to>
          <xdr:col>4</xdr:col>
          <xdr:colOff>695325</xdr:colOff>
          <xdr:row>4</xdr:row>
          <xdr:rowOff>76200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180975</xdr:colOff>
          <xdr:row>0</xdr:row>
          <xdr:rowOff>123825</xdr:rowOff>
        </xdr:from>
        <xdr:to>
          <xdr:col>7</xdr:col>
          <xdr:colOff>361950</xdr:colOff>
          <xdr:row>3</xdr:row>
          <xdr:rowOff>133350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171450</xdr:colOff>
          <xdr:row>1</xdr:row>
          <xdr:rowOff>47625</xdr:rowOff>
        </xdr:from>
        <xdr:to>
          <xdr:col>8</xdr:col>
          <xdr:colOff>371475</xdr:colOff>
          <xdr:row>4</xdr:row>
          <xdr:rowOff>57150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B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2</xdr:row>
          <xdr:rowOff>47625</xdr:rowOff>
        </xdr:from>
        <xdr:to>
          <xdr:col>9</xdr:col>
          <xdr:colOff>523875</xdr:colOff>
          <xdr:row>5</xdr:row>
          <xdr:rowOff>57150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C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BECC-Com/CBECC-Com13/CBECC-Com_trunk/RulesetDev/Rulesets/CEC%202013%20Nonres/Rules/Tables/360%20Ruleset%20Tables%20-%20Copy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ppendix_5.4A_SpaceUseData-T24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y"/>
      <sheetName val="2013StandardTableList"/>
      <sheetName val="LtgInputRestrictions_T24N"/>
      <sheetName val="LtgInputRestrictions_S901G"/>
      <sheetName val="PowerAdjustmentFactors"/>
      <sheetName val="PowerAdjustmentFactors_S901G"/>
      <sheetName val="AreaCategoryLPA"/>
      <sheetName val="TailoredMethodLPA"/>
      <sheetName val="IlluminanceLevelLPD"/>
      <sheetName val="LightHeatGainDistribution"/>
      <sheetName val="DayltCtrlParms"/>
      <sheetName val="FenConsInputReqs_T24N"/>
      <sheetName val="FenConsInputReqs_S901G"/>
      <sheetName val="DefaultFenUFactors_T24N"/>
      <sheetName val="DefaultFenestrationSHGC_T24N"/>
      <sheetName val="DefaultVertFenPerf_S901G"/>
      <sheetName val="DefaultSkyltUFactors_S901G"/>
      <sheetName val="DefaultSkyltSHGC_S901G"/>
      <sheetName val="BaseVerticalFenPerf_T24N"/>
      <sheetName val="BaseSkylightPerf_T24N"/>
      <sheetName val="BaselineFenPerf_S901G"/>
      <sheetName val="NA6FenestrationUFactorCoeff"/>
      <sheetName val="NA6FenestrationVTf_T24N"/>
      <sheetName val="AltFenPerformance"/>
      <sheetName val="BaseOpaqueEnvEffRValue"/>
      <sheetName val="UnitaryAC-HPMinEffReq_Old"/>
      <sheetName val="UnitaryAC-HPMinEffReq_New"/>
      <sheetName val="ChillerMinEffReq"/>
      <sheetName val="Sheet3"/>
    </sheetNames>
    <sheetDataSet>
      <sheetData sheetId="0">
        <row r="4">
          <cell r="B4" t="str">
            <v>NotStarted</v>
          </cell>
        </row>
        <row r="5">
          <cell r="B5" t="str">
            <v>Started</v>
          </cell>
        </row>
        <row r="6">
          <cell r="B6" t="str">
            <v>InReview</v>
          </cell>
        </row>
        <row r="7">
          <cell r="B7" t="str">
            <v>Completed</v>
          </cell>
        </row>
        <row r="8">
          <cell r="B8" t="str">
            <v>NotUsed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lete Building Method"/>
      <sheetName val="2019 Stds Ltg Table"/>
      <sheetName val="2022 Stds Ltg Table"/>
      <sheetName val="2019 SpaceFuncData-Input"/>
      <sheetName val="2022 SpaceFuncData-Input"/>
      <sheetName val="For CSV - 2019 SpcFuncData"/>
      <sheetName val="For CSV - 2022 SpcFuncData"/>
      <sheetName val="For CSV - 2019 VentSpcFuncData"/>
      <sheetName val="For CSV - 2022 VentSpcFuncData"/>
      <sheetName val="19 SpcFunc &amp; VentSpcFunc combos"/>
      <sheetName val="22 SpcFunc &amp; VentSpcFunc combos"/>
      <sheetName val="ForCSV-19ValidVentSpcFuncEnums"/>
      <sheetName val="ForCSV-22ValidVentSpcFuncEnums"/>
      <sheetName val="FuncSchGrp Table"/>
      <sheetName val="CBC Table"/>
      <sheetName val="Comparison"/>
      <sheetName val="2019 Ventilation List"/>
      <sheetName val="2019 Ventilation List SORT"/>
      <sheetName val="2022 Ventilation List"/>
      <sheetName val="2022 Ventilation List SORT"/>
      <sheetName val="SpcFuncBkCompat 16-19"/>
      <sheetName val="SpcFuncBkCompat 19-22"/>
      <sheetName val="2016SpcFunc"/>
      <sheetName val="2019SpcFunc BEMEnums Gen"/>
      <sheetName val="2022SpcFunc BEMEnums Gen"/>
    </sheetNames>
    <sheetDataSet>
      <sheetData sheetId="0"/>
      <sheetData sheetId="1"/>
      <sheetData sheetId="2"/>
      <sheetData sheetId="3"/>
      <sheetData sheetId="4"/>
      <sheetData sheetId="5"/>
      <sheetData sheetId="6">
        <row r="4">
          <cell r="B4" t="str">
            <v>//SpaceBySpace</v>
          </cell>
        </row>
        <row r="5">
          <cell r="B5" t="str">
            <v>Aging Eye/Low-vision (Corridor Area)</v>
          </cell>
          <cell r="L5" t="str">
            <v>Decorative/Display</v>
          </cell>
          <cell r="AN5">
            <v>302</v>
          </cell>
        </row>
        <row r="6">
          <cell r="B6" t="str">
            <v>Aging Eye/Low-vision (Dining)</v>
          </cell>
          <cell r="AN6">
            <v>303</v>
          </cell>
        </row>
        <row r="7">
          <cell r="B7" t="str">
            <v>Aging Eye/Low-vision (Lobby, Main Entry)</v>
          </cell>
          <cell r="AN7">
            <v>304</v>
          </cell>
        </row>
        <row r="8">
          <cell r="B8" t="str">
            <v>Aging Eye/Low-vision (Lounge/Waiting Area)</v>
          </cell>
          <cell r="AN8">
            <v>305</v>
          </cell>
        </row>
        <row r="9">
          <cell r="B9" t="str">
            <v>Aging Eye/Low-vision (Multipurpose Room)</v>
          </cell>
          <cell r="AN9">
            <v>306</v>
          </cell>
        </row>
        <row r="10">
          <cell r="B10" t="str">
            <v>Aging Eye/Low-vision (Religious Worship Area)</v>
          </cell>
          <cell r="AN10">
            <v>307</v>
          </cell>
        </row>
        <row r="11">
          <cell r="B11" t="str">
            <v>Aging Eye/Low-vision (Restroom)</v>
          </cell>
          <cell r="AN11">
            <v>308</v>
          </cell>
        </row>
        <row r="12">
          <cell r="B12" t="str">
            <v>Aging Eye/Low-vision (Stairwell)</v>
          </cell>
          <cell r="AN12">
            <v>309</v>
          </cell>
        </row>
        <row r="13">
          <cell r="B13" t="str">
            <v>Audience Seating Area</v>
          </cell>
          <cell r="AN13">
            <v>310</v>
          </cell>
        </row>
        <row r="14">
          <cell r="B14" t="str">
            <v>Auditorium Area</v>
          </cell>
          <cell r="AN14">
            <v>311</v>
          </cell>
        </row>
        <row r="15">
          <cell r="B15" t="str">
            <v>Auto Repair / Maintenance Area</v>
          </cell>
          <cell r="AN15">
            <v>312</v>
          </cell>
        </row>
        <row r="16">
          <cell r="B16" t="str">
            <v>Barber, Beauty Salon, Spa Area</v>
          </cell>
          <cell r="AN16">
            <v>313</v>
          </cell>
        </row>
        <row r="17">
          <cell r="B17" t="str">
            <v>Civic Meeting Place Area</v>
          </cell>
          <cell r="AN17">
            <v>314</v>
          </cell>
        </row>
        <row r="18">
          <cell r="B18" t="str">
            <v>Classroom, Lecture, Training, Vocational Areas</v>
          </cell>
          <cell r="AN18">
            <v>315</v>
          </cell>
        </row>
        <row r="19">
          <cell r="B19" t="str">
            <v>Computer Room</v>
          </cell>
          <cell r="AN19">
            <v>316</v>
          </cell>
        </row>
        <row r="20">
          <cell r="B20" t="str">
            <v>Concourse and Atria Area</v>
          </cell>
          <cell r="AN20">
            <v>317</v>
          </cell>
        </row>
        <row r="21">
          <cell r="B21" t="str">
            <v>Convention, Conference, Multipurpose and Meeting Area</v>
          </cell>
          <cell r="AN21">
            <v>318</v>
          </cell>
        </row>
        <row r="22">
          <cell r="B22" t="str">
            <v>Copy Room</v>
          </cell>
          <cell r="AN22">
            <v>319</v>
          </cell>
        </row>
        <row r="23">
          <cell r="B23" t="str">
            <v>Corridor Area</v>
          </cell>
          <cell r="AN23">
            <v>320</v>
          </cell>
        </row>
        <row r="24">
          <cell r="B24" t="str">
            <v>Dining Area (Bar/Lounge and Fine Dining)</v>
          </cell>
          <cell r="AN24">
            <v>321</v>
          </cell>
        </row>
        <row r="25">
          <cell r="B25" t="str">
            <v>Dining Area (Cafetaria/Fast Food)</v>
          </cell>
          <cell r="AN25">
            <v>322</v>
          </cell>
        </row>
        <row r="26">
          <cell r="B26" t="str">
            <v>Dining Area (Family and Leisure)</v>
          </cell>
          <cell r="AN26">
            <v>323</v>
          </cell>
        </row>
        <row r="27">
          <cell r="B27" t="str">
            <v>Electrical, Mechanical, Telephone Rooms</v>
          </cell>
          <cell r="AN27">
            <v>324</v>
          </cell>
        </row>
        <row r="28">
          <cell r="B28" t="str">
            <v>Exercise/Fitness Center and Gymnasium Areas</v>
          </cell>
          <cell r="AN28">
            <v>325</v>
          </cell>
        </row>
        <row r="29">
          <cell r="B29" t="str">
            <v>Financial Transaction Area</v>
          </cell>
          <cell r="AN29">
            <v>326</v>
          </cell>
        </row>
        <row r="30">
          <cell r="B30" t="str">
            <v>Healthcare Facility and Hospitals (Exam/Treatment Room)</v>
          </cell>
          <cell r="AN30">
            <v>327</v>
          </cell>
        </row>
        <row r="31">
          <cell r="B31" t="str">
            <v>Healthcare Facility and Hospitals (Imaging Room)</v>
          </cell>
          <cell r="AN31">
            <v>328</v>
          </cell>
        </row>
        <row r="32">
          <cell r="B32" t="str">
            <v>Healthcare Facility and Hospitals (Medical Supply Room)</v>
          </cell>
          <cell r="AN32">
            <v>329</v>
          </cell>
        </row>
        <row r="33">
          <cell r="B33" t="str">
            <v>Healthcare Facility and Hospitals (Nursery)</v>
          </cell>
          <cell r="AN33">
            <v>330</v>
          </cell>
        </row>
        <row r="34">
          <cell r="B34" t="str">
            <v>Healthcare Facility and Hospitals (Nurse's Station)</v>
          </cell>
          <cell r="AN34">
            <v>331</v>
          </cell>
        </row>
        <row r="35">
          <cell r="B35" t="str">
            <v>Healthcare Facility and Hospitals (Operating Room)</v>
          </cell>
          <cell r="AN35">
            <v>332</v>
          </cell>
        </row>
        <row r="36">
          <cell r="B36" t="str">
            <v>Healthcare Facility and Hospitals (Patient Room)</v>
          </cell>
          <cell r="AN36">
            <v>333</v>
          </cell>
        </row>
        <row r="37">
          <cell r="B37" t="str">
            <v>Healthcare Facility and Hospitals (Physical Therapy Room)</v>
          </cell>
          <cell r="AN37">
            <v>334</v>
          </cell>
        </row>
        <row r="38">
          <cell r="B38" t="str">
            <v>Healthcare Facility and Hospitals (Recovery Room)</v>
          </cell>
          <cell r="AN38">
            <v>335</v>
          </cell>
        </row>
        <row r="39">
          <cell r="B39" t="str">
            <v>High-Rise Residential Living Spaces</v>
          </cell>
          <cell r="AN39">
            <v>336</v>
          </cell>
        </row>
        <row r="40">
          <cell r="B40" t="str">
            <v>Hotel Function Area</v>
          </cell>
          <cell r="AN40">
            <v>337</v>
          </cell>
        </row>
        <row r="41">
          <cell r="B41" t="str">
            <v>Hotel/Motel Guest Room</v>
          </cell>
          <cell r="AN41">
            <v>338</v>
          </cell>
        </row>
        <row r="42">
          <cell r="B42" t="str">
            <v>Kitchen/Food Preparation Area</v>
          </cell>
          <cell r="AN42">
            <v>339</v>
          </cell>
        </row>
        <row r="43">
          <cell r="B43" t="str">
            <v>Kitchenette or Residential Kitchen</v>
          </cell>
          <cell r="AN43">
            <v>340</v>
          </cell>
        </row>
        <row r="44">
          <cell r="B44" t="str">
            <v>Laboratory, Scientific</v>
          </cell>
          <cell r="AN44">
            <v>341</v>
          </cell>
        </row>
        <row r="45">
          <cell r="B45" t="str">
            <v>Laundry Area</v>
          </cell>
          <cell r="AN45">
            <v>342</v>
          </cell>
        </row>
        <row r="46">
          <cell r="B46" t="str">
            <v>Library (Reading Area)</v>
          </cell>
          <cell r="AN46">
            <v>343</v>
          </cell>
        </row>
        <row r="47">
          <cell r="B47" t="str">
            <v>Library (Stacks Area)</v>
          </cell>
          <cell r="AN47">
            <v>344</v>
          </cell>
        </row>
        <row r="48">
          <cell r="B48" t="str">
            <v>Lobby, Main Entry</v>
          </cell>
          <cell r="AN48">
            <v>345</v>
          </cell>
        </row>
        <row r="49">
          <cell r="B49" t="str">
            <v>Locker Room</v>
          </cell>
          <cell r="AN49">
            <v>346</v>
          </cell>
        </row>
        <row r="50">
          <cell r="B50" t="str">
            <v>Lounge, Breakroom, or Waiting Area</v>
          </cell>
          <cell r="AN50">
            <v>347</v>
          </cell>
        </row>
        <row r="51">
          <cell r="B51" t="str">
            <v>Manufacturing, Commercial &amp; Industrial Work Area (Low Bay)</v>
          </cell>
          <cell r="AN51">
            <v>348</v>
          </cell>
        </row>
        <row r="52">
          <cell r="B52" t="str">
            <v>Manufacturing, Commercial &amp; Industrial Work Area (High Bay)</v>
          </cell>
          <cell r="AN52">
            <v>349</v>
          </cell>
        </row>
        <row r="53">
          <cell r="B53" t="str">
            <v>Manufacturing, Commercial &amp; Industrial Work Area (Precision)</v>
          </cell>
          <cell r="AN53">
            <v>350</v>
          </cell>
        </row>
        <row r="54">
          <cell r="B54" t="str">
            <v>Museum Area (Exhibition/Display)</v>
          </cell>
          <cell r="AN54">
            <v>351</v>
          </cell>
        </row>
        <row r="55">
          <cell r="B55" t="str">
            <v>Museum Area (Restoration Room)</v>
          </cell>
          <cell r="AN55">
            <v>352</v>
          </cell>
        </row>
        <row r="56">
          <cell r="B56" t="str">
            <v>Office Area (&gt;250 square feet)</v>
          </cell>
          <cell r="AN56">
            <v>353</v>
          </cell>
        </row>
        <row r="57">
          <cell r="B57" t="str">
            <v>Office Area (&lt;250 square feet)</v>
          </cell>
          <cell r="AN57">
            <v>354</v>
          </cell>
        </row>
        <row r="58">
          <cell r="B58" t="str">
            <v>Parking Garage Area (Parking Zone and Ramps)</v>
          </cell>
          <cell r="AN58">
            <v>355</v>
          </cell>
        </row>
        <row r="59">
          <cell r="B59" t="str">
            <v>Parking Garage Area (Daylight Adaptation Zones)</v>
          </cell>
          <cell r="AN59">
            <v>356</v>
          </cell>
        </row>
        <row r="60">
          <cell r="B60" t="str">
            <v>Pharmacy Area</v>
          </cell>
          <cell r="AN60">
            <v>357</v>
          </cell>
        </row>
        <row r="61">
          <cell r="B61" t="str">
            <v>Retail Sales Area (Grocery Sales)</v>
          </cell>
          <cell r="AN61">
            <v>358</v>
          </cell>
        </row>
        <row r="62">
          <cell r="B62" t="str">
            <v>Retail Sales Area (Retail Merchandise Sales)</v>
          </cell>
          <cell r="AN62">
            <v>359</v>
          </cell>
        </row>
        <row r="63">
          <cell r="B63" t="str">
            <v>Retail Sales Area (Fitting Room)</v>
          </cell>
          <cell r="AN63">
            <v>360</v>
          </cell>
        </row>
        <row r="64">
          <cell r="B64" t="str">
            <v>Religious Worship Area</v>
          </cell>
          <cell r="AN64">
            <v>361</v>
          </cell>
        </row>
        <row r="65">
          <cell r="B65" t="str">
            <v>Restrooms</v>
          </cell>
          <cell r="AN65">
            <v>362</v>
          </cell>
        </row>
        <row r="66">
          <cell r="B66" t="str">
            <v>Stairwell</v>
          </cell>
          <cell r="AN66">
            <v>363</v>
          </cell>
        </row>
        <row r="67">
          <cell r="B67" t="str">
            <v>Storage, Commercial/Industrial (Warehouse)</v>
          </cell>
          <cell r="AN67">
            <v>364</v>
          </cell>
        </row>
        <row r="68">
          <cell r="B68" t="str">
            <v>Storage, Commercial/Industrial (Refrigerated)</v>
          </cell>
          <cell r="AN68">
            <v>365</v>
          </cell>
        </row>
        <row r="69">
          <cell r="B69" t="str">
            <v>Storage, Commercial/Industrial (Shipping &amp; Handling)</v>
          </cell>
          <cell r="AN69">
            <v>366</v>
          </cell>
        </row>
        <row r="70">
          <cell r="B70" t="str">
            <v>Sports Arena - Playing Area (&gt; 5,000 Spectators)</v>
          </cell>
          <cell r="AN70">
            <v>367</v>
          </cell>
        </row>
        <row r="71">
          <cell r="B71" t="str">
            <v>Sports Arena - Playing Area (2,000 - 5,000 Spectators)</v>
          </cell>
          <cell r="AN71">
            <v>368</v>
          </cell>
        </row>
        <row r="72">
          <cell r="B72" t="str">
            <v>Sports Arena - Playing Area (&lt; 2,000 Spectators)</v>
          </cell>
          <cell r="AN72">
            <v>369</v>
          </cell>
        </row>
        <row r="73">
          <cell r="B73" t="str">
            <v>Sports Arena - Playing Area (Recreational)</v>
          </cell>
          <cell r="AN73">
            <v>370</v>
          </cell>
        </row>
        <row r="74">
          <cell r="B74" t="str">
            <v>Theater Area (Motion Picture)</v>
          </cell>
          <cell r="AN74">
            <v>371</v>
          </cell>
        </row>
        <row r="75">
          <cell r="B75" t="str">
            <v>Theater Area (Performance)</v>
          </cell>
          <cell r="AN75">
            <v>372</v>
          </cell>
        </row>
        <row r="76">
          <cell r="B76" t="str">
            <v>Transportation Function (Baggage Area)</v>
          </cell>
          <cell r="AN76">
            <v>373</v>
          </cell>
        </row>
        <row r="77">
          <cell r="B77" t="str">
            <v>Transportation Function (Ticketing Area)</v>
          </cell>
          <cell r="AN77">
            <v>374</v>
          </cell>
        </row>
        <row r="78">
          <cell r="B78" t="str">
            <v>Unleased Tenant Area</v>
          </cell>
          <cell r="AN78">
            <v>375</v>
          </cell>
        </row>
        <row r="79">
          <cell r="B79" t="str">
            <v>Unoccupied-Exclude from Gross Floor Area</v>
          </cell>
          <cell r="AN79">
            <v>376</v>
          </cell>
        </row>
        <row r="80">
          <cell r="B80" t="str">
            <v>Unoccupied-Include in Gross Floor Area</v>
          </cell>
          <cell r="AN80">
            <v>377</v>
          </cell>
        </row>
        <row r="81">
          <cell r="B81" t="str">
            <v>Videoconferencing Studio</v>
          </cell>
          <cell r="AN81">
            <v>378</v>
          </cell>
        </row>
        <row r="82">
          <cell r="B82" t="str">
            <v>All other</v>
          </cell>
          <cell r="AN82">
            <v>301</v>
          </cell>
        </row>
        <row r="84">
          <cell r="B84" t="str">
            <v/>
          </cell>
        </row>
        <row r="85">
          <cell r="B85" t="str">
            <v/>
          </cell>
        </row>
        <row r="86">
          <cell r="B86" t="str">
            <v/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6">
          <cell r="A6" t="str">
            <v>Aging Eye/Low-vision (Corridor Area)</v>
          </cell>
        </row>
        <row r="7">
          <cell r="A7" t="str">
            <v>Aging Eye/Low-vision (Dining)</v>
          </cell>
        </row>
        <row r="8">
          <cell r="A8" t="str">
            <v>Aging Eye/Low-vision (Lobby, Main Entry)</v>
          </cell>
        </row>
        <row r="9">
          <cell r="A9" t="str">
            <v>Aging Eye/Low-vision (Lounge/Waiting Area)</v>
          </cell>
        </row>
        <row r="10">
          <cell r="A10" t="str">
            <v>Aging Eye/Low-vision (Multipurpose Room)</v>
          </cell>
        </row>
        <row r="11">
          <cell r="A11" t="str">
            <v>Aging Eye/Low-vision (Religious Worship Area)</v>
          </cell>
        </row>
        <row r="12">
          <cell r="A12" t="str">
            <v>Aging Eye/Low-vision (Restroom)</v>
          </cell>
        </row>
        <row r="13">
          <cell r="A13" t="str">
            <v>Aging Eye/Low-vision (Stairwell)</v>
          </cell>
        </row>
        <row r="14">
          <cell r="A14" t="str">
            <v>Audience Seating Area</v>
          </cell>
        </row>
        <row r="15">
          <cell r="A15" t="str">
            <v>Auditorium Area</v>
          </cell>
        </row>
        <row r="16">
          <cell r="A16" t="str">
            <v>Auto Repair / Maintenance Area</v>
          </cell>
        </row>
        <row r="17">
          <cell r="A17" t="str">
            <v>Barber, Beauty Salon, Spa Area</v>
          </cell>
        </row>
        <row r="18">
          <cell r="A18" t="str">
            <v>Civic Meeting Place Area</v>
          </cell>
        </row>
        <row r="19">
          <cell r="A19" t="str">
            <v>Classroom, Lecture, Training, Vocational Areas</v>
          </cell>
        </row>
        <row r="20">
          <cell r="A20" t="str">
            <v>Computer Room</v>
          </cell>
        </row>
        <row r="21">
          <cell r="A21" t="str">
            <v>Concourse and Atria Area</v>
          </cell>
        </row>
        <row r="22">
          <cell r="A22" t="str">
            <v>Convention, Conference, Multipurpose and Meeting Area</v>
          </cell>
        </row>
        <row r="23">
          <cell r="A23" t="str">
            <v>Copy Room</v>
          </cell>
        </row>
        <row r="24">
          <cell r="A24" t="str">
            <v>Corridor Area</v>
          </cell>
        </row>
        <row r="25">
          <cell r="A25" t="str">
            <v>Dining Area (Bar/Lounge and Fine Dining)</v>
          </cell>
        </row>
        <row r="26">
          <cell r="A26" t="str">
            <v>Dining Area (Cafetaria/Fast Food)</v>
          </cell>
        </row>
        <row r="27">
          <cell r="A27" t="str">
            <v>Dining Area (Family and Leisure)</v>
          </cell>
        </row>
        <row r="28">
          <cell r="A28" t="str">
            <v>Electrical, Mechanical, Telephone Rooms</v>
          </cell>
        </row>
        <row r="29">
          <cell r="A29" t="str">
            <v>Exercise/Fitness Center and Gymnasium Areas</v>
          </cell>
        </row>
        <row r="30">
          <cell r="A30" t="str">
            <v>Financial Transaction Area</v>
          </cell>
        </row>
        <row r="31">
          <cell r="A31" t="str">
            <v>Healthcare Facility and Hospitals (Exam/Treatment Room)</v>
          </cell>
        </row>
        <row r="32">
          <cell r="A32" t="str">
            <v>Healthcare Facility and Hospitals (Imaging Room)</v>
          </cell>
        </row>
        <row r="33">
          <cell r="A33" t="str">
            <v>Healthcare Facility and Hospitals (Medical Supply Room)</v>
          </cell>
        </row>
        <row r="34">
          <cell r="A34" t="str">
            <v>Healthcare Facility and Hospitals (Nursery)</v>
          </cell>
        </row>
        <row r="35">
          <cell r="A35" t="str">
            <v>Healthcare Facility and Hospitals (Nurse's Station)</v>
          </cell>
        </row>
        <row r="36">
          <cell r="A36" t="str">
            <v>Healthcare Facility and Hospitals (Operating Room)</v>
          </cell>
        </row>
        <row r="37">
          <cell r="A37" t="str">
            <v>Healthcare Facility and Hospitals (Patient Room)</v>
          </cell>
        </row>
        <row r="38">
          <cell r="A38" t="str">
            <v>Healthcare Facility and Hospitals (Physical Therapy Room)</v>
          </cell>
        </row>
        <row r="39">
          <cell r="A39" t="str">
            <v>Healthcare Facility and Hospitals (Recovery Room)</v>
          </cell>
        </row>
        <row r="40">
          <cell r="A40" t="str">
            <v>High-Rise Residential Living Spaces</v>
          </cell>
        </row>
        <row r="41">
          <cell r="A41" t="str">
            <v>Hotel Function Area</v>
          </cell>
        </row>
        <row r="42">
          <cell r="A42" t="str">
            <v>Hotel/Motel Guest Room</v>
          </cell>
        </row>
        <row r="43">
          <cell r="A43" t="str">
            <v>Kitchen/Food Preparation Area</v>
          </cell>
        </row>
        <row r="44">
          <cell r="A44" t="str">
            <v>Kitchenette or Residential Kitchen</v>
          </cell>
        </row>
        <row r="45">
          <cell r="A45" t="str">
            <v>Laboratory, Scientific</v>
          </cell>
        </row>
        <row r="46">
          <cell r="A46" t="str">
            <v>Laundry Area</v>
          </cell>
        </row>
        <row r="47">
          <cell r="A47" t="str">
            <v>Library (Reading Area)</v>
          </cell>
        </row>
        <row r="48">
          <cell r="A48" t="str">
            <v>Library (Stacks Area)</v>
          </cell>
        </row>
        <row r="49">
          <cell r="A49" t="str">
            <v>Lobby, Main Entry</v>
          </cell>
        </row>
        <row r="50">
          <cell r="A50" t="str">
            <v>Locker Room</v>
          </cell>
        </row>
        <row r="51">
          <cell r="A51" t="str">
            <v>Lounge, Breakroom, or Waiting Area</v>
          </cell>
        </row>
        <row r="52">
          <cell r="A52" t="str">
            <v>Manufacturing, Commercial &amp; Industrial Work Area (Low Bay)</v>
          </cell>
        </row>
        <row r="53">
          <cell r="A53" t="str">
            <v>Manufacturing, Commercial &amp; Industrial Work Area (High Bay)</v>
          </cell>
        </row>
        <row r="54">
          <cell r="A54" t="str">
            <v>Manufacturing, Commercial &amp; Industrial Work Area (Precision)</v>
          </cell>
        </row>
        <row r="55">
          <cell r="A55" t="str">
            <v>Museum Area (Exhibition/Display)</v>
          </cell>
        </row>
        <row r="56">
          <cell r="A56" t="str">
            <v>Museum Area (Restoration Room)</v>
          </cell>
        </row>
        <row r="57">
          <cell r="A57" t="str">
            <v>Office Area (&gt;250 square feet)</v>
          </cell>
        </row>
        <row r="58">
          <cell r="A58" t="str">
            <v>Office Area (&lt;250 square feet)</v>
          </cell>
        </row>
        <row r="59">
          <cell r="A59" t="str">
            <v>Parking Garage Area (Parking Zone and Ramps)</v>
          </cell>
        </row>
        <row r="60">
          <cell r="A60" t="str">
            <v>Parking Garage Area (Daylight Adaptation Zones)</v>
          </cell>
        </row>
        <row r="61">
          <cell r="A61" t="str">
            <v>Pharmacy Area</v>
          </cell>
        </row>
        <row r="62">
          <cell r="A62" t="str">
            <v>Retail Sales Area (Grocery Sales)</v>
          </cell>
        </row>
        <row r="63">
          <cell r="A63" t="str">
            <v>Retail Sales Area (Retail Merchandise Sales)</v>
          </cell>
        </row>
        <row r="64">
          <cell r="A64" t="str">
            <v>Retail Sales Area (Fitting Room)</v>
          </cell>
        </row>
        <row r="65">
          <cell r="A65" t="str">
            <v>Religious Worship Area</v>
          </cell>
        </row>
        <row r="66">
          <cell r="A66" t="str">
            <v>Restrooms</v>
          </cell>
        </row>
        <row r="67">
          <cell r="A67" t="str">
            <v>Stairwell</v>
          </cell>
        </row>
        <row r="68">
          <cell r="A68" t="str">
            <v>Storage, Commercial/Industrial (Warehouse)</v>
          </cell>
        </row>
        <row r="69">
          <cell r="A69" t="str">
            <v>Storage, Commercial/Industrial (Refrigerated)</v>
          </cell>
        </row>
        <row r="70">
          <cell r="A70" t="str">
            <v>Storage, Commercial/Industrial (Shipping &amp; Handling)</v>
          </cell>
        </row>
        <row r="71">
          <cell r="A71" t="str">
            <v>Sports Arena - Playing Area (&gt; 5,000 Spectators)</v>
          </cell>
        </row>
        <row r="72">
          <cell r="A72" t="str">
            <v>Sports Arena - Playing Area (2,000 - 5,000 Spectators)</v>
          </cell>
        </row>
        <row r="73">
          <cell r="A73" t="str">
            <v>Sports Arena - Playing Area (&lt; 2,000 Spectators)</v>
          </cell>
        </row>
        <row r="74">
          <cell r="A74" t="str">
            <v>Sports Arena - Playing Area (Recreational)</v>
          </cell>
        </row>
        <row r="75">
          <cell r="A75" t="str">
            <v>Theater Area (Motion Picture)</v>
          </cell>
        </row>
        <row r="76">
          <cell r="A76" t="str">
            <v>Theater Area (Performance)</v>
          </cell>
        </row>
        <row r="77">
          <cell r="A77" t="str">
            <v>Transportation Function (Baggage Area)</v>
          </cell>
        </row>
        <row r="78">
          <cell r="A78" t="str">
            <v>Transportation Function (Ticketing Area)</v>
          </cell>
        </row>
        <row r="79">
          <cell r="A79" t="str">
            <v>Unleased Tenant Area</v>
          </cell>
        </row>
        <row r="80">
          <cell r="A80" t="str">
            <v>Unoccupied-Exclude from Gross Floor Area</v>
          </cell>
        </row>
        <row r="81">
          <cell r="A81" t="str">
            <v>Unoccupied-Include in Gross Floor Area</v>
          </cell>
        </row>
        <row r="82">
          <cell r="A82" t="str">
            <v>Videoconferencing Studio</v>
          </cell>
        </row>
        <row r="83">
          <cell r="A83" t="str">
            <v>All other</v>
          </cell>
        </row>
        <row r="84">
          <cell r="A84" t="str">
            <v/>
          </cell>
        </row>
        <row r="85">
          <cell r="A85" t="str">
            <v/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B10"/>
  <sheetViews>
    <sheetView workbookViewId="0">
      <selection activeCell="B39" sqref="B39"/>
    </sheetView>
  </sheetViews>
  <sheetFormatPr defaultRowHeight="15" x14ac:dyDescent="0.25"/>
  <cols>
    <col min="2" max="2" width="21" style="17" customWidth="1"/>
  </cols>
  <sheetData>
    <row r="3" spans="2:2" x14ac:dyDescent="0.25">
      <c r="B3" s="43" t="s">
        <v>318</v>
      </c>
    </row>
    <row r="4" spans="2:2" x14ac:dyDescent="0.25">
      <c r="B4" s="2" t="s">
        <v>328</v>
      </c>
    </row>
    <row r="5" spans="2:2" x14ac:dyDescent="0.25">
      <c r="B5" s="2" t="s">
        <v>315</v>
      </c>
    </row>
    <row r="6" spans="2:2" x14ac:dyDescent="0.25">
      <c r="B6" s="2" t="s">
        <v>316</v>
      </c>
    </row>
    <row r="7" spans="2:2" x14ac:dyDescent="0.25">
      <c r="B7" s="2" t="s">
        <v>317</v>
      </c>
    </row>
    <row r="8" spans="2:2" x14ac:dyDescent="0.25">
      <c r="B8" s="2" t="s">
        <v>320</v>
      </c>
    </row>
    <row r="10" spans="2:2" x14ac:dyDescent="0.25">
      <c r="B10" s="17" t="s">
        <v>319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92"/>
  <sheetViews>
    <sheetView tabSelected="1" zoomScale="85" zoomScaleNormal="85" workbookViewId="0">
      <pane ySplit="5" topLeftCell="A6" activePane="bottomLeft" state="frozen"/>
      <selection pane="bottomLeft" activeCell="D18" sqref="D18"/>
    </sheetView>
  </sheetViews>
  <sheetFormatPr defaultColWidth="9.140625" defaultRowHeight="18.75" x14ac:dyDescent="0.3"/>
  <cols>
    <col min="1" max="1" width="10.42578125" style="14" customWidth="1"/>
    <col min="2" max="2" width="15.85546875" style="6" customWidth="1"/>
    <col min="3" max="3" width="49.42578125" style="3" customWidth="1"/>
    <col min="4" max="5" width="14.5703125" style="5" customWidth="1"/>
    <col min="6" max="7" width="33" style="3" customWidth="1"/>
    <col min="8" max="8" width="49.85546875" style="3" customWidth="1"/>
    <col min="9" max="9" width="9.140625" style="44"/>
    <col min="10" max="10" width="11.28515625" style="45" customWidth="1"/>
    <col min="11" max="11" width="34" style="4" customWidth="1"/>
    <col min="12" max="12" width="31.85546875" style="6" customWidth="1"/>
    <col min="13" max="16384" width="9.140625" style="6"/>
  </cols>
  <sheetData>
    <row r="1" spans="1:12" x14ac:dyDescent="0.3">
      <c r="C1" s="6"/>
      <c r="D1" s="6"/>
      <c r="E1" s="6"/>
      <c r="F1" s="6"/>
      <c r="G1" s="9"/>
      <c r="H1" s="6"/>
    </row>
    <row r="2" spans="1:12" x14ac:dyDescent="0.3">
      <c r="C2" s="6"/>
      <c r="D2" s="6"/>
      <c r="E2" s="6"/>
      <c r="F2" s="6"/>
      <c r="G2" s="9"/>
      <c r="H2" s="6"/>
    </row>
    <row r="3" spans="1:12" x14ac:dyDescent="0.3">
      <c r="C3" s="6"/>
      <c r="D3" s="6"/>
      <c r="E3" s="6"/>
      <c r="F3" s="9"/>
      <c r="G3" s="9"/>
      <c r="H3" s="6"/>
    </row>
    <row r="4" spans="1:12" x14ac:dyDescent="0.3">
      <c r="C4" s="6"/>
      <c r="D4" s="6"/>
      <c r="E4" s="6"/>
      <c r="F4" s="6"/>
      <c r="G4" s="9"/>
      <c r="H4" s="6"/>
    </row>
    <row r="5" spans="1:12" s="9" customFormat="1" ht="30" x14ac:dyDescent="0.25">
      <c r="A5" s="27" t="s">
        <v>232</v>
      </c>
      <c r="B5" s="46" t="s">
        <v>4</v>
      </c>
      <c r="C5" s="46" t="s">
        <v>1</v>
      </c>
      <c r="D5" s="46" t="s">
        <v>3</v>
      </c>
      <c r="E5" s="46" t="s">
        <v>2</v>
      </c>
      <c r="F5" s="46" t="s">
        <v>5</v>
      </c>
      <c r="G5" s="46" t="s">
        <v>6</v>
      </c>
      <c r="H5" s="46" t="s">
        <v>9</v>
      </c>
      <c r="I5" s="46" t="s">
        <v>0</v>
      </c>
      <c r="J5" s="46" t="s">
        <v>318</v>
      </c>
      <c r="K5" s="46" t="s">
        <v>1</v>
      </c>
      <c r="L5" s="46" t="s">
        <v>343</v>
      </c>
    </row>
    <row r="6" spans="1:12" s="3" customFormat="1" x14ac:dyDescent="0.25">
      <c r="A6" s="15"/>
      <c r="B6" s="3" t="s">
        <v>219</v>
      </c>
      <c r="C6" s="3" t="s">
        <v>220</v>
      </c>
      <c r="H6" s="3" t="s">
        <v>185</v>
      </c>
      <c r="J6" s="45" t="s">
        <v>320</v>
      </c>
    </row>
    <row r="7" spans="1:12" s="3" customFormat="1" x14ac:dyDescent="0.25">
      <c r="A7" s="15">
        <v>110</v>
      </c>
      <c r="J7" s="47"/>
    </row>
    <row r="8" spans="1:12" ht="45" x14ac:dyDescent="0.3">
      <c r="B8" s="4" t="s">
        <v>7</v>
      </c>
      <c r="C8" s="3" t="s">
        <v>8</v>
      </c>
      <c r="D8" s="5">
        <v>3</v>
      </c>
      <c r="E8" s="5">
        <v>1</v>
      </c>
      <c r="F8" s="3" t="s">
        <v>390</v>
      </c>
      <c r="G8" s="3" t="s">
        <v>11</v>
      </c>
      <c r="H8" s="3" t="s">
        <v>391</v>
      </c>
      <c r="I8" s="44" t="s">
        <v>392</v>
      </c>
      <c r="J8" s="48" t="s">
        <v>315</v>
      </c>
      <c r="K8" s="4" t="s">
        <v>378</v>
      </c>
    </row>
    <row r="9" spans="1:12" ht="30" x14ac:dyDescent="0.3">
      <c r="B9" s="4" t="s">
        <v>389</v>
      </c>
      <c r="C9" s="3" t="s">
        <v>388</v>
      </c>
      <c r="D9" s="5">
        <v>2</v>
      </c>
      <c r="E9" s="5">
        <v>1</v>
      </c>
      <c r="F9" s="3" t="s">
        <v>28</v>
      </c>
      <c r="G9" s="3" t="s">
        <v>387</v>
      </c>
      <c r="H9" s="3" t="s">
        <v>391</v>
      </c>
      <c r="I9" s="44" t="s">
        <v>392</v>
      </c>
      <c r="J9" s="48" t="s">
        <v>315</v>
      </c>
      <c r="K9" s="4" t="s">
        <v>378</v>
      </c>
    </row>
    <row r="10" spans="1:12" ht="30" x14ac:dyDescent="0.3">
      <c r="B10" s="4" t="s">
        <v>13</v>
      </c>
      <c r="C10" s="3" t="s">
        <v>14</v>
      </c>
      <c r="D10" s="5">
        <v>3</v>
      </c>
      <c r="E10" s="5">
        <v>1</v>
      </c>
      <c r="F10" s="3" t="s">
        <v>28</v>
      </c>
      <c r="G10" s="3" t="s">
        <v>15</v>
      </c>
      <c r="H10" s="3" t="s">
        <v>329</v>
      </c>
      <c r="J10" s="45" t="s">
        <v>320</v>
      </c>
    </row>
    <row r="11" spans="1:12" ht="45" x14ac:dyDescent="0.3">
      <c r="B11" s="4" t="s">
        <v>16</v>
      </c>
      <c r="C11" s="3" t="s">
        <v>182</v>
      </c>
      <c r="D11" s="5">
        <v>2</v>
      </c>
      <c r="E11" s="5">
        <v>1</v>
      </c>
      <c r="F11" s="3" t="s">
        <v>28</v>
      </c>
      <c r="G11" s="3" t="s">
        <v>403</v>
      </c>
      <c r="H11" s="3" t="s">
        <v>402</v>
      </c>
      <c r="I11" s="44" t="s">
        <v>392</v>
      </c>
      <c r="J11" s="48" t="s">
        <v>315</v>
      </c>
      <c r="K11" s="21" t="s">
        <v>393</v>
      </c>
    </row>
    <row r="12" spans="1:12" ht="60" x14ac:dyDescent="0.3">
      <c r="B12" s="4" t="s">
        <v>27</v>
      </c>
      <c r="C12" s="3" t="s">
        <v>24</v>
      </c>
      <c r="D12" s="5">
        <v>4</v>
      </c>
      <c r="E12" s="5">
        <v>1</v>
      </c>
      <c r="F12" s="3" t="s">
        <v>23</v>
      </c>
      <c r="G12" s="3" t="s">
        <v>11</v>
      </c>
      <c r="H12" s="3" t="s">
        <v>404</v>
      </c>
      <c r="J12" s="45" t="s">
        <v>320</v>
      </c>
    </row>
    <row r="13" spans="1:12" ht="60" x14ac:dyDescent="0.3">
      <c r="B13" s="4" t="s">
        <v>26</v>
      </c>
      <c r="C13" s="3" t="s">
        <v>25</v>
      </c>
      <c r="D13" s="5">
        <v>4</v>
      </c>
      <c r="E13" s="5">
        <v>1</v>
      </c>
      <c r="F13" s="3" t="s">
        <v>23</v>
      </c>
      <c r="G13" s="3" t="s">
        <v>15</v>
      </c>
      <c r="H13" s="3" t="s">
        <v>404</v>
      </c>
      <c r="J13" s="45" t="s">
        <v>320</v>
      </c>
    </row>
    <row r="14" spans="1:12" x14ac:dyDescent="0.3">
      <c r="B14" s="4" t="s">
        <v>221</v>
      </c>
      <c r="C14" s="3" t="s">
        <v>222</v>
      </c>
      <c r="J14" s="45" t="s">
        <v>320</v>
      </c>
    </row>
    <row r="15" spans="1:12" ht="30" x14ac:dyDescent="0.3">
      <c r="B15" s="4" t="s">
        <v>17</v>
      </c>
      <c r="C15" s="3" t="s">
        <v>18</v>
      </c>
      <c r="D15" s="5">
        <v>2</v>
      </c>
      <c r="E15" s="5">
        <v>1</v>
      </c>
      <c r="F15" s="3" t="s">
        <v>10</v>
      </c>
      <c r="G15" s="3" t="s">
        <v>202</v>
      </c>
      <c r="H15" s="3" t="s">
        <v>405</v>
      </c>
      <c r="J15" s="45" t="s">
        <v>320</v>
      </c>
    </row>
    <row r="16" spans="1:12" ht="45" x14ac:dyDescent="0.3">
      <c r="B16" s="4" t="s">
        <v>19</v>
      </c>
      <c r="C16" s="3" t="s">
        <v>34</v>
      </c>
      <c r="D16" s="5">
        <v>3</v>
      </c>
      <c r="E16" s="5">
        <v>1</v>
      </c>
      <c r="F16" s="3" t="s">
        <v>29</v>
      </c>
      <c r="G16" s="3" t="s">
        <v>321</v>
      </c>
      <c r="H16" s="3" t="s">
        <v>329</v>
      </c>
      <c r="J16" s="45" t="s">
        <v>320</v>
      </c>
    </row>
    <row r="17" spans="1:11" ht="75" x14ac:dyDescent="0.3">
      <c r="B17" s="4" t="s">
        <v>30</v>
      </c>
      <c r="C17" s="3" t="s">
        <v>35</v>
      </c>
      <c r="D17" s="5">
        <v>4</v>
      </c>
      <c r="E17" s="5">
        <v>1</v>
      </c>
      <c r="F17" s="3" t="s">
        <v>175</v>
      </c>
      <c r="G17" s="3" t="s">
        <v>322</v>
      </c>
      <c r="H17" s="3" t="s">
        <v>329</v>
      </c>
      <c r="J17" s="45" t="s">
        <v>320</v>
      </c>
    </row>
    <row r="18" spans="1:11" ht="60" x14ac:dyDescent="0.3">
      <c r="B18" s="4" t="s">
        <v>31</v>
      </c>
      <c r="C18" s="3" t="s">
        <v>36</v>
      </c>
      <c r="D18" s="5">
        <v>2</v>
      </c>
      <c r="E18" s="5">
        <v>1</v>
      </c>
      <c r="F18" s="3" t="s">
        <v>28</v>
      </c>
      <c r="G18" s="3" t="s">
        <v>321</v>
      </c>
      <c r="H18" s="3" t="s">
        <v>329</v>
      </c>
      <c r="J18" s="45" t="s">
        <v>320</v>
      </c>
    </row>
    <row r="19" spans="1:11" ht="51" x14ac:dyDescent="0.3">
      <c r="B19" s="4" t="s">
        <v>20</v>
      </c>
      <c r="C19" s="3" t="s">
        <v>37</v>
      </c>
      <c r="D19" s="5">
        <v>2</v>
      </c>
      <c r="E19" s="5">
        <v>1</v>
      </c>
      <c r="F19" s="3" t="s">
        <v>28</v>
      </c>
      <c r="G19" s="3" t="s">
        <v>323</v>
      </c>
      <c r="H19" s="3" t="s">
        <v>405</v>
      </c>
      <c r="J19" s="45" t="s">
        <v>320</v>
      </c>
    </row>
    <row r="20" spans="1:11" ht="51" x14ac:dyDescent="0.3">
      <c r="B20" s="4" t="s">
        <v>21</v>
      </c>
      <c r="C20" s="3" t="s">
        <v>38</v>
      </c>
      <c r="D20" s="5">
        <v>3</v>
      </c>
      <c r="E20" s="5">
        <v>1</v>
      </c>
      <c r="F20" s="3" t="s">
        <v>22</v>
      </c>
      <c r="G20" s="3" t="s">
        <v>323</v>
      </c>
      <c r="H20" s="3" t="s">
        <v>405</v>
      </c>
      <c r="J20" s="45" t="s">
        <v>320</v>
      </c>
    </row>
    <row r="21" spans="1:11" x14ac:dyDescent="0.3">
      <c r="F21" s="6"/>
    </row>
    <row r="22" spans="1:11" ht="45" x14ac:dyDescent="0.3">
      <c r="B22" s="10" t="s">
        <v>32</v>
      </c>
      <c r="C22" s="11" t="s">
        <v>33</v>
      </c>
      <c r="D22" s="12">
        <v>3</v>
      </c>
      <c r="E22" s="12">
        <v>1</v>
      </c>
      <c r="F22" s="11" t="s">
        <v>233</v>
      </c>
      <c r="G22" s="11" t="s">
        <v>255</v>
      </c>
      <c r="H22" s="11" t="s">
        <v>508</v>
      </c>
      <c r="I22" s="44" t="s">
        <v>392</v>
      </c>
      <c r="J22" s="48" t="s">
        <v>316</v>
      </c>
      <c r="K22" s="10" t="s">
        <v>234</v>
      </c>
    </row>
    <row r="23" spans="1:11" ht="45" x14ac:dyDescent="0.3">
      <c r="B23" s="10" t="s">
        <v>335</v>
      </c>
      <c r="C23" s="11" t="s">
        <v>336</v>
      </c>
      <c r="D23" s="12">
        <v>3</v>
      </c>
      <c r="E23" s="12">
        <v>1</v>
      </c>
      <c r="F23" s="11" t="s">
        <v>337</v>
      </c>
      <c r="G23" s="11" t="s">
        <v>209</v>
      </c>
      <c r="H23" s="11" t="s">
        <v>508</v>
      </c>
      <c r="I23" s="22" t="s">
        <v>457</v>
      </c>
      <c r="J23" s="48" t="s">
        <v>316</v>
      </c>
      <c r="K23" s="10"/>
    </row>
    <row r="24" spans="1:11" ht="45" x14ac:dyDescent="0.3">
      <c r="B24" s="4" t="s">
        <v>40</v>
      </c>
      <c r="C24" s="3" t="s">
        <v>39</v>
      </c>
      <c r="D24" s="5">
        <v>3</v>
      </c>
      <c r="E24" s="5">
        <v>1</v>
      </c>
      <c r="F24" s="3" t="s">
        <v>41</v>
      </c>
      <c r="G24" s="3" t="s">
        <v>42</v>
      </c>
      <c r="H24" s="3" t="s">
        <v>184</v>
      </c>
      <c r="J24" s="48" t="s">
        <v>328</v>
      </c>
    </row>
    <row r="25" spans="1:11" ht="30" x14ac:dyDescent="0.3">
      <c r="B25" s="4" t="s">
        <v>43</v>
      </c>
      <c r="C25" s="3" t="s">
        <v>183</v>
      </c>
      <c r="D25" s="5">
        <v>1</v>
      </c>
      <c r="E25" s="5">
        <v>1</v>
      </c>
      <c r="F25" s="3" t="s">
        <v>176</v>
      </c>
      <c r="G25" s="3" t="s">
        <v>186</v>
      </c>
      <c r="H25" s="3" t="s">
        <v>185</v>
      </c>
      <c r="J25" s="45" t="s">
        <v>320</v>
      </c>
    </row>
    <row r="26" spans="1:11" ht="30" x14ac:dyDescent="0.3">
      <c r="B26" s="4" t="s">
        <v>44</v>
      </c>
      <c r="C26" s="3" t="s">
        <v>45</v>
      </c>
      <c r="H26" s="3" t="s">
        <v>185</v>
      </c>
      <c r="J26" s="45" t="s">
        <v>320</v>
      </c>
    </row>
    <row r="27" spans="1:11" x14ac:dyDescent="0.3">
      <c r="A27" s="14">
        <v>120</v>
      </c>
    </row>
    <row r="28" spans="1:11" x14ac:dyDescent="0.3">
      <c r="B28" s="4" t="s">
        <v>47</v>
      </c>
      <c r="C28" s="3" t="s">
        <v>46</v>
      </c>
      <c r="D28" s="5">
        <v>1</v>
      </c>
      <c r="E28" s="5">
        <v>1</v>
      </c>
      <c r="F28" s="3" t="s">
        <v>48</v>
      </c>
      <c r="G28" s="3" t="s">
        <v>181</v>
      </c>
      <c r="I28" s="44" t="s">
        <v>326</v>
      </c>
      <c r="J28" s="48" t="s">
        <v>315</v>
      </c>
      <c r="K28" s="4" t="s">
        <v>327</v>
      </c>
    </row>
    <row r="29" spans="1:11" ht="105" x14ac:dyDescent="0.3">
      <c r="B29" s="4" t="s">
        <v>49</v>
      </c>
      <c r="C29" s="3" t="s">
        <v>50</v>
      </c>
      <c r="D29" s="5">
        <v>5</v>
      </c>
      <c r="E29" s="5">
        <v>1</v>
      </c>
      <c r="F29" s="3" t="s">
        <v>177</v>
      </c>
      <c r="H29" s="3" t="s">
        <v>185</v>
      </c>
      <c r="J29" s="45" t="s">
        <v>320</v>
      </c>
    </row>
    <row r="30" spans="1:11" ht="30" x14ac:dyDescent="0.3">
      <c r="B30" s="4" t="s">
        <v>51</v>
      </c>
      <c r="C30" s="3" t="s">
        <v>52</v>
      </c>
      <c r="D30" s="5">
        <v>2</v>
      </c>
      <c r="E30" s="5">
        <v>1</v>
      </c>
      <c r="F30" s="3" t="s">
        <v>53</v>
      </c>
      <c r="G30" s="3" t="s">
        <v>54</v>
      </c>
      <c r="H30" s="3" t="s">
        <v>187</v>
      </c>
      <c r="J30" s="45" t="s">
        <v>320</v>
      </c>
      <c r="K30" s="21"/>
    </row>
    <row r="31" spans="1:11" ht="30" x14ac:dyDescent="0.3">
      <c r="B31" s="4" t="s">
        <v>55</v>
      </c>
      <c r="C31" s="3" t="s">
        <v>58</v>
      </c>
      <c r="D31" s="5">
        <v>2</v>
      </c>
      <c r="E31" s="5">
        <v>1</v>
      </c>
      <c r="F31" s="3" t="s">
        <v>56</v>
      </c>
      <c r="G31" s="3" t="s">
        <v>57</v>
      </c>
      <c r="H31" s="3" t="s">
        <v>187</v>
      </c>
      <c r="J31" s="45" t="s">
        <v>320</v>
      </c>
    </row>
    <row r="32" spans="1:11" ht="30" x14ac:dyDescent="0.3">
      <c r="B32" s="4" t="s">
        <v>59</v>
      </c>
      <c r="C32" s="3" t="s">
        <v>60</v>
      </c>
      <c r="D32" s="5">
        <v>1</v>
      </c>
      <c r="E32" s="5">
        <v>1</v>
      </c>
      <c r="F32" s="3" t="s">
        <v>61</v>
      </c>
      <c r="G32" s="3" t="s">
        <v>62</v>
      </c>
      <c r="H32" s="3" t="s">
        <v>187</v>
      </c>
      <c r="J32" s="45" t="s">
        <v>320</v>
      </c>
    </row>
    <row r="33" spans="1:12" x14ac:dyDescent="0.3">
      <c r="A33" s="14">
        <v>130</v>
      </c>
    </row>
    <row r="34" spans="1:12" ht="30" x14ac:dyDescent="0.3">
      <c r="B34" s="4" t="s">
        <v>63</v>
      </c>
      <c r="C34" s="3" t="s">
        <v>64</v>
      </c>
      <c r="D34" s="5">
        <v>1</v>
      </c>
      <c r="E34" s="5">
        <v>1</v>
      </c>
      <c r="F34" s="3" t="s">
        <v>65</v>
      </c>
      <c r="G34" s="3" t="s">
        <v>69</v>
      </c>
      <c r="H34" s="3" t="s">
        <v>187</v>
      </c>
      <c r="J34" s="45" t="s">
        <v>320</v>
      </c>
    </row>
    <row r="35" spans="1:12" ht="30" x14ac:dyDescent="0.3">
      <c r="B35" s="4" t="s">
        <v>66</v>
      </c>
      <c r="C35" s="3" t="s">
        <v>70</v>
      </c>
      <c r="D35" s="5">
        <v>2</v>
      </c>
      <c r="E35" s="5">
        <v>1</v>
      </c>
      <c r="F35" s="3" t="s">
        <v>67</v>
      </c>
      <c r="G35" s="3" t="s">
        <v>68</v>
      </c>
      <c r="H35" s="3" t="s">
        <v>185</v>
      </c>
      <c r="J35" s="45" t="s">
        <v>320</v>
      </c>
    </row>
    <row r="36" spans="1:12" ht="30" x14ac:dyDescent="0.3">
      <c r="B36" s="4" t="s">
        <v>71</v>
      </c>
      <c r="C36" s="3" t="s">
        <v>72</v>
      </c>
      <c r="D36" s="5">
        <v>2</v>
      </c>
      <c r="E36" s="5">
        <v>1</v>
      </c>
      <c r="F36" s="3" t="s">
        <v>67</v>
      </c>
      <c r="G36" s="3" t="s">
        <v>68</v>
      </c>
      <c r="H36" s="3" t="s">
        <v>185</v>
      </c>
      <c r="J36" s="45" t="s">
        <v>320</v>
      </c>
    </row>
    <row r="37" spans="1:12" ht="30" x14ac:dyDescent="0.3">
      <c r="B37" s="4" t="s">
        <v>71</v>
      </c>
      <c r="C37" s="3" t="s">
        <v>73</v>
      </c>
      <c r="D37" s="5">
        <v>2</v>
      </c>
      <c r="E37" s="5">
        <v>1</v>
      </c>
      <c r="F37" s="3" t="s">
        <v>67</v>
      </c>
      <c r="G37" s="3" t="s">
        <v>68</v>
      </c>
      <c r="H37" s="3" t="s">
        <v>185</v>
      </c>
      <c r="J37" s="45" t="s">
        <v>320</v>
      </c>
    </row>
    <row r="38" spans="1:12" ht="30" x14ac:dyDescent="0.3">
      <c r="B38" s="4" t="s">
        <v>74</v>
      </c>
      <c r="C38" s="3" t="s">
        <v>188</v>
      </c>
      <c r="H38" s="3" t="s">
        <v>185</v>
      </c>
      <c r="J38" s="45" t="s">
        <v>320</v>
      </c>
    </row>
    <row r="39" spans="1:12" ht="30" x14ac:dyDescent="0.3">
      <c r="B39" s="4" t="s">
        <v>75</v>
      </c>
      <c r="C39" s="3" t="s">
        <v>189</v>
      </c>
      <c r="H39" s="3" t="s">
        <v>185</v>
      </c>
      <c r="J39" s="45" t="s">
        <v>320</v>
      </c>
    </row>
    <row r="40" spans="1:12" x14ac:dyDescent="0.3">
      <c r="A40" s="14">
        <v>140</v>
      </c>
      <c r="B40" s="4"/>
    </row>
    <row r="41" spans="1:12" ht="45" x14ac:dyDescent="0.3">
      <c r="B41" s="4" t="s">
        <v>76</v>
      </c>
      <c r="C41" s="3" t="s">
        <v>77</v>
      </c>
      <c r="D41" s="5">
        <v>2</v>
      </c>
      <c r="E41" s="5">
        <v>1</v>
      </c>
      <c r="F41" s="3" t="s">
        <v>78</v>
      </c>
      <c r="G41" s="3" t="s">
        <v>79</v>
      </c>
      <c r="H41" s="3" t="s">
        <v>185</v>
      </c>
      <c r="J41" s="45" t="s">
        <v>320</v>
      </c>
    </row>
    <row r="42" spans="1:12" ht="30" x14ac:dyDescent="0.3">
      <c r="B42" s="4" t="s">
        <v>80</v>
      </c>
      <c r="C42" s="3" t="s">
        <v>190</v>
      </c>
      <c r="H42" s="3" t="s">
        <v>185</v>
      </c>
      <c r="J42" s="45" t="s">
        <v>320</v>
      </c>
    </row>
    <row r="43" spans="1:12" s="13" customFormat="1" ht="60" x14ac:dyDescent="0.3">
      <c r="A43" s="16"/>
      <c r="B43" s="10" t="s">
        <v>81</v>
      </c>
      <c r="C43" s="11" t="s">
        <v>246</v>
      </c>
      <c r="D43" s="12">
        <v>2</v>
      </c>
      <c r="E43" s="12">
        <v>1</v>
      </c>
      <c r="F43" s="11" t="s">
        <v>341</v>
      </c>
      <c r="G43" s="11" t="s">
        <v>407</v>
      </c>
      <c r="H43" s="11" t="s">
        <v>342</v>
      </c>
      <c r="I43" s="44" t="s">
        <v>392</v>
      </c>
      <c r="J43" s="48" t="s">
        <v>316</v>
      </c>
      <c r="K43" s="2" t="s">
        <v>359</v>
      </c>
    </row>
    <row r="44" spans="1:12" s="13" customFormat="1" ht="30" x14ac:dyDescent="0.3">
      <c r="A44" s="16"/>
      <c r="B44" s="10" t="s">
        <v>82</v>
      </c>
      <c r="C44" s="11" t="s">
        <v>85</v>
      </c>
      <c r="D44" s="12">
        <v>2</v>
      </c>
      <c r="E44" s="12">
        <v>2</v>
      </c>
      <c r="F44" s="11" t="s">
        <v>88</v>
      </c>
      <c r="G44" s="11" t="s">
        <v>89</v>
      </c>
      <c r="H44" s="11"/>
      <c r="I44" s="22"/>
      <c r="J44" s="48"/>
      <c r="K44" s="10"/>
    </row>
    <row r="45" spans="1:12" s="13" customFormat="1" ht="30" x14ac:dyDescent="0.3">
      <c r="A45" s="16"/>
      <c r="B45" s="10" t="s">
        <v>83</v>
      </c>
      <c r="C45" s="11" t="s">
        <v>198</v>
      </c>
      <c r="D45" s="12">
        <v>1</v>
      </c>
      <c r="E45" s="12">
        <v>1</v>
      </c>
      <c r="F45" s="11" t="s">
        <v>90</v>
      </c>
      <c r="G45" s="11" t="s">
        <v>180</v>
      </c>
      <c r="H45" s="11"/>
      <c r="I45" s="22"/>
      <c r="J45" s="45" t="s">
        <v>320</v>
      </c>
      <c r="K45" s="10"/>
    </row>
    <row r="46" spans="1:12" s="13" customFormat="1" ht="45" x14ac:dyDescent="0.3">
      <c r="A46" s="16"/>
      <c r="B46" s="10" t="s">
        <v>84</v>
      </c>
      <c r="C46" s="11" t="s">
        <v>197</v>
      </c>
      <c r="D46" s="12">
        <v>2</v>
      </c>
      <c r="E46" s="12">
        <v>1</v>
      </c>
      <c r="F46" s="11" t="s">
        <v>213</v>
      </c>
      <c r="G46" s="11" t="s">
        <v>91</v>
      </c>
      <c r="H46" s="11"/>
      <c r="I46" s="22" t="s">
        <v>314</v>
      </c>
      <c r="J46" s="48" t="s">
        <v>315</v>
      </c>
      <c r="K46" s="2" t="s">
        <v>406</v>
      </c>
      <c r="L46" s="2" t="s">
        <v>330</v>
      </c>
    </row>
    <row r="47" spans="1:12" s="13" customFormat="1" ht="75" x14ac:dyDescent="0.3">
      <c r="A47" s="16"/>
      <c r="B47" s="10" t="s">
        <v>92</v>
      </c>
      <c r="C47" s="11" t="s">
        <v>196</v>
      </c>
      <c r="D47" s="12">
        <v>1</v>
      </c>
      <c r="E47" s="12">
        <v>3</v>
      </c>
      <c r="F47" s="11" t="s">
        <v>215</v>
      </c>
      <c r="G47" s="11" t="s">
        <v>138</v>
      </c>
      <c r="H47" s="11" t="s">
        <v>517</v>
      </c>
      <c r="I47" s="44" t="s">
        <v>392</v>
      </c>
      <c r="J47" s="48" t="s">
        <v>316</v>
      </c>
      <c r="K47" s="2" t="s">
        <v>377</v>
      </c>
    </row>
    <row r="48" spans="1:12" s="13" customFormat="1" ht="45" x14ac:dyDescent="0.3">
      <c r="A48" s="16"/>
      <c r="B48" s="10" t="s">
        <v>140</v>
      </c>
      <c r="C48" s="11" t="s">
        <v>199</v>
      </c>
      <c r="D48" s="12">
        <v>1</v>
      </c>
      <c r="E48" s="12">
        <v>3</v>
      </c>
      <c r="F48" s="11" t="s">
        <v>214</v>
      </c>
      <c r="G48" s="11" t="s">
        <v>141</v>
      </c>
      <c r="H48" s="11" t="s">
        <v>518</v>
      </c>
      <c r="I48" s="44" t="s">
        <v>392</v>
      </c>
      <c r="J48" s="48" t="s">
        <v>316</v>
      </c>
      <c r="K48" s="21" t="s">
        <v>380</v>
      </c>
    </row>
    <row r="49" spans="1:12" s="13" customFormat="1" ht="45" x14ac:dyDescent="0.3">
      <c r="A49" s="16"/>
      <c r="B49" s="10" t="s">
        <v>93</v>
      </c>
      <c r="C49" s="11" t="s">
        <v>360</v>
      </c>
      <c r="D49" s="12">
        <v>3</v>
      </c>
      <c r="E49" s="12">
        <v>1</v>
      </c>
      <c r="F49" s="11" t="s">
        <v>87</v>
      </c>
      <c r="G49" s="11" t="s">
        <v>407</v>
      </c>
      <c r="H49" s="11"/>
      <c r="I49" s="44" t="s">
        <v>392</v>
      </c>
      <c r="J49" s="48" t="s">
        <v>316</v>
      </c>
      <c r="K49" s="2" t="s">
        <v>359</v>
      </c>
    </row>
    <row r="50" spans="1:12" s="13" customFormat="1" ht="45" x14ac:dyDescent="0.3">
      <c r="A50" s="16"/>
      <c r="B50" s="10" t="s">
        <v>95</v>
      </c>
      <c r="C50" s="11" t="s">
        <v>94</v>
      </c>
      <c r="D50" s="12">
        <v>2</v>
      </c>
      <c r="E50" s="12">
        <v>2</v>
      </c>
      <c r="F50" s="11" t="s">
        <v>88</v>
      </c>
      <c r="G50" s="11" t="s">
        <v>89</v>
      </c>
      <c r="H50" s="11"/>
      <c r="I50" s="22"/>
      <c r="J50" s="48" t="s">
        <v>328</v>
      </c>
      <c r="K50" s="10"/>
    </row>
    <row r="51" spans="1:12" s="13" customFormat="1" ht="45" x14ac:dyDescent="0.3">
      <c r="A51" s="16"/>
      <c r="B51" s="10" t="s">
        <v>96</v>
      </c>
      <c r="C51" s="11" t="s">
        <v>191</v>
      </c>
      <c r="D51" s="12">
        <v>2</v>
      </c>
      <c r="E51" s="12">
        <v>1</v>
      </c>
      <c r="F51" s="11" t="s">
        <v>210</v>
      </c>
      <c r="G51" s="11" t="s">
        <v>91</v>
      </c>
      <c r="H51" s="11"/>
      <c r="I51" s="22" t="s">
        <v>314</v>
      </c>
      <c r="J51" s="48" t="s">
        <v>315</v>
      </c>
      <c r="K51" s="2" t="s">
        <v>406</v>
      </c>
      <c r="L51" s="2" t="s">
        <v>330</v>
      </c>
    </row>
    <row r="52" spans="1:12" s="13" customFormat="1" ht="45" x14ac:dyDescent="0.3">
      <c r="A52" s="16"/>
      <c r="B52" s="10" t="s">
        <v>97</v>
      </c>
      <c r="C52" s="11" t="s">
        <v>192</v>
      </c>
      <c r="D52" s="12">
        <v>1</v>
      </c>
      <c r="E52" s="12">
        <v>3</v>
      </c>
      <c r="F52" s="11" t="s">
        <v>215</v>
      </c>
      <c r="G52" s="11" t="s">
        <v>138</v>
      </c>
      <c r="H52" s="11" t="s">
        <v>137</v>
      </c>
      <c r="I52" s="44" t="s">
        <v>392</v>
      </c>
      <c r="J52" s="48" t="s">
        <v>316</v>
      </c>
      <c r="K52" s="2" t="s">
        <v>377</v>
      </c>
    </row>
    <row r="53" spans="1:12" s="13" customFormat="1" ht="45" x14ac:dyDescent="0.3">
      <c r="A53" s="16"/>
      <c r="B53" s="10" t="s">
        <v>98</v>
      </c>
      <c r="C53" s="11" t="s">
        <v>193</v>
      </c>
      <c r="D53" s="12">
        <v>1</v>
      </c>
      <c r="E53" s="12">
        <v>3</v>
      </c>
      <c r="F53" s="11" t="s">
        <v>214</v>
      </c>
      <c r="G53" s="11" t="s">
        <v>142</v>
      </c>
      <c r="H53" s="11" t="s">
        <v>139</v>
      </c>
      <c r="I53" s="44" t="s">
        <v>392</v>
      </c>
      <c r="J53" s="48" t="s">
        <v>316</v>
      </c>
      <c r="K53" s="21" t="s">
        <v>380</v>
      </c>
    </row>
    <row r="54" spans="1:12" s="13" customFormat="1" ht="45" x14ac:dyDescent="0.3">
      <c r="A54" s="16"/>
      <c r="B54" s="10" t="s">
        <v>99</v>
      </c>
      <c r="C54" s="11" t="s">
        <v>361</v>
      </c>
      <c r="D54" s="12">
        <v>2</v>
      </c>
      <c r="E54" s="12">
        <v>1</v>
      </c>
      <c r="F54" s="11" t="s">
        <v>211</v>
      </c>
      <c r="G54" s="11" t="s">
        <v>407</v>
      </c>
      <c r="H54" s="11"/>
      <c r="I54" s="44" t="s">
        <v>392</v>
      </c>
      <c r="J54" s="48" t="s">
        <v>316</v>
      </c>
      <c r="K54" s="2" t="s">
        <v>359</v>
      </c>
    </row>
    <row r="55" spans="1:12" s="13" customFormat="1" ht="45" x14ac:dyDescent="0.3">
      <c r="A55" s="16"/>
      <c r="B55" s="10" t="s">
        <v>100</v>
      </c>
      <c r="C55" s="11" t="s">
        <v>104</v>
      </c>
      <c r="D55" s="12">
        <v>1</v>
      </c>
      <c r="E55" s="12">
        <v>2</v>
      </c>
      <c r="F55" s="11" t="s">
        <v>86</v>
      </c>
      <c r="G55" s="11" t="s">
        <v>89</v>
      </c>
      <c r="H55" s="11"/>
      <c r="I55" s="22"/>
      <c r="J55" s="48" t="s">
        <v>328</v>
      </c>
      <c r="K55" s="10"/>
    </row>
    <row r="56" spans="1:12" s="13" customFormat="1" ht="45" x14ac:dyDescent="0.3">
      <c r="A56" s="16"/>
      <c r="B56" s="10" t="s">
        <v>101</v>
      </c>
      <c r="C56" s="11" t="s">
        <v>195</v>
      </c>
      <c r="D56" s="12">
        <v>1</v>
      </c>
      <c r="E56" s="12">
        <v>1</v>
      </c>
      <c r="F56" s="11" t="s">
        <v>212</v>
      </c>
      <c r="G56" s="11" t="s">
        <v>91</v>
      </c>
      <c r="H56" s="11"/>
      <c r="I56" s="22" t="s">
        <v>314</v>
      </c>
      <c r="J56" s="48" t="s">
        <v>315</v>
      </c>
      <c r="K56" s="2" t="s">
        <v>406</v>
      </c>
      <c r="L56" s="2" t="s">
        <v>330</v>
      </c>
    </row>
    <row r="57" spans="1:12" s="13" customFormat="1" ht="45" x14ac:dyDescent="0.3">
      <c r="A57" s="16"/>
      <c r="B57" s="10" t="s">
        <v>102</v>
      </c>
      <c r="C57" s="11" t="s">
        <v>194</v>
      </c>
      <c r="D57" s="12">
        <v>1</v>
      </c>
      <c r="E57" s="12">
        <v>2</v>
      </c>
      <c r="F57" s="11" t="s">
        <v>217</v>
      </c>
      <c r="G57" s="11" t="s">
        <v>216</v>
      </c>
      <c r="H57" s="11"/>
      <c r="I57" s="44" t="s">
        <v>392</v>
      </c>
      <c r="J57" s="48" t="s">
        <v>315</v>
      </c>
      <c r="K57" s="2" t="s">
        <v>377</v>
      </c>
    </row>
    <row r="58" spans="1:12" s="13" customFormat="1" ht="45" x14ac:dyDescent="0.3">
      <c r="A58" s="16"/>
      <c r="B58" s="10" t="s">
        <v>103</v>
      </c>
      <c r="C58" s="11" t="s">
        <v>200</v>
      </c>
      <c r="D58" s="12">
        <v>2</v>
      </c>
      <c r="E58" s="12">
        <v>2</v>
      </c>
      <c r="F58" s="11" t="s">
        <v>218</v>
      </c>
      <c r="G58" s="11" t="s">
        <v>201</v>
      </c>
      <c r="H58" s="11" t="s">
        <v>375</v>
      </c>
      <c r="I58" s="44" t="s">
        <v>392</v>
      </c>
      <c r="J58" s="48" t="s">
        <v>315</v>
      </c>
      <c r="K58" s="21" t="s">
        <v>380</v>
      </c>
    </row>
    <row r="59" spans="1:12" ht="30" x14ac:dyDescent="0.3">
      <c r="B59" s="4" t="s">
        <v>105</v>
      </c>
      <c r="C59" s="3" t="s">
        <v>106</v>
      </c>
      <c r="D59" s="5">
        <v>1</v>
      </c>
      <c r="E59" s="5">
        <v>1</v>
      </c>
      <c r="F59" s="3" t="s">
        <v>90</v>
      </c>
      <c r="G59" s="3" t="s">
        <v>179</v>
      </c>
      <c r="H59" s="3" t="s">
        <v>185</v>
      </c>
      <c r="J59" s="45" t="s">
        <v>320</v>
      </c>
    </row>
    <row r="60" spans="1:12" ht="60" x14ac:dyDescent="0.3">
      <c r="B60" s="4" t="s">
        <v>108</v>
      </c>
      <c r="C60" s="3" t="s">
        <v>107</v>
      </c>
      <c r="D60" s="5">
        <v>1</v>
      </c>
      <c r="E60" s="5">
        <v>1</v>
      </c>
      <c r="F60" s="3" t="s">
        <v>109</v>
      </c>
      <c r="G60" s="3" t="s">
        <v>324</v>
      </c>
      <c r="J60" s="48" t="s">
        <v>328</v>
      </c>
    </row>
    <row r="61" spans="1:12" ht="30" x14ac:dyDescent="0.3">
      <c r="B61" s="4" t="s">
        <v>110</v>
      </c>
      <c r="C61" s="3" t="s">
        <v>111</v>
      </c>
      <c r="D61" s="5">
        <v>1</v>
      </c>
      <c r="E61" s="5">
        <v>2</v>
      </c>
      <c r="F61" s="3" t="s">
        <v>112</v>
      </c>
      <c r="G61" s="3" t="s">
        <v>113</v>
      </c>
      <c r="J61" s="48" t="s">
        <v>328</v>
      </c>
    </row>
    <row r="62" spans="1:12" x14ac:dyDescent="0.3">
      <c r="B62" s="4" t="s">
        <v>114</v>
      </c>
      <c r="C62" s="3" t="s">
        <v>115</v>
      </c>
      <c r="D62" s="5">
        <v>3</v>
      </c>
      <c r="E62" s="5">
        <v>1</v>
      </c>
      <c r="J62" s="48" t="s">
        <v>320</v>
      </c>
    </row>
    <row r="63" spans="1:12" ht="30" x14ac:dyDescent="0.3">
      <c r="B63" s="4" t="s">
        <v>116</v>
      </c>
      <c r="C63" s="3" t="s">
        <v>408</v>
      </c>
      <c r="D63" s="5">
        <v>4</v>
      </c>
      <c r="E63" s="5">
        <v>1</v>
      </c>
      <c r="F63" s="3" t="s">
        <v>117</v>
      </c>
      <c r="G63" s="3" t="s">
        <v>118</v>
      </c>
      <c r="I63" s="44" t="s">
        <v>457</v>
      </c>
      <c r="J63" s="48" t="s">
        <v>315</v>
      </c>
      <c r="K63" s="4" t="s">
        <v>409</v>
      </c>
    </row>
    <row r="64" spans="1:12" ht="30" x14ac:dyDescent="0.3">
      <c r="B64" s="4" t="s">
        <v>120</v>
      </c>
      <c r="C64" s="3" t="s">
        <v>119</v>
      </c>
      <c r="D64" s="5">
        <v>1</v>
      </c>
      <c r="E64" s="5">
        <v>1</v>
      </c>
      <c r="F64" s="3" t="s">
        <v>121</v>
      </c>
      <c r="G64" s="3" t="s">
        <v>122</v>
      </c>
      <c r="I64" s="44" t="s">
        <v>326</v>
      </c>
      <c r="J64" s="48" t="s">
        <v>315</v>
      </c>
      <c r="K64" s="4" t="s">
        <v>327</v>
      </c>
    </row>
    <row r="65" spans="1:11" ht="60" x14ac:dyDescent="0.3">
      <c r="B65" s="4" t="s">
        <v>124</v>
      </c>
      <c r="C65" s="3" t="s">
        <v>123</v>
      </c>
      <c r="D65" s="5">
        <v>3</v>
      </c>
      <c r="E65" s="5">
        <v>1</v>
      </c>
      <c r="F65" s="3" t="s">
        <v>126</v>
      </c>
      <c r="G65" s="3" t="s">
        <v>122</v>
      </c>
      <c r="H65" s="3" t="s">
        <v>203</v>
      </c>
      <c r="I65" s="44" t="s">
        <v>326</v>
      </c>
      <c r="J65" s="48" t="s">
        <v>315</v>
      </c>
      <c r="K65" s="4" t="s">
        <v>327</v>
      </c>
    </row>
    <row r="66" spans="1:11" ht="30" x14ac:dyDescent="0.3">
      <c r="B66" s="4" t="s">
        <v>458</v>
      </c>
      <c r="C66" s="3" t="s">
        <v>459</v>
      </c>
      <c r="D66" s="5">
        <v>1</v>
      </c>
      <c r="E66" s="5">
        <v>1</v>
      </c>
      <c r="F66" s="3" t="s">
        <v>460</v>
      </c>
      <c r="G66" s="3" t="s">
        <v>461</v>
      </c>
      <c r="I66" s="44" t="s">
        <v>457</v>
      </c>
      <c r="J66" s="48" t="s">
        <v>315</v>
      </c>
      <c r="K66" s="4" t="s">
        <v>444</v>
      </c>
    </row>
    <row r="67" spans="1:11" ht="152.25" x14ac:dyDescent="0.3">
      <c r="B67" s="4" t="s">
        <v>129</v>
      </c>
      <c r="C67" s="3" t="s">
        <v>127</v>
      </c>
      <c r="D67" s="5">
        <v>1</v>
      </c>
      <c r="E67" s="5">
        <v>4</v>
      </c>
      <c r="F67" s="3" t="s">
        <v>125</v>
      </c>
      <c r="G67" s="3" t="s">
        <v>325</v>
      </c>
      <c r="I67" s="44" t="s">
        <v>457</v>
      </c>
      <c r="J67" s="48" t="s">
        <v>315</v>
      </c>
      <c r="K67" s="4" t="s">
        <v>443</v>
      </c>
    </row>
    <row r="68" spans="1:11" ht="30" x14ac:dyDescent="0.3">
      <c r="B68" s="4" t="s">
        <v>130</v>
      </c>
      <c r="C68" s="3" t="s">
        <v>128</v>
      </c>
      <c r="D68" s="5">
        <v>1</v>
      </c>
      <c r="E68" s="5">
        <v>1</v>
      </c>
      <c r="F68" s="3" t="s">
        <v>204</v>
      </c>
      <c r="G68" s="3" t="s">
        <v>205</v>
      </c>
      <c r="H68" s="3" t="s">
        <v>464</v>
      </c>
      <c r="I68" s="44" t="s">
        <v>457</v>
      </c>
      <c r="J68" s="45" t="s">
        <v>462</v>
      </c>
    </row>
    <row r="69" spans="1:11" ht="150" x14ac:dyDescent="0.3">
      <c r="B69" s="4" t="s">
        <v>131</v>
      </c>
      <c r="C69" s="3" t="s">
        <v>132</v>
      </c>
      <c r="D69" s="5">
        <v>3</v>
      </c>
      <c r="E69" s="5">
        <v>1</v>
      </c>
      <c r="H69" s="3" t="s">
        <v>463</v>
      </c>
      <c r="I69" s="44" t="s">
        <v>457</v>
      </c>
      <c r="J69" s="45" t="s">
        <v>462</v>
      </c>
    </row>
    <row r="70" spans="1:11" ht="30" x14ac:dyDescent="0.3">
      <c r="B70" s="4" t="s">
        <v>133</v>
      </c>
      <c r="C70" s="3" t="s">
        <v>134</v>
      </c>
      <c r="D70" s="5">
        <v>2</v>
      </c>
      <c r="E70" s="5">
        <v>1</v>
      </c>
      <c r="F70" s="3" t="s">
        <v>231</v>
      </c>
      <c r="G70" s="3" t="s">
        <v>144</v>
      </c>
      <c r="H70" s="3" t="s">
        <v>230</v>
      </c>
      <c r="I70" s="44" t="s">
        <v>457</v>
      </c>
      <c r="J70" s="48" t="s">
        <v>315</v>
      </c>
      <c r="K70" s="4" t="s">
        <v>445</v>
      </c>
    </row>
    <row r="71" spans="1:11" ht="30" x14ac:dyDescent="0.3">
      <c r="B71" s="4" t="s">
        <v>136</v>
      </c>
      <c r="C71" s="3" t="s">
        <v>135</v>
      </c>
      <c r="D71" s="5">
        <v>2</v>
      </c>
      <c r="E71" s="5">
        <v>1</v>
      </c>
      <c r="F71" s="3" t="s">
        <v>143</v>
      </c>
      <c r="G71" s="3" t="s">
        <v>144</v>
      </c>
      <c r="H71" s="3" t="s">
        <v>207</v>
      </c>
    </row>
    <row r="72" spans="1:11" ht="30" x14ac:dyDescent="0.3">
      <c r="B72" s="4" t="s">
        <v>145</v>
      </c>
      <c r="C72" s="3" t="s">
        <v>146</v>
      </c>
      <c r="D72" s="5">
        <v>2</v>
      </c>
      <c r="E72" s="5">
        <v>1</v>
      </c>
      <c r="F72" s="3" t="s">
        <v>143</v>
      </c>
      <c r="G72" s="3" t="s">
        <v>206</v>
      </c>
      <c r="H72" s="3" t="s">
        <v>207</v>
      </c>
    </row>
    <row r="73" spans="1:11" ht="30" x14ac:dyDescent="0.3">
      <c r="B73" s="4" t="s">
        <v>148</v>
      </c>
      <c r="C73" s="3" t="s">
        <v>147</v>
      </c>
      <c r="D73" s="5">
        <v>2</v>
      </c>
      <c r="E73" s="5">
        <v>1</v>
      </c>
      <c r="F73" s="3" t="s">
        <v>149</v>
      </c>
      <c r="G73" s="3" t="s">
        <v>150</v>
      </c>
    </row>
    <row r="74" spans="1:11" x14ac:dyDescent="0.3">
      <c r="A74" s="14">
        <v>141</v>
      </c>
      <c r="B74" s="4"/>
    </row>
    <row r="75" spans="1:11" ht="45" x14ac:dyDescent="0.3">
      <c r="B75" s="4" t="s">
        <v>151</v>
      </c>
      <c r="C75" s="3" t="s">
        <v>152</v>
      </c>
      <c r="F75" s="3" t="s">
        <v>153</v>
      </c>
      <c r="G75" s="3" t="s">
        <v>154</v>
      </c>
      <c r="H75" s="3" t="s">
        <v>208</v>
      </c>
    </row>
    <row r="76" spans="1:11" ht="30" x14ac:dyDescent="0.3">
      <c r="B76" s="4" t="s">
        <v>155</v>
      </c>
      <c r="C76" s="3" t="s">
        <v>77</v>
      </c>
      <c r="D76" s="5">
        <v>2</v>
      </c>
      <c r="E76" s="5">
        <v>1</v>
      </c>
      <c r="F76" s="3" t="s">
        <v>156</v>
      </c>
      <c r="G76" s="3" t="s">
        <v>157</v>
      </c>
      <c r="H76" s="3" t="s">
        <v>229</v>
      </c>
    </row>
    <row r="77" spans="1:11" ht="30" x14ac:dyDescent="0.3">
      <c r="B77" s="4" t="s">
        <v>158</v>
      </c>
      <c r="C77" s="3" t="s">
        <v>159</v>
      </c>
      <c r="D77" s="5">
        <v>2</v>
      </c>
      <c r="E77" s="5">
        <v>2</v>
      </c>
      <c r="F77" s="3" t="s">
        <v>178</v>
      </c>
      <c r="G77" s="3" t="s">
        <v>160</v>
      </c>
      <c r="H77" s="3" t="s">
        <v>208</v>
      </c>
    </row>
    <row r="78" spans="1:11" ht="30" x14ac:dyDescent="0.3">
      <c r="B78" s="4" t="s">
        <v>161</v>
      </c>
      <c r="C78" s="3" t="s">
        <v>162</v>
      </c>
      <c r="H78" s="3" t="s">
        <v>185</v>
      </c>
    </row>
    <row r="79" spans="1:11" x14ac:dyDescent="0.3">
      <c r="B79" s="4" t="s">
        <v>163</v>
      </c>
      <c r="C79" s="3" t="s">
        <v>165</v>
      </c>
      <c r="H79" s="3" t="s">
        <v>185</v>
      </c>
    </row>
    <row r="80" spans="1:11" ht="30" x14ac:dyDescent="0.3">
      <c r="B80" s="4" t="s">
        <v>164</v>
      </c>
      <c r="C80" s="3" t="s">
        <v>166</v>
      </c>
      <c r="H80" s="3" t="s">
        <v>185</v>
      </c>
    </row>
    <row r="81" spans="1:10" x14ac:dyDescent="0.3">
      <c r="A81" s="14">
        <v>150</v>
      </c>
      <c r="B81" s="4"/>
    </row>
    <row r="82" spans="1:10" ht="30" x14ac:dyDescent="0.3">
      <c r="B82" s="4" t="s">
        <v>168</v>
      </c>
      <c r="C82" s="3" t="s">
        <v>167</v>
      </c>
      <c r="H82" s="3" t="s">
        <v>185</v>
      </c>
    </row>
    <row r="83" spans="1:10" ht="30" x14ac:dyDescent="0.3">
      <c r="B83" s="4" t="s">
        <v>169</v>
      </c>
      <c r="C83" s="3" t="s">
        <v>172</v>
      </c>
      <c r="H83" s="3" t="s">
        <v>185</v>
      </c>
    </row>
    <row r="84" spans="1:10" ht="30" x14ac:dyDescent="0.3">
      <c r="B84" s="4" t="s">
        <v>170</v>
      </c>
      <c r="C84" s="3" t="s">
        <v>173</v>
      </c>
      <c r="H84" s="3" t="s">
        <v>185</v>
      </c>
    </row>
    <row r="85" spans="1:10" ht="30" x14ac:dyDescent="0.3">
      <c r="B85" s="4" t="s">
        <v>171</v>
      </c>
      <c r="C85" s="3" t="s">
        <v>174</v>
      </c>
      <c r="H85" s="3" t="s">
        <v>185</v>
      </c>
    </row>
    <row r="86" spans="1:10" x14ac:dyDescent="0.3">
      <c r="B86" s="4" t="s">
        <v>223</v>
      </c>
      <c r="C86" s="3" t="s">
        <v>224</v>
      </c>
      <c r="H86" s="3" t="s">
        <v>185</v>
      </c>
    </row>
    <row r="87" spans="1:10" ht="30" x14ac:dyDescent="0.3">
      <c r="B87" s="4" t="s">
        <v>225</v>
      </c>
      <c r="C87" s="3" t="s">
        <v>226</v>
      </c>
      <c r="H87" s="3" t="s">
        <v>185</v>
      </c>
    </row>
    <row r="88" spans="1:10" x14ac:dyDescent="0.3">
      <c r="B88" s="4" t="s">
        <v>227</v>
      </c>
      <c r="C88" s="3" t="s">
        <v>228</v>
      </c>
      <c r="H88" s="3" t="s">
        <v>185</v>
      </c>
    </row>
    <row r="89" spans="1:10" ht="30" x14ac:dyDescent="0.3">
      <c r="A89" s="14" t="s">
        <v>510</v>
      </c>
      <c r="B89" s="4" t="s">
        <v>509</v>
      </c>
      <c r="C89" s="3" t="s">
        <v>511</v>
      </c>
      <c r="D89" s="5">
        <v>2</v>
      </c>
      <c r="E89" s="5">
        <v>2</v>
      </c>
      <c r="F89" s="3" t="s">
        <v>512</v>
      </c>
      <c r="G89" s="3" t="s">
        <v>513</v>
      </c>
      <c r="I89" s="44" t="s">
        <v>457</v>
      </c>
      <c r="J89" s="45" t="s">
        <v>316</v>
      </c>
    </row>
    <row r="90" spans="1:10" ht="60" x14ac:dyDescent="0.3">
      <c r="B90" s="6" t="s">
        <v>515</v>
      </c>
      <c r="C90" s="3" t="s">
        <v>514</v>
      </c>
      <c r="D90" s="5">
        <v>2</v>
      </c>
      <c r="E90" s="5">
        <v>1</v>
      </c>
      <c r="F90" s="3" t="s">
        <v>516</v>
      </c>
      <c r="G90" s="3" t="s">
        <v>499</v>
      </c>
      <c r="I90" s="44" t="s">
        <v>457</v>
      </c>
      <c r="J90" s="45" t="s">
        <v>316</v>
      </c>
    </row>
    <row r="92" spans="1:10" x14ac:dyDescent="0.3">
      <c r="C92" s="119"/>
      <c r="D92" s="120"/>
      <c r="E92" s="120"/>
      <c r="F92" s="120"/>
    </row>
  </sheetData>
  <conditionalFormatting sqref="I64:K66 A23:K23 K52:K88 J57:K57 K6:K50 J52:K53 J48:K48 A6:J88">
    <cfRule type="expression" dxfId="50" priority="4">
      <formula>IF($J6="NotUsed",TRUE,FALSE)</formula>
    </cfRule>
  </conditionalFormatting>
  <conditionalFormatting sqref="L46">
    <cfRule type="expression" dxfId="49" priority="3">
      <formula>IF($J46="NotUsed",TRUE,FALSE)</formula>
    </cfRule>
  </conditionalFormatting>
  <conditionalFormatting sqref="K51">
    <cfRule type="expression" dxfId="48" priority="2">
      <formula>IF($J51="NotUsed",TRUE,FALSE)</formula>
    </cfRule>
  </conditionalFormatting>
  <conditionalFormatting sqref="K56">
    <cfRule type="expression" dxfId="47" priority="1">
      <formula>IF($J56="NotUsed",TRUE,FALSE)</formula>
    </cfRule>
  </conditionalFormatting>
  <dataValidations count="1">
    <dataValidation type="list" allowBlank="1" showInputMessage="1" showErrorMessage="1" sqref="J8:J20 J41:J43 J34:J39 J28:J32 J6 J45:J67 J22:J26 J70" xr:uid="{00000000-0002-0000-0100-000000000000}">
      <formula1>Status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Right="0"/>
  </sheetPr>
  <dimension ref="A1:U85"/>
  <sheetViews>
    <sheetView topLeftCell="B1" zoomScale="70" zoomScaleNormal="70" workbookViewId="0">
      <selection activeCell="L10" sqref="L10"/>
    </sheetView>
  </sheetViews>
  <sheetFormatPr defaultColWidth="9.140625" defaultRowHeight="15" outlineLevelCol="1" x14ac:dyDescent="0.25"/>
  <cols>
    <col min="1" max="2" width="9.140625" style="138"/>
    <col min="3" max="3" width="66.42578125" style="138" customWidth="1" collapsed="1"/>
    <col min="4" max="9" width="21.5703125" style="138" hidden="1" customWidth="1" outlineLevel="1"/>
    <col min="10" max="10" width="22.140625" style="138" hidden="1" customWidth="1" outlineLevel="1"/>
    <col min="11" max="11" width="34" style="138" hidden="1" customWidth="1" outlineLevel="1"/>
    <col min="12" max="19" width="34" style="138" customWidth="1"/>
    <col min="20" max="16384" width="9.140625" style="138"/>
  </cols>
  <sheetData>
    <row r="1" spans="1:19" x14ac:dyDescent="0.25">
      <c r="A1" s="138" t="s">
        <v>250</v>
      </c>
      <c r="B1" s="138" t="s">
        <v>917</v>
      </c>
    </row>
    <row r="2" spans="1:19" x14ac:dyDescent="0.25">
      <c r="A2" s="138" t="s">
        <v>250</v>
      </c>
    </row>
    <row r="3" spans="1:19" x14ac:dyDescent="0.25">
      <c r="A3" s="138" t="s">
        <v>250</v>
      </c>
      <c r="B3" s="138" t="s">
        <v>356</v>
      </c>
    </row>
    <row r="4" spans="1:19" x14ac:dyDescent="0.25">
      <c r="A4" s="138" t="s">
        <v>250</v>
      </c>
      <c r="C4" s="138" t="s">
        <v>796</v>
      </c>
    </row>
    <row r="5" spans="1:19" x14ac:dyDescent="0.25">
      <c r="A5" s="138" t="s">
        <v>250</v>
      </c>
    </row>
    <row r="6" spans="1:19" x14ac:dyDescent="0.25">
      <c r="A6" s="138" t="s">
        <v>250</v>
      </c>
      <c r="B6" s="138" t="s">
        <v>357</v>
      </c>
    </row>
    <row r="7" spans="1:19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19" x14ac:dyDescent="0.25">
      <c r="A8" s="138" t="s">
        <v>250</v>
      </c>
      <c r="B8" s="141"/>
      <c r="C8" s="144">
        <v>42160</v>
      </c>
      <c r="D8" s="145" t="s">
        <v>410</v>
      </c>
      <c r="E8" s="138" t="s">
        <v>797</v>
      </c>
    </row>
    <row r="9" spans="1:19" x14ac:dyDescent="0.25">
      <c r="A9" s="138" t="s">
        <v>250</v>
      </c>
      <c r="B9" s="141"/>
      <c r="C9" s="144"/>
      <c r="D9" s="145"/>
    </row>
    <row r="10" spans="1:19" x14ac:dyDescent="0.25">
      <c r="A10" s="138" t="s">
        <v>250</v>
      </c>
      <c r="B10" s="141"/>
      <c r="C10" s="144"/>
    </row>
    <row r="11" spans="1:19" x14ac:dyDescent="0.25">
      <c r="A11" s="138" t="s">
        <v>250</v>
      </c>
      <c r="B11" s="138" t="s">
        <v>266</v>
      </c>
    </row>
    <row r="12" spans="1:19" x14ac:dyDescent="0.25">
      <c r="A12" s="138" t="s">
        <v>250</v>
      </c>
      <c r="C12" s="138" t="s">
        <v>800</v>
      </c>
    </row>
    <row r="13" spans="1:19" x14ac:dyDescent="0.25">
      <c r="A13" s="138" t="s">
        <v>250</v>
      </c>
      <c r="C13" s="138" t="s">
        <v>422</v>
      </c>
    </row>
    <row r="14" spans="1:19" x14ac:dyDescent="0.25">
      <c r="A14" s="138" t="s">
        <v>250</v>
      </c>
      <c r="B14" s="138" t="s">
        <v>251</v>
      </c>
    </row>
    <row r="15" spans="1:19" s="139" customFormat="1" x14ac:dyDescent="0.25">
      <c r="A15" s="139" t="s">
        <v>250</v>
      </c>
      <c r="L15" s="149"/>
      <c r="M15" s="149"/>
      <c r="N15" s="149"/>
      <c r="O15" s="149"/>
      <c r="P15" s="149"/>
      <c r="Q15" s="149"/>
      <c r="R15" s="149"/>
      <c r="S15" s="149"/>
    </row>
    <row r="16" spans="1:19" x14ac:dyDescent="0.25">
      <c r="A16" s="138" t="s">
        <v>250</v>
      </c>
    </row>
    <row r="17" spans="1:21" x14ac:dyDescent="0.25">
      <c r="A17" s="138" t="s">
        <v>250</v>
      </c>
      <c r="B17" s="138" t="s">
        <v>272</v>
      </c>
    </row>
    <row r="18" spans="1:21" x14ac:dyDescent="0.25">
      <c r="A18" s="138" t="s">
        <v>250</v>
      </c>
    </row>
    <row r="19" spans="1:21" x14ac:dyDescent="0.25">
      <c r="A19" s="138" t="s">
        <v>250</v>
      </c>
      <c r="B19" s="138" t="s">
        <v>926</v>
      </c>
      <c r="R19" s="138" t="s">
        <v>925</v>
      </c>
    </row>
    <row r="20" spans="1:21" x14ac:dyDescent="0.25">
      <c r="A20" s="138" t="s">
        <v>250</v>
      </c>
      <c r="L20" s="330"/>
      <c r="M20" s="330"/>
      <c r="N20" s="330"/>
      <c r="O20" s="330"/>
      <c r="P20" s="330"/>
      <c r="Q20" s="330"/>
      <c r="R20" s="330"/>
      <c r="S20" s="330"/>
    </row>
    <row r="21" spans="1:21" x14ac:dyDescent="0.25">
      <c r="A21" s="138" t="s">
        <v>365</v>
      </c>
    </row>
    <row r="22" spans="1:21" x14ac:dyDescent="0.25">
      <c r="B22" s="140" t="str">
        <f>"TABLE "&amp;$C$4</f>
        <v>TABLE LtgInputRestrictions</v>
      </c>
      <c r="C22" s="140"/>
    </row>
    <row r="23" spans="1:21" x14ac:dyDescent="0.25">
      <c r="C23" s="140" t="s">
        <v>435</v>
      </c>
      <c r="D23" s="334" t="s">
        <v>427</v>
      </c>
      <c r="E23" s="334" t="s">
        <v>427</v>
      </c>
      <c r="F23" s="334" t="s">
        <v>427</v>
      </c>
      <c r="G23" s="334" t="s">
        <v>427</v>
      </c>
      <c r="H23" s="334" t="s">
        <v>427</v>
      </c>
      <c r="I23" s="334" t="s">
        <v>427</v>
      </c>
      <c r="J23" s="334" t="s">
        <v>427</v>
      </c>
      <c r="K23" s="334" t="s">
        <v>427</v>
      </c>
      <c r="L23" s="149" t="s">
        <v>784</v>
      </c>
      <c r="M23" s="149" t="s">
        <v>784</v>
      </c>
      <c r="N23" s="149" t="s">
        <v>784</v>
      </c>
      <c r="O23" s="149" t="s">
        <v>784</v>
      </c>
      <c r="P23" s="149" t="s">
        <v>784</v>
      </c>
      <c r="Q23" s="149" t="s">
        <v>784</v>
      </c>
      <c r="R23" s="149" t="s">
        <v>784</v>
      </c>
      <c r="S23" s="149" t="s">
        <v>784</v>
      </c>
      <c r="T23" s="138" t="s">
        <v>250</v>
      </c>
      <c r="U23" s="138" t="s">
        <v>794</v>
      </c>
    </row>
    <row r="24" spans="1:21" ht="30" x14ac:dyDescent="0.25">
      <c r="C24" s="333" t="s">
        <v>1043</v>
      </c>
      <c r="D24" s="116" t="s">
        <v>428</v>
      </c>
      <c r="E24" s="116" t="s">
        <v>429</v>
      </c>
      <c r="F24" s="116" t="s">
        <v>430</v>
      </c>
      <c r="G24" s="116" t="s">
        <v>431</v>
      </c>
      <c r="H24" s="116" t="s">
        <v>424</v>
      </c>
      <c r="I24" s="116" t="s">
        <v>425</v>
      </c>
      <c r="J24" s="116" t="s">
        <v>426</v>
      </c>
      <c r="K24" s="116" t="s">
        <v>432</v>
      </c>
      <c r="L24" s="149" t="s">
        <v>412</v>
      </c>
      <c r="M24" s="149" t="s">
        <v>413</v>
      </c>
      <c r="N24" s="149" t="s">
        <v>414</v>
      </c>
      <c r="O24" s="149" t="s">
        <v>415</v>
      </c>
      <c r="P24" s="149" t="s">
        <v>416</v>
      </c>
      <c r="Q24" s="149" t="s">
        <v>417</v>
      </c>
      <c r="R24" s="149" t="s">
        <v>418</v>
      </c>
      <c r="S24" s="149" t="s">
        <v>419</v>
      </c>
    </row>
    <row r="25" spans="1:21" x14ac:dyDescent="0.25">
      <c r="C25" s="138" t="s">
        <v>250</v>
      </c>
      <c r="D25" s="141" t="s">
        <v>798</v>
      </c>
      <c r="E25" s="141" t="s">
        <v>798</v>
      </c>
      <c r="F25" s="141" t="s">
        <v>798</v>
      </c>
      <c r="G25" s="141" t="s">
        <v>798</v>
      </c>
      <c r="H25" s="141" t="s">
        <v>798</v>
      </c>
      <c r="I25" s="141" t="s">
        <v>798</v>
      </c>
      <c r="J25" s="141" t="s">
        <v>798</v>
      </c>
      <c r="K25" s="141" t="s">
        <v>798</v>
      </c>
      <c r="L25" s="141" t="s">
        <v>799</v>
      </c>
      <c r="M25" s="141" t="s">
        <v>799</v>
      </c>
      <c r="N25" s="141" t="s">
        <v>799</v>
      </c>
      <c r="O25" s="141" t="s">
        <v>799</v>
      </c>
      <c r="P25" s="141" t="s">
        <v>799</v>
      </c>
      <c r="Q25" s="141" t="s">
        <v>799</v>
      </c>
      <c r="R25" s="141" t="s">
        <v>799</v>
      </c>
      <c r="S25" s="141" t="s">
        <v>799</v>
      </c>
    </row>
    <row r="26" spans="1:21" x14ac:dyDescent="0.25">
      <c r="C26" s="138" t="s">
        <v>525</v>
      </c>
      <c r="D26" s="189">
        <v>0</v>
      </c>
      <c r="E26" s="331">
        <v>0</v>
      </c>
      <c r="F26" s="332">
        <v>1</v>
      </c>
      <c r="G26" s="331">
        <v>0</v>
      </c>
      <c r="H26" s="189">
        <v>0</v>
      </c>
      <c r="I26" s="189">
        <v>0</v>
      </c>
      <c r="J26" s="189">
        <v>0</v>
      </c>
      <c r="K26" s="189">
        <v>0</v>
      </c>
      <c r="L26" s="189">
        <v>1</v>
      </c>
      <c r="M26" s="189">
        <v>0</v>
      </c>
      <c r="N26" s="189">
        <v>0</v>
      </c>
      <c r="O26" s="189">
        <v>0</v>
      </c>
      <c r="P26" s="189">
        <v>1</v>
      </c>
      <c r="Q26" s="189">
        <v>0</v>
      </c>
      <c r="R26" s="189" t="s">
        <v>924</v>
      </c>
      <c r="S26" s="189">
        <v>0</v>
      </c>
      <c r="T26" s="138" t="s">
        <v>250</v>
      </c>
      <c r="U26" s="138">
        <v>1</v>
      </c>
    </row>
    <row r="27" spans="1:21" x14ac:dyDescent="0.25">
      <c r="C27" s="138" t="s">
        <v>633</v>
      </c>
      <c r="D27" s="189">
        <v>0</v>
      </c>
      <c r="E27" s="331">
        <v>1</v>
      </c>
      <c r="F27" s="332">
        <v>0</v>
      </c>
      <c r="G27" s="331">
        <v>0</v>
      </c>
      <c r="H27" s="189">
        <v>0</v>
      </c>
      <c r="I27" s="189">
        <v>0</v>
      </c>
      <c r="J27" s="189">
        <v>0</v>
      </c>
      <c r="K27" s="189">
        <v>0</v>
      </c>
      <c r="L27" s="189">
        <v>1</v>
      </c>
      <c r="M27" s="189">
        <v>0</v>
      </c>
      <c r="N27" s="189">
        <v>0</v>
      </c>
      <c r="O27" s="189">
        <v>0</v>
      </c>
      <c r="P27" s="189">
        <v>0</v>
      </c>
      <c r="Q27" s="189">
        <v>0</v>
      </c>
      <c r="R27" s="189" t="s">
        <v>924</v>
      </c>
      <c r="S27" s="189">
        <v>0</v>
      </c>
      <c r="T27" s="138" t="s">
        <v>250</v>
      </c>
      <c r="U27" s="138">
        <v>2</v>
      </c>
    </row>
    <row r="28" spans="1:21" x14ac:dyDescent="0.25">
      <c r="C28" s="138" t="s">
        <v>634</v>
      </c>
      <c r="D28" s="189">
        <v>0</v>
      </c>
      <c r="E28" s="331">
        <v>0</v>
      </c>
      <c r="F28" s="332">
        <v>0</v>
      </c>
      <c r="G28" s="331">
        <v>0</v>
      </c>
      <c r="H28" s="189">
        <v>0</v>
      </c>
      <c r="I28" s="189">
        <v>0</v>
      </c>
      <c r="J28" s="189">
        <v>0</v>
      </c>
      <c r="K28" s="189">
        <v>0</v>
      </c>
      <c r="L28" s="189">
        <v>1</v>
      </c>
      <c r="M28" s="189">
        <v>0</v>
      </c>
      <c r="N28" s="189">
        <v>0</v>
      </c>
      <c r="O28" s="189">
        <v>0</v>
      </c>
      <c r="P28" s="189">
        <v>1</v>
      </c>
      <c r="Q28" s="189">
        <v>0</v>
      </c>
      <c r="R28" s="189" t="s">
        <v>924</v>
      </c>
      <c r="S28" s="189">
        <v>0</v>
      </c>
      <c r="T28" s="138" t="s">
        <v>250</v>
      </c>
      <c r="U28" s="138">
        <v>3</v>
      </c>
    </row>
    <row r="29" spans="1:21" x14ac:dyDescent="0.25">
      <c r="C29" s="138" t="s">
        <v>635</v>
      </c>
      <c r="D29" s="189">
        <v>0</v>
      </c>
      <c r="E29" s="331">
        <v>0</v>
      </c>
      <c r="F29" s="332">
        <v>0</v>
      </c>
      <c r="G29" s="331">
        <v>0</v>
      </c>
      <c r="H29" s="189">
        <v>0</v>
      </c>
      <c r="I29" s="189">
        <v>0</v>
      </c>
      <c r="J29" s="189">
        <v>0</v>
      </c>
      <c r="K29" s="189">
        <v>0</v>
      </c>
      <c r="L29" s="189">
        <v>1</v>
      </c>
      <c r="M29" s="189">
        <v>0</v>
      </c>
      <c r="N29" s="189">
        <v>0</v>
      </c>
      <c r="O29" s="189">
        <v>0</v>
      </c>
      <c r="P29" s="189">
        <v>0</v>
      </c>
      <c r="Q29" s="189">
        <v>0</v>
      </c>
      <c r="R29" s="189" t="s">
        <v>924</v>
      </c>
      <c r="S29" s="189">
        <v>0</v>
      </c>
      <c r="T29" s="138" t="s">
        <v>250</v>
      </c>
      <c r="U29" s="138">
        <v>4</v>
      </c>
    </row>
    <row r="30" spans="1:21" x14ac:dyDescent="0.25">
      <c r="C30" s="138" t="s">
        <v>636</v>
      </c>
      <c r="D30" s="189">
        <v>0</v>
      </c>
      <c r="E30" s="331">
        <v>0</v>
      </c>
      <c r="F30" s="332">
        <v>0</v>
      </c>
      <c r="G30" s="331">
        <v>0</v>
      </c>
      <c r="H30" s="189">
        <v>1</v>
      </c>
      <c r="I30" s="189">
        <v>0</v>
      </c>
      <c r="J30" s="189">
        <v>0</v>
      </c>
      <c r="K30" s="189">
        <v>0</v>
      </c>
      <c r="L30" s="189">
        <v>1</v>
      </c>
      <c r="M30" s="189">
        <v>0</v>
      </c>
      <c r="N30" s="189">
        <v>0</v>
      </c>
      <c r="O30" s="189">
        <v>0</v>
      </c>
      <c r="P30" s="189">
        <v>0</v>
      </c>
      <c r="Q30" s="189">
        <v>0</v>
      </c>
      <c r="R30" s="189" t="s">
        <v>924</v>
      </c>
      <c r="S30" s="189">
        <v>1</v>
      </c>
      <c r="T30" s="138" t="s">
        <v>250</v>
      </c>
      <c r="U30" s="138">
        <v>5</v>
      </c>
    </row>
    <row r="31" spans="1:21" x14ac:dyDescent="0.25">
      <c r="C31" s="138" t="s">
        <v>526</v>
      </c>
      <c r="D31" s="189">
        <v>0</v>
      </c>
      <c r="E31" s="331">
        <v>0</v>
      </c>
      <c r="F31" s="332">
        <v>1</v>
      </c>
      <c r="G31" s="331">
        <v>0</v>
      </c>
      <c r="H31" s="189">
        <v>0</v>
      </c>
      <c r="I31" s="189">
        <v>0</v>
      </c>
      <c r="J31" s="189">
        <v>0</v>
      </c>
      <c r="K31" s="189">
        <v>0</v>
      </c>
      <c r="L31" s="189">
        <v>1</v>
      </c>
      <c r="M31" s="189">
        <v>0</v>
      </c>
      <c r="N31" s="189">
        <v>0</v>
      </c>
      <c r="O31" s="189">
        <v>0</v>
      </c>
      <c r="P31" s="189">
        <v>0</v>
      </c>
      <c r="Q31" s="189">
        <v>0</v>
      </c>
      <c r="R31" s="189" t="s">
        <v>924</v>
      </c>
      <c r="S31" s="189">
        <v>0</v>
      </c>
      <c r="T31" s="138" t="s">
        <v>250</v>
      </c>
      <c r="U31" s="138">
        <v>6</v>
      </c>
    </row>
    <row r="32" spans="1:21" x14ac:dyDescent="0.25">
      <c r="C32" s="138" t="s">
        <v>637</v>
      </c>
      <c r="D32" s="189">
        <v>0</v>
      </c>
      <c r="E32" s="331">
        <v>0</v>
      </c>
      <c r="F32" s="332">
        <v>0</v>
      </c>
      <c r="G32" s="331">
        <v>0</v>
      </c>
      <c r="H32" s="189">
        <v>0</v>
      </c>
      <c r="I32" s="189">
        <v>0</v>
      </c>
      <c r="J32" s="189">
        <v>0</v>
      </c>
      <c r="K32" s="189">
        <v>0</v>
      </c>
      <c r="L32" s="189">
        <v>1</v>
      </c>
      <c r="M32" s="189">
        <v>0</v>
      </c>
      <c r="N32" s="189">
        <v>0</v>
      </c>
      <c r="O32" s="189">
        <v>0</v>
      </c>
      <c r="P32" s="189">
        <v>0</v>
      </c>
      <c r="Q32" s="189">
        <v>0</v>
      </c>
      <c r="R32" s="189" t="s">
        <v>924</v>
      </c>
      <c r="S32" s="189">
        <v>0</v>
      </c>
      <c r="T32" s="138" t="s">
        <v>250</v>
      </c>
      <c r="U32" s="138">
        <v>7</v>
      </c>
    </row>
    <row r="33" spans="3:21" x14ac:dyDescent="0.25">
      <c r="C33" s="138" t="s">
        <v>638</v>
      </c>
      <c r="D33" s="189">
        <v>0</v>
      </c>
      <c r="E33" s="331">
        <v>0</v>
      </c>
      <c r="F33" s="332">
        <v>0</v>
      </c>
      <c r="G33" s="331">
        <v>0</v>
      </c>
      <c r="H33" s="189">
        <v>0</v>
      </c>
      <c r="I33" s="189">
        <v>0</v>
      </c>
      <c r="J33" s="189">
        <v>0</v>
      </c>
      <c r="K33" s="189">
        <v>0</v>
      </c>
      <c r="L33" s="189">
        <v>1</v>
      </c>
      <c r="M33" s="189">
        <v>0</v>
      </c>
      <c r="N33" s="189">
        <v>0</v>
      </c>
      <c r="O33" s="189">
        <v>0</v>
      </c>
      <c r="P33" s="189">
        <v>0</v>
      </c>
      <c r="Q33" s="189">
        <v>0</v>
      </c>
      <c r="R33" s="189" t="s">
        <v>924</v>
      </c>
      <c r="S33" s="189">
        <v>0</v>
      </c>
      <c r="T33" s="138" t="s">
        <v>250</v>
      </c>
      <c r="U33" s="138">
        <v>8</v>
      </c>
    </row>
    <row r="34" spans="3:21" x14ac:dyDescent="0.25">
      <c r="C34" s="138" t="s">
        <v>639</v>
      </c>
      <c r="D34" s="189">
        <v>0</v>
      </c>
      <c r="E34" s="331">
        <v>0</v>
      </c>
      <c r="F34" s="332">
        <v>0</v>
      </c>
      <c r="G34" s="331">
        <v>0</v>
      </c>
      <c r="H34" s="189">
        <v>0</v>
      </c>
      <c r="I34" s="189">
        <v>0</v>
      </c>
      <c r="J34" s="189">
        <v>0</v>
      </c>
      <c r="K34" s="189">
        <v>0</v>
      </c>
      <c r="L34" s="189">
        <v>1</v>
      </c>
      <c r="M34" s="189">
        <v>0</v>
      </c>
      <c r="N34" s="189">
        <v>0</v>
      </c>
      <c r="O34" s="189">
        <v>0</v>
      </c>
      <c r="P34" s="189">
        <v>0</v>
      </c>
      <c r="Q34" s="189">
        <v>0</v>
      </c>
      <c r="R34" s="189" t="s">
        <v>924</v>
      </c>
      <c r="S34" s="189">
        <v>0</v>
      </c>
      <c r="T34" s="138" t="s">
        <v>250</v>
      </c>
      <c r="U34" s="138">
        <v>9</v>
      </c>
    </row>
    <row r="35" spans="3:21" x14ac:dyDescent="0.25">
      <c r="C35" s="138" t="s">
        <v>527</v>
      </c>
      <c r="D35" s="189">
        <v>0</v>
      </c>
      <c r="E35" s="331">
        <v>0</v>
      </c>
      <c r="F35" s="332">
        <v>1</v>
      </c>
      <c r="G35" s="331">
        <v>0</v>
      </c>
      <c r="H35" s="189">
        <v>0</v>
      </c>
      <c r="I35" s="189">
        <v>0</v>
      </c>
      <c r="J35" s="189">
        <v>0</v>
      </c>
      <c r="K35" s="189">
        <v>0</v>
      </c>
      <c r="L35" s="189">
        <v>1</v>
      </c>
      <c r="M35" s="189">
        <v>0</v>
      </c>
      <c r="N35" s="189">
        <v>0</v>
      </c>
      <c r="O35" s="189">
        <v>0</v>
      </c>
      <c r="P35" s="189">
        <v>0</v>
      </c>
      <c r="Q35" s="189">
        <v>0</v>
      </c>
      <c r="R35" s="189" t="s">
        <v>924</v>
      </c>
      <c r="S35" s="189">
        <v>1</v>
      </c>
      <c r="T35" s="138" t="s">
        <v>250</v>
      </c>
      <c r="U35" s="138">
        <v>10</v>
      </c>
    </row>
    <row r="36" spans="3:21" x14ac:dyDescent="0.25">
      <c r="C36" s="138" t="s">
        <v>640</v>
      </c>
      <c r="D36" s="189">
        <v>0</v>
      </c>
      <c r="E36" s="331">
        <v>0</v>
      </c>
      <c r="F36" s="332">
        <v>0</v>
      </c>
      <c r="G36" s="331">
        <v>0</v>
      </c>
      <c r="H36" s="189">
        <v>0</v>
      </c>
      <c r="I36" s="189">
        <v>0</v>
      </c>
      <c r="J36" s="189">
        <v>0</v>
      </c>
      <c r="K36" s="189">
        <v>0</v>
      </c>
      <c r="L36" s="189">
        <v>1</v>
      </c>
      <c r="M36" s="189">
        <v>0</v>
      </c>
      <c r="N36" s="189">
        <v>0</v>
      </c>
      <c r="O36" s="189">
        <v>0</v>
      </c>
      <c r="P36" s="189">
        <v>0</v>
      </c>
      <c r="Q36" s="189">
        <v>0</v>
      </c>
      <c r="R36" s="189" t="s">
        <v>924</v>
      </c>
      <c r="S36" s="189">
        <v>0</v>
      </c>
      <c r="T36" s="138" t="s">
        <v>250</v>
      </c>
      <c r="U36" s="138">
        <v>11</v>
      </c>
    </row>
    <row r="37" spans="3:21" x14ac:dyDescent="0.25">
      <c r="C37" s="138" t="s">
        <v>528</v>
      </c>
      <c r="D37" s="189">
        <v>0</v>
      </c>
      <c r="E37" s="331">
        <v>0</v>
      </c>
      <c r="F37" s="332">
        <v>1</v>
      </c>
      <c r="G37" s="331">
        <v>0</v>
      </c>
      <c r="H37" s="189">
        <v>0</v>
      </c>
      <c r="I37" s="189">
        <v>0</v>
      </c>
      <c r="J37" s="189">
        <v>0</v>
      </c>
      <c r="K37" s="189">
        <v>0</v>
      </c>
      <c r="L37" s="189">
        <v>1</v>
      </c>
      <c r="M37" s="189">
        <v>0</v>
      </c>
      <c r="N37" s="189">
        <v>0</v>
      </c>
      <c r="O37" s="189">
        <v>0</v>
      </c>
      <c r="P37" s="189">
        <v>1</v>
      </c>
      <c r="Q37" s="189">
        <v>0</v>
      </c>
      <c r="R37" s="189" t="s">
        <v>924</v>
      </c>
      <c r="S37" s="189">
        <v>0</v>
      </c>
      <c r="T37" s="138" t="s">
        <v>250</v>
      </c>
      <c r="U37" s="138">
        <v>12</v>
      </c>
    </row>
    <row r="38" spans="3:21" x14ac:dyDescent="0.25">
      <c r="C38" s="138" t="s">
        <v>641</v>
      </c>
      <c r="D38" s="189">
        <v>0</v>
      </c>
      <c r="E38" s="331">
        <v>0</v>
      </c>
      <c r="F38" s="332">
        <v>0</v>
      </c>
      <c r="G38" s="331">
        <v>0</v>
      </c>
      <c r="H38" s="189">
        <v>0</v>
      </c>
      <c r="I38" s="189">
        <v>0</v>
      </c>
      <c r="J38" s="189">
        <v>0</v>
      </c>
      <c r="K38" s="189">
        <v>0</v>
      </c>
      <c r="L38" s="189">
        <v>1</v>
      </c>
      <c r="M38" s="189">
        <v>0</v>
      </c>
      <c r="N38" s="189">
        <v>0</v>
      </c>
      <c r="O38" s="189">
        <v>0</v>
      </c>
      <c r="P38" s="189">
        <v>0</v>
      </c>
      <c r="Q38" s="189">
        <v>0</v>
      </c>
      <c r="R38" s="189" t="s">
        <v>924</v>
      </c>
      <c r="S38" s="189">
        <v>0</v>
      </c>
      <c r="T38" s="138" t="s">
        <v>250</v>
      </c>
      <c r="U38" s="138">
        <v>13</v>
      </c>
    </row>
    <row r="39" spans="3:21" x14ac:dyDescent="0.25">
      <c r="C39" s="138" t="s">
        <v>642</v>
      </c>
      <c r="D39" s="189">
        <v>0</v>
      </c>
      <c r="E39" s="331">
        <v>0</v>
      </c>
      <c r="F39" s="332">
        <v>0</v>
      </c>
      <c r="G39" s="331">
        <v>0</v>
      </c>
      <c r="H39" s="189">
        <v>0</v>
      </c>
      <c r="I39" s="189">
        <v>0</v>
      </c>
      <c r="J39" s="189">
        <v>0</v>
      </c>
      <c r="K39" s="189">
        <v>0</v>
      </c>
      <c r="L39" s="189">
        <v>1</v>
      </c>
      <c r="M39" s="189">
        <v>0</v>
      </c>
      <c r="N39" s="189">
        <v>0</v>
      </c>
      <c r="O39" s="189">
        <v>0</v>
      </c>
      <c r="P39" s="189">
        <v>0</v>
      </c>
      <c r="Q39" s="189">
        <v>0</v>
      </c>
      <c r="R39" s="189" t="s">
        <v>924</v>
      </c>
      <c r="S39" s="189">
        <v>0</v>
      </c>
      <c r="T39" s="138" t="s">
        <v>250</v>
      </c>
      <c r="U39" s="138">
        <v>14</v>
      </c>
    </row>
    <row r="40" spans="3:21" x14ac:dyDescent="0.25">
      <c r="C40" s="138" t="s">
        <v>643</v>
      </c>
      <c r="D40" s="189">
        <v>0</v>
      </c>
      <c r="E40" s="331">
        <v>1</v>
      </c>
      <c r="F40" s="332">
        <v>0</v>
      </c>
      <c r="G40" s="331">
        <v>0</v>
      </c>
      <c r="H40" s="189">
        <v>0</v>
      </c>
      <c r="I40" s="189">
        <v>0</v>
      </c>
      <c r="J40" s="189">
        <v>0</v>
      </c>
      <c r="K40" s="189">
        <v>0</v>
      </c>
      <c r="L40" s="189">
        <v>1</v>
      </c>
      <c r="M40" s="189">
        <v>0</v>
      </c>
      <c r="N40" s="189">
        <v>0</v>
      </c>
      <c r="O40" s="189">
        <v>0</v>
      </c>
      <c r="P40" s="189">
        <v>0</v>
      </c>
      <c r="Q40" s="189">
        <v>0</v>
      </c>
      <c r="R40" s="189" t="s">
        <v>924</v>
      </c>
      <c r="S40" s="189">
        <v>0</v>
      </c>
      <c r="T40" s="138" t="s">
        <v>250</v>
      </c>
      <c r="U40" s="138">
        <v>15</v>
      </c>
    </row>
    <row r="41" spans="3:21" x14ac:dyDescent="0.25">
      <c r="C41" s="138" t="s">
        <v>932</v>
      </c>
      <c r="D41" s="189">
        <v>0</v>
      </c>
      <c r="E41" s="331">
        <v>0</v>
      </c>
      <c r="F41" s="332">
        <v>0</v>
      </c>
      <c r="G41" s="331">
        <v>0</v>
      </c>
      <c r="H41" s="189">
        <v>0</v>
      </c>
      <c r="I41" s="189">
        <v>0</v>
      </c>
      <c r="J41" s="189">
        <v>0</v>
      </c>
      <c r="K41" s="189">
        <v>0</v>
      </c>
      <c r="L41" s="189">
        <v>1</v>
      </c>
      <c r="M41" s="189">
        <v>0</v>
      </c>
      <c r="N41" s="189">
        <v>0</v>
      </c>
      <c r="O41" s="189">
        <v>0</v>
      </c>
      <c r="P41" s="189">
        <v>0</v>
      </c>
      <c r="Q41" s="189">
        <v>0</v>
      </c>
      <c r="R41" s="189" t="s">
        <v>924</v>
      </c>
      <c r="S41" s="189">
        <v>0</v>
      </c>
      <c r="T41" s="138" t="s">
        <v>250</v>
      </c>
      <c r="U41" s="138">
        <v>16</v>
      </c>
    </row>
    <row r="42" spans="3:21" x14ac:dyDescent="0.25">
      <c r="C42" s="138" t="s">
        <v>529</v>
      </c>
      <c r="D42" s="189">
        <v>0</v>
      </c>
      <c r="E42" s="331">
        <v>0</v>
      </c>
      <c r="F42" s="332">
        <v>0</v>
      </c>
      <c r="G42" s="331">
        <v>0</v>
      </c>
      <c r="H42" s="189">
        <v>0</v>
      </c>
      <c r="I42" s="189">
        <v>0</v>
      </c>
      <c r="J42" s="189">
        <v>0</v>
      </c>
      <c r="K42" s="189">
        <v>0</v>
      </c>
      <c r="L42" s="189">
        <v>1</v>
      </c>
      <c r="M42" s="189">
        <v>0</v>
      </c>
      <c r="N42" s="189">
        <v>0</v>
      </c>
      <c r="O42" s="189">
        <v>0</v>
      </c>
      <c r="P42" s="189">
        <v>0</v>
      </c>
      <c r="Q42" s="189">
        <v>0</v>
      </c>
      <c r="R42" s="189" t="s">
        <v>924</v>
      </c>
      <c r="S42" s="189">
        <v>0</v>
      </c>
      <c r="T42" s="138" t="s">
        <v>250</v>
      </c>
      <c r="U42" s="138">
        <v>17</v>
      </c>
    </row>
    <row r="43" spans="3:21" x14ac:dyDescent="0.25">
      <c r="C43" s="138" t="s">
        <v>530</v>
      </c>
      <c r="D43" s="189">
        <v>0</v>
      </c>
      <c r="E43" s="331">
        <v>0</v>
      </c>
      <c r="F43" s="332">
        <v>1</v>
      </c>
      <c r="G43" s="331">
        <v>0</v>
      </c>
      <c r="H43" s="189">
        <v>0</v>
      </c>
      <c r="I43" s="189">
        <v>0</v>
      </c>
      <c r="J43" s="189">
        <v>0</v>
      </c>
      <c r="K43" s="189">
        <v>0</v>
      </c>
      <c r="L43" s="189">
        <v>1</v>
      </c>
      <c r="M43" s="189">
        <v>0</v>
      </c>
      <c r="N43" s="189">
        <v>0</v>
      </c>
      <c r="O43" s="189">
        <v>0</v>
      </c>
      <c r="P43" s="189">
        <v>0</v>
      </c>
      <c r="Q43" s="189">
        <v>0</v>
      </c>
      <c r="R43" s="189" t="s">
        <v>924</v>
      </c>
      <c r="S43" s="189">
        <v>0</v>
      </c>
      <c r="T43" s="138" t="s">
        <v>250</v>
      </c>
      <c r="U43" s="138">
        <v>18</v>
      </c>
    </row>
    <row r="44" spans="3:21" x14ac:dyDescent="0.25">
      <c r="C44" s="138" t="s">
        <v>644</v>
      </c>
      <c r="D44" s="189">
        <v>0</v>
      </c>
      <c r="E44" s="331">
        <v>1</v>
      </c>
      <c r="F44" s="332">
        <v>0</v>
      </c>
      <c r="G44" s="331">
        <v>0</v>
      </c>
      <c r="H44" s="189">
        <v>0</v>
      </c>
      <c r="I44" s="189">
        <v>0</v>
      </c>
      <c r="J44" s="189">
        <v>0</v>
      </c>
      <c r="K44" s="189">
        <v>0</v>
      </c>
      <c r="L44" s="189">
        <v>1</v>
      </c>
      <c r="M44" s="189">
        <v>0</v>
      </c>
      <c r="N44" s="189">
        <v>0</v>
      </c>
      <c r="O44" s="189">
        <v>0</v>
      </c>
      <c r="P44" s="189">
        <v>0</v>
      </c>
      <c r="Q44" s="189">
        <v>0</v>
      </c>
      <c r="R44" s="189" t="s">
        <v>924</v>
      </c>
      <c r="S44" s="189">
        <v>0</v>
      </c>
      <c r="T44" s="138" t="s">
        <v>250</v>
      </c>
      <c r="U44" s="138">
        <v>19</v>
      </c>
    </row>
    <row r="45" spans="3:21" x14ac:dyDescent="0.25">
      <c r="C45" s="138" t="s">
        <v>645</v>
      </c>
      <c r="D45" s="189">
        <v>0</v>
      </c>
      <c r="E45" s="331">
        <v>1</v>
      </c>
      <c r="F45" s="332">
        <v>0</v>
      </c>
      <c r="G45" s="331">
        <v>0</v>
      </c>
      <c r="H45" s="189">
        <v>0</v>
      </c>
      <c r="I45" s="189">
        <v>0</v>
      </c>
      <c r="J45" s="189">
        <v>0</v>
      </c>
      <c r="K45" s="189">
        <v>0</v>
      </c>
      <c r="L45" s="189">
        <v>1</v>
      </c>
      <c r="M45" s="189">
        <v>0</v>
      </c>
      <c r="N45" s="189">
        <v>0</v>
      </c>
      <c r="O45" s="189">
        <v>0</v>
      </c>
      <c r="P45" s="189">
        <v>0</v>
      </c>
      <c r="Q45" s="189">
        <v>0</v>
      </c>
      <c r="R45" s="189" t="s">
        <v>924</v>
      </c>
      <c r="S45" s="189">
        <v>0</v>
      </c>
      <c r="T45" s="138" t="s">
        <v>250</v>
      </c>
      <c r="U45" s="138">
        <v>20</v>
      </c>
    </row>
    <row r="46" spans="3:21" x14ac:dyDescent="0.25">
      <c r="C46" s="138" t="s">
        <v>646</v>
      </c>
      <c r="D46" s="189">
        <v>0</v>
      </c>
      <c r="E46" s="331">
        <v>0</v>
      </c>
      <c r="F46" s="332">
        <v>0</v>
      </c>
      <c r="G46" s="331">
        <v>1</v>
      </c>
      <c r="H46" s="189">
        <v>0</v>
      </c>
      <c r="I46" s="189">
        <v>0</v>
      </c>
      <c r="J46" s="189">
        <v>0</v>
      </c>
      <c r="K46" s="189">
        <v>0</v>
      </c>
      <c r="L46" s="189">
        <v>1</v>
      </c>
      <c r="M46" s="189">
        <v>0</v>
      </c>
      <c r="N46" s="189">
        <v>0</v>
      </c>
      <c r="O46" s="189">
        <v>0</v>
      </c>
      <c r="P46" s="189">
        <v>0</v>
      </c>
      <c r="Q46" s="189">
        <v>0</v>
      </c>
      <c r="R46" s="189" t="s">
        <v>924</v>
      </c>
      <c r="S46" s="189">
        <v>0</v>
      </c>
      <c r="T46" s="138" t="s">
        <v>250</v>
      </c>
      <c r="U46" s="138">
        <v>21</v>
      </c>
    </row>
    <row r="47" spans="3:21" x14ac:dyDescent="0.25">
      <c r="C47" s="138" t="s">
        <v>531</v>
      </c>
      <c r="D47" s="189">
        <v>0</v>
      </c>
      <c r="E47" s="331">
        <v>0</v>
      </c>
      <c r="F47" s="332">
        <v>0</v>
      </c>
      <c r="G47" s="331">
        <v>0</v>
      </c>
      <c r="H47" s="189">
        <v>0</v>
      </c>
      <c r="I47" s="189">
        <v>1</v>
      </c>
      <c r="J47" s="189">
        <v>1</v>
      </c>
      <c r="K47" s="189">
        <v>0</v>
      </c>
      <c r="L47" s="189">
        <v>1</v>
      </c>
      <c r="M47" s="189">
        <v>0</v>
      </c>
      <c r="N47" s="189">
        <v>0</v>
      </c>
      <c r="O47" s="189">
        <v>0</v>
      </c>
      <c r="P47" s="189">
        <v>0</v>
      </c>
      <c r="Q47" s="189">
        <v>0</v>
      </c>
      <c r="R47" s="189" t="s">
        <v>924</v>
      </c>
      <c r="S47" s="189">
        <v>0</v>
      </c>
      <c r="T47" s="138" t="s">
        <v>250</v>
      </c>
      <c r="U47" s="138">
        <v>22</v>
      </c>
    </row>
    <row r="48" spans="3:21" x14ac:dyDescent="0.25">
      <c r="C48" s="138" t="s">
        <v>933</v>
      </c>
      <c r="D48" s="189"/>
      <c r="E48" s="331"/>
      <c r="F48" s="332"/>
      <c r="G48" s="331"/>
      <c r="H48" s="189"/>
      <c r="I48" s="189"/>
      <c r="J48" s="189"/>
      <c r="K48" s="189"/>
      <c r="L48" s="189">
        <v>1</v>
      </c>
      <c r="M48" s="189">
        <v>0</v>
      </c>
      <c r="N48" s="189">
        <v>0</v>
      </c>
      <c r="O48" s="189">
        <v>0</v>
      </c>
      <c r="P48" s="189">
        <v>0</v>
      </c>
      <c r="Q48" s="189">
        <v>0</v>
      </c>
      <c r="R48" s="189" t="s">
        <v>924</v>
      </c>
      <c r="S48" s="189">
        <v>0</v>
      </c>
      <c r="T48" s="138" t="s">
        <v>250</v>
      </c>
      <c r="U48" s="138">
        <v>23</v>
      </c>
    </row>
    <row r="49" spans="3:21" x14ac:dyDescent="0.25">
      <c r="C49" s="138" t="s">
        <v>647</v>
      </c>
      <c r="D49" s="189">
        <v>0</v>
      </c>
      <c r="E49" s="331">
        <v>0</v>
      </c>
      <c r="F49" s="332">
        <v>0</v>
      </c>
      <c r="G49" s="331">
        <v>0</v>
      </c>
      <c r="H49" s="189">
        <v>0</v>
      </c>
      <c r="I49" s="189">
        <v>0</v>
      </c>
      <c r="J49" s="189">
        <v>0</v>
      </c>
      <c r="K49" s="189">
        <v>0</v>
      </c>
      <c r="L49" s="189">
        <v>0</v>
      </c>
      <c r="M49" s="189">
        <v>0</v>
      </c>
      <c r="N49" s="189">
        <v>0</v>
      </c>
      <c r="O49" s="189">
        <v>0</v>
      </c>
      <c r="P49" s="189">
        <v>0</v>
      </c>
      <c r="Q49" s="189">
        <v>0</v>
      </c>
      <c r="R49" s="189" t="s">
        <v>924</v>
      </c>
      <c r="S49" s="189">
        <v>0</v>
      </c>
      <c r="T49" s="138" t="s">
        <v>250</v>
      </c>
      <c r="U49" s="138">
        <v>24</v>
      </c>
    </row>
    <row r="50" spans="3:21" x14ac:dyDescent="0.25">
      <c r="C50" s="138" t="s">
        <v>532</v>
      </c>
      <c r="D50" s="189">
        <v>0</v>
      </c>
      <c r="E50" s="331">
        <v>0</v>
      </c>
      <c r="F50" s="332">
        <v>1</v>
      </c>
      <c r="G50" s="331">
        <v>0</v>
      </c>
      <c r="H50" s="189">
        <v>0</v>
      </c>
      <c r="I50" s="189">
        <v>0</v>
      </c>
      <c r="J50" s="189">
        <v>0</v>
      </c>
      <c r="K50" s="189">
        <v>0</v>
      </c>
      <c r="L50" s="189">
        <v>1</v>
      </c>
      <c r="M50" s="189">
        <v>0</v>
      </c>
      <c r="N50" s="189">
        <v>0</v>
      </c>
      <c r="O50" s="189">
        <v>0</v>
      </c>
      <c r="P50" s="189">
        <v>1</v>
      </c>
      <c r="Q50" s="189">
        <v>0</v>
      </c>
      <c r="R50" s="189" t="s">
        <v>924</v>
      </c>
      <c r="S50" s="189">
        <v>0</v>
      </c>
      <c r="T50" s="138" t="s">
        <v>250</v>
      </c>
      <c r="U50" s="138">
        <v>25</v>
      </c>
    </row>
    <row r="51" spans="3:21" x14ac:dyDescent="0.25">
      <c r="C51" s="138" t="s">
        <v>648</v>
      </c>
      <c r="D51" s="189">
        <v>0</v>
      </c>
      <c r="E51" s="331">
        <v>0</v>
      </c>
      <c r="F51" s="332">
        <v>0</v>
      </c>
      <c r="G51" s="331">
        <v>0</v>
      </c>
      <c r="H51" s="189">
        <v>0</v>
      </c>
      <c r="I51" s="189">
        <v>0</v>
      </c>
      <c r="J51" s="189">
        <v>0</v>
      </c>
      <c r="K51" s="189">
        <v>0</v>
      </c>
      <c r="L51" s="189">
        <v>0</v>
      </c>
      <c r="M51" s="189">
        <v>0</v>
      </c>
      <c r="N51" s="189">
        <v>0</v>
      </c>
      <c r="O51" s="189">
        <v>0</v>
      </c>
      <c r="P51" s="189">
        <v>0</v>
      </c>
      <c r="Q51" s="189">
        <v>0</v>
      </c>
      <c r="R51" s="189" t="s">
        <v>924</v>
      </c>
      <c r="S51" s="189">
        <v>0</v>
      </c>
      <c r="T51" s="138" t="s">
        <v>250</v>
      </c>
      <c r="U51" s="138">
        <v>26</v>
      </c>
    </row>
    <row r="52" spans="3:21" x14ac:dyDescent="0.25">
      <c r="C52" s="138" t="s">
        <v>649</v>
      </c>
      <c r="D52" s="189">
        <v>0</v>
      </c>
      <c r="E52" s="331">
        <v>0</v>
      </c>
      <c r="F52" s="332">
        <v>0</v>
      </c>
      <c r="G52" s="331">
        <v>0</v>
      </c>
      <c r="H52" s="189">
        <v>0</v>
      </c>
      <c r="I52" s="189">
        <v>0</v>
      </c>
      <c r="J52" s="189">
        <v>0</v>
      </c>
      <c r="K52" s="189">
        <v>0</v>
      </c>
      <c r="L52" s="189">
        <v>1</v>
      </c>
      <c r="M52" s="189">
        <v>0</v>
      </c>
      <c r="N52" s="189">
        <v>0</v>
      </c>
      <c r="O52" s="189">
        <v>0</v>
      </c>
      <c r="P52" s="189">
        <v>0</v>
      </c>
      <c r="Q52" s="189">
        <v>0</v>
      </c>
      <c r="R52" s="189" t="s">
        <v>924</v>
      </c>
      <c r="S52" s="189">
        <v>0</v>
      </c>
      <c r="T52" s="138" t="s">
        <v>250</v>
      </c>
      <c r="U52" s="138">
        <v>27</v>
      </c>
    </row>
    <row r="53" spans="3:21" x14ac:dyDescent="0.25">
      <c r="C53" s="138" t="s">
        <v>650</v>
      </c>
      <c r="D53" s="189">
        <v>0</v>
      </c>
      <c r="E53" s="331">
        <v>0</v>
      </c>
      <c r="F53" s="332">
        <v>0</v>
      </c>
      <c r="G53" s="331">
        <v>0</v>
      </c>
      <c r="H53" s="189">
        <v>0</v>
      </c>
      <c r="I53" s="189">
        <v>0</v>
      </c>
      <c r="J53" s="189">
        <v>0</v>
      </c>
      <c r="K53" s="189">
        <v>0</v>
      </c>
      <c r="L53" s="189">
        <v>1</v>
      </c>
      <c r="M53" s="189">
        <v>0</v>
      </c>
      <c r="N53" s="189">
        <v>0</v>
      </c>
      <c r="O53" s="189">
        <v>0</v>
      </c>
      <c r="P53" s="189">
        <v>0</v>
      </c>
      <c r="Q53" s="189">
        <v>0</v>
      </c>
      <c r="R53" s="189" t="s">
        <v>924</v>
      </c>
      <c r="S53" s="189">
        <v>0</v>
      </c>
      <c r="T53" s="138" t="s">
        <v>250</v>
      </c>
      <c r="U53" s="138">
        <v>28</v>
      </c>
    </row>
    <row r="54" spans="3:21" x14ac:dyDescent="0.25">
      <c r="C54" s="138" t="s">
        <v>651</v>
      </c>
      <c r="D54" s="189">
        <v>0</v>
      </c>
      <c r="E54" s="331">
        <v>0</v>
      </c>
      <c r="F54" s="332">
        <v>0</v>
      </c>
      <c r="G54" s="331">
        <v>0</v>
      </c>
      <c r="H54" s="189">
        <v>0</v>
      </c>
      <c r="I54" s="189">
        <v>0</v>
      </c>
      <c r="J54" s="189">
        <v>0</v>
      </c>
      <c r="K54" s="189">
        <v>0</v>
      </c>
      <c r="L54" s="189">
        <v>1</v>
      </c>
      <c r="M54" s="189">
        <v>0</v>
      </c>
      <c r="N54" s="189">
        <v>0</v>
      </c>
      <c r="O54" s="189">
        <v>0</v>
      </c>
      <c r="P54" s="189">
        <v>0</v>
      </c>
      <c r="Q54" s="189">
        <v>0</v>
      </c>
      <c r="R54" s="189" t="s">
        <v>924</v>
      </c>
      <c r="S54" s="189">
        <v>0</v>
      </c>
      <c r="T54" s="138" t="s">
        <v>250</v>
      </c>
      <c r="U54" s="138">
        <v>29</v>
      </c>
    </row>
    <row r="55" spans="3:21" x14ac:dyDescent="0.25">
      <c r="C55" s="138" t="s">
        <v>652</v>
      </c>
      <c r="D55" s="189">
        <v>0</v>
      </c>
      <c r="E55" s="331">
        <v>0</v>
      </c>
      <c r="F55" s="332">
        <v>0</v>
      </c>
      <c r="G55" s="331">
        <v>0</v>
      </c>
      <c r="H55" s="189">
        <v>0</v>
      </c>
      <c r="I55" s="189">
        <v>0</v>
      </c>
      <c r="J55" s="189">
        <v>0</v>
      </c>
      <c r="K55" s="189">
        <v>0</v>
      </c>
      <c r="L55" s="189">
        <v>1</v>
      </c>
      <c r="M55" s="189">
        <v>0</v>
      </c>
      <c r="N55" s="189">
        <v>0</v>
      </c>
      <c r="O55" s="189">
        <v>0</v>
      </c>
      <c r="P55" s="189">
        <v>0</v>
      </c>
      <c r="Q55" s="189">
        <v>0</v>
      </c>
      <c r="R55" s="189" t="s">
        <v>924</v>
      </c>
      <c r="S55" s="189">
        <v>0</v>
      </c>
      <c r="T55" s="138" t="s">
        <v>250</v>
      </c>
      <c r="U55" s="138">
        <v>30</v>
      </c>
    </row>
    <row r="56" spans="3:21" x14ac:dyDescent="0.25">
      <c r="C56" s="138" t="s">
        <v>653</v>
      </c>
      <c r="D56" s="189">
        <v>1</v>
      </c>
      <c r="E56" s="331">
        <v>0</v>
      </c>
      <c r="F56" s="332">
        <v>0</v>
      </c>
      <c r="G56" s="331">
        <v>0</v>
      </c>
      <c r="H56" s="189">
        <v>0</v>
      </c>
      <c r="I56" s="189">
        <v>0</v>
      </c>
      <c r="J56" s="189">
        <v>0</v>
      </c>
      <c r="K56" s="189">
        <v>0</v>
      </c>
      <c r="L56" s="189">
        <v>1</v>
      </c>
      <c r="M56" s="189">
        <v>0</v>
      </c>
      <c r="N56" s="189">
        <v>0</v>
      </c>
      <c r="O56" s="189">
        <v>0</v>
      </c>
      <c r="P56" s="189">
        <v>0</v>
      </c>
      <c r="Q56" s="189">
        <v>0</v>
      </c>
      <c r="R56" s="189" t="s">
        <v>924</v>
      </c>
      <c r="S56" s="189">
        <v>0</v>
      </c>
      <c r="T56" s="138" t="s">
        <v>250</v>
      </c>
      <c r="U56" s="138">
        <v>31</v>
      </c>
    </row>
    <row r="57" spans="3:21" x14ac:dyDescent="0.25">
      <c r="C57" s="138" t="s">
        <v>654</v>
      </c>
      <c r="D57" s="189">
        <v>0</v>
      </c>
      <c r="E57" s="331">
        <v>0</v>
      </c>
      <c r="F57" s="332">
        <v>0</v>
      </c>
      <c r="G57" s="331">
        <v>0</v>
      </c>
      <c r="H57" s="189">
        <v>0</v>
      </c>
      <c r="I57" s="189">
        <v>0</v>
      </c>
      <c r="J57" s="189">
        <v>0</v>
      </c>
      <c r="K57" s="189">
        <v>0</v>
      </c>
      <c r="L57" s="189">
        <v>1</v>
      </c>
      <c r="M57" s="189">
        <v>0</v>
      </c>
      <c r="N57" s="189">
        <v>0</v>
      </c>
      <c r="O57" s="189">
        <v>0</v>
      </c>
      <c r="P57" s="189">
        <v>0</v>
      </c>
      <c r="Q57" s="189">
        <v>0</v>
      </c>
      <c r="R57" s="189" t="s">
        <v>924</v>
      </c>
      <c r="S57" s="189">
        <v>0</v>
      </c>
      <c r="T57" s="138" t="s">
        <v>250</v>
      </c>
      <c r="U57" s="138">
        <v>32</v>
      </c>
    </row>
    <row r="58" spans="3:21" x14ac:dyDescent="0.25">
      <c r="C58" s="138" t="s">
        <v>655</v>
      </c>
      <c r="D58" s="189">
        <v>0</v>
      </c>
      <c r="E58" s="331">
        <v>0</v>
      </c>
      <c r="F58" s="332">
        <v>0</v>
      </c>
      <c r="G58" s="331">
        <v>0</v>
      </c>
      <c r="H58" s="189">
        <v>0</v>
      </c>
      <c r="I58" s="189">
        <v>0</v>
      </c>
      <c r="J58" s="189">
        <v>0</v>
      </c>
      <c r="K58" s="189">
        <v>0</v>
      </c>
      <c r="L58" s="189">
        <v>1</v>
      </c>
      <c r="M58" s="189">
        <v>0</v>
      </c>
      <c r="N58" s="189">
        <v>0</v>
      </c>
      <c r="O58" s="189">
        <v>0</v>
      </c>
      <c r="P58" s="189">
        <v>0</v>
      </c>
      <c r="Q58" s="189">
        <v>0</v>
      </c>
      <c r="R58" s="189" t="s">
        <v>924</v>
      </c>
      <c r="S58" s="189">
        <v>0</v>
      </c>
      <c r="T58" s="138" t="s">
        <v>250</v>
      </c>
      <c r="U58" s="138">
        <v>33</v>
      </c>
    </row>
    <row r="59" spans="3:21" x14ac:dyDescent="0.25">
      <c r="C59" s="138" t="s">
        <v>656</v>
      </c>
      <c r="D59" s="189">
        <v>0</v>
      </c>
      <c r="E59" s="331">
        <v>0</v>
      </c>
      <c r="F59" s="332">
        <v>1</v>
      </c>
      <c r="G59" s="331">
        <v>0</v>
      </c>
      <c r="H59" s="189">
        <v>0</v>
      </c>
      <c r="I59" s="189">
        <v>0</v>
      </c>
      <c r="J59" s="189">
        <v>0</v>
      </c>
      <c r="K59" s="189">
        <v>0</v>
      </c>
      <c r="L59" s="189">
        <v>1</v>
      </c>
      <c r="M59" s="189">
        <v>0</v>
      </c>
      <c r="N59" s="189">
        <v>0</v>
      </c>
      <c r="O59" s="189">
        <v>0</v>
      </c>
      <c r="P59" s="189">
        <v>0</v>
      </c>
      <c r="Q59" s="189">
        <v>0</v>
      </c>
      <c r="R59" s="189" t="s">
        <v>924</v>
      </c>
      <c r="S59" s="189">
        <v>0</v>
      </c>
      <c r="T59" s="138" t="s">
        <v>250</v>
      </c>
      <c r="U59" s="138">
        <v>34</v>
      </c>
    </row>
    <row r="60" spans="3:21" x14ac:dyDescent="0.25">
      <c r="C60" s="138" t="s">
        <v>657</v>
      </c>
      <c r="D60" s="189">
        <v>0</v>
      </c>
      <c r="E60" s="331">
        <v>0</v>
      </c>
      <c r="F60" s="332">
        <v>1</v>
      </c>
      <c r="G60" s="331">
        <v>0</v>
      </c>
      <c r="H60" s="189">
        <v>0</v>
      </c>
      <c r="I60" s="189">
        <v>0</v>
      </c>
      <c r="J60" s="189">
        <v>0</v>
      </c>
      <c r="K60" s="189">
        <v>0</v>
      </c>
      <c r="L60" s="189">
        <v>1</v>
      </c>
      <c r="M60" s="189">
        <v>0</v>
      </c>
      <c r="N60" s="189">
        <v>0</v>
      </c>
      <c r="O60" s="189">
        <v>0</v>
      </c>
      <c r="P60" s="189">
        <v>0</v>
      </c>
      <c r="Q60" s="189">
        <v>0</v>
      </c>
      <c r="R60" s="189" t="s">
        <v>924</v>
      </c>
      <c r="S60" s="189">
        <v>0</v>
      </c>
      <c r="T60" s="138" t="s">
        <v>250</v>
      </c>
      <c r="U60" s="138">
        <v>35</v>
      </c>
    </row>
    <row r="61" spans="3:21" x14ac:dyDescent="0.25">
      <c r="C61" s="138" t="s">
        <v>533</v>
      </c>
      <c r="D61" s="189">
        <v>0</v>
      </c>
      <c r="E61" s="331">
        <v>0</v>
      </c>
      <c r="F61" s="332">
        <v>1</v>
      </c>
      <c r="G61" s="331">
        <v>0</v>
      </c>
      <c r="H61" s="189">
        <v>0</v>
      </c>
      <c r="I61" s="189">
        <v>0</v>
      </c>
      <c r="J61" s="189">
        <v>0</v>
      </c>
      <c r="K61" s="189">
        <v>0</v>
      </c>
      <c r="L61" s="189">
        <v>1</v>
      </c>
      <c r="M61" s="189">
        <v>0</v>
      </c>
      <c r="N61" s="189">
        <v>0</v>
      </c>
      <c r="O61" s="189">
        <v>0</v>
      </c>
      <c r="P61" s="189">
        <v>0</v>
      </c>
      <c r="Q61" s="189">
        <v>0</v>
      </c>
      <c r="R61" s="189" t="s">
        <v>924</v>
      </c>
      <c r="S61" s="189">
        <v>0</v>
      </c>
      <c r="T61" s="138" t="s">
        <v>250</v>
      </c>
      <c r="U61" s="138">
        <v>36</v>
      </c>
    </row>
    <row r="62" spans="3:21" x14ac:dyDescent="0.25">
      <c r="C62" s="138" t="s">
        <v>534</v>
      </c>
      <c r="D62" s="189">
        <v>0</v>
      </c>
      <c r="E62" s="331">
        <v>0</v>
      </c>
      <c r="F62" s="332">
        <v>1</v>
      </c>
      <c r="G62" s="331">
        <v>0</v>
      </c>
      <c r="H62" s="189">
        <v>0</v>
      </c>
      <c r="I62" s="189">
        <v>0</v>
      </c>
      <c r="J62" s="189">
        <v>0</v>
      </c>
      <c r="K62" s="189">
        <v>0</v>
      </c>
      <c r="L62" s="189">
        <v>1</v>
      </c>
      <c r="M62" s="189">
        <v>0</v>
      </c>
      <c r="N62" s="189">
        <v>0</v>
      </c>
      <c r="O62" s="189">
        <v>0</v>
      </c>
      <c r="P62" s="189">
        <v>0</v>
      </c>
      <c r="Q62" s="189">
        <v>0</v>
      </c>
      <c r="R62" s="189" t="s">
        <v>924</v>
      </c>
      <c r="S62" s="189">
        <v>0</v>
      </c>
      <c r="T62" s="138" t="s">
        <v>250</v>
      </c>
      <c r="U62" s="138">
        <v>37</v>
      </c>
    </row>
    <row r="63" spans="3:21" x14ac:dyDescent="0.25">
      <c r="C63" s="138" t="s">
        <v>658</v>
      </c>
      <c r="D63" s="189">
        <v>0</v>
      </c>
      <c r="E63" s="331">
        <v>0</v>
      </c>
      <c r="F63" s="332">
        <v>0</v>
      </c>
      <c r="G63" s="331">
        <v>0</v>
      </c>
      <c r="H63" s="189">
        <v>0</v>
      </c>
      <c r="I63" s="189">
        <v>0</v>
      </c>
      <c r="J63" s="189">
        <v>0</v>
      </c>
      <c r="K63" s="189">
        <v>0</v>
      </c>
      <c r="L63" s="189">
        <v>1</v>
      </c>
      <c r="M63" s="189">
        <v>0</v>
      </c>
      <c r="N63" s="189">
        <v>0</v>
      </c>
      <c r="O63" s="189">
        <v>0</v>
      </c>
      <c r="P63" s="189">
        <v>0</v>
      </c>
      <c r="Q63" s="189">
        <v>0</v>
      </c>
      <c r="R63" s="189" t="s">
        <v>924</v>
      </c>
      <c r="S63" s="189">
        <v>0</v>
      </c>
      <c r="T63" s="138" t="s">
        <v>250</v>
      </c>
      <c r="U63" s="138">
        <v>38</v>
      </c>
    </row>
    <row r="64" spans="3:21" x14ac:dyDescent="0.25">
      <c r="C64" s="138" t="s">
        <v>535</v>
      </c>
      <c r="D64" s="189">
        <v>0</v>
      </c>
      <c r="E64" s="331">
        <v>0</v>
      </c>
      <c r="F64" s="332">
        <v>1</v>
      </c>
      <c r="G64" s="331">
        <v>0</v>
      </c>
      <c r="H64" s="189">
        <v>0</v>
      </c>
      <c r="I64" s="189">
        <v>0</v>
      </c>
      <c r="J64" s="189">
        <v>0</v>
      </c>
      <c r="K64" s="189">
        <v>0</v>
      </c>
      <c r="L64" s="189">
        <v>1</v>
      </c>
      <c r="M64" s="189">
        <v>0</v>
      </c>
      <c r="N64" s="189">
        <v>0</v>
      </c>
      <c r="O64" s="189">
        <v>0</v>
      </c>
      <c r="P64" s="189">
        <v>0</v>
      </c>
      <c r="Q64" s="189">
        <v>0</v>
      </c>
      <c r="R64" s="189" t="s">
        <v>924</v>
      </c>
      <c r="S64" s="189">
        <v>0</v>
      </c>
      <c r="T64" s="138" t="s">
        <v>250</v>
      </c>
      <c r="U64" s="138">
        <v>39</v>
      </c>
    </row>
    <row r="65" spans="3:21" x14ac:dyDescent="0.25">
      <c r="C65" s="138" t="s">
        <v>536</v>
      </c>
      <c r="D65" s="189">
        <v>0</v>
      </c>
      <c r="E65" s="331">
        <v>0</v>
      </c>
      <c r="F65" s="332">
        <v>1</v>
      </c>
      <c r="G65" s="331">
        <v>0</v>
      </c>
      <c r="H65" s="189">
        <v>0</v>
      </c>
      <c r="I65" s="189">
        <v>0</v>
      </c>
      <c r="J65" s="189">
        <v>0</v>
      </c>
      <c r="K65" s="189">
        <v>0</v>
      </c>
      <c r="L65" s="189">
        <v>1</v>
      </c>
      <c r="M65" s="189">
        <v>0</v>
      </c>
      <c r="N65" s="189">
        <v>0</v>
      </c>
      <c r="O65" s="189">
        <v>0</v>
      </c>
      <c r="P65" s="189">
        <v>0</v>
      </c>
      <c r="Q65" s="189">
        <v>0</v>
      </c>
      <c r="R65" s="189" t="s">
        <v>924</v>
      </c>
      <c r="S65" s="189">
        <v>0</v>
      </c>
      <c r="T65" s="138" t="s">
        <v>250</v>
      </c>
      <c r="U65" s="138">
        <v>40</v>
      </c>
    </row>
    <row r="66" spans="3:21" x14ac:dyDescent="0.25">
      <c r="C66" s="138" t="s">
        <v>659</v>
      </c>
      <c r="D66" s="189">
        <v>0</v>
      </c>
      <c r="E66" s="331">
        <v>0</v>
      </c>
      <c r="F66" s="332">
        <v>0</v>
      </c>
      <c r="G66" s="331">
        <v>0</v>
      </c>
      <c r="H66" s="189">
        <v>0</v>
      </c>
      <c r="I66" s="189">
        <v>0</v>
      </c>
      <c r="J66" s="189">
        <v>0</v>
      </c>
      <c r="K66" s="189">
        <v>0</v>
      </c>
      <c r="L66" s="189">
        <v>1</v>
      </c>
      <c r="M66" s="189">
        <v>0</v>
      </c>
      <c r="N66" s="189">
        <v>0</v>
      </c>
      <c r="O66" s="189">
        <v>0</v>
      </c>
      <c r="P66" s="189">
        <v>0</v>
      </c>
      <c r="Q66" s="189">
        <v>0</v>
      </c>
      <c r="R66" s="189" t="s">
        <v>924</v>
      </c>
      <c r="S66" s="189">
        <v>0</v>
      </c>
      <c r="T66" s="138" t="s">
        <v>250</v>
      </c>
      <c r="U66" s="138">
        <v>41</v>
      </c>
    </row>
    <row r="67" spans="3:21" x14ac:dyDescent="0.25">
      <c r="C67" s="138" t="s">
        <v>934</v>
      </c>
      <c r="D67" s="189"/>
      <c r="E67" s="331"/>
      <c r="F67" s="332"/>
      <c r="G67" s="331"/>
      <c r="H67" s="189"/>
      <c r="I67" s="189"/>
      <c r="J67" s="189"/>
      <c r="K67" s="189"/>
      <c r="L67" s="189">
        <v>1</v>
      </c>
      <c r="M67" s="189">
        <v>0</v>
      </c>
      <c r="N67" s="189">
        <v>0</v>
      </c>
      <c r="O67" s="189">
        <v>0</v>
      </c>
      <c r="P67" s="189">
        <v>0</v>
      </c>
      <c r="Q67" s="189">
        <v>0</v>
      </c>
      <c r="R67" s="189" t="s">
        <v>924</v>
      </c>
      <c r="S67" s="189">
        <v>0</v>
      </c>
      <c r="T67" s="138" t="s">
        <v>250</v>
      </c>
      <c r="U67" s="138">
        <v>42</v>
      </c>
    </row>
    <row r="68" spans="3:21" x14ac:dyDescent="0.25">
      <c r="C68" s="138" t="s">
        <v>660</v>
      </c>
      <c r="D68" s="189">
        <v>0</v>
      </c>
      <c r="E68" s="331">
        <v>0</v>
      </c>
      <c r="F68" s="332">
        <v>0</v>
      </c>
      <c r="G68" s="331">
        <v>0</v>
      </c>
      <c r="H68" s="189">
        <v>0</v>
      </c>
      <c r="I68" s="189">
        <v>0</v>
      </c>
      <c r="J68" s="189">
        <v>0</v>
      </c>
      <c r="K68" s="189">
        <v>0</v>
      </c>
      <c r="L68" s="189">
        <v>0</v>
      </c>
      <c r="M68" s="189">
        <v>1</v>
      </c>
      <c r="N68" s="189">
        <v>1</v>
      </c>
      <c r="O68" s="189">
        <v>1</v>
      </c>
      <c r="P68" s="189">
        <v>0</v>
      </c>
      <c r="Q68" s="189">
        <v>0</v>
      </c>
      <c r="R68" s="189" t="s">
        <v>924</v>
      </c>
      <c r="S68" s="189">
        <v>0</v>
      </c>
      <c r="T68" s="138" t="s">
        <v>250</v>
      </c>
      <c r="U68" s="138">
        <v>43</v>
      </c>
    </row>
    <row r="69" spans="3:21" x14ac:dyDescent="0.25">
      <c r="C69" s="138" t="s">
        <v>661</v>
      </c>
      <c r="D69" s="189">
        <v>0</v>
      </c>
      <c r="E69" s="331">
        <v>0</v>
      </c>
      <c r="F69" s="332">
        <v>0</v>
      </c>
      <c r="G69" s="331">
        <v>0</v>
      </c>
      <c r="H69" s="189">
        <v>0</v>
      </c>
      <c r="I69" s="189">
        <v>0</v>
      </c>
      <c r="J69" s="189">
        <v>0</v>
      </c>
      <c r="K69" s="189">
        <v>0</v>
      </c>
      <c r="L69" s="189">
        <v>1</v>
      </c>
      <c r="M69" s="189">
        <v>0</v>
      </c>
      <c r="N69" s="189">
        <v>0</v>
      </c>
      <c r="O69" s="189">
        <v>0</v>
      </c>
      <c r="P69" s="189">
        <v>0</v>
      </c>
      <c r="Q69" s="189">
        <v>0</v>
      </c>
      <c r="R69" s="189" t="s">
        <v>924</v>
      </c>
      <c r="S69" s="189">
        <v>0</v>
      </c>
      <c r="T69" s="138" t="s">
        <v>250</v>
      </c>
      <c r="U69" s="138">
        <v>44</v>
      </c>
    </row>
    <row r="70" spans="3:21" x14ac:dyDescent="0.25">
      <c r="C70" s="138" t="s">
        <v>662</v>
      </c>
      <c r="D70" s="189">
        <v>0</v>
      </c>
      <c r="E70" s="331">
        <v>0</v>
      </c>
      <c r="F70" s="332">
        <v>0</v>
      </c>
      <c r="G70" s="331">
        <v>0</v>
      </c>
      <c r="H70" s="189">
        <v>0</v>
      </c>
      <c r="I70" s="189">
        <v>0</v>
      </c>
      <c r="J70" s="189">
        <v>0</v>
      </c>
      <c r="K70" s="189">
        <v>0</v>
      </c>
      <c r="L70" s="189">
        <v>1</v>
      </c>
      <c r="M70" s="189">
        <v>0</v>
      </c>
      <c r="N70" s="189">
        <v>0</v>
      </c>
      <c r="O70" s="189">
        <v>0</v>
      </c>
      <c r="P70" s="189">
        <v>0</v>
      </c>
      <c r="Q70" s="189">
        <v>0</v>
      </c>
      <c r="R70" s="189" t="s">
        <v>924</v>
      </c>
      <c r="S70" s="189">
        <v>0</v>
      </c>
      <c r="T70" s="138" t="s">
        <v>250</v>
      </c>
      <c r="U70" s="138">
        <v>45</v>
      </c>
    </row>
    <row r="71" spans="3:21" x14ac:dyDescent="0.25">
      <c r="C71" s="138" t="s">
        <v>663</v>
      </c>
      <c r="D71" s="189">
        <v>0</v>
      </c>
      <c r="E71" s="331">
        <v>0</v>
      </c>
      <c r="F71" s="332">
        <v>0</v>
      </c>
      <c r="G71" s="331">
        <v>0</v>
      </c>
      <c r="H71" s="189">
        <v>0</v>
      </c>
      <c r="I71" s="189">
        <v>0</v>
      </c>
      <c r="J71" s="189">
        <v>0</v>
      </c>
      <c r="K71" s="189">
        <v>0</v>
      </c>
      <c r="L71" s="189">
        <v>1</v>
      </c>
      <c r="M71" s="189">
        <v>0</v>
      </c>
      <c r="N71" s="189">
        <v>0</v>
      </c>
      <c r="O71" s="189">
        <v>0</v>
      </c>
      <c r="P71" s="189">
        <v>0</v>
      </c>
      <c r="Q71" s="189">
        <v>0</v>
      </c>
      <c r="R71" s="189" t="s">
        <v>924</v>
      </c>
      <c r="S71" s="189">
        <v>0</v>
      </c>
      <c r="T71" s="138" t="s">
        <v>250</v>
      </c>
      <c r="U71" s="138">
        <v>46</v>
      </c>
    </row>
    <row r="72" spans="3:21" x14ac:dyDescent="0.25">
      <c r="C72" s="138" t="s">
        <v>664</v>
      </c>
      <c r="D72" s="189">
        <v>0</v>
      </c>
      <c r="E72" s="331">
        <v>0</v>
      </c>
      <c r="F72" s="332">
        <v>0</v>
      </c>
      <c r="G72" s="331">
        <v>0</v>
      </c>
      <c r="H72" s="189">
        <v>0</v>
      </c>
      <c r="I72" s="189">
        <v>0</v>
      </c>
      <c r="J72" s="189">
        <v>0</v>
      </c>
      <c r="K72" s="189">
        <v>0</v>
      </c>
      <c r="L72" s="189">
        <v>1</v>
      </c>
      <c r="M72" s="189">
        <v>0</v>
      </c>
      <c r="N72" s="189">
        <v>0</v>
      </c>
      <c r="O72" s="189">
        <v>0</v>
      </c>
      <c r="P72" s="189">
        <v>0</v>
      </c>
      <c r="Q72" s="189">
        <v>0</v>
      </c>
      <c r="R72" s="189" t="s">
        <v>924</v>
      </c>
      <c r="S72" s="189">
        <v>0</v>
      </c>
      <c r="T72" s="138" t="s">
        <v>250</v>
      </c>
      <c r="U72" s="138">
        <v>47</v>
      </c>
    </row>
    <row r="73" spans="3:21" x14ac:dyDescent="0.25">
      <c r="C73" s="138" t="s">
        <v>665</v>
      </c>
      <c r="D73" s="189">
        <v>0</v>
      </c>
      <c r="E73" s="331">
        <v>0</v>
      </c>
      <c r="F73" s="332">
        <v>0</v>
      </c>
      <c r="G73" s="331">
        <v>0</v>
      </c>
      <c r="H73" s="189">
        <v>0</v>
      </c>
      <c r="I73" s="189">
        <v>0</v>
      </c>
      <c r="J73" s="189">
        <v>0</v>
      </c>
      <c r="K73" s="189">
        <v>0</v>
      </c>
      <c r="L73" s="189">
        <v>1</v>
      </c>
      <c r="M73" s="189">
        <v>0</v>
      </c>
      <c r="N73" s="189">
        <v>0</v>
      </c>
      <c r="O73" s="189">
        <v>0</v>
      </c>
      <c r="P73" s="189">
        <v>0</v>
      </c>
      <c r="Q73" s="189">
        <v>0</v>
      </c>
      <c r="R73" s="189" t="s">
        <v>924</v>
      </c>
      <c r="S73" s="189">
        <v>0</v>
      </c>
      <c r="T73" s="138" t="s">
        <v>250</v>
      </c>
      <c r="U73" s="138">
        <v>48</v>
      </c>
    </row>
    <row r="74" spans="3:21" x14ac:dyDescent="0.25">
      <c r="C74" s="138" t="s">
        <v>537</v>
      </c>
      <c r="D74" s="189">
        <v>0</v>
      </c>
      <c r="E74" s="331">
        <v>0</v>
      </c>
      <c r="F74" s="332">
        <v>1</v>
      </c>
      <c r="G74" s="331">
        <v>0</v>
      </c>
      <c r="H74" s="189">
        <v>0</v>
      </c>
      <c r="I74" s="189">
        <v>0</v>
      </c>
      <c r="J74" s="189">
        <v>0</v>
      </c>
      <c r="K74" s="189">
        <v>0</v>
      </c>
      <c r="L74" s="189">
        <v>1</v>
      </c>
      <c r="M74" s="189">
        <v>0</v>
      </c>
      <c r="N74" s="189">
        <v>0</v>
      </c>
      <c r="O74" s="189">
        <v>0</v>
      </c>
      <c r="P74" s="189">
        <v>0</v>
      </c>
      <c r="Q74" s="189">
        <v>0</v>
      </c>
      <c r="R74" s="189" t="s">
        <v>924</v>
      </c>
      <c r="S74" s="189">
        <v>0</v>
      </c>
      <c r="T74" s="138" t="s">
        <v>250</v>
      </c>
      <c r="U74" s="138">
        <v>49</v>
      </c>
    </row>
    <row r="75" spans="3:21" x14ac:dyDescent="0.25">
      <c r="C75" s="138" t="s">
        <v>538</v>
      </c>
      <c r="D75" s="189">
        <v>0</v>
      </c>
      <c r="E75" s="331">
        <v>0</v>
      </c>
      <c r="F75" s="332">
        <v>0</v>
      </c>
      <c r="G75" s="331">
        <v>0</v>
      </c>
      <c r="H75" s="189">
        <v>0</v>
      </c>
      <c r="I75" s="189">
        <v>1</v>
      </c>
      <c r="J75" s="189">
        <v>1</v>
      </c>
      <c r="K75" s="189">
        <v>0</v>
      </c>
      <c r="L75" s="189">
        <v>1</v>
      </c>
      <c r="M75" s="189">
        <v>0</v>
      </c>
      <c r="N75" s="189">
        <v>0</v>
      </c>
      <c r="O75" s="189">
        <v>0</v>
      </c>
      <c r="P75" s="189">
        <v>0</v>
      </c>
      <c r="Q75" s="189">
        <v>0</v>
      </c>
      <c r="R75" s="189" t="s">
        <v>924</v>
      </c>
      <c r="S75" s="189">
        <v>0</v>
      </c>
      <c r="T75" s="138" t="s">
        <v>250</v>
      </c>
      <c r="U75" s="138">
        <v>50</v>
      </c>
    </row>
    <row r="76" spans="3:21" x14ac:dyDescent="0.25">
      <c r="C76" s="138" t="s">
        <v>539</v>
      </c>
      <c r="D76" s="189">
        <v>0</v>
      </c>
      <c r="E76" s="331">
        <v>0</v>
      </c>
      <c r="F76" s="332">
        <v>1</v>
      </c>
      <c r="G76" s="331">
        <v>0</v>
      </c>
      <c r="H76" s="189">
        <v>0</v>
      </c>
      <c r="I76" s="189">
        <v>0</v>
      </c>
      <c r="J76" s="189">
        <v>0</v>
      </c>
      <c r="K76" s="189">
        <v>0</v>
      </c>
      <c r="L76" s="189">
        <v>1</v>
      </c>
      <c r="M76" s="189">
        <v>0</v>
      </c>
      <c r="N76" s="189">
        <v>0</v>
      </c>
      <c r="O76" s="189">
        <v>0</v>
      </c>
      <c r="P76" s="189">
        <v>1</v>
      </c>
      <c r="Q76" s="189">
        <v>0</v>
      </c>
      <c r="R76" s="189" t="s">
        <v>924</v>
      </c>
      <c r="S76" s="189">
        <v>0</v>
      </c>
      <c r="T76" s="138" t="s">
        <v>250</v>
      </c>
      <c r="U76" s="138">
        <v>52</v>
      </c>
    </row>
    <row r="77" spans="3:21" x14ac:dyDescent="0.25">
      <c r="C77" s="138" t="s">
        <v>540</v>
      </c>
      <c r="D77" s="189">
        <v>0</v>
      </c>
      <c r="E77" s="331">
        <v>0</v>
      </c>
      <c r="F77" s="332">
        <v>1</v>
      </c>
      <c r="G77" s="331">
        <v>0</v>
      </c>
      <c r="H77" s="189">
        <v>0</v>
      </c>
      <c r="I77" s="189">
        <v>0</v>
      </c>
      <c r="J77" s="189">
        <v>0</v>
      </c>
      <c r="K77" s="189">
        <v>0</v>
      </c>
      <c r="L77" s="189">
        <v>1</v>
      </c>
      <c r="M77" s="189">
        <v>0</v>
      </c>
      <c r="N77" s="189">
        <v>0</v>
      </c>
      <c r="O77" s="189">
        <v>0</v>
      </c>
      <c r="P77" s="189">
        <v>1</v>
      </c>
      <c r="Q77" s="189">
        <v>0</v>
      </c>
      <c r="R77" s="189" t="s">
        <v>924</v>
      </c>
      <c r="S77" s="189">
        <v>0</v>
      </c>
      <c r="T77" s="138" t="s">
        <v>250</v>
      </c>
      <c r="U77" s="138">
        <v>53</v>
      </c>
    </row>
    <row r="78" spans="3:21" x14ac:dyDescent="0.25">
      <c r="C78" s="138" t="s">
        <v>541</v>
      </c>
      <c r="D78" s="189">
        <v>0</v>
      </c>
      <c r="E78" s="331">
        <v>0</v>
      </c>
      <c r="F78" s="332">
        <v>0</v>
      </c>
      <c r="G78" s="331">
        <v>0</v>
      </c>
      <c r="H78" s="189">
        <v>0</v>
      </c>
      <c r="I78" s="189">
        <v>0</v>
      </c>
      <c r="J78" s="189">
        <v>0</v>
      </c>
      <c r="K78" s="189">
        <v>0</v>
      </c>
      <c r="L78" s="189">
        <v>1</v>
      </c>
      <c r="M78" s="189">
        <v>0</v>
      </c>
      <c r="N78" s="189">
        <v>0</v>
      </c>
      <c r="O78" s="189">
        <v>0</v>
      </c>
      <c r="P78" s="189">
        <v>0</v>
      </c>
      <c r="Q78" s="189">
        <v>0</v>
      </c>
      <c r="R78" s="189" t="s">
        <v>924</v>
      </c>
      <c r="S78" s="189">
        <v>0</v>
      </c>
      <c r="T78" s="138" t="s">
        <v>250</v>
      </c>
      <c r="U78" s="138">
        <v>54</v>
      </c>
    </row>
    <row r="79" spans="3:21" x14ac:dyDescent="0.25">
      <c r="C79" s="138" t="s">
        <v>935</v>
      </c>
      <c r="D79" s="189"/>
      <c r="E79" s="331"/>
      <c r="F79" s="332"/>
      <c r="G79" s="331"/>
      <c r="H79" s="189"/>
      <c r="I79" s="189"/>
      <c r="J79" s="189"/>
      <c r="K79" s="189"/>
      <c r="L79" s="189">
        <v>1</v>
      </c>
      <c r="M79" s="189">
        <v>0</v>
      </c>
      <c r="N79" s="189">
        <v>0</v>
      </c>
      <c r="O79" s="189">
        <v>0</v>
      </c>
      <c r="P79" s="189">
        <v>0</v>
      </c>
      <c r="Q79" s="189">
        <v>0</v>
      </c>
      <c r="R79" s="189" t="s">
        <v>924</v>
      </c>
      <c r="S79" s="189">
        <v>0</v>
      </c>
      <c r="T79" s="138" t="s">
        <v>250</v>
      </c>
      <c r="U79" s="138">
        <v>55</v>
      </c>
    </row>
    <row r="80" spans="3:21" x14ac:dyDescent="0.25">
      <c r="C80" s="138" t="s">
        <v>666</v>
      </c>
      <c r="D80" s="189">
        <v>0</v>
      </c>
      <c r="E80" s="331">
        <v>0</v>
      </c>
      <c r="F80" s="332">
        <v>0</v>
      </c>
      <c r="G80" s="331">
        <v>0</v>
      </c>
      <c r="H80" s="189">
        <v>0</v>
      </c>
      <c r="I80" s="189">
        <v>0</v>
      </c>
      <c r="J80" s="189">
        <v>0</v>
      </c>
      <c r="K80" s="189">
        <v>0</v>
      </c>
      <c r="L80" s="189">
        <v>1</v>
      </c>
      <c r="M80" s="189">
        <v>0</v>
      </c>
      <c r="N80" s="189">
        <v>0</v>
      </c>
      <c r="O80" s="189">
        <v>0</v>
      </c>
      <c r="P80" s="189">
        <v>0</v>
      </c>
      <c r="Q80" s="189">
        <v>0</v>
      </c>
      <c r="R80" s="189" t="s">
        <v>924</v>
      </c>
      <c r="S80" s="189">
        <v>0</v>
      </c>
      <c r="T80" s="138" t="s">
        <v>250</v>
      </c>
      <c r="U80" s="138">
        <v>56</v>
      </c>
    </row>
    <row r="81" spans="2:21" x14ac:dyDescent="0.25">
      <c r="C81" s="138" t="s">
        <v>667</v>
      </c>
      <c r="D81" s="189">
        <v>0</v>
      </c>
      <c r="E81" s="331">
        <v>0</v>
      </c>
      <c r="F81" s="332">
        <v>0</v>
      </c>
      <c r="G81" s="331">
        <v>0</v>
      </c>
      <c r="H81" s="189">
        <v>0</v>
      </c>
      <c r="I81" s="189">
        <v>0</v>
      </c>
      <c r="J81" s="189">
        <v>0</v>
      </c>
      <c r="K81" s="189">
        <v>0</v>
      </c>
      <c r="L81" s="189">
        <v>1</v>
      </c>
      <c r="M81" s="189">
        <v>0</v>
      </c>
      <c r="N81" s="189">
        <v>0</v>
      </c>
      <c r="O81" s="189">
        <v>0</v>
      </c>
      <c r="P81" s="189">
        <v>0</v>
      </c>
      <c r="Q81" s="189">
        <v>0</v>
      </c>
      <c r="R81" s="189" t="s">
        <v>924</v>
      </c>
      <c r="S81" s="189">
        <v>0</v>
      </c>
      <c r="T81" s="138" t="s">
        <v>250</v>
      </c>
      <c r="U81" s="138">
        <v>57</v>
      </c>
    </row>
    <row r="82" spans="2:21" x14ac:dyDescent="0.25">
      <c r="C82" s="138" t="s">
        <v>668</v>
      </c>
      <c r="D82" s="189">
        <v>0</v>
      </c>
      <c r="E82" s="331">
        <v>0</v>
      </c>
      <c r="F82" s="332">
        <v>0</v>
      </c>
      <c r="G82" s="331">
        <v>0</v>
      </c>
      <c r="H82" s="189">
        <v>0</v>
      </c>
      <c r="I82" s="189">
        <v>0</v>
      </c>
      <c r="J82" s="189">
        <v>0</v>
      </c>
      <c r="K82" s="189">
        <v>1</v>
      </c>
      <c r="L82" s="189">
        <v>1</v>
      </c>
      <c r="M82" s="189">
        <v>0</v>
      </c>
      <c r="N82" s="189">
        <v>0</v>
      </c>
      <c r="O82" s="189">
        <v>0</v>
      </c>
      <c r="P82" s="189">
        <v>0</v>
      </c>
      <c r="Q82" s="189">
        <v>0</v>
      </c>
      <c r="R82" s="189" t="s">
        <v>924</v>
      </c>
      <c r="S82" s="189">
        <v>0</v>
      </c>
      <c r="T82" s="138" t="s">
        <v>250</v>
      </c>
      <c r="U82" s="138">
        <v>58</v>
      </c>
    </row>
    <row r="83" spans="2:21" x14ac:dyDescent="0.25">
      <c r="C83" s="138" t="s">
        <v>542</v>
      </c>
      <c r="D83" s="189">
        <v>0</v>
      </c>
      <c r="E83" s="331">
        <v>0</v>
      </c>
      <c r="F83" s="332">
        <v>1</v>
      </c>
      <c r="G83" s="331">
        <v>0</v>
      </c>
      <c r="H83" s="189">
        <v>0</v>
      </c>
      <c r="I83" s="189">
        <v>0</v>
      </c>
      <c r="J83" s="189">
        <v>0</v>
      </c>
      <c r="K83" s="189">
        <v>0</v>
      </c>
      <c r="L83" s="189">
        <v>1</v>
      </c>
      <c r="M83" s="189">
        <v>0</v>
      </c>
      <c r="N83" s="189">
        <v>0</v>
      </c>
      <c r="O83" s="189">
        <v>0</v>
      </c>
      <c r="P83" s="189">
        <v>0</v>
      </c>
      <c r="Q83" s="189">
        <v>0</v>
      </c>
      <c r="R83" s="189" t="s">
        <v>924</v>
      </c>
      <c r="S83" s="189">
        <v>1</v>
      </c>
      <c r="T83" s="138" t="s">
        <v>250</v>
      </c>
      <c r="U83" s="138">
        <v>59</v>
      </c>
    </row>
    <row r="84" spans="2:21" x14ac:dyDescent="0.25">
      <c r="C84" s="138" t="s">
        <v>669</v>
      </c>
      <c r="D84" s="189">
        <v>0</v>
      </c>
      <c r="E84" s="331">
        <v>0</v>
      </c>
      <c r="F84" s="332">
        <v>0</v>
      </c>
      <c r="G84" s="331">
        <v>0</v>
      </c>
      <c r="H84" s="189">
        <v>0</v>
      </c>
      <c r="I84" s="189">
        <v>0</v>
      </c>
      <c r="J84" s="189">
        <v>0</v>
      </c>
      <c r="K84" s="189">
        <v>0</v>
      </c>
      <c r="L84" s="189">
        <v>1</v>
      </c>
      <c r="M84" s="189">
        <v>0</v>
      </c>
      <c r="N84" s="189">
        <v>0</v>
      </c>
      <c r="O84" s="189">
        <v>0</v>
      </c>
      <c r="P84" s="189">
        <v>0</v>
      </c>
      <c r="Q84" s="189">
        <v>0</v>
      </c>
      <c r="R84" s="189" t="s">
        <v>924</v>
      </c>
      <c r="S84" s="189">
        <v>0</v>
      </c>
      <c r="T84" s="138" t="s">
        <v>250</v>
      </c>
      <c r="U84" s="138">
        <v>60</v>
      </c>
    </row>
    <row r="85" spans="2:21" x14ac:dyDescent="0.25">
      <c r="B85" s="138" t="s">
        <v>245</v>
      </c>
      <c r="E85" s="60"/>
      <c r="F85" s="328"/>
      <c r="G85" s="329"/>
    </row>
  </sheetData>
  <conditionalFormatting sqref="D80:S84 D79:K79 D26:S78">
    <cfRule type="expression" dxfId="46" priority="2">
      <formula>D26=1</formula>
    </cfRule>
  </conditionalFormatting>
  <conditionalFormatting sqref="L79:S79">
    <cfRule type="expression" dxfId="45" priority="1">
      <formula>L79=1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AsCSV">
                <anchor>
                  <from>
                    <xdr:col>11</xdr:col>
                    <xdr:colOff>19050</xdr:colOff>
                    <xdr:row>0</xdr:row>
                    <xdr:rowOff>142875</xdr:rowOff>
                  </from>
                  <to>
                    <xdr:col>11</xdr:col>
                    <xdr:colOff>1676400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T85"/>
  <sheetViews>
    <sheetView zoomScale="70" zoomScaleNormal="70" workbookViewId="0">
      <selection activeCell="C34" sqref="C34"/>
    </sheetView>
  </sheetViews>
  <sheetFormatPr defaultColWidth="9.140625" defaultRowHeight="15" outlineLevelCol="1" x14ac:dyDescent="0.25"/>
  <cols>
    <col min="1" max="2" width="9.140625" style="138"/>
    <col min="3" max="3" width="66.42578125" style="138" customWidth="1" collapsed="1"/>
    <col min="4" max="9" width="21.5703125" style="138" customWidth="1" outlineLevel="1"/>
    <col min="10" max="10" width="22.140625" style="138" customWidth="1" outlineLevel="1"/>
    <col min="11" max="12" width="34" style="138" customWidth="1" outlineLevel="1"/>
    <col min="13" max="18" width="14.7109375" style="138" customWidth="1"/>
    <col min="19" max="16384" width="9.140625" style="138"/>
  </cols>
  <sheetData>
    <row r="1" spans="1:18" x14ac:dyDescent="0.25">
      <c r="A1" s="138" t="s">
        <v>250</v>
      </c>
      <c r="B1" s="138" t="s">
        <v>918</v>
      </c>
    </row>
    <row r="2" spans="1:18" x14ac:dyDescent="0.25">
      <c r="A2" s="138" t="s">
        <v>250</v>
      </c>
    </row>
    <row r="3" spans="1:18" x14ac:dyDescent="0.25">
      <c r="A3" s="138" t="s">
        <v>250</v>
      </c>
      <c r="B3" s="138" t="s">
        <v>356</v>
      </c>
    </row>
    <row r="4" spans="1:18" x14ac:dyDescent="0.25">
      <c r="A4" s="138" t="s">
        <v>250</v>
      </c>
      <c r="C4" s="138" t="s">
        <v>796</v>
      </c>
    </row>
    <row r="5" spans="1:18" x14ac:dyDescent="0.25">
      <c r="A5" s="138" t="s">
        <v>250</v>
      </c>
    </row>
    <row r="6" spans="1:18" x14ac:dyDescent="0.25">
      <c r="A6" s="138" t="s">
        <v>250</v>
      </c>
      <c r="B6" s="138" t="s">
        <v>357</v>
      </c>
    </row>
    <row r="7" spans="1:18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18" x14ac:dyDescent="0.25">
      <c r="A8" s="138" t="s">
        <v>250</v>
      </c>
      <c r="B8" s="141"/>
      <c r="C8" s="144">
        <v>42205</v>
      </c>
      <c r="D8" s="145" t="s">
        <v>410</v>
      </c>
      <c r="E8" s="138" t="s">
        <v>797</v>
      </c>
    </row>
    <row r="9" spans="1:18" x14ac:dyDescent="0.25">
      <c r="A9" s="138" t="s">
        <v>250</v>
      </c>
      <c r="B9" s="141"/>
      <c r="C9" s="144"/>
      <c r="D9" s="145"/>
    </row>
    <row r="10" spans="1:18" x14ac:dyDescent="0.25">
      <c r="A10" s="138" t="s">
        <v>250</v>
      </c>
      <c r="B10" s="141"/>
      <c r="C10" s="144"/>
    </row>
    <row r="11" spans="1:18" x14ac:dyDescent="0.25">
      <c r="A11" s="138" t="s">
        <v>250</v>
      </c>
      <c r="B11" s="138" t="s">
        <v>266</v>
      </c>
    </row>
    <row r="12" spans="1:18" x14ac:dyDescent="0.25">
      <c r="A12" s="138" t="s">
        <v>250</v>
      </c>
      <c r="C12" s="138" t="s">
        <v>800</v>
      </c>
    </row>
    <row r="13" spans="1:18" x14ac:dyDescent="0.25">
      <c r="A13" s="138" t="s">
        <v>250</v>
      </c>
      <c r="C13" s="138" t="s">
        <v>422</v>
      </c>
    </row>
    <row r="14" spans="1:18" x14ac:dyDescent="0.25">
      <c r="A14" s="138" t="s">
        <v>250</v>
      </c>
      <c r="B14" s="138" t="s">
        <v>251</v>
      </c>
    </row>
    <row r="15" spans="1:18" s="139" customFormat="1" x14ac:dyDescent="0.25">
      <c r="A15" s="139" t="s">
        <v>250</v>
      </c>
      <c r="M15" s="149"/>
      <c r="N15" s="149"/>
      <c r="O15" s="149"/>
      <c r="P15" s="149"/>
      <c r="Q15" s="149"/>
      <c r="R15" s="149"/>
    </row>
    <row r="16" spans="1:18" x14ac:dyDescent="0.25">
      <c r="A16" s="138" t="s">
        <v>250</v>
      </c>
    </row>
    <row r="17" spans="1:20" x14ac:dyDescent="0.25">
      <c r="A17" s="138" t="s">
        <v>250</v>
      </c>
      <c r="B17" s="138" t="s">
        <v>272</v>
      </c>
    </row>
    <row r="18" spans="1:20" x14ac:dyDescent="0.25">
      <c r="A18" s="138" t="s">
        <v>250</v>
      </c>
    </row>
    <row r="19" spans="1:20" x14ac:dyDescent="0.25">
      <c r="A19" s="138" t="s">
        <v>250</v>
      </c>
      <c r="B19" s="138" t="s">
        <v>926</v>
      </c>
    </row>
    <row r="20" spans="1:20" x14ac:dyDescent="0.25">
      <c r="A20" s="138" t="s">
        <v>250</v>
      </c>
      <c r="M20" s="138" t="s">
        <v>925</v>
      </c>
      <c r="N20" s="330"/>
      <c r="O20" s="330"/>
      <c r="P20" s="330"/>
      <c r="Q20" s="330"/>
      <c r="R20" s="138" t="s">
        <v>925</v>
      </c>
    </row>
    <row r="21" spans="1:20" x14ac:dyDescent="0.25">
      <c r="A21" s="138" t="s">
        <v>365</v>
      </c>
    </row>
    <row r="22" spans="1:20" x14ac:dyDescent="0.25">
      <c r="B22" s="140" t="str">
        <f>"TABLE "&amp;$C$4</f>
        <v>TABLE LtgInputRestrictions</v>
      </c>
      <c r="C22" s="140"/>
    </row>
    <row r="23" spans="1:20" x14ac:dyDescent="0.25">
      <c r="C23" s="140" t="s">
        <v>435</v>
      </c>
      <c r="D23" s="334" t="s">
        <v>427</v>
      </c>
      <c r="E23" s="334" t="s">
        <v>427</v>
      </c>
      <c r="F23" s="334" t="s">
        <v>427</v>
      </c>
      <c r="G23" s="334" t="s">
        <v>427</v>
      </c>
      <c r="H23" s="334" t="s">
        <v>427</v>
      </c>
      <c r="I23" s="334" t="s">
        <v>427</v>
      </c>
      <c r="J23" s="334" t="s">
        <v>427</v>
      </c>
      <c r="K23" s="334" t="s">
        <v>427</v>
      </c>
      <c r="L23" s="334" t="s">
        <v>427</v>
      </c>
      <c r="M23" s="149" t="s">
        <v>784</v>
      </c>
      <c r="N23" s="149" t="s">
        <v>784</v>
      </c>
      <c r="O23" s="149" t="s">
        <v>784</v>
      </c>
      <c r="P23" s="149" t="s">
        <v>784</v>
      </c>
      <c r="Q23" s="149" t="s">
        <v>784</v>
      </c>
      <c r="R23" s="149" t="s">
        <v>784</v>
      </c>
      <c r="S23" s="138" t="s">
        <v>250</v>
      </c>
      <c r="T23" s="138" t="s">
        <v>794</v>
      </c>
    </row>
    <row r="24" spans="1:20" ht="106.5" customHeight="1" x14ac:dyDescent="0.25">
      <c r="C24" s="333" t="s">
        <v>1043</v>
      </c>
      <c r="D24" s="116" t="s">
        <v>428</v>
      </c>
      <c r="E24" s="116" t="s">
        <v>429</v>
      </c>
      <c r="F24" s="116" t="s">
        <v>430</v>
      </c>
      <c r="G24" s="116" t="s">
        <v>431</v>
      </c>
      <c r="H24" s="116" t="s">
        <v>424</v>
      </c>
      <c r="I24" s="116" t="s">
        <v>425</v>
      </c>
      <c r="J24" s="116" t="s">
        <v>426</v>
      </c>
      <c r="K24" s="116" t="s">
        <v>432</v>
      </c>
      <c r="L24" s="116" t="s">
        <v>909</v>
      </c>
      <c r="M24" s="338" t="s">
        <v>905</v>
      </c>
      <c r="N24" s="338" t="s">
        <v>413</v>
      </c>
      <c r="O24" s="338" t="s">
        <v>414</v>
      </c>
      <c r="P24" s="338" t="s">
        <v>415</v>
      </c>
      <c r="Q24" s="338" t="s">
        <v>907</v>
      </c>
      <c r="R24" s="338" t="s">
        <v>418</v>
      </c>
      <c r="S24" s="189"/>
    </row>
    <row r="25" spans="1:20" s="139" customFormat="1" ht="30" x14ac:dyDescent="0.25">
      <c r="C25" s="336" t="s">
        <v>250</v>
      </c>
      <c r="D25" s="337" t="s">
        <v>798</v>
      </c>
      <c r="E25" s="337" t="s">
        <v>798</v>
      </c>
      <c r="F25" s="337" t="s">
        <v>798</v>
      </c>
      <c r="G25" s="337" t="s">
        <v>798</v>
      </c>
      <c r="H25" s="337" t="s">
        <v>798</v>
      </c>
      <c r="I25" s="337" t="s">
        <v>798</v>
      </c>
      <c r="J25" s="337" t="s">
        <v>798</v>
      </c>
      <c r="K25" s="337" t="s">
        <v>798</v>
      </c>
      <c r="L25" s="337" t="s">
        <v>798</v>
      </c>
      <c r="M25" s="337" t="s">
        <v>906</v>
      </c>
      <c r="N25" s="337" t="s">
        <v>906</v>
      </c>
      <c r="O25" s="337" t="s">
        <v>906</v>
      </c>
      <c r="P25" s="337" t="s">
        <v>906</v>
      </c>
      <c r="Q25" s="337" t="s">
        <v>906</v>
      </c>
      <c r="R25" s="337" t="s">
        <v>906</v>
      </c>
    </row>
    <row r="26" spans="1:20" x14ac:dyDescent="0.25">
      <c r="C26" s="138" t="s">
        <v>525</v>
      </c>
      <c r="D26" s="189">
        <v>0</v>
      </c>
      <c r="E26" s="331">
        <v>0</v>
      </c>
      <c r="F26" s="332">
        <v>1</v>
      </c>
      <c r="G26" s="331">
        <v>0</v>
      </c>
      <c r="H26" s="189">
        <v>0</v>
      </c>
      <c r="I26" s="189">
        <v>0</v>
      </c>
      <c r="J26" s="189">
        <v>0</v>
      </c>
      <c r="K26" s="189">
        <v>0</v>
      </c>
      <c r="L26" s="189">
        <v>0</v>
      </c>
      <c r="M26" s="189" t="s">
        <v>924</v>
      </c>
      <c r="N26" s="189">
        <v>0</v>
      </c>
      <c r="O26" s="189">
        <v>0</v>
      </c>
      <c r="P26" s="189">
        <v>0</v>
      </c>
      <c r="Q26" s="189">
        <v>1</v>
      </c>
      <c r="R26" s="189" t="s">
        <v>924</v>
      </c>
      <c r="S26" s="138" t="s">
        <v>250</v>
      </c>
      <c r="T26" s="138">
        <v>1</v>
      </c>
    </row>
    <row r="27" spans="1:20" x14ac:dyDescent="0.25">
      <c r="C27" s="138" t="s">
        <v>633</v>
      </c>
      <c r="D27" s="189">
        <v>0</v>
      </c>
      <c r="E27" s="331">
        <v>1</v>
      </c>
      <c r="F27" s="332">
        <v>0</v>
      </c>
      <c r="G27" s="331">
        <v>0</v>
      </c>
      <c r="H27" s="189">
        <v>0</v>
      </c>
      <c r="I27" s="189">
        <v>0</v>
      </c>
      <c r="J27" s="189">
        <v>0</v>
      </c>
      <c r="K27" s="189">
        <v>0</v>
      </c>
      <c r="L27" s="189">
        <v>0</v>
      </c>
      <c r="M27" s="189" t="s">
        <v>924</v>
      </c>
      <c r="N27" s="189">
        <v>0</v>
      </c>
      <c r="O27" s="189">
        <v>0</v>
      </c>
      <c r="P27" s="189">
        <v>0</v>
      </c>
      <c r="Q27" s="189">
        <v>1</v>
      </c>
      <c r="R27" s="189" t="s">
        <v>924</v>
      </c>
      <c r="S27" s="138" t="s">
        <v>250</v>
      </c>
      <c r="T27" s="138">
        <v>2</v>
      </c>
    </row>
    <row r="28" spans="1:20" x14ac:dyDescent="0.25">
      <c r="C28" s="138" t="s">
        <v>634</v>
      </c>
      <c r="D28" s="189">
        <v>0</v>
      </c>
      <c r="E28" s="331">
        <v>0</v>
      </c>
      <c r="F28" s="332">
        <v>0</v>
      </c>
      <c r="G28" s="331">
        <v>0</v>
      </c>
      <c r="H28" s="189">
        <v>0</v>
      </c>
      <c r="I28" s="189">
        <v>0</v>
      </c>
      <c r="J28" s="189">
        <v>0</v>
      </c>
      <c r="K28" s="189">
        <v>0</v>
      </c>
      <c r="L28" s="189">
        <v>0</v>
      </c>
      <c r="M28" s="189" t="s">
        <v>924</v>
      </c>
      <c r="N28" s="189">
        <v>0</v>
      </c>
      <c r="O28" s="189">
        <v>0</v>
      </c>
      <c r="P28" s="189">
        <v>0</v>
      </c>
      <c r="Q28" s="189">
        <v>1</v>
      </c>
      <c r="R28" s="189" t="s">
        <v>924</v>
      </c>
      <c r="S28" s="138" t="s">
        <v>250</v>
      </c>
      <c r="T28" s="138">
        <v>3</v>
      </c>
    </row>
    <row r="29" spans="1:20" x14ac:dyDescent="0.25">
      <c r="C29" s="138" t="s">
        <v>635</v>
      </c>
      <c r="D29" s="189">
        <v>0</v>
      </c>
      <c r="E29" s="331">
        <v>0</v>
      </c>
      <c r="F29" s="332">
        <v>0</v>
      </c>
      <c r="G29" s="331">
        <v>0</v>
      </c>
      <c r="H29" s="189">
        <v>0</v>
      </c>
      <c r="I29" s="189">
        <v>0</v>
      </c>
      <c r="J29" s="189">
        <v>0</v>
      </c>
      <c r="K29" s="189">
        <v>0</v>
      </c>
      <c r="L29" s="189">
        <v>0</v>
      </c>
      <c r="M29" s="189" t="s">
        <v>924</v>
      </c>
      <c r="N29" s="189">
        <v>0</v>
      </c>
      <c r="O29" s="189">
        <v>0</v>
      </c>
      <c r="P29" s="189">
        <v>0</v>
      </c>
      <c r="Q29" s="189">
        <v>1</v>
      </c>
      <c r="R29" s="189" t="s">
        <v>924</v>
      </c>
      <c r="S29" s="138" t="s">
        <v>250</v>
      </c>
      <c r="T29" s="138">
        <v>4</v>
      </c>
    </row>
    <row r="30" spans="1:20" x14ac:dyDescent="0.25">
      <c r="C30" s="138" t="s">
        <v>636</v>
      </c>
      <c r="D30" s="189">
        <v>0</v>
      </c>
      <c r="E30" s="331">
        <v>0</v>
      </c>
      <c r="F30" s="332">
        <v>0</v>
      </c>
      <c r="G30" s="331">
        <v>0</v>
      </c>
      <c r="H30" s="189">
        <v>1</v>
      </c>
      <c r="I30" s="189">
        <v>0</v>
      </c>
      <c r="J30" s="189">
        <v>0</v>
      </c>
      <c r="K30" s="189">
        <v>0</v>
      </c>
      <c r="L30" s="189">
        <v>0</v>
      </c>
      <c r="M30" s="189" t="s">
        <v>924</v>
      </c>
      <c r="N30" s="189">
        <v>0</v>
      </c>
      <c r="O30" s="189">
        <v>0</v>
      </c>
      <c r="P30" s="189">
        <v>0</v>
      </c>
      <c r="Q30" s="189">
        <v>1</v>
      </c>
      <c r="R30" s="189" t="s">
        <v>924</v>
      </c>
      <c r="S30" s="138" t="s">
        <v>250</v>
      </c>
      <c r="T30" s="138">
        <v>5</v>
      </c>
    </row>
    <row r="31" spans="1:20" x14ac:dyDescent="0.25">
      <c r="C31" s="138" t="s">
        <v>526</v>
      </c>
      <c r="D31" s="189">
        <v>0</v>
      </c>
      <c r="E31" s="331">
        <v>0</v>
      </c>
      <c r="F31" s="332">
        <v>1</v>
      </c>
      <c r="G31" s="331">
        <v>0</v>
      </c>
      <c r="H31" s="189">
        <v>0</v>
      </c>
      <c r="I31" s="189">
        <v>0</v>
      </c>
      <c r="J31" s="189">
        <v>0</v>
      </c>
      <c r="K31" s="189">
        <v>0</v>
      </c>
      <c r="L31" s="189">
        <v>0</v>
      </c>
      <c r="M31" s="189" t="s">
        <v>924</v>
      </c>
      <c r="N31" s="189">
        <v>0</v>
      </c>
      <c r="O31" s="189">
        <v>0</v>
      </c>
      <c r="P31" s="189">
        <v>0</v>
      </c>
      <c r="Q31" s="189">
        <v>1</v>
      </c>
      <c r="R31" s="189" t="s">
        <v>924</v>
      </c>
      <c r="S31" s="138" t="s">
        <v>250</v>
      </c>
      <c r="T31" s="138">
        <v>6</v>
      </c>
    </row>
    <row r="32" spans="1:20" x14ac:dyDescent="0.25">
      <c r="C32" s="138" t="s">
        <v>637</v>
      </c>
      <c r="D32" s="189">
        <v>0</v>
      </c>
      <c r="E32" s="331">
        <v>0</v>
      </c>
      <c r="F32" s="332">
        <v>0</v>
      </c>
      <c r="G32" s="331">
        <v>0</v>
      </c>
      <c r="H32" s="189">
        <v>0</v>
      </c>
      <c r="I32" s="189">
        <v>0</v>
      </c>
      <c r="J32" s="189">
        <v>0</v>
      </c>
      <c r="K32" s="189">
        <v>0</v>
      </c>
      <c r="L32" s="189">
        <v>0</v>
      </c>
      <c r="M32" s="189" t="s">
        <v>924</v>
      </c>
      <c r="N32" s="189">
        <v>0</v>
      </c>
      <c r="O32" s="189">
        <v>0</v>
      </c>
      <c r="P32" s="189">
        <v>0</v>
      </c>
      <c r="Q32" s="189">
        <v>1</v>
      </c>
      <c r="R32" s="189" t="s">
        <v>924</v>
      </c>
      <c r="S32" s="138" t="s">
        <v>250</v>
      </c>
      <c r="T32" s="138">
        <v>7</v>
      </c>
    </row>
    <row r="33" spans="3:20" x14ac:dyDescent="0.25">
      <c r="C33" s="138" t="s">
        <v>638</v>
      </c>
      <c r="D33" s="189">
        <v>0</v>
      </c>
      <c r="E33" s="331">
        <v>0</v>
      </c>
      <c r="F33" s="332">
        <v>0</v>
      </c>
      <c r="G33" s="331">
        <v>0</v>
      </c>
      <c r="H33" s="189">
        <v>0</v>
      </c>
      <c r="I33" s="189">
        <v>0</v>
      </c>
      <c r="J33" s="189">
        <v>0</v>
      </c>
      <c r="K33" s="189">
        <v>0</v>
      </c>
      <c r="L33" s="189">
        <v>0</v>
      </c>
      <c r="M33" s="189" t="s">
        <v>924</v>
      </c>
      <c r="N33" s="189">
        <v>0</v>
      </c>
      <c r="O33" s="189">
        <v>0</v>
      </c>
      <c r="P33" s="189">
        <v>0</v>
      </c>
      <c r="Q33" s="189">
        <v>1</v>
      </c>
      <c r="R33" s="189" t="s">
        <v>924</v>
      </c>
      <c r="S33" s="138" t="s">
        <v>250</v>
      </c>
      <c r="T33" s="138">
        <v>8</v>
      </c>
    </row>
    <row r="34" spans="3:20" x14ac:dyDescent="0.25">
      <c r="C34" s="138" t="s">
        <v>639</v>
      </c>
      <c r="D34" s="189">
        <v>0</v>
      </c>
      <c r="E34" s="331">
        <v>0</v>
      </c>
      <c r="F34" s="332">
        <v>0</v>
      </c>
      <c r="G34" s="331">
        <v>0</v>
      </c>
      <c r="H34" s="189">
        <v>0</v>
      </c>
      <c r="I34" s="189">
        <v>0</v>
      </c>
      <c r="J34" s="189">
        <v>0</v>
      </c>
      <c r="K34" s="189">
        <v>0</v>
      </c>
      <c r="L34" s="189">
        <v>0</v>
      </c>
      <c r="M34" s="189" t="s">
        <v>924</v>
      </c>
      <c r="N34" s="189">
        <v>0</v>
      </c>
      <c r="O34" s="189">
        <v>0</v>
      </c>
      <c r="P34" s="189">
        <v>0</v>
      </c>
      <c r="Q34" s="189">
        <v>1</v>
      </c>
      <c r="R34" s="189" t="s">
        <v>924</v>
      </c>
      <c r="S34" s="138" t="s">
        <v>250</v>
      </c>
      <c r="T34" s="138">
        <v>9</v>
      </c>
    </row>
    <row r="35" spans="3:20" x14ac:dyDescent="0.25">
      <c r="C35" s="138" t="s">
        <v>527</v>
      </c>
      <c r="D35" s="189">
        <v>0</v>
      </c>
      <c r="E35" s="331">
        <v>0</v>
      </c>
      <c r="F35" s="332">
        <v>1</v>
      </c>
      <c r="G35" s="331">
        <v>0</v>
      </c>
      <c r="H35" s="189">
        <v>0</v>
      </c>
      <c r="I35" s="189">
        <v>0</v>
      </c>
      <c r="J35" s="189">
        <v>0</v>
      </c>
      <c r="K35" s="189">
        <v>0</v>
      </c>
      <c r="L35" s="189">
        <v>0</v>
      </c>
      <c r="M35" s="189" t="s">
        <v>924</v>
      </c>
      <c r="N35" s="189">
        <v>0</v>
      </c>
      <c r="O35" s="189">
        <v>0</v>
      </c>
      <c r="P35" s="189">
        <v>0</v>
      </c>
      <c r="Q35" s="189">
        <v>1</v>
      </c>
      <c r="R35" s="189" t="s">
        <v>924</v>
      </c>
      <c r="S35" s="138" t="s">
        <v>250</v>
      </c>
      <c r="T35" s="138">
        <v>10</v>
      </c>
    </row>
    <row r="36" spans="3:20" x14ac:dyDescent="0.25">
      <c r="C36" s="138" t="s">
        <v>640</v>
      </c>
      <c r="D36" s="189">
        <v>0</v>
      </c>
      <c r="E36" s="331">
        <v>0</v>
      </c>
      <c r="F36" s="332">
        <v>0</v>
      </c>
      <c r="G36" s="331">
        <v>0</v>
      </c>
      <c r="H36" s="189">
        <v>0</v>
      </c>
      <c r="I36" s="189">
        <v>0</v>
      </c>
      <c r="J36" s="189">
        <v>0</v>
      </c>
      <c r="K36" s="189">
        <v>0</v>
      </c>
      <c r="L36" s="189">
        <v>0</v>
      </c>
      <c r="M36" s="189" t="s">
        <v>924</v>
      </c>
      <c r="N36" s="189">
        <v>0</v>
      </c>
      <c r="O36" s="189">
        <v>0</v>
      </c>
      <c r="P36" s="189">
        <v>0</v>
      </c>
      <c r="Q36" s="189">
        <v>1</v>
      </c>
      <c r="R36" s="189" t="s">
        <v>924</v>
      </c>
      <c r="S36" s="138" t="s">
        <v>250</v>
      </c>
      <c r="T36" s="138">
        <v>11</v>
      </c>
    </row>
    <row r="37" spans="3:20" x14ac:dyDescent="0.25">
      <c r="C37" s="138" t="s">
        <v>528</v>
      </c>
      <c r="D37" s="189">
        <v>0</v>
      </c>
      <c r="E37" s="331">
        <v>0</v>
      </c>
      <c r="F37" s="332">
        <v>1</v>
      </c>
      <c r="G37" s="331">
        <v>0</v>
      </c>
      <c r="H37" s="189">
        <v>0</v>
      </c>
      <c r="I37" s="189">
        <v>0</v>
      </c>
      <c r="J37" s="189">
        <v>0</v>
      </c>
      <c r="K37" s="189">
        <v>0</v>
      </c>
      <c r="L37" s="189">
        <v>0</v>
      </c>
      <c r="M37" s="189" t="s">
        <v>924</v>
      </c>
      <c r="N37" s="189">
        <v>0</v>
      </c>
      <c r="O37" s="189">
        <v>0</v>
      </c>
      <c r="P37" s="189">
        <v>0</v>
      </c>
      <c r="Q37" s="189">
        <v>1</v>
      </c>
      <c r="R37" s="189" t="s">
        <v>924</v>
      </c>
      <c r="S37" s="138" t="s">
        <v>250</v>
      </c>
      <c r="T37" s="138">
        <v>12</v>
      </c>
    </row>
    <row r="38" spans="3:20" x14ac:dyDescent="0.25">
      <c r="C38" s="138" t="s">
        <v>641</v>
      </c>
      <c r="D38" s="189">
        <v>0</v>
      </c>
      <c r="E38" s="331">
        <v>0</v>
      </c>
      <c r="F38" s="332">
        <v>0</v>
      </c>
      <c r="G38" s="331">
        <v>0</v>
      </c>
      <c r="H38" s="189">
        <v>0</v>
      </c>
      <c r="I38" s="189">
        <v>0</v>
      </c>
      <c r="J38" s="189">
        <v>0</v>
      </c>
      <c r="K38" s="189">
        <v>0</v>
      </c>
      <c r="L38" s="189">
        <v>0</v>
      </c>
      <c r="M38" s="189" t="s">
        <v>924</v>
      </c>
      <c r="N38" s="189">
        <v>0</v>
      </c>
      <c r="O38" s="189">
        <v>0</v>
      </c>
      <c r="P38" s="189">
        <v>0</v>
      </c>
      <c r="Q38" s="189">
        <v>1</v>
      </c>
      <c r="R38" s="189" t="s">
        <v>924</v>
      </c>
      <c r="S38" s="138" t="s">
        <v>250</v>
      </c>
      <c r="T38" s="138">
        <v>13</v>
      </c>
    </row>
    <row r="39" spans="3:20" x14ac:dyDescent="0.25">
      <c r="C39" s="138" t="s">
        <v>642</v>
      </c>
      <c r="D39" s="189">
        <v>0</v>
      </c>
      <c r="E39" s="331">
        <v>0</v>
      </c>
      <c r="F39" s="332">
        <v>0</v>
      </c>
      <c r="G39" s="331">
        <v>0</v>
      </c>
      <c r="H39" s="189">
        <v>0</v>
      </c>
      <c r="I39" s="189">
        <v>0</v>
      </c>
      <c r="J39" s="189">
        <v>0</v>
      </c>
      <c r="K39" s="189">
        <v>0</v>
      </c>
      <c r="L39" s="189">
        <v>0</v>
      </c>
      <c r="M39" s="189" t="s">
        <v>924</v>
      </c>
      <c r="N39" s="189">
        <v>0</v>
      </c>
      <c r="O39" s="189">
        <v>0</v>
      </c>
      <c r="P39" s="189">
        <v>0</v>
      </c>
      <c r="Q39" s="189">
        <v>1</v>
      </c>
      <c r="R39" s="189" t="s">
        <v>924</v>
      </c>
      <c r="S39" s="138" t="s">
        <v>250</v>
      </c>
      <c r="T39" s="138">
        <v>14</v>
      </c>
    </row>
    <row r="40" spans="3:20" x14ac:dyDescent="0.25">
      <c r="C40" s="138" t="s">
        <v>643</v>
      </c>
      <c r="D40" s="189">
        <v>0</v>
      </c>
      <c r="E40" s="331">
        <v>1</v>
      </c>
      <c r="F40" s="332">
        <v>0</v>
      </c>
      <c r="G40" s="331">
        <v>0</v>
      </c>
      <c r="H40" s="189">
        <v>0</v>
      </c>
      <c r="I40" s="189">
        <v>0</v>
      </c>
      <c r="J40" s="189">
        <v>0</v>
      </c>
      <c r="K40" s="189">
        <v>0</v>
      </c>
      <c r="L40" s="189">
        <v>0</v>
      </c>
      <c r="M40" s="189" t="s">
        <v>924</v>
      </c>
      <c r="N40" s="189">
        <v>0</v>
      </c>
      <c r="O40" s="189">
        <v>0</v>
      </c>
      <c r="P40" s="189">
        <v>0</v>
      </c>
      <c r="Q40" s="189">
        <v>1</v>
      </c>
      <c r="R40" s="189" t="s">
        <v>924</v>
      </c>
      <c r="S40" s="138" t="s">
        <v>250</v>
      </c>
      <c r="T40" s="138">
        <v>15</v>
      </c>
    </row>
    <row r="41" spans="3:20" x14ac:dyDescent="0.25">
      <c r="C41" s="138" t="s">
        <v>932</v>
      </c>
      <c r="D41" s="189">
        <v>0</v>
      </c>
      <c r="E41" s="331">
        <v>0</v>
      </c>
      <c r="F41" s="332">
        <v>0</v>
      </c>
      <c r="G41" s="331">
        <v>0</v>
      </c>
      <c r="H41" s="189">
        <v>0</v>
      </c>
      <c r="I41" s="189">
        <v>0</v>
      </c>
      <c r="J41" s="189">
        <v>0</v>
      </c>
      <c r="K41" s="189">
        <v>0</v>
      </c>
      <c r="L41" s="189">
        <v>0</v>
      </c>
      <c r="M41" s="189" t="s">
        <v>924</v>
      </c>
      <c r="N41" s="189">
        <v>0</v>
      </c>
      <c r="O41" s="189">
        <v>0</v>
      </c>
      <c r="P41" s="189">
        <v>0</v>
      </c>
      <c r="Q41" s="189">
        <v>1</v>
      </c>
      <c r="R41" s="189" t="s">
        <v>924</v>
      </c>
      <c r="S41" s="138" t="s">
        <v>250</v>
      </c>
      <c r="T41" s="138">
        <v>16</v>
      </c>
    </row>
    <row r="42" spans="3:20" x14ac:dyDescent="0.25">
      <c r="C42" s="138" t="s">
        <v>529</v>
      </c>
      <c r="D42" s="189">
        <v>0</v>
      </c>
      <c r="E42" s="331">
        <v>0</v>
      </c>
      <c r="F42" s="332">
        <v>0</v>
      </c>
      <c r="G42" s="331">
        <v>0</v>
      </c>
      <c r="H42" s="189">
        <v>0</v>
      </c>
      <c r="I42" s="189">
        <v>0</v>
      </c>
      <c r="J42" s="189">
        <v>0</v>
      </c>
      <c r="K42" s="189">
        <v>0</v>
      </c>
      <c r="L42" s="189">
        <v>0</v>
      </c>
      <c r="M42" s="189" t="s">
        <v>924</v>
      </c>
      <c r="N42" s="189">
        <v>0</v>
      </c>
      <c r="O42" s="189">
        <v>0</v>
      </c>
      <c r="P42" s="189">
        <v>0</v>
      </c>
      <c r="Q42" s="189">
        <v>1</v>
      </c>
      <c r="R42" s="189" t="s">
        <v>924</v>
      </c>
      <c r="S42" s="138" t="s">
        <v>250</v>
      </c>
      <c r="T42" s="138">
        <v>17</v>
      </c>
    </row>
    <row r="43" spans="3:20" x14ac:dyDescent="0.25">
      <c r="C43" s="138" t="s">
        <v>530</v>
      </c>
      <c r="D43" s="189">
        <v>0</v>
      </c>
      <c r="E43" s="331">
        <v>0</v>
      </c>
      <c r="F43" s="332">
        <v>1</v>
      </c>
      <c r="G43" s="331">
        <v>0</v>
      </c>
      <c r="H43" s="189">
        <v>0</v>
      </c>
      <c r="I43" s="189">
        <v>0</v>
      </c>
      <c r="J43" s="189">
        <v>0</v>
      </c>
      <c r="K43" s="189">
        <v>0</v>
      </c>
      <c r="L43" s="189">
        <v>0</v>
      </c>
      <c r="M43" s="189" t="s">
        <v>924</v>
      </c>
      <c r="N43" s="189">
        <v>0</v>
      </c>
      <c r="O43" s="189">
        <v>0</v>
      </c>
      <c r="P43" s="189">
        <v>0</v>
      </c>
      <c r="Q43" s="189">
        <v>1</v>
      </c>
      <c r="R43" s="189" t="s">
        <v>924</v>
      </c>
      <c r="S43" s="138" t="s">
        <v>250</v>
      </c>
      <c r="T43" s="138">
        <v>18</v>
      </c>
    </row>
    <row r="44" spans="3:20" x14ac:dyDescent="0.25">
      <c r="C44" s="138" t="s">
        <v>644</v>
      </c>
      <c r="D44" s="189">
        <v>0</v>
      </c>
      <c r="E44" s="331">
        <v>1</v>
      </c>
      <c r="F44" s="332">
        <v>0</v>
      </c>
      <c r="G44" s="331">
        <v>0</v>
      </c>
      <c r="H44" s="189">
        <v>0</v>
      </c>
      <c r="I44" s="189">
        <v>0</v>
      </c>
      <c r="J44" s="189">
        <v>0</v>
      </c>
      <c r="K44" s="189">
        <v>0</v>
      </c>
      <c r="L44" s="189">
        <v>0</v>
      </c>
      <c r="M44" s="189" t="s">
        <v>924</v>
      </c>
      <c r="N44" s="189">
        <v>0</v>
      </c>
      <c r="O44" s="189">
        <v>0</v>
      </c>
      <c r="P44" s="189">
        <v>0</v>
      </c>
      <c r="Q44" s="189">
        <v>1</v>
      </c>
      <c r="R44" s="189" t="s">
        <v>924</v>
      </c>
      <c r="S44" s="138" t="s">
        <v>250</v>
      </c>
      <c r="T44" s="138">
        <v>19</v>
      </c>
    </row>
    <row r="45" spans="3:20" x14ac:dyDescent="0.25">
      <c r="C45" s="138" t="s">
        <v>645</v>
      </c>
      <c r="D45" s="189">
        <v>0</v>
      </c>
      <c r="E45" s="331">
        <v>1</v>
      </c>
      <c r="F45" s="332">
        <v>0</v>
      </c>
      <c r="G45" s="331">
        <v>0</v>
      </c>
      <c r="H45" s="189">
        <v>0</v>
      </c>
      <c r="I45" s="189">
        <v>0</v>
      </c>
      <c r="J45" s="189">
        <v>0</v>
      </c>
      <c r="K45" s="189">
        <v>0</v>
      </c>
      <c r="L45" s="189">
        <v>0</v>
      </c>
      <c r="M45" s="189" t="s">
        <v>924</v>
      </c>
      <c r="N45" s="189">
        <v>0</v>
      </c>
      <c r="O45" s="189">
        <v>0</v>
      </c>
      <c r="P45" s="189">
        <v>0</v>
      </c>
      <c r="Q45" s="189">
        <v>1</v>
      </c>
      <c r="R45" s="189" t="s">
        <v>924</v>
      </c>
      <c r="S45" s="138" t="s">
        <v>250</v>
      </c>
      <c r="T45" s="138">
        <v>20</v>
      </c>
    </row>
    <row r="46" spans="3:20" x14ac:dyDescent="0.25">
      <c r="C46" s="138" t="s">
        <v>646</v>
      </c>
      <c r="D46" s="189">
        <v>0</v>
      </c>
      <c r="E46" s="331">
        <v>0</v>
      </c>
      <c r="F46" s="332">
        <v>0</v>
      </c>
      <c r="G46" s="331">
        <v>1</v>
      </c>
      <c r="H46" s="189">
        <v>0</v>
      </c>
      <c r="I46" s="189">
        <v>0</v>
      </c>
      <c r="J46" s="189">
        <v>0</v>
      </c>
      <c r="K46" s="189">
        <v>0</v>
      </c>
      <c r="L46" s="189">
        <v>0</v>
      </c>
      <c r="M46" s="189" t="s">
        <v>924</v>
      </c>
      <c r="N46" s="189">
        <v>0</v>
      </c>
      <c r="O46" s="189">
        <v>0</v>
      </c>
      <c r="P46" s="189">
        <v>0</v>
      </c>
      <c r="Q46" s="189">
        <v>1</v>
      </c>
      <c r="R46" s="189" t="s">
        <v>924</v>
      </c>
      <c r="S46" s="138" t="s">
        <v>250</v>
      </c>
      <c r="T46" s="138">
        <v>21</v>
      </c>
    </row>
    <row r="47" spans="3:20" x14ac:dyDescent="0.25">
      <c r="C47" s="138" t="s">
        <v>531</v>
      </c>
      <c r="D47" s="189">
        <v>0</v>
      </c>
      <c r="E47" s="331">
        <v>0</v>
      </c>
      <c r="F47" s="332">
        <v>0</v>
      </c>
      <c r="G47" s="331">
        <v>0</v>
      </c>
      <c r="H47" s="189">
        <v>0</v>
      </c>
      <c r="I47" s="189">
        <v>1</v>
      </c>
      <c r="J47" s="189">
        <v>1</v>
      </c>
      <c r="K47" s="189">
        <v>0</v>
      </c>
      <c r="L47" s="189">
        <v>0</v>
      </c>
      <c r="M47" s="189" t="s">
        <v>924</v>
      </c>
      <c r="N47" s="189">
        <v>0</v>
      </c>
      <c r="O47" s="189">
        <v>0</v>
      </c>
      <c r="P47" s="189">
        <v>0</v>
      </c>
      <c r="Q47" s="189">
        <v>1</v>
      </c>
      <c r="R47" s="189" t="s">
        <v>924</v>
      </c>
      <c r="S47" s="138" t="s">
        <v>250</v>
      </c>
      <c r="T47" s="138">
        <v>22</v>
      </c>
    </row>
    <row r="48" spans="3:20" x14ac:dyDescent="0.25">
      <c r="C48" s="138" t="s">
        <v>933</v>
      </c>
      <c r="D48" s="189">
        <v>0</v>
      </c>
      <c r="E48" s="331">
        <v>0</v>
      </c>
      <c r="F48" s="332">
        <v>0</v>
      </c>
      <c r="G48" s="331">
        <v>0</v>
      </c>
      <c r="H48" s="189">
        <v>0</v>
      </c>
      <c r="I48" s="189">
        <v>0</v>
      </c>
      <c r="J48" s="189">
        <v>0</v>
      </c>
      <c r="K48" s="189">
        <v>0</v>
      </c>
      <c r="L48" s="189">
        <v>0</v>
      </c>
      <c r="M48" s="189" t="s">
        <v>924</v>
      </c>
      <c r="N48" s="189">
        <v>0</v>
      </c>
      <c r="O48" s="189">
        <v>0</v>
      </c>
      <c r="P48" s="189">
        <v>0</v>
      </c>
      <c r="Q48" s="189">
        <v>1</v>
      </c>
      <c r="R48" s="189" t="s">
        <v>924</v>
      </c>
      <c r="S48" s="138" t="s">
        <v>250</v>
      </c>
      <c r="T48" s="138">
        <v>23</v>
      </c>
    </row>
    <row r="49" spans="3:20" x14ac:dyDescent="0.25">
      <c r="C49" s="138" t="s">
        <v>647</v>
      </c>
      <c r="D49" s="189">
        <v>0</v>
      </c>
      <c r="E49" s="331">
        <v>0</v>
      </c>
      <c r="F49" s="332">
        <v>0</v>
      </c>
      <c r="G49" s="331">
        <v>0</v>
      </c>
      <c r="H49" s="189">
        <v>0</v>
      </c>
      <c r="I49" s="189">
        <v>0</v>
      </c>
      <c r="J49" s="189">
        <v>0</v>
      </c>
      <c r="K49" s="189">
        <v>0</v>
      </c>
      <c r="L49" s="189">
        <v>0</v>
      </c>
      <c r="M49" s="189" t="s">
        <v>924</v>
      </c>
      <c r="N49" s="189">
        <v>0</v>
      </c>
      <c r="O49" s="189">
        <v>0</v>
      </c>
      <c r="P49" s="189">
        <v>0</v>
      </c>
      <c r="Q49" s="189">
        <v>1</v>
      </c>
      <c r="R49" s="189" t="s">
        <v>924</v>
      </c>
      <c r="S49" s="138" t="s">
        <v>250</v>
      </c>
      <c r="T49" s="138">
        <v>24</v>
      </c>
    </row>
    <row r="50" spans="3:20" x14ac:dyDescent="0.25">
      <c r="C50" s="138" t="s">
        <v>532</v>
      </c>
      <c r="D50" s="189">
        <v>0</v>
      </c>
      <c r="E50" s="331">
        <v>0</v>
      </c>
      <c r="F50" s="332">
        <v>1</v>
      </c>
      <c r="G50" s="331">
        <v>0</v>
      </c>
      <c r="H50" s="189">
        <v>0</v>
      </c>
      <c r="I50" s="189">
        <v>0</v>
      </c>
      <c r="J50" s="189">
        <v>0</v>
      </c>
      <c r="K50" s="189">
        <v>0</v>
      </c>
      <c r="L50" s="189">
        <v>0</v>
      </c>
      <c r="M50" s="189" t="s">
        <v>924</v>
      </c>
      <c r="N50" s="189">
        <v>0</v>
      </c>
      <c r="O50" s="189">
        <v>0</v>
      </c>
      <c r="P50" s="189">
        <v>0</v>
      </c>
      <c r="Q50" s="189">
        <v>1</v>
      </c>
      <c r="R50" s="189" t="s">
        <v>924</v>
      </c>
      <c r="S50" s="138" t="s">
        <v>250</v>
      </c>
      <c r="T50" s="138">
        <v>25</v>
      </c>
    </row>
    <row r="51" spans="3:20" x14ac:dyDescent="0.25">
      <c r="C51" s="138" t="s">
        <v>648</v>
      </c>
      <c r="D51" s="189">
        <v>0</v>
      </c>
      <c r="E51" s="331">
        <v>0</v>
      </c>
      <c r="F51" s="332">
        <v>0</v>
      </c>
      <c r="G51" s="331">
        <v>0</v>
      </c>
      <c r="H51" s="189">
        <v>0</v>
      </c>
      <c r="I51" s="189">
        <v>0</v>
      </c>
      <c r="J51" s="189">
        <v>0</v>
      </c>
      <c r="K51" s="189">
        <v>0</v>
      </c>
      <c r="L51" s="189">
        <v>0</v>
      </c>
      <c r="M51" s="189" t="s">
        <v>924</v>
      </c>
      <c r="N51" s="189">
        <v>0</v>
      </c>
      <c r="O51" s="189">
        <v>0</v>
      </c>
      <c r="P51" s="189">
        <v>0</v>
      </c>
      <c r="Q51" s="189">
        <v>1</v>
      </c>
      <c r="R51" s="189" t="s">
        <v>924</v>
      </c>
      <c r="S51" s="138" t="s">
        <v>250</v>
      </c>
      <c r="T51" s="138">
        <v>26</v>
      </c>
    </row>
    <row r="52" spans="3:20" x14ac:dyDescent="0.25">
      <c r="C52" s="138" t="s">
        <v>649</v>
      </c>
      <c r="D52" s="189">
        <v>0</v>
      </c>
      <c r="E52" s="331">
        <v>0</v>
      </c>
      <c r="F52" s="332">
        <v>0</v>
      </c>
      <c r="G52" s="331">
        <v>0</v>
      </c>
      <c r="H52" s="189">
        <v>0</v>
      </c>
      <c r="I52" s="189">
        <v>0</v>
      </c>
      <c r="J52" s="189">
        <v>0</v>
      </c>
      <c r="K52" s="189">
        <v>0</v>
      </c>
      <c r="L52" s="189">
        <v>0</v>
      </c>
      <c r="M52" s="189" t="s">
        <v>924</v>
      </c>
      <c r="N52" s="189">
        <v>0</v>
      </c>
      <c r="O52" s="189">
        <v>0</v>
      </c>
      <c r="P52" s="189">
        <v>0</v>
      </c>
      <c r="Q52" s="189">
        <v>1</v>
      </c>
      <c r="R52" s="189" t="s">
        <v>924</v>
      </c>
      <c r="S52" s="138" t="s">
        <v>250</v>
      </c>
      <c r="T52" s="138">
        <v>27</v>
      </c>
    </row>
    <row r="53" spans="3:20" x14ac:dyDescent="0.25">
      <c r="C53" s="138" t="s">
        <v>650</v>
      </c>
      <c r="D53" s="189">
        <v>0</v>
      </c>
      <c r="E53" s="331">
        <v>0</v>
      </c>
      <c r="F53" s="332">
        <v>0</v>
      </c>
      <c r="G53" s="331">
        <v>0</v>
      </c>
      <c r="H53" s="189">
        <v>0</v>
      </c>
      <c r="I53" s="189">
        <v>0</v>
      </c>
      <c r="J53" s="189">
        <v>0</v>
      </c>
      <c r="K53" s="189">
        <v>0</v>
      </c>
      <c r="L53" s="189">
        <v>0</v>
      </c>
      <c r="M53" s="189" t="s">
        <v>924</v>
      </c>
      <c r="N53" s="189">
        <v>0</v>
      </c>
      <c r="O53" s="189">
        <v>0</v>
      </c>
      <c r="P53" s="189">
        <v>0</v>
      </c>
      <c r="Q53" s="189">
        <v>1</v>
      </c>
      <c r="R53" s="189" t="s">
        <v>924</v>
      </c>
      <c r="S53" s="138" t="s">
        <v>250</v>
      </c>
      <c r="T53" s="138">
        <v>28</v>
      </c>
    </row>
    <row r="54" spans="3:20" x14ac:dyDescent="0.25">
      <c r="C54" s="138" t="s">
        <v>651</v>
      </c>
      <c r="D54" s="189">
        <v>0</v>
      </c>
      <c r="E54" s="331">
        <v>0</v>
      </c>
      <c r="F54" s="332">
        <v>0</v>
      </c>
      <c r="G54" s="331">
        <v>0</v>
      </c>
      <c r="H54" s="189">
        <v>0</v>
      </c>
      <c r="I54" s="189">
        <v>0</v>
      </c>
      <c r="J54" s="189">
        <v>0</v>
      </c>
      <c r="K54" s="189">
        <v>0</v>
      </c>
      <c r="L54" s="189">
        <v>0</v>
      </c>
      <c r="M54" s="189" t="s">
        <v>924</v>
      </c>
      <c r="N54" s="189">
        <v>0</v>
      </c>
      <c r="O54" s="189">
        <v>0</v>
      </c>
      <c r="P54" s="189">
        <v>0</v>
      </c>
      <c r="Q54" s="189">
        <v>1</v>
      </c>
      <c r="R54" s="189" t="s">
        <v>924</v>
      </c>
      <c r="S54" s="138" t="s">
        <v>250</v>
      </c>
      <c r="T54" s="138">
        <v>29</v>
      </c>
    </row>
    <row r="55" spans="3:20" x14ac:dyDescent="0.25">
      <c r="C55" s="138" t="s">
        <v>652</v>
      </c>
      <c r="D55" s="189">
        <v>0</v>
      </c>
      <c r="E55" s="331">
        <v>0</v>
      </c>
      <c r="F55" s="332">
        <v>0</v>
      </c>
      <c r="G55" s="331">
        <v>0</v>
      </c>
      <c r="H55" s="189">
        <v>0</v>
      </c>
      <c r="I55" s="189">
        <v>0</v>
      </c>
      <c r="J55" s="189">
        <v>0</v>
      </c>
      <c r="K55" s="189">
        <v>0</v>
      </c>
      <c r="L55" s="189">
        <v>0</v>
      </c>
      <c r="M55" s="189" t="s">
        <v>924</v>
      </c>
      <c r="N55" s="189">
        <v>0</v>
      </c>
      <c r="O55" s="189">
        <v>0</v>
      </c>
      <c r="P55" s="189">
        <v>0</v>
      </c>
      <c r="Q55" s="189">
        <v>1</v>
      </c>
      <c r="R55" s="189" t="s">
        <v>924</v>
      </c>
      <c r="S55" s="138" t="s">
        <v>250</v>
      </c>
      <c r="T55" s="138">
        <v>30</v>
      </c>
    </row>
    <row r="56" spans="3:20" x14ac:dyDescent="0.25">
      <c r="C56" s="138" t="s">
        <v>653</v>
      </c>
      <c r="D56" s="189">
        <v>1</v>
      </c>
      <c r="E56" s="331">
        <v>0</v>
      </c>
      <c r="F56" s="332">
        <v>0</v>
      </c>
      <c r="G56" s="331">
        <v>0</v>
      </c>
      <c r="H56" s="189">
        <v>0</v>
      </c>
      <c r="I56" s="189">
        <v>0</v>
      </c>
      <c r="J56" s="189">
        <v>0</v>
      </c>
      <c r="K56" s="189">
        <v>0</v>
      </c>
      <c r="L56" s="189">
        <v>0</v>
      </c>
      <c r="M56" s="189" t="s">
        <v>924</v>
      </c>
      <c r="N56" s="189">
        <v>0</v>
      </c>
      <c r="O56" s="189">
        <v>0</v>
      </c>
      <c r="P56" s="189">
        <v>0</v>
      </c>
      <c r="Q56" s="189">
        <v>1</v>
      </c>
      <c r="R56" s="189" t="s">
        <v>924</v>
      </c>
      <c r="S56" s="138" t="s">
        <v>250</v>
      </c>
      <c r="T56" s="138">
        <v>31</v>
      </c>
    </row>
    <row r="57" spans="3:20" x14ac:dyDescent="0.25">
      <c r="C57" s="138" t="s">
        <v>654</v>
      </c>
      <c r="D57" s="189">
        <v>0</v>
      </c>
      <c r="E57" s="331">
        <v>0</v>
      </c>
      <c r="F57" s="332">
        <v>0</v>
      </c>
      <c r="G57" s="331">
        <v>0</v>
      </c>
      <c r="H57" s="189">
        <v>0</v>
      </c>
      <c r="I57" s="189">
        <v>0</v>
      </c>
      <c r="J57" s="189">
        <v>0</v>
      </c>
      <c r="K57" s="189">
        <v>0</v>
      </c>
      <c r="L57" s="189">
        <v>0</v>
      </c>
      <c r="M57" s="189" t="s">
        <v>924</v>
      </c>
      <c r="N57" s="189">
        <v>0</v>
      </c>
      <c r="O57" s="189">
        <v>0</v>
      </c>
      <c r="P57" s="189">
        <v>0</v>
      </c>
      <c r="Q57" s="189">
        <v>1</v>
      </c>
      <c r="R57" s="189" t="s">
        <v>924</v>
      </c>
      <c r="S57" s="138" t="s">
        <v>250</v>
      </c>
      <c r="T57" s="138">
        <v>32</v>
      </c>
    </row>
    <row r="58" spans="3:20" x14ac:dyDescent="0.25">
      <c r="C58" s="138" t="s">
        <v>655</v>
      </c>
      <c r="D58" s="189">
        <v>0</v>
      </c>
      <c r="E58" s="331">
        <v>0</v>
      </c>
      <c r="F58" s="332">
        <v>0</v>
      </c>
      <c r="G58" s="331">
        <v>0</v>
      </c>
      <c r="H58" s="189">
        <v>0</v>
      </c>
      <c r="I58" s="189">
        <v>0</v>
      </c>
      <c r="J58" s="189">
        <v>0</v>
      </c>
      <c r="K58" s="189">
        <v>0</v>
      </c>
      <c r="L58" s="189">
        <v>0</v>
      </c>
      <c r="M58" s="189" t="s">
        <v>924</v>
      </c>
      <c r="N58" s="189">
        <v>0</v>
      </c>
      <c r="O58" s="189">
        <v>0</v>
      </c>
      <c r="P58" s="189">
        <v>0</v>
      </c>
      <c r="Q58" s="189">
        <v>1</v>
      </c>
      <c r="R58" s="189" t="s">
        <v>924</v>
      </c>
      <c r="S58" s="138" t="s">
        <v>250</v>
      </c>
      <c r="T58" s="138">
        <v>33</v>
      </c>
    </row>
    <row r="59" spans="3:20" x14ac:dyDescent="0.25">
      <c r="C59" s="138" t="s">
        <v>656</v>
      </c>
      <c r="D59" s="189">
        <v>0</v>
      </c>
      <c r="E59" s="331">
        <v>0</v>
      </c>
      <c r="F59" s="332">
        <v>1</v>
      </c>
      <c r="G59" s="331">
        <v>0</v>
      </c>
      <c r="H59" s="189">
        <v>0</v>
      </c>
      <c r="I59" s="189">
        <v>0</v>
      </c>
      <c r="J59" s="189">
        <v>0</v>
      </c>
      <c r="K59" s="189">
        <v>0</v>
      </c>
      <c r="L59" s="189">
        <v>0</v>
      </c>
      <c r="M59" s="189" t="s">
        <v>924</v>
      </c>
      <c r="N59" s="189">
        <v>0</v>
      </c>
      <c r="O59" s="189">
        <v>0</v>
      </c>
      <c r="P59" s="189">
        <v>0</v>
      </c>
      <c r="Q59" s="189">
        <v>1</v>
      </c>
      <c r="R59" s="189" t="s">
        <v>924</v>
      </c>
      <c r="S59" s="138" t="s">
        <v>250</v>
      </c>
      <c r="T59" s="138">
        <v>34</v>
      </c>
    </row>
    <row r="60" spans="3:20" x14ac:dyDescent="0.25">
      <c r="C60" s="138" t="s">
        <v>657</v>
      </c>
      <c r="D60" s="189">
        <v>0</v>
      </c>
      <c r="E60" s="331">
        <v>0</v>
      </c>
      <c r="F60" s="332">
        <v>1</v>
      </c>
      <c r="G60" s="331">
        <v>0</v>
      </c>
      <c r="H60" s="189">
        <v>0</v>
      </c>
      <c r="I60" s="189">
        <v>0</v>
      </c>
      <c r="J60" s="189">
        <v>0</v>
      </c>
      <c r="K60" s="189">
        <v>0</v>
      </c>
      <c r="L60" s="189">
        <v>0</v>
      </c>
      <c r="M60" s="189" t="s">
        <v>924</v>
      </c>
      <c r="N60" s="189">
        <v>0</v>
      </c>
      <c r="O60" s="189">
        <v>0</v>
      </c>
      <c r="P60" s="189">
        <v>0</v>
      </c>
      <c r="Q60" s="189">
        <v>1</v>
      </c>
      <c r="R60" s="189" t="s">
        <v>924</v>
      </c>
      <c r="S60" s="138" t="s">
        <v>250</v>
      </c>
      <c r="T60" s="138">
        <v>35</v>
      </c>
    </row>
    <row r="61" spans="3:20" x14ac:dyDescent="0.25">
      <c r="C61" s="138" t="s">
        <v>533</v>
      </c>
      <c r="D61" s="189">
        <v>0</v>
      </c>
      <c r="E61" s="331">
        <v>0</v>
      </c>
      <c r="F61" s="332">
        <v>1</v>
      </c>
      <c r="G61" s="331">
        <v>0</v>
      </c>
      <c r="H61" s="189">
        <v>0</v>
      </c>
      <c r="I61" s="189">
        <v>0</v>
      </c>
      <c r="J61" s="189">
        <v>0</v>
      </c>
      <c r="K61" s="189">
        <v>0</v>
      </c>
      <c r="L61" s="189">
        <v>0</v>
      </c>
      <c r="M61" s="189" t="s">
        <v>924</v>
      </c>
      <c r="N61" s="189">
        <v>0</v>
      </c>
      <c r="O61" s="189">
        <v>0</v>
      </c>
      <c r="P61" s="189">
        <v>0</v>
      </c>
      <c r="Q61" s="189">
        <v>1</v>
      </c>
      <c r="R61" s="189" t="s">
        <v>924</v>
      </c>
      <c r="S61" s="138" t="s">
        <v>250</v>
      </c>
      <c r="T61" s="138">
        <v>36</v>
      </c>
    </row>
    <row r="62" spans="3:20" x14ac:dyDescent="0.25">
      <c r="C62" s="138" t="s">
        <v>534</v>
      </c>
      <c r="D62" s="189">
        <v>0</v>
      </c>
      <c r="E62" s="331">
        <v>0</v>
      </c>
      <c r="F62" s="332">
        <v>1</v>
      </c>
      <c r="G62" s="331">
        <v>0</v>
      </c>
      <c r="H62" s="189">
        <v>0</v>
      </c>
      <c r="I62" s="189">
        <v>0</v>
      </c>
      <c r="J62" s="189">
        <v>0</v>
      </c>
      <c r="K62" s="189">
        <v>0</v>
      </c>
      <c r="L62" s="189">
        <v>0</v>
      </c>
      <c r="M62" s="189" t="s">
        <v>924</v>
      </c>
      <c r="N62" s="189">
        <v>0</v>
      </c>
      <c r="O62" s="189">
        <v>0</v>
      </c>
      <c r="P62" s="189">
        <v>0</v>
      </c>
      <c r="Q62" s="189">
        <v>1</v>
      </c>
      <c r="R62" s="189" t="s">
        <v>924</v>
      </c>
      <c r="S62" s="138" t="s">
        <v>250</v>
      </c>
      <c r="T62" s="138">
        <v>37</v>
      </c>
    </row>
    <row r="63" spans="3:20" x14ac:dyDescent="0.25">
      <c r="C63" s="138" t="s">
        <v>658</v>
      </c>
      <c r="D63" s="189">
        <v>0</v>
      </c>
      <c r="E63" s="331">
        <v>0</v>
      </c>
      <c r="F63" s="332">
        <v>0</v>
      </c>
      <c r="G63" s="331">
        <v>0</v>
      </c>
      <c r="H63" s="189">
        <v>0</v>
      </c>
      <c r="I63" s="189">
        <v>0</v>
      </c>
      <c r="J63" s="189">
        <v>0</v>
      </c>
      <c r="K63" s="189">
        <v>0</v>
      </c>
      <c r="L63" s="189">
        <v>0</v>
      </c>
      <c r="M63" s="189" t="s">
        <v>924</v>
      </c>
      <c r="N63" s="189">
        <v>0</v>
      </c>
      <c r="O63" s="189">
        <v>0</v>
      </c>
      <c r="P63" s="189">
        <v>0</v>
      </c>
      <c r="Q63" s="189">
        <v>1</v>
      </c>
      <c r="R63" s="189" t="s">
        <v>924</v>
      </c>
      <c r="S63" s="138" t="s">
        <v>250</v>
      </c>
      <c r="T63" s="138">
        <v>38</v>
      </c>
    </row>
    <row r="64" spans="3:20" x14ac:dyDescent="0.25">
      <c r="C64" s="138" t="s">
        <v>535</v>
      </c>
      <c r="D64" s="189">
        <v>0</v>
      </c>
      <c r="E64" s="331">
        <v>0</v>
      </c>
      <c r="F64" s="332">
        <v>1</v>
      </c>
      <c r="G64" s="331">
        <v>0</v>
      </c>
      <c r="H64" s="189">
        <v>0</v>
      </c>
      <c r="I64" s="189">
        <v>0</v>
      </c>
      <c r="J64" s="189">
        <v>0</v>
      </c>
      <c r="K64" s="189">
        <v>0</v>
      </c>
      <c r="L64" s="189">
        <v>0</v>
      </c>
      <c r="M64" s="189" t="s">
        <v>924</v>
      </c>
      <c r="N64" s="189">
        <v>0</v>
      </c>
      <c r="O64" s="189">
        <v>0</v>
      </c>
      <c r="P64" s="189">
        <v>0</v>
      </c>
      <c r="Q64" s="189">
        <v>1</v>
      </c>
      <c r="R64" s="189" t="s">
        <v>924</v>
      </c>
      <c r="S64" s="138" t="s">
        <v>250</v>
      </c>
      <c r="T64" s="138">
        <v>39</v>
      </c>
    </row>
    <row r="65" spans="3:20" x14ac:dyDescent="0.25">
      <c r="C65" s="138" t="s">
        <v>536</v>
      </c>
      <c r="D65" s="189">
        <v>0</v>
      </c>
      <c r="E65" s="331">
        <v>0</v>
      </c>
      <c r="F65" s="332">
        <v>1</v>
      </c>
      <c r="G65" s="331">
        <v>0</v>
      </c>
      <c r="H65" s="189">
        <v>0</v>
      </c>
      <c r="I65" s="189">
        <v>0</v>
      </c>
      <c r="J65" s="189">
        <v>0</v>
      </c>
      <c r="K65" s="189">
        <v>0</v>
      </c>
      <c r="L65" s="189">
        <v>0</v>
      </c>
      <c r="M65" s="189" t="s">
        <v>924</v>
      </c>
      <c r="N65" s="189">
        <v>0</v>
      </c>
      <c r="O65" s="189">
        <v>0</v>
      </c>
      <c r="P65" s="189">
        <v>0</v>
      </c>
      <c r="Q65" s="189">
        <v>1</v>
      </c>
      <c r="R65" s="189" t="s">
        <v>924</v>
      </c>
      <c r="S65" s="138" t="s">
        <v>250</v>
      </c>
      <c r="T65" s="138">
        <v>40</v>
      </c>
    </row>
    <row r="66" spans="3:20" x14ac:dyDescent="0.25">
      <c r="C66" s="138" t="s">
        <v>659</v>
      </c>
      <c r="D66" s="189">
        <v>0</v>
      </c>
      <c r="E66" s="331">
        <v>0</v>
      </c>
      <c r="F66" s="332">
        <v>0</v>
      </c>
      <c r="G66" s="331">
        <v>0</v>
      </c>
      <c r="H66" s="189">
        <v>0</v>
      </c>
      <c r="I66" s="189">
        <v>0</v>
      </c>
      <c r="J66" s="189">
        <v>0</v>
      </c>
      <c r="K66" s="189">
        <v>0</v>
      </c>
      <c r="L66" s="189">
        <v>0</v>
      </c>
      <c r="M66" s="189" t="s">
        <v>924</v>
      </c>
      <c r="N66" s="189">
        <v>0</v>
      </c>
      <c r="O66" s="189">
        <v>0</v>
      </c>
      <c r="P66" s="189">
        <v>0</v>
      </c>
      <c r="Q66" s="189">
        <v>1</v>
      </c>
      <c r="R66" s="189" t="s">
        <v>924</v>
      </c>
      <c r="S66" s="138" t="s">
        <v>250</v>
      </c>
      <c r="T66" s="138">
        <v>41</v>
      </c>
    </row>
    <row r="67" spans="3:20" x14ac:dyDescent="0.25">
      <c r="C67" s="138" t="s">
        <v>934</v>
      </c>
      <c r="D67" s="189">
        <v>0</v>
      </c>
      <c r="E67" s="331">
        <v>0</v>
      </c>
      <c r="F67" s="332">
        <v>0</v>
      </c>
      <c r="G67" s="331">
        <v>0</v>
      </c>
      <c r="H67" s="189">
        <v>0</v>
      </c>
      <c r="I67" s="189">
        <v>0</v>
      </c>
      <c r="J67" s="189">
        <v>0</v>
      </c>
      <c r="K67" s="189">
        <v>0</v>
      </c>
      <c r="L67" s="189">
        <v>0</v>
      </c>
      <c r="M67" s="189" t="s">
        <v>924</v>
      </c>
      <c r="N67" s="189">
        <v>0</v>
      </c>
      <c r="O67" s="189">
        <v>0</v>
      </c>
      <c r="P67" s="189">
        <v>0</v>
      </c>
      <c r="Q67" s="189">
        <v>1</v>
      </c>
      <c r="R67" s="189" t="s">
        <v>924</v>
      </c>
      <c r="S67" s="138" t="s">
        <v>250</v>
      </c>
      <c r="T67" s="138">
        <v>42</v>
      </c>
    </row>
    <row r="68" spans="3:20" x14ac:dyDescent="0.25">
      <c r="C68" s="138" t="s">
        <v>660</v>
      </c>
      <c r="D68" s="189">
        <v>0</v>
      </c>
      <c r="E68" s="331">
        <v>0</v>
      </c>
      <c r="F68" s="332">
        <v>0</v>
      </c>
      <c r="G68" s="331">
        <v>0</v>
      </c>
      <c r="H68" s="189">
        <v>0</v>
      </c>
      <c r="I68" s="189">
        <v>0</v>
      </c>
      <c r="J68" s="189">
        <v>0</v>
      </c>
      <c r="K68" s="189">
        <v>0</v>
      </c>
      <c r="L68" s="189">
        <v>0</v>
      </c>
      <c r="M68" s="189" t="s">
        <v>924</v>
      </c>
      <c r="N68" s="189">
        <v>1</v>
      </c>
      <c r="O68" s="189">
        <v>1</v>
      </c>
      <c r="P68" s="189">
        <v>1</v>
      </c>
      <c r="Q68" s="189">
        <v>1</v>
      </c>
      <c r="R68" s="189" t="s">
        <v>924</v>
      </c>
      <c r="S68" s="138" t="s">
        <v>250</v>
      </c>
      <c r="T68" s="138">
        <v>43</v>
      </c>
    </row>
    <row r="69" spans="3:20" x14ac:dyDescent="0.25">
      <c r="C69" s="138" t="s">
        <v>661</v>
      </c>
      <c r="D69" s="189">
        <v>0</v>
      </c>
      <c r="E69" s="331">
        <v>0</v>
      </c>
      <c r="F69" s="332">
        <v>0</v>
      </c>
      <c r="G69" s="331">
        <v>0</v>
      </c>
      <c r="H69" s="189">
        <v>0</v>
      </c>
      <c r="I69" s="189">
        <v>0</v>
      </c>
      <c r="J69" s="189">
        <v>0</v>
      </c>
      <c r="K69" s="189">
        <v>0</v>
      </c>
      <c r="L69" s="189">
        <v>0</v>
      </c>
      <c r="M69" s="189" t="s">
        <v>924</v>
      </c>
      <c r="N69" s="189">
        <v>0</v>
      </c>
      <c r="O69" s="189">
        <v>0</v>
      </c>
      <c r="P69" s="189">
        <v>0</v>
      </c>
      <c r="Q69" s="189">
        <v>1</v>
      </c>
      <c r="R69" s="189" t="s">
        <v>924</v>
      </c>
      <c r="S69" s="138" t="s">
        <v>250</v>
      </c>
      <c r="T69" s="138">
        <v>44</v>
      </c>
    </row>
    <row r="70" spans="3:20" x14ac:dyDescent="0.25">
      <c r="C70" s="138" t="s">
        <v>662</v>
      </c>
      <c r="D70" s="189">
        <v>0</v>
      </c>
      <c r="E70" s="331">
        <v>0</v>
      </c>
      <c r="F70" s="332">
        <v>0</v>
      </c>
      <c r="G70" s="331">
        <v>0</v>
      </c>
      <c r="H70" s="189">
        <v>0</v>
      </c>
      <c r="I70" s="189">
        <v>0</v>
      </c>
      <c r="J70" s="189">
        <v>0</v>
      </c>
      <c r="K70" s="189">
        <v>0</v>
      </c>
      <c r="L70" s="189">
        <v>1</v>
      </c>
      <c r="M70" s="189" t="s">
        <v>924</v>
      </c>
      <c r="N70" s="189">
        <v>0</v>
      </c>
      <c r="O70" s="189">
        <v>0</v>
      </c>
      <c r="P70" s="189">
        <v>0</v>
      </c>
      <c r="Q70" s="189">
        <v>1</v>
      </c>
      <c r="R70" s="189" t="s">
        <v>924</v>
      </c>
      <c r="S70" s="138" t="s">
        <v>250</v>
      </c>
      <c r="T70" s="138">
        <v>45</v>
      </c>
    </row>
    <row r="71" spans="3:20" x14ac:dyDescent="0.25">
      <c r="C71" s="138" t="s">
        <v>663</v>
      </c>
      <c r="D71" s="189">
        <v>0</v>
      </c>
      <c r="E71" s="331">
        <v>0</v>
      </c>
      <c r="F71" s="332">
        <v>0</v>
      </c>
      <c r="G71" s="331">
        <v>0</v>
      </c>
      <c r="H71" s="189">
        <v>0</v>
      </c>
      <c r="I71" s="189">
        <v>0</v>
      </c>
      <c r="J71" s="189">
        <v>0</v>
      </c>
      <c r="K71" s="189">
        <v>0</v>
      </c>
      <c r="L71" s="189">
        <v>0</v>
      </c>
      <c r="M71" s="189" t="s">
        <v>924</v>
      </c>
      <c r="N71" s="189">
        <v>0</v>
      </c>
      <c r="O71" s="189">
        <v>0</v>
      </c>
      <c r="P71" s="189">
        <v>0</v>
      </c>
      <c r="Q71" s="189">
        <v>1</v>
      </c>
      <c r="R71" s="189" t="s">
        <v>924</v>
      </c>
      <c r="S71" s="138" t="s">
        <v>250</v>
      </c>
      <c r="T71" s="138">
        <v>46</v>
      </c>
    </row>
    <row r="72" spans="3:20" x14ac:dyDescent="0.25">
      <c r="C72" s="138" t="s">
        <v>664</v>
      </c>
      <c r="D72" s="189">
        <v>0</v>
      </c>
      <c r="E72" s="331">
        <v>0</v>
      </c>
      <c r="F72" s="332">
        <v>0</v>
      </c>
      <c r="G72" s="331">
        <v>0</v>
      </c>
      <c r="H72" s="189">
        <v>0</v>
      </c>
      <c r="I72" s="189">
        <v>0</v>
      </c>
      <c r="J72" s="189">
        <v>0</v>
      </c>
      <c r="K72" s="189">
        <v>0</v>
      </c>
      <c r="L72" s="189">
        <v>0</v>
      </c>
      <c r="M72" s="189" t="s">
        <v>924</v>
      </c>
      <c r="N72" s="189">
        <v>0</v>
      </c>
      <c r="O72" s="189">
        <v>0</v>
      </c>
      <c r="P72" s="189">
        <v>0</v>
      </c>
      <c r="Q72" s="189">
        <v>1</v>
      </c>
      <c r="R72" s="189" t="s">
        <v>924</v>
      </c>
      <c r="S72" s="138" t="s">
        <v>250</v>
      </c>
      <c r="T72" s="138">
        <v>47</v>
      </c>
    </row>
    <row r="73" spans="3:20" x14ac:dyDescent="0.25">
      <c r="C73" s="138" t="s">
        <v>665</v>
      </c>
      <c r="D73" s="189">
        <v>0</v>
      </c>
      <c r="E73" s="331">
        <v>0</v>
      </c>
      <c r="F73" s="332">
        <v>0</v>
      </c>
      <c r="G73" s="331">
        <v>0</v>
      </c>
      <c r="H73" s="189">
        <v>0</v>
      </c>
      <c r="I73" s="189">
        <v>0</v>
      </c>
      <c r="J73" s="189">
        <v>0</v>
      </c>
      <c r="K73" s="189">
        <v>0</v>
      </c>
      <c r="L73" s="189">
        <v>0</v>
      </c>
      <c r="M73" s="189" t="s">
        <v>924</v>
      </c>
      <c r="N73" s="189">
        <v>0</v>
      </c>
      <c r="O73" s="189">
        <v>0</v>
      </c>
      <c r="P73" s="189">
        <v>0</v>
      </c>
      <c r="Q73" s="189">
        <v>1</v>
      </c>
      <c r="R73" s="189" t="s">
        <v>924</v>
      </c>
      <c r="S73" s="138" t="s">
        <v>250</v>
      </c>
      <c r="T73" s="138">
        <v>48</v>
      </c>
    </row>
    <row r="74" spans="3:20" x14ac:dyDescent="0.25">
      <c r="C74" s="138" t="s">
        <v>537</v>
      </c>
      <c r="D74" s="189">
        <v>0</v>
      </c>
      <c r="E74" s="331">
        <v>0</v>
      </c>
      <c r="F74" s="332">
        <v>1</v>
      </c>
      <c r="G74" s="331">
        <v>0</v>
      </c>
      <c r="H74" s="189">
        <v>0</v>
      </c>
      <c r="I74" s="189">
        <v>0</v>
      </c>
      <c r="J74" s="189">
        <v>0</v>
      </c>
      <c r="K74" s="189">
        <v>0</v>
      </c>
      <c r="L74" s="189">
        <v>0</v>
      </c>
      <c r="M74" s="189" t="s">
        <v>924</v>
      </c>
      <c r="N74" s="189">
        <v>0</v>
      </c>
      <c r="O74" s="189">
        <v>0</v>
      </c>
      <c r="P74" s="189">
        <v>0</v>
      </c>
      <c r="Q74" s="189">
        <v>1</v>
      </c>
      <c r="R74" s="189" t="s">
        <v>924</v>
      </c>
      <c r="S74" s="138" t="s">
        <v>250</v>
      </c>
      <c r="T74" s="138">
        <v>49</v>
      </c>
    </row>
    <row r="75" spans="3:20" x14ac:dyDescent="0.25">
      <c r="C75" s="138" t="s">
        <v>538</v>
      </c>
      <c r="D75" s="189">
        <v>0</v>
      </c>
      <c r="E75" s="331">
        <v>0</v>
      </c>
      <c r="F75" s="332">
        <v>0</v>
      </c>
      <c r="G75" s="331">
        <v>0</v>
      </c>
      <c r="H75" s="189">
        <v>0</v>
      </c>
      <c r="I75" s="189">
        <v>1</v>
      </c>
      <c r="J75" s="189">
        <v>1</v>
      </c>
      <c r="K75" s="189">
        <v>0</v>
      </c>
      <c r="L75" s="189">
        <v>0</v>
      </c>
      <c r="M75" s="189" t="s">
        <v>924</v>
      </c>
      <c r="N75" s="189">
        <v>0</v>
      </c>
      <c r="O75" s="189">
        <v>0</v>
      </c>
      <c r="P75" s="189">
        <v>0</v>
      </c>
      <c r="Q75" s="189">
        <v>1</v>
      </c>
      <c r="R75" s="189" t="s">
        <v>924</v>
      </c>
      <c r="S75" s="138" t="s">
        <v>250</v>
      </c>
      <c r="T75" s="138">
        <v>50</v>
      </c>
    </row>
    <row r="76" spans="3:20" x14ac:dyDescent="0.25">
      <c r="C76" s="138" t="s">
        <v>539</v>
      </c>
      <c r="D76" s="189">
        <v>0</v>
      </c>
      <c r="E76" s="331">
        <v>0</v>
      </c>
      <c r="F76" s="332">
        <v>1</v>
      </c>
      <c r="G76" s="331">
        <v>0</v>
      </c>
      <c r="H76" s="189">
        <v>0</v>
      </c>
      <c r="I76" s="189">
        <v>0</v>
      </c>
      <c r="J76" s="189">
        <v>0</v>
      </c>
      <c r="K76" s="189">
        <v>0</v>
      </c>
      <c r="L76" s="189">
        <v>0</v>
      </c>
      <c r="M76" s="189" t="s">
        <v>924</v>
      </c>
      <c r="N76" s="189">
        <v>0</v>
      </c>
      <c r="O76" s="189">
        <v>0</v>
      </c>
      <c r="P76" s="189">
        <v>0</v>
      </c>
      <c r="Q76" s="189">
        <v>1</v>
      </c>
      <c r="R76" s="189" t="s">
        <v>924</v>
      </c>
      <c r="S76" s="138" t="s">
        <v>250</v>
      </c>
      <c r="T76" s="138">
        <v>52</v>
      </c>
    </row>
    <row r="77" spans="3:20" x14ac:dyDescent="0.25">
      <c r="C77" s="138" t="s">
        <v>540</v>
      </c>
      <c r="D77" s="189">
        <v>0</v>
      </c>
      <c r="E77" s="331">
        <v>0</v>
      </c>
      <c r="F77" s="332">
        <v>1</v>
      </c>
      <c r="G77" s="331">
        <v>0</v>
      </c>
      <c r="H77" s="189">
        <v>0</v>
      </c>
      <c r="I77" s="189">
        <v>0</v>
      </c>
      <c r="J77" s="189">
        <v>0</v>
      </c>
      <c r="K77" s="189">
        <v>0</v>
      </c>
      <c r="L77" s="189">
        <v>0</v>
      </c>
      <c r="M77" s="189" t="s">
        <v>924</v>
      </c>
      <c r="N77" s="189">
        <v>0</v>
      </c>
      <c r="O77" s="189">
        <v>0</v>
      </c>
      <c r="P77" s="189">
        <v>0</v>
      </c>
      <c r="Q77" s="189">
        <v>1</v>
      </c>
      <c r="R77" s="189" t="s">
        <v>924</v>
      </c>
      <c r="S77" s="138" t="s">
        <v>250</v>
      </c>
      <c r="T77" s="138">
        <v>53</v>
      </c>
    </row>
    <row r="78" spans="3:20" x14ac:dyDescent="0.25">
      <c r="C78" s="138" t="s">
        <v>541</v>
      </c>
      <c r="D78" s="189">
        <v>0</v>
      </c>
      <c r="E78" s="331">
        <v>0</v>
      </c>
      <c r="F78" s="332">
        <v>0</v>
      </c>
      <c r="G78" s="331">
        <v>0</v>
      </c>
      <c r="H78" s="189">
        <v>0</v>
      </c>
      <c r="I78" s="189">
        <v>0</v>
      </c>
      <c r="J78" s="189">
        <v>0</v>
      </c>
      <c r="K78" s="189">
        <v>0</v>
      </c>
      <c r="L78" s="189">
        <v>0</v>
      </c>
      <c r="M78" s="189" t="s">
        <v>924</v>
      </c>
      <c r="N78" s="189">
        <v>0</v>
      </c>
      <c r="O78" s="189">
        <v>0</v>
      </c>
      <c r="P78" s="189">
        <v>0</v>
      </c>
      <c r="Q78" s="189">
        <v>1</v>
      </c>
      <c r="R78" s="189" t="s">
        <v>924</v>
      </c>
      <c r="S78" s="138" t="s">
        <v>250</v>
      </c>
      <c r="T78" s="138">
        <v>54</v>
      </c>
    </row>
    <row r="79" spans="3:20" x14ac:dyDescent="0.25">
      <c r="C79" s="138" t="s">
        <v>935</v>
      </c>
      <c r="D79" s="189">
        <v>0</v>
      </c>
      <c r="E79" s="331">
        <v>0</v>
      </c>
      <c r="F79" s="332">
        <v>0</v>
      </c>
      <c r="G79" s="331">
        <v>0</v>
      </c>
      <c r="H79" s="189">
        <v>0</v>
      </c>
      <c r="I79" s="189">
        <v>0</v>
      </c>
      <c r="J79" s="189">
        <v>0</v>
      </c>
      <c r="K79" s="189">
        <v>0</v>
      </c>
      <c r="L79" s="189">
        <v>0</v>
      </c>
      <c r="M79" s="189" t="s">
        <v>924</v>
      </c>
      <c r="N79" s="189">
        <v>0</v>
      </c>
      <c r="O79" s="189">
        <v>0</v>
      </c>
      <c r="P79" s="189">
        <v>0</v>
      </c>
      <c r="Q79" s="189">
        <v>1</v>
      </c>
      <c r="R79" s="189" t="s">
        <v>924</v>
      </c>
      <c r="S79" s="138" t="s">
        <v>250</v>
      </c>
      <c r="T79" s="138">
        <v>55</v>
      </c>
    </row>
    <row r="80" spans="3:20" x14ac:dyDescent="0.25">
      <c r="C80" s="138" t="s">
        <v>666</v>
      </c>
      <c r="D80" s="189">
        <v>0</v>
      </c>
      <c r="E80" s="331">
        <v>0</v>
      </c>
      <c r="F80" s="332">
        <v>0</v>
      </c>
      <c r="G80" s="331">
        <v>0</v>
      </c>
      <c r="H80" s="189">
        <v>0</v>
      </c>
      <c r="I80" s="189">
        <v>0</v>
      </c>
      <c r="J80" s="189">
        <v>0</v>
      </c>
      <c r="K80" s="189">
        <v>0</v>
      </c>
      <c r="L80" s="189">
        <v>0</v>
      </c>
      <c r="M80" s="189" t="s">
        <v>924</v>
      </c>
      <c r="N80" s="189">
        <v>0</v>
      </c>
      <c r="O80" s="189">
        <v>0</v>
      </c>
      <c r="P80" s="189">
        <v>0</v>
      </c>
      <c r="Q80" s="189">
        <v>1</v>
      </c>
      <c r="R80" s="189" t="s">
        <v>924</v>
      </c>
      <c r="S80" s="138" t="s">
        <v>250</v>
      </c>
      <c r="T80" s="138">
        <v>56</v>
      </c>
    </row>
    <row r="81" spans="2:20" x14ac:dyDescent="0.25">
      <c r="C81" s="138" t="s">
        <v>667</v>
      </c>
      <c r="D81" s="189">
        <v>0</v>
      </c>
      <c r="E81" s="331">
        <v>0</v>
      </c>
      <c r="F81" s="332">
        <v>0</v>
      </c>
      <c r="G81" s="331">
        <v>0</v>
      </c>
      <c r="H81" s="189">
        <v>0</v>
      </c>
      <c r="I81" s="189">
        <v>0</v>
      </c>
      <c r="J81" s="189">
        <v>0</v>
      </c>
      <c r="K81" s="189">
        <v>0</v>
      </c>
      <c r="L81" s="189">
        <v>0</v>
      </c>
      <c r="M81" s="189" t="s">
        <v>924</v>
      </c>
      <c r="N81" s="189">
        <v>0</v>
      </c>
      <c r="O81" s="189">
        <v>0</v>
      </c>
      <c r="P81" s="189">
        <v>0</v>
      </c>
      <c r="Q81" s="189">
        <v>1</v>
      </c>
      <c r="R81" s="189" t="s">
        <v>924</v>
      </c>
      <c r="S81" s="138" t="s">
        <v>250</v>
      </c>
      <c r="T81" s="138">
        <v>57</v>
      </c>
    </row>
    <row r="82" spans="2:20" x14ac:dyDescent="0.25">
      <c r="C82" s="138" t="s">
        <v>668</v>
      </c>
      <c r="D82" s="189">
        <v>0</v>
      </c>
      <c r="E82" s="331">
        <v>0</v>
      </c>
      <c r="F82" s="332">
        <v>0</v>
      </c>
      <c r="G82" s="331">
        <v>0</v>
      </c>
      <c r="H82" s="189">
        <v>0</v>
      </c>
      <c r="I82" s="189">
        <v>0</v>
      </c>
      <c r="J82" s="189">
        <v>0</v>
      </c>
      <c r="K82" s="189">
        <v>1</v>
      </c>
      <c r="L82" s="189">
        <v>0</v>
      </c>
      <c r="M82" s="189" t="s">
        <v>924</v>
      </c>
      <c r="N82" s="189">
        <v>0</v>
      </c>
      <c r="O82" s="189">
        <v>0</v>
      </c>
      <c r="P82" s="189">
        <v>0</v>
      </c>
      <c r="Q82" s="189">
        <v>1</v>
      </c>
      <c r="R82" s="189" t="s">
        <v>924</v>
      </c>
      <c r="S82" s="138" t="s">
        <v>250</v>
      </c>
      <c r="T82" s="138">
        <v>58</v>
      </c>
    </row>
    <row r="83" spans="2:20" x14ac:dyDescent="0.25">
      <c r="C83" s="138" t="s">
        <v>542</v>
      </c>
      <c r="D83" s="189">
        <v>0</v>
      </c>
      <c r="E83" s="331">
        <v>0</v>
      </c>
      <c r="F83" s="332">
        <v>1</v>
      </c>
      <c r="G83" s="331">
        <v>0</v>
      </c>
      <c r="H83" s="189">
        <v>0</v>
      </c>
      <c r="I83" s="189">
        <v>0</v>
      </c>
      <c r="J83" s="189">
        <v>0</v>
      </c>
      <c r="K83" s="189">
        <v>0</v>
      </c>
      <c r="L83" s="189">
        <v>0</v>
      </c>
      <c r="M83" s="189" t="s">
        <v>924</v>
      </c>
      <c r="N83" s="189">
        <v>0</v>
      </c>
      <c r="O83" s="189">
        <v>0</v>
      </c>
      <c r="P83" s="189">
        <v>0</v>
      </c>
      <c r="Q83" s="189">
        <v>1</v>
      </c>
      <c r="R83" s="189" t="s">
        <v>924</v>
      </c>
      <c r="S83" s="138" t="s">
        <v>250</v>
      </c>
      <c r="T83" s="138">
        <v>59</v>
      </c>
    </row>
    <row r="84" spans="2:20" x14ac:dyDescent="0.25">
      <c r="C84" s="138" t="s">
        <v>1034</v>
      </c>
      <c r="D84" s="189">
        <v>0</v>
      </c>
      <c r="E84" s="331">
        <v>0</v>
      </c>
      <c r="F84" s="332">
        <v>0</v>
      </c>
      <c r="G84" s="331">
        <v>0</v>
      </c>
      <c r="H84" s="189">
        <v>0</v>
      </c>
      <c r="I84" s="189">
        <v>0</v>
      </c>
      <c r="J84" s="189">
        <v>0</v>
      </c>
      <c r="K84" s="189">
        <v>0</v>
      </c>
      <c r="L84" s="189">
        <v>0</v>
      </c>
      <c r="M84" s="189" t="s">
        <v>924</v>
      </c>
      <c r="N84" s="189">
        <v>0</v>
      </c>
      <c r="O84" s="189">
        <v>0</v>
      </c>
      <c r="P84" s="189">
        <v>0</v>
      </c>
      <c r="Q84" s="189">
        <v>1</v>
      </c>
      <c r="R84" s="189" t="s">
        <v>924</v>
      </c>
      <c r="S84" s="138" t="s">
        <v>250</v>
      </c>
      <c r="T84" s="138">
        <v>60</v>
      </c>
    </row>
    <row r="85" spans="2:20" x14ac:dyDescent="0.25">
      <c r="B85" s="138" t="s">
        <v>245</v>
      </c>
      <c r="E85" s="60"/>
      <c r="F85" s="328"/>
      <c r="G85" s="329"/>
      <c r="M85" s="189"/>
    </row>
  </sheetData>
  <conditionalFormatting sqref="N80:R84 M80:M85 D80:L84 D26:R78">
    <cfRule type="expression" dxfId="44" priority="2">
      <formula>D26=1</formula>
    </cfRule>
  </conditionalFormatting>
  <conditionalFormatting sqref="D79:R79">
    <cfRule type="expression" dxfId="43" priority="1">
      <formula>D79=1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142875</xdr:rowOff>
                  </from>
                  <to>
                    <xdr:col>4</xdr:col>
                    <xdr:colOff>523875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D2BDA-2F0D-49B2-AFCF-65339874F2A7}">
  <sheetPr codeName="Sheet35">
    <tabColor rgb="FFFFFF00"/>
  </sheetPr>
  <dimension ref="A1:AD119"/>
  <sheetViews>
    <sheetView topLeftCell="A9" zoomScale="70" zoomScaleNormal="70" workbookViewId="0">
      <pane xSplit="3" ySplit="26" topLeftCell="D35" activePane="bottomRight" state="frozen"/>
      <selection activeCell="A9" sqref="A9"/>
      <selection pane="topRight" activeCell="D9" sqref="D9"/>
      <selection pane="bottomLeft" activeCell="A27" sqref="A27"/>
      <selection pane="bottomRight" activeCell="C32" sqref="C32"/>
    </sheetView>
  </sheetViews>
  <sheetFormatPr defaultColWidth="9.140625" defaultRowHeight="15" outlineLevelCol="1" x14ac:dyDescent="0.25"/>
  <cols>
    <col min="1" max="2" width="9.140625" style="138"/>
    <col min="3" max="3" width="66.42578125" style="138" customWidth="1" collapsed="1"/>
    <col min="4" max="10" width="21.5703125" style="138" customWidth="1" outlineLevel="1"/>
    <col min="11" max="11" width="22.140625" style="138" customWidth="1" outlineLevel="1"/>
    <col min="12" max="18" width="34" style="138" customWidth="1" outlineLevel="1"/>
    <col min="19" max="22" width="9.140625" style="138"/>
    <col min="23" max="24" width="9.7109375" style="138" customWidth="1"/>
    <col min="25" max="26" width="22.7109375" style="138" customWidth="1"/>
    <col min="27" max="27" width="63.42578125" style="138" customWidth="1"/>
    <col min="28" max="16384" width="9.140625" style="138"/>
  </cols>
  <sheetData>
    <row r="1" spans="1:30" x14ac:dyDescent="0.25">
      <c r="A1" s="138" t="s">
        <v>250</v>
      </c>
      <c r="B1" s="138" t="s">
        <v>918</v>
      </c>
    </row>
    <row r="2" spans="1:30" x14ac:dyDescent="0.25">
      <c r="A2" s="138" t="s">
        <v>250</v>
      </c>
    </row>
    <row r="3" spans="1:30" x14ac:dyDescent="0.25">
      <c r="A3" s="138" t="s">
        <v>250</v>
      </c>
      <c r="B3" s="138" t="s">
        <v>356</v>
      </c>
    </row>
    <row r="4" spans="1:30" x14ac:dyDescent="0.25">
      <c r="A4" s="138" t="s">
        <v>250</v>
      </c>
      <c r="C4" s="138" t="s">
        <v>796</v>
      </c>
    </row>
    <row r="5" spans="1:30" x14ac:dyDescent="0.25">
      <c r="A5" s="138" t="s">
        <v>250</v>
      </c>
    </row>
    <row r="6" spans="1:30" x14ac:dyDescent="0.25">
      <c r="A6" s="138" t="s">
        <v>250</v>
      </c>
      <c r="B6" s="138" t="s">
        <v>357</v>
      </c>
    </row>
    <row r="7" spans="1:30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30" x14ac:dyDescent="0.25">
      <c r="A8" s="138" t="s">
        <v>250</v>
      </c>
      <c r="B8" s="141"/>
      <c r="C8" s="144">
        <v>42205</v>
      </c>
      <c r="D8" s="145" t="s">
        <v>410</v>
      </c>
      <c r="E8" s="138" t="s">
        <v>797</v>
      </c>
    </row>
    <row r="9" spans="1:30" x14ac:dyDescent="0.25">
      <c r="A9" s="138" t="s">
        <v>250</v>
      </c>
      <c r="B9" s="141"/>
      <c r="C9" s="346"/>
      <c r="D9" s="138">
        <v>1</v>
      </c>
      <c r="E9" s="138">
        <v>2</v>
      </c>
      <c r="F9" s="138">
        <v>3</v>
      </c>
      <c r="G9" s="138">
        <v>4</v>
      </c>
      <c r="H9" s="138">
        <v>5</v>
      </c>
      <c r="I9" s="138">
        <v>6</v>
      </c>
      <c r="J9" s="138">
        <v>7</v>
      </c>
      <c r="K9" s="138">
        <v>8</v>
      </c>
      <c r="L9" s="138">
        <v>9</v>
      </c>
      <c r="M9" s="138">
        <v>10</v>
      </c>
      <c r="N9" s="138">
        <v>11</v>
      </c>
      <c r="O9" s="138">
        <v>12</v>
      </c>
      <c r="P9" s="138">
        <v>13</v>
      </c>
      <c r="Q9" s="138">
        <v>14</v>
      </c>
      <c r="R9" s="138">
        <v>15</v>
      </c>
    </row>
    <row r="10" spans="1:30" x14ac:dyDescent="0.25">
      <c r="A10" s="138" t="s">
        <v>250</v>
      </c>
      <c r="B10" s="141"/>
      <c r="C10" s="144"/>
    </row>
    <row r="11" spans="1:30" x14ac:dyDescent="0.25">
      <c r="A11" s="138" t="s">
        <v>250</v>
      </c>
      <c r="B11" s="138" t="s">
        <v>266</v>
      </c>
    </row>
    <row r="12" spans="1:30" x14ac:dyDescent="0.25">
      <c r="A12" s="138" t="s">
        <v>250</v>
      </c>
      <c r="C12" s="138" t="s">
        <v>800</v>
      </c>
      <c r="AA12" s="138" t="s">
        <v>986</v>
      </c>
    </row>
    <row r="13" spans="1:30" x14ac:dyDescent="0.25">
      <c r="A13" s="138" t="s">
        <v>250</v>
      </c>
      <c r="C13" s="138" t="s">
        <v>422</v>
      </c>
      <c r="AA13" s="138" t="s">
        <v>987</v>
      </c>
      <c r="AD13" s="138" t="s">
        <v>989</v>
      </c>
    </row>
    <row r="14" spans="1:30" x14ac:dyDescent="0.25">
      <c r="A14" s="138" t="s">
        <v>250</v>
      </c>
      <c r="B14" s="138" t="s">
        <v>251</v>
      </c>
      <c r="AA14" s="138" t="s">
        <v>994</v>
      </c>
      <c r="AD14" s="138" t="str">
        <f>CHAR(10)</f>
        <v xml:space="preserve">
</v>
      </c>
    </row>
    <row r="15" spans="1:30" s="139" customFormat="1" x14ac:dyDescent="0.25">
      <c r="A15" s="139" t="s">
        <v>250</v>
      </c>
      <c r="AA15" s="139" t="s">
        <v>988</v>
      </c>
      <c r="AB15" s="139" t="s">
        <v>995</v>
      </c>
      <c r="AD15" s="138" t="str">
        <f>CHAR(10)</f>
        <v xml:space="preserve">
</v>
      </c>
    </row>
    <row r="16" spans="1:30" x14ac:dyDescent="0.25">
      <c r="A16" s="138" t="s">
        <v>250</v>
      </c>
      <c r="AA16" s="138" t="s">
        <v>990</v>
      </c>
      <c r="AD16" s="138" t="str">
        <f>CHAR(10)</f>
        <v xml:space="preserve">
</v>
      </c>
    </row>
    <row r="17" spans="1:30" x14ac:dyDescent="0.25">
      <c r="A17" s="138" t="s">
        <v>250</v>
      </c>
      <c r="B17" s="138" t="s">
        <v>272</v>
      </c>
      <c r="AA17" s="138" t="s">
        <v>991</v>
      </c>
      <c r="AB17" s="138" t="s">
        <v>992</v>
      </c>
      <c r="AC17" s="138" t="s">
        <v>993</v>
      </c>
      <c r="AD17" s="138" t="str">
        <f>CHAR(10)</f>
        <v xml:space="preserve">
</v>
      </c>
    </row>
    <row r="18" spans="1:30" x14ac:dyDescent="0.25">
      <c r="A18" s="138" t="s">
        <v>250</v>
      </c>
      <c r="AA18" s="138" t="s">
        <v>991</v>
      </c>
      <c r="AB18" s="138" t="s">
        <v>992</v>
      </c>
      <c r="AC18" s="138" t="s">
        <v>993</v>
      </c>
    </row>
    <row r="19" spans="1:30" x14ac:dyDescent="0.25">
      <c r="A19" s="138" t="s">
        <v>250</v>
      </c>
      <c r="B19" s="372" t="s">
        <v>1052</v>
      </c>
    </row>
    <row r="20" spans="1:30" x14ac:dyDescent="0.25">
      <c r="A20" s="138" t="s">
        <v>250</v>
      </c>
    </row>
    <row r="21" spans="1:30" x14ac:dyDescent="0.25">
      <c r="A21" s="138" t="s">
        <v>365</v>
      </c>
    </row>
    <row r="22" spans="1:30" x14ac:dyDescent="0.25">
      <c r="B22" s="140" t="str">
        <f>"TABLE "&amp;$C$4</f>
        <v>TABLE LtgInputRestrictions</v>
      </c>
      <c r="C22" s="140"/>
    </row>
    <row r="23" spans="1:30" x14ac:dyDescent="0.25">
      <c r="C23" s="140" t="s">
        <v>435</v>
      </c>
      <c r="D23" s="334" t="s">
        <v>427</v>
      </c>
      <c r="E23" s="334" t="s">
        <v>427</v>
      </c>
      <c r="F23" s="334" t="s">
        <v>427</v>
      </c>
      <c r="G23" s="334" t="s">
        <v>427</v>
      </c>
      <c r="H23" s="334" t="s">
        <v>427</v>
      </c>
      <c r="I23" s="334" t="s">
        <v>427</v>
      </c>
      <c r="J23" s="334" t="s">
        <v>427</v>
      </c>
      <c r="K23" s="334" t="s">
        <v>427</v>
      </c>
      <c r="L23" s="334" t="s">
        <v>427</v>
      </c>
      <c r="M23" s="334" t="s">
        <v>427</v>
      </c>
      <c r="N23" s="334" t="s">
        <v>427</v>
      </c>
      <c r="O23" s="334" t="s">
        <v>427</v>
      </c>
      <c r="P23" s="334" t="s">
        <v>427</v>
      </c>
      <c r="Q23" s="334" t="s">
        <v>427</v>
      </c>
      <c r="R23" s="334" t="s">
        <v>427</v>
      </c>
      <c r="S23" s="138" t="s">
        <v>250</v>
      </c>
    </row>
    <row r="24" spans="1:30" ht="106.5" customHeight="1" x14ac:dyDescent="0.25">
      <c r="C24" s="333" t="s">
        <v>1043</v>
      </c>
      <c r="D24" s="116" t="s">
        <v>983</v>
      </c>
      <c r="E24" s="116" t="s">
        <v>429</v>
      </c>
      <c r="F24" s="116" t="s">
        <v>430</v>
      </c>
      <c r="G24" s="116" t="s">
        <v>996</v>
      </c>
      <c r="H24" s="116" t="s">
        <v>424</v>
      </c>
      <c r="I24" s="116" t="s">
        <v>425</v>
      </c>
      <c r="J24" s="116" t="s">
        <v>1046</v>
      </c>
      <c r="K24" s="116" t="s">
        <v>426</v>
      </c>
      <c r="L24" s="116" t="s">
        <v>432</v>
      </c>
      <c r="M24" s="116" t="s">
        <v>909</v>
      </c>
      <c r="N24" s="116" t="s">
        <v>984</v>
      </c>
      <c r="O24" s="116" t="s">
        <v>1010</v>
      </c>
      <c r="P24" s="116" t="s">
        <v>1011</v>
      </c>
      <c r="Q24" s="116" t="s">
        <v>1016</v>
      </c>
      <c r="R24" s="116" t="s">
        <v>1017</v>
      </c>
      <c r="S24" s="189" t="s">
        <v>250</v>
      </c>
      <c r="T24" s="139" t="s">
        <v>794</v>
      </c>
      <c r="U24" s="116" t="s">
        <v>985</v>
      </c>
      <c r="V24" s="139" t="s">
        <v>1047</v>
      </c>
      <c r="W24" s="139" t="s">
        <v>1051</v>
      </c>
      <c r="X24" s="139" t="s">
        <v>1050</v>
      </c>
      <c r="Y24" s="139" t="s">
        <v>1048</v>
      </c>
      <c r="Z24" s="139" t="s">
        <v>1049</v>
      </c>
    </row>
    <row r="25" spans="1:30" s="139" customFormat="1" x14ac:dyDescent="0.25">
      <c r="C25" s="336" t="s">
        <v>250</v>
      </c>
      <c r="D25" s="337" t="s">
        <v>798</v>
      </c>
      <c r="E25" s="337" t="s">
        <v>798</v>
      </c>
      <c r="F25" s="337" t="s">
        <v>798</v>
      </c>
      <c r="G25" s="337" t="s">
        <v>798</v>
      </c>
      <c r="H25" s="337" t="s">
        <v>798</v>
      </c>
      <c r="I25" s="337" t="s">
        <v>798</v>
      </c>
      <c r="J25" s="337" t="s">
        <v>798</v>
      </c>
      <c r="K25" s="337" t="s">
        <v>798</v>
      </c>
      <c r="L25" s="337" t="s">
        <v>798</v>
      </c>
      <c r="M25" s="337" t="s">
        <v>798</v>
      </c>
      <c r="N25" s="337" t="s">
        <v>798</v>
      </c>
      <c r="O25" s="337" t="s">
        <v>798</v>
      </c>
      <c r="P25" s="337" t="s">
        <v>798</v>
      </c>
      <c r="Q25" s="337" t="s">
        <v>798</v>
      </c>
      <c r="R25" s="337" t="s">
        <v>798</v>
      </c>
    </row>
    <row r="26" spans="1:30" s="139" customFormat="1" x14ac:dyDescent="0.25">
      <c r="C26" s="138" t="s">
        <v>937</v>
      </c>
      <c r="D26" s="331">
        <v>0</v>
      </c>
      <c r="E26" s="331">
        <v>0</v>
      </c>
      <c r="F26" s="332">
        <v>1</v>
      </c>
      <c r="G26" s="331">
        <v>0</v>
      </c>
      <c r="H26" s="331">
        <v>0</v>
      </c>
      <c r="I26" s="331">
        <v>0</v>
      </c>
      <c r="J26" s="331">
        <v>0</v>
      </c>
      <c r="K26" s="331">
        <v>0</v>
      </c>
      <c r="L26" s="331">
        <v>0</v>
      </c>
      <c r="M26" s="331">
        <v>0</v>
      </c>
      <c r="N26" s="331">
        <v>0</v>
      </c>
      <c r="O26" s="331">
        <v>0</v>
      </c>
      <c r="P26" s="331">
        <v>0</v>
      </c>
      <c r="Q26" s="331">
        <v>0</v>
      </c>
      <c r="R26" s="331">
        <v>0</v>
      </c>
      <c r="S26" s="138" t="s">
        <v>250</v>
      </c>
      <c r="T26" s="138">
        <v>202</v>
      </c>
      <c r="U26" s="138">
        <f t="shared" ref="U26:U49" si="0">IF(SUM(D26:P26)&gt;0,1,0)</f>
        <v>1</v>
      </c>
      <c r="V26" s="329">
        <f>SUM(D26:R26)</f>
        <v>1</v>
      </c>
      <c r="W26" s="138">
        <f ca="1">OFFSET($C$9,0,MATCH(1,$D26:$R26,0))</f>
        <v>3</v>
      </c>
      <c r="X26" s="138" t="str">
        <f ca="1">IF(OFFSET($C$9,0,_xlfn.XMATCH(1,$D26:$R26,0,-1))&lt;&gt;W26,OFFSET($C$9,0,_xlfn.XMATCH(1,$D26:$R26,0,-1)),"")</f>
        <v/>
      </c>
      <c r="Y26" s="138" t="str">
        <f t="shared" ref="Y26:Y96" ca="1" si="1">OFFSET($C$9,15,MATCH(1,$D26:$R26,0))</f>
        <v>Ornamental</v>
      </c>
      <c r="Z26" s="138" t="str">
        <f ca="1">IF(OFFSET($C$9,15,_xlfn.XMATCH(1,$D26:$R26,0,-1))&lt;&gt;Y26,OFFSET($C$9,15,_xlfn.XMATCH(1,$D26:$R26,0,-1)),"")</f>
        <v/>
      </c>
      <c r="AA26" s="116" t="str">
        <f ca="1">IF($V26=1,$AA$14&amp;$AD$14&amp;$AA$15&amp;TEXT($T26,0)&amp;$AB$15&amp;$C26&amp;$AD$15&amp;$AA$16&amp;$AD$16&amp;$AA$17&amp;TEXT($W26,0)&amp;$AB$17&amp;$Y26&amp;$AC$17&amp;$AD$17,
IF($V26=2,$AA$14&amp;$AD$14&amp;$AA$15&amp;TEXT($T26,0)&amp;$AB$15&amp;$C26&amp;$AD$15&amp;$AA$16&amp;$AD$16&amp;$AA$17&amp;TEXT($W26,0)&amp;$AB$17&amp;$Y26&amp;$AC$17&amp;$AD$17&amp;$AA$18&amp;TEXT($X26,0)&amp;$AB$18&amp;$Z26&amp;$AC$18&amp;$AD$18,""))</f>
        <v xml:space="preserve">1,    IntLtgSys:IntLtgSpecMthd,   1,    0   ; AreaCategoryMethod
1,    IntLtgSys:ParentSpcFunc,  202,    0   ; Audience Seating Area
2,              0,    "- none specified -"
2,              3,    "Ornamental"
</v>
      </c>
    </row>
    <row r="27" spans="1:30" s="139" customFormat="1" x14ac:dyDescent="0.25">
      <c r="C27" s="138" t="s">
        <v>525</v>
      </c>
      <c r="D27" s="331">
        <v>0</v>
      </c>
      <c r="E27" s="331">
        <v>0</v>
      </c>
      <c r="F27" s="332">
        <v>1</v>
      </c>
      <c r="G27" s="331">
        <v>0</v>
      </c>
      <c r="H27" s="331">
        <v>0</v>
      </c>
      <c r="I27" s="331">
        <v>1</v>
      </c>
      <c r="J27" s="331">
        <v>0</v>
      </c>
      <c r="K27" s="331">
        <v>0</v>
      </c>
      <c r="L27" s="331">
        <v>0</v>
      </c>
      <c r="M27" s="331">
        <v>0</v>
      </c>
      <c r="N27" s="331">
        <v>0</v>
      </c>
      <c r="O27" s="331">
        <v>0</v>
      </c>
      <c r="P27" s="331">
        <v>0</v>
      </c>
      <c r="Q27" s="331">
        <v>0</v>
      </c>
      <c r="R27" s="331">
        <v>0</v>
      </c>
      <c r="S27" s="138" t="s">
        <v>250</v>
      </c>
      <c r="T27" s="138">
        <v>203</v>
      </c>
      <c r="U27" s="138">
        <f t="shared" si="0"/>
        <v>1</v>
      </c>
      <c r="V27" s="329">
        <f t="shared" ref="V27:V90" si="2">SUM(D27:R27)</f>
        <v>2</v>
      </c>
      <c r="W27" s="138">
        <f t="shared" ref="W27:W90" ca="1" si="3">OFFSET($C$9,0,MATCH(1,$D27:$R27,0))</f>
        <v>3</v>
      </c>
      <c r="X27" s="138">
        <f t="shared" ref="X27:X90" ca="1" si="4">IF(OFFSET($C$9,0,_xlfn.XMATCH(1,$D27:$R27,0,-1))&lt;&gt;W27,OFFSET($C$9,0,_xlfn.XMATCH(1,$D27:$R27,0,-1)),"")</f>
        <v>6</v>
      </c>
      <c r="Y27" s="138" t="str">
        <f t="shared" ca="1" si="1"/>
        <v>Ornamental</v>
      </c>
      <c r="Z27" s="138" t="str">
        <f t="shared" ref="Z27:Z90" ca="1" si="5">IF(OFFSET($C$9,15,_xlfn.XMATCH(1,$D27:$R27,0,-1))&lt;&gt;Y27,OFFSET($C$9,15,_xlfn.XMATCH(1,$D27:$R27,0,-1)),"")</f>
        <v>AccentDisplayFeature</v>
      </c>
      <c r="AA27" s="116" t="str">
        <f ca="1">IF($V27=1,$AA$14&amp;$AD$14&amp;$AA$15&amp;TEXT($T27,0)&amp;$AB$15&amp;$C27&amp;$AD$15&amp;$AA$16&amp;$AD$16&amp;$AA$17&amp;TEXT($W27,0)&amp;$AB$17&amp;$Y27&amp;$AC$17&amp;$AD$17,
IF($V27=2,$AA$14&amp;$AD$14&amp;$AA$15&amp;TEXT($T27,0)&amp;$AB$15&amp;$C27&amp;$AD$15&amp;$AA$16&amp;$AD$16&amp;$AA$17&amp;TEXT($W27,0)&amp;$AB$17&amp;$Y27&amp;$AC$17&amp;$AD$17&amp;$AA$18&amp;TEXT($X27,0)&amp;$AB$18&amp;$Z27&amp;$AC$18&amp;$AD$18,""))</f>
        <v>1,    IntLtgSys:IntLtgSpecMthd,   1,    0   ; AreaCategoryMethod
1,    IntLtgSys:ParentSpcFunc,  203,    0   ; Auditorium Area
2,              0,    "- none specified -"
2,              3,    "Ornamental"
2,              6,    "AccentDisplayFeature"</v>
      </c>
    </row>
    <row r="28" spans="1:30" s="139" customFormat="1" x14ac:dyDescent="0.25">
      <c r="C28" s="138" t="s">
        <v>938</v>
      </c>
      <c r="D28" s="331">
        <v>1</v>
      </c>
      <c r="E28" s="331">
        <v>0</v>
      </c>
      <c r="F28" s="332">
        <v>0</v>
      </c>
      <c r="G28" s="331">
        <v>0</v>
      </c>
      <c r="H28" s="331">
        <v>0</v>
      </c>
      <c r="I28" s="331">
        <v>0</v>
      </c>
      <c r="J28" s="331">
        <v>0</v>
      </c>
      <c r="K28" s="331">
        <v>0</v>
      </c>
      <c r="L28" s="331">
        <v>0</v>
      </c>
      <c r="M28" s="331">
        <v>0</v>
      </c>
      <c r="N28" s="331">
        <v>0</v>
      </c>
      <c r="O28" s="331">
        <v>0</v>
      </c>
      <c r="P28" s="331">
        <v>0</v>
      </c>
      <c r="Q28" s="331">
        <v>0</v>
      </c>
      <c r="R28" s="331">
        <v>0</v>
      </c>
      <c r="S28" s="138" t="s">
        <v>250</v>
      </c>
      <c r="T28" s="138">
        <v>204</v>
      </c>
      <c r="U28" s="138">
        <f t="shared" si="0"/>
        <v>1</v>
      </c>
      <c r="V28" s="329">
        <f t="shared" si="2"/>
        <v>1</v>
      </c>
      <c r="W28" s="138">
        <f t="shared" ca="1" si="3"/>
        <v>1</v>
      </c>
      <c r="X28" s="138" t="str">
        <f t="shared" ca="1" si="4"/>
        <v/>
      </c>
      <c r="Y28" s="138" t="str">
        <f t="shared" ca="1" si="1"/>
        <v>DetailedTaskWork</v>
      </c>
      <c r="Z28" s="138" t="str">
        <f t="shared" ca="1" si="5"/>
        <v/>
      </c>
      <c r="AA28" s="116" t="str">
        <f t="shared" ref="AA28:AA91" ca="1" si="6">IF($V28=1,$AA$14&amp;$AD$14&amp;$AA$15&amp;TEXT($T28,0)&amp;$AB$15&amp;$C28&amp;$AD$15&amp;$AA$16&amp;$AD$16&amp;$AA$17&amp;TEXT($W28,0)&amp;$AB$17&amp;$Y28&amp;$AC$17&amp;$AD$17,
IF($V28=2,$AA$14&amp;$AD$14&amp;$AA$15&amp;TEXT($T28,0)&amp;$AB$15&amp;$C28&amp;$AD$15&amp;$AA$16&amp;$AD$16&amp;$AA$17&amp;TEXT($W28,0)&amp;$AB$17&amp;$Y28&amp;$AC$17&amp;$AD$17&amp;$AA$18&amp;TEXT($X28,0)&amp;$AB$18&amp;$Z28&amp;$AC$18&amp;$AD$18,""))</f>
        <v xml:space="preserve">1,    IntLtgSys:IntLtgSpecMthd,   1,    0   ; AreaCategoryMethod
1,    IntLtgSys:ParentSpcFunc,  204,    0   ; Auto Repair / Maintenance Area
2,              0,    "- none specified -"
2,              1,    "DetailedTaskWork"
</v>
      </c>
    </row>
    <row r="29" spans="1:30" s="139" customFormat="1" x14ac:dyDescent="0.25">
      <c r="C29" s="138" t="s">
        <v>635</v>
      </c>
      <c r="D29" s="331">
        <v>1</v>
      </c>
      <c r="E29" s="331">
        <v>0</v>
      </c>
      <c r="F29" s="332">
        <v>1</v>
      </c>
      <c r="G29" s="331">
        <v>0</v>
      </c>
      <c r="H29" s="331">
        <v>0</v>
      </c>
      <c r="I29" s="331">
        <v>0</v>
      </c>
      <c r="J29" s="331">
        <v>0</v>
      </c>
      <c r="K29" s="331">
        <v>0</v>
      </c>
      <c r="L29" s="331">
        <v>0</v>
      </c>
      <c r="M29" s="331">
        <v>0</v>
      </c>
      <c r="N29" s="331">
        <v>0</v>
      </c>
      <c r="O29" s="331">
        <v>0</v>
      </c>
      <c r="P29" s="331">
        <v>0</v>
      </c>
      <c r="Q29" s="331">
        <v>0</v>
      </c>
      <c r="R29" s="331">
        <v>0</v>
      </c>
      <c r="S29" s="138" t="s">
        <v>250</v>
      </c>
      <c r="T29" s="138">
        <v>205</v>
      </c>
      <c r="U29" s="138">
        <f t="shared" si="0"/>
        <v>1</v>
      </c>
      <c r="V29" s="329">
        <f t="shared" si="2"/>
        <v>2</v>
      </c>
      <c r="W29" s="138">
        <f t="shared" ca="1" si="3"/>
        <v>1</v>
      </c>
      <c r="X29" s="138">
        <f t="shared" ca="1" si="4"/>
        <v>3</v>
      </c>
      <c r="Y29" s="138" t="str">
        <f t="shared" ca="1" si="1"/>
        <v>DetailedTaskWork</v>
      </c>
      <c r="Z29" s="138" t="str">
        <f t="shared" ca="1" si="5"/>
        <v>Ornamental</v>
      </c>
      <c r="AA29" s="116" t="str">
        <f t="shared" ca="1" si="6"/>
        <v>1,    IntLtgSys:IntLtgSpecMthd,   1,    0   ; AreaCategoryMethod
1,    IntLtgSys:ParentSpcFunc,  205,    0   ; Beauty Salon Area
2,              0,    "- none specified -"
2,              1,    "DetailedTaskWork"
2,              3,    "Ornamental"</v>
      </c>
    </row>
    <row r="30" spans="1:30" s="139" customFormat="1" x14ac:dyDescent="0.25">
      <c r="C30" s="138" t="s">
        <v>526</v>
      </c>
      <c r="D30" s="331">
        <v>0</v>
      </c>
      <c r="E30" s="331">
        <v>0</v>
      </c>
      <c r="F30" s="332">
        <v>1</v>
      </c>
      <c r="G30" s="331">
        <v>0</v>
      </c>
      <c r="H30" s="331">
        <v>0</v>
      </c>
      <c r="I30" s="331">
        <v>0</v>
      </c>
      <c r="J30" s="331">
        <v>0</v>
      </c>
      <c r="K30" s="331">
        <v>0</v>
      </c>
      <c r="L30" s="331">
        <v>0</v>
      </c>
      <c r="M30" s="331">
        <v>0</v>
      </c>
      <c r="N30" s="331">
        <v>0</v>
      </c>
      <c r="O30" s="331">
        <v>0</v>
      </c>
      <c r="P30" s="331">
        <v>0</v>
      </c>
      <c r="Q30" s="331">
        <v>0</v>
      </c>
      <c r="R30" s="331">
        <v>0</v>
      </c>
      <c r="S30" s="138" t="s">
        <v>250</v>
      </c>
      <c r="T30" s="138">
        <v>206</v>
      </c>
      <c r="U30" s="138">
        <f t="shared" si="0"/>
        <v>1</v>
      </c>
      <c r="V30" s="329">
        <f t="shared" si="2"/>
        <v>1</v>
      </c>
      <c r="W30" s="138">
        <f t="shared" ca="1" si="3"/>
        <v>3</v>
      </c>
      <c r="X30" s="138" t="str">
        <f t="shared" ca="1" si="4"/>
        <v/>
      </c>
      <c r="Y30" s="138" t="str">
        <f t="shared" ca="1" si="1"/>
        <v>Ornamental</v>
      </c>
      <c r="Z30" s="138" t="str">
        <f t="shared" ca="1" si="5"/>
        <v/>
      </c>
      <c r="AA30" s="116" t="str">
        <f t="shared" ca="1" si="6"/>
        <v xml:space="preserve">1,    IntLtgSys:IntLtgSpecMthd,   1,    0   ; AreaCategoryMethod
1,    IntLtgSys:ParentSpcFunc,  206,    0   ; Civic Meeting Place Area
2,              0,    "- none specified -"
2,              3,    "Ornamental"
</v>
      </c>
    </row>
    <row r="31" spans="1:30" s="139" customFormat="1" x14ac:dyDescent="0.25">
      <c r="C31" s="138" t="s">
        <v>939</v>
      </c>
      <c r="D31" s="331">
        <v>0</v>
      </c>
      <c r="E31" s="331">
        <v>0</v>
      </c>
      <c r="F31" s="332">
        <v>0</v>
      </c>
      <c r="G31" s="331">
        <v>0</v>
      </c>
      <c r="H31" s="331">
        <v>1</v>
      </c>
      <c r="I31" s="331">
        <v>0</v>
      </c>
      <c r="J31" s="331">
        <v>0</v>
      </c>
      <c r="K31" s="331">
        <v>0</v>
      </c>
      <c r="L31" s="331">
        <v>0</v>
      </c>
      <c r="M31" s="331">
        <v>0</v>
      </c>
      <c r="N31" s="331">
        <v>0</v>
      </c>
      <c r="O31" s="331">
        <v>0</v>
      </c>
      <c r="P31" s="331">
        <v>0</v>
      </c>
      <c r="Q31" s="331">
        <v>0</v>
      </c>
      <c r="R31" s="331">
        <v>0</v>
      </c>
      <c r="S31" s="138" t="s">
        <v>250</v>
      </c>
      <c r="T31" s="138">
        <v>207</v>
      </c>
      <c r="U31" s="138">
        <f t="shared" si="0"/>
        <v>1</v>
      </c>
      <c r="V31" s="329">
        <f t="shared" si="2"/>
        <v>1</v>
      </c>
      <c r="W31" s="138">
        <f t="shared" ca="1" si="3"/>
        <v>5</v>
      </c>
      <c r="X31" s="138" t="str">
        <f t="shared" ca="1" si="4"/>
        <v/>
      </c>
      <c r="Y31" s="138" t="str">
        <f t="shared" ca="1" si="1"/>
        <v>WhiteOrChalkBoard</v>
      </c>
      <c r="Z31" s="138" t="str">
        <f t="shared" ca="1" si="5"/>
        <v/>
      </c>
      <c r="AA31" s="116" t="str">
        <f t="shared" ca="1" si="6"/>
        <v xml:space="preserve">1,    IntLtgSys:IntLtgSpecMthd,   1,    0   ; AreaCategoryMethod
1,    IntLtgSys:ParentSpcFunc,  207,    0   ; Classroom, Lecture, Training, Vocational Areas
2,              0,    "- none specified -"
2,              5,    "WhiteOrChalkBoard"
</v>
      </c>
    </row>
    <row r="32" spans="1:30" s="139" customFormat="1" x14ac:dyDescent="0.25">
      <c r="C32" s="138" t="s">
        <v>940</v>
      </c>
      <c r="D32" s="331">
        <v>0</v>
      </c>
      <c r="E32" s="331">
        <v>0</v>
      </c>
      <c r="F32" s="332">
        <v>0</v>
      </c>
      <c r="G32" s="331">
        <v>0</v>
      </c>
      <c r="H32" s="331">
        <v>0</v>
      </c>
      <c r="I32" s="331">
        <v>0</v>
      </c>
      <c r="J32" s="331">
        <v>0</v>
      </c>
      <c r="K32" s="331">
        <v>0</v>
      </c>
      <c r="L32" s="331">
        <v>0</v>
      </c>
      <c r="M32" s="331">
        <v>0</v>
      </c>
      <c r="N32" s="331">
        <v>0</v>
      </c>
      <c r="O32" s="331">
        <v>0</v>
      </c>
      <c r="P32" s="331">
        <v>0</v>
      </c>
      <c r="Q32" s="331">
        <v>0</v>
      </c>
      <c r="R32" s="331">
        <v>0</v>
      </c>
      <c r="S32" s="138" t="s">
        <v>250</v>
      </c>
      <c r="T32" s="138">
        <v>208</v>
      </c>
      <c r="U32" s="138">
        <f t="shared" si="0"/>
        <v>0</v>
      </c>
      <c r="V32" s="329">
        <f t="shared" si="2"/>
        <v>0</v>
      </c>
      <c r="W32" s="138" t="e">
        <f ca="1">OFFSET($C$9,0,MATCH(1,$D32:$R32,0))</f>
        <v>#N/A</v>
      </c>
      <c r="X32" s="138" t="e">
        <f t="shared" ca="1" si="4"/>
        <v>#N/A</v>
      </c>
      <c r="Y32" s="138" t="e">
        <f t="shared" ca="1" si="1"/>
        <v>#N/A</v>
      </c>
      <c r="Z32" s="138" t="e">
        <f t="shared" ca="1" si="5"/>
        <v>#N/A</v>
      </c>
      <c r="AA32" s="116" t="str">
        <f t="shared" si="6"/>
        <v/>
      </c>
    </row>
    <row r="33" spans="2:27" s="139" customFormat="1" x14ac:dyDescent="0.25">
      <c r="C33" s="138" t="s">
        <v>941</v>
      </c>
      <c r="D33" s="331">
        <v>0</v>
      </c>
      <c r="E33" s="331">
        <v>0</v>
      </c>
      <c r="F33" s="332">
        <v>0</v>
      </c>
      <c r="G33" s="331">
        <v>0</v>
      </c>
      <c r="H33" s="331">
        <v>0</v>
      </c>
      <c r="I33" s="331">
        <v>0</v>
      </c>
      <c r="J33" s="331">
        <v>0</v>
      </c>
      <c r="K33" s="331">
        <v>0</v>
      </c>
      <c r="L33" s="331">
        <v>0</v>
      </c>
      <c r="M33" s="331">
        <v>0</v>
      </c>
      <c r="N33" s="331">
        <v>0</v>
      </c>
      <c r="O33" s="331">
        <v>0</v>
      </c>
      <c r="P33" s="331">
        <v>0</v>
      </c>
      <c r="Q33" s="331">
        <v>0</v>
      </c>
      <c r="R33" s="331">
        <v>0</v>
      </c>
      <c r="S33" s="138" t="s">
        <v>250</v>
      </c>
      <c r="T33" s="138">
        <v>209</v>
      </c>
      <c r="U33" s="138">
        <f t="shared" si="0"/>
        <v>0</v>
      </c>
      <c r="V33" s="329">
        <f t="shared" si="2"/>
        <v>0</v>
      </c>
      <c r="W33" s="138" t="e">
        <f t="shared" ca="1" si="3"/>
        <v>#N/A</v>
      </c>
      <c r="X33" s="138" t="e">
        <f t="shared" ca="1" si="4"/>
        <v>#N/A</v>
      </c>
      <c r="Y33" s="138" t="e">
        <f t="shared" ca="1" si="1"/>
        <v>#N/A</v>
      </c>
      <c r="Z33" s="138" t="e">
        <f t="shared" ca="1" si="5"/>
        <v>#N/A</v>
      </c>
      <c r="AA33" s="116" t="str">
        <f t="shared" si="6"/>
        <v/>
      </c>
    </row>
    <row r="34" spans="2:27" x14ac:dyDescent="0.25">
      <c r="C34" s="138" t="s">
        <v>942</v>
      </c>
      <c r="D34" s="331">
        <v>0</v>
      </c>
      <c r="E34" s="331">
        <v>0</v>
      </c>
      <c r="F34" s="332">
        <v>0</v>
      </c>
      <c r="G34" s="331">
        <v>0</v>
      </c>
      <c r="H34" s="331">
        <v>0</v>
      </c>
      <c r="I34" s="331">
        <v>0</v>
      </c>
      <c r="J34" s="331">
        <v>0</v>
      </c>
      <c r="K34" s="331">
        <v>0</v>
      </c>
      <c r="L34" s="331">
        <v>0</v>
      </c>
      <c r="M34" s="331">
        <v>0</v>
      </c>
      <c r="N34" s="331">
        <v>0</v>
      </c>
      <c r="O34" s="331">
        <v>0</v>
      </c>
      <c r="P34" s="331">
        <v>0</v>
      </c>
      <c r="Q34" s="331">
        <v>0</v>
      </c>
      <c r="R34" s="331">
        <v>0</v>
      </c>
      <c r="S34" s="138" t="s">
        <v>250</v>
      </c>
      <c r="T34" s="138">
        <v>210</v>
      </c>
      <c r="U34" s="138">
        <f t="shared" si="0"/>
        <v>0</v>
      </c>
      <c r="V34" s="329">
        <f t="shared" si="2"/>
        <v>0</v>
      </c>
      <c r="W34" s="138" t="e">
        <f t="shared" ca="1" si="3"/>
        <v>#N/A</v>
      </c>
      <c r="X34" s="138" t="e">
        <f t="shared" ca="1" si="4"/>
        <v>#N/A</v>
      </c>
      <c r="Y34" s="138" t="e">
        <f t="shared" ca="1" si="1"/>
        <v>#N/A</v>
      </c>
      <c r="Z34" s="138" t="e">
        <f t="shared" ca="1" si="5"/>
        <v>#N/A</v>
      </c>
      <c r="AA34" s="116" t="str">
        <f t="shared" si="6"/>
        <v/>
      </c>
    </row>
    <row r="35" spans="2:27" x14ac:dyDescent="0.25">
      <c r="B35" s="329"/>
      <c r="C35" s="138" t="s">
        <v>639</v>
      </c>
      <c r="D35" s="331">
        <v>0</v>
      </c>
      <c r="E35" s="331">
        <v>0</v>
      </c>
      <c r="F35" s="332">
        <v>0</v>
      </c>
      <c r="G35" s="331">
        <v>0</v>
      </c>
      <c r="H35" s="331">
        <v>0</v>
      </c>
      <c r="I35" s="331">
        <v>0</v>
      </c>
      <c r="J35" s="331">
        <v>0</v>
      </c>
      <c r="K35" s="331">
        <v>0</v>
      </c>
      <c r="L35" s="331">
        <v>0</v>
      </c>
      <c r="M35" s="331">
        <v>0</v>
      </c>
      <c r="N35" s="331">
        <v>0</v>
      </c>
      <c r="O35" s="331">
        <v>0</v>
      </c>
      <c r="P35" s="331">
        <v>0</v>
      </c>
      <c r="Q35" s="331">
        <v>0</v>
      </c>
      <c r="R35" s="331">
        <v>0</v>
      </c>
      <c r="S35" s="138" t="s">
        <v>250</v>
      </c>
      <c r="T35" s="138">
        <v>211</v>
      </c>
      <c r="U35" s="138">
        <f t="shared" si="0"/>
        <v>0</v>
      </c>
      <c r="V35" s="329">
        <f t="shared" si="2"/>
        <v>0</v>
      </c>
      <c r="W35" s="138" t="e">
        <f t="shared" ca="1" si="3"/>
        <v>#N/A</v>
      </c>
      <c r="X35" s="138" t="e">
        <f t="shared" ca="1" si="4"/>
        <v>#N/A</v>
      </c>
      <c r="Y35" s="138" t="e">
        <f t="shared" ca="1" si="1"/>
        <v>#N/A</v>
      </c>
      <c r="Z35" s="138" t="e">
        <f t="shared" ca="1" si="5"/>
        <v>#N/A</v>
      </c>
      <c r="AA35" s="116" t="str">
        <f t="shared" si="6"/>
        <v/>
      </c>
    </row>
    <row r="36" spans="2:27" x14ac:dyDescent="0.25">
      <c r="B36" s="329"/>
      <c r="C36" s="138" t="s">
        <v>943</v>
      </c>
      <c r="D36" s="331">
        <v>0</v>
      </c>
      <c r="E36" s="331">
        <v>0</v>
      </c>
      <c r="F36" s="332">
        <v>1</v>
      </c>
      <c r="G36" s="331">
        <v>0</v>
      </c>
      <c r="H36" s="331">
        <v>0</v>
      </c>
      <c r="I36" s="331">
        <v>0</v>
      </c>
      <c r="J36" s="331">
        <v>0</v>
      </c>
      <c r="K36" s="331">
        <v>0</v>
      </c>
      <c r="L36" s="331">
        <v>0</v>
      </c>
      <c r="M36" s="331">
        <v>0</v>
      </c>
      <c r="N36" s="331">
        <v>0</v>
      </c>
      <c r="O36" s="331">
        <v>0</v>
      </c>
      <c r="P36" s="331">
        <v>0</v>
      </c>
      <c r="Q36" s="331">
        <v>0</v>
      </c>
      <c r="R36" s="331">
        <v>0</v>
      </c>
      <c r="S36" s="138" t="s">
        <v>250</v>
      </c>
      <c r="T36" s="138">
        <v>212</v>
      </c>
      <c r="U36" s="138">
        <f t="shared" si="0"/>
        <v>1</v>
      </c>
      <c r="V36" s="329">
        <f t="shared" si="2"/>
        <v>1</v>
      </c>
      <c r="W36" s="138">
        <f t="shared" ca="1" si="3"/>
        <v>3</v>
      </c>
      <c r="X36" s="138" t="str">
        <f t="shared" ca="1" si="4"/>
        <v/>
      </c>
      <c r="Y36" s="138" t="str">
        <f t="shared" ca="1" si="1"/>
        <v>Ornamental</v>
      </c>
      <c r="Z36" s="138" t="str">
        <f t="shared" ca="1" si="5"/>
        <v/>
      </c>
      <c r="AA36" s="116" t="str">
        <f t="shared" ca="1" si="6"/>
        <v xml:space="preserve">1,    IntLtgSys:IntLtgSpecMthd,   1,    0   ; AreaCategoryMethod
1,    IntLtgSys:ParentSpcFunc,  212,    0   ; Concourse and Atria Area
2,              0,    "- none specified -"
2,              3,    "Ornamental"
</v>
      </c>
    </row>
    <row r="37" spans="2:27" x14ac:dyDescent="0.25">
      <c r="B37" s="329"/>
      <c r="C37" s="138" t="s">
        <v>944</v>
      </c>
      <c r="D37" s="331">
        <v>0</v>
      </c>
      <c r="E37" s="331">
        <v>0</v>
      </c>
      <c r="F37" s="332">
        <v>1</v>
      </c>
      <c r="G37" s="331">
        <v>0</v>
      </c>
      <c r="H37" s="331">
        <v>0</v>
      </c>
      <c r="I37" s="331">
        <v>0</v>
      </c>
      <c r="J37" s="331">
        <v>0</v>
      </c>
      <c r="K37" s="331">
        <v>0</v>
      </c>
      <c r="L37" s="331">
        <v>0</v>
      </c>
      <c r="M37" s="331">
        <v>0</v>
      </c>
      <c r="N37" s="331">
        <v>0</v>
      </c>
      <c r="O37" s="331">
        <v>0</v>
      </c>
      <c r="P37" s="331">
        <v>0</v>
      </c>
      <c r="Q37" s="331">
        <v>0</v>
      </c>
      <c r="R37" s="331">
        <v>0</v>
      </c>
      <c r="S37" s="138" t="s">
        <v>250</v>
      </c>
      <c r="T37" s="138">
        <v>213</v>
      </c>
      <c r="U37" s="138">
        <f t="shared" si="0"/>
        <v>1</v>
      </c>
      <c r="V37" s="329">
        <f t="shared" si="2"/>
        <v>1</v>
      </c>
      <c r="W37" s="138">
        <f t="shared" ca="1" si="3"/>
        <v>3</v>
      </c>
      <c r="X37" s="138" t="str">
        <f t="shared" ca="1" si="4"/>
        <v/>
      </c>
      <c r="Y37" s="138" t="str">
        <f t="shared" ca="1" si="1"/>
        <v>Ornamental</v>
      </c>
      <c r="Z37" s="138" t="str">
        <f t="shared" ca="1" si="5"/>
        <v/>
      </c>
      <c r="AA37" s="116" t="str">
        <f t="shared" ca="1" si="6"/>
        <v xml:space="preserve">1,    IntLtgSys:IntLtgSpecMthd,   1,    0   ; AreaCategoryMethod
1,    IntLtgSys:ParentSpcFunc,  213,    0   ; Convention, Conference, Multipurpose and Meeting Area
2,              0,    "- none specified -"
2,              3,    "Ornamental"
</v>
      </c>
    </row>
    <row r="38" spans="2:27" x14ac:dyDescent="0.25">
      <c r="B38" s="329"/>
      <c r="C38" s="138" t="s">
        <v>922</v>
      </c>
      <c r="D38" s="331">
        <v>0</v>
      </c>
      <c r="E38" s="331">
        <v>0</v>
      </c>
      <c r="F38" s="332">
        <v>0</v>
      </c>
      <c r="G38" s="331">
        <v>0</v>
      </c>
      <c r="H38" s="331">
        <v>0</v>
      </c>
      <c r="I38" s="331">
        <v>0</v>
      </c>
      <c r="J38" s="331">
        <v>0</v>
      </c>
      <c r="K38" s="331">
        <v>0</v>
      </c>
      <c r="L38" s="331">
        <v>0</v>
      </c>
      <c r="M38" s="331">
        <v>0</v>
      </c>
      <c r="N38" s="331">
        <v>0</v>
      </c>
      <c r="O38" s="331">
        <v>0</v>
      </c>
      <c r="P38" s="331">
        <v>0</v>
      </c>
      <c r="Q38" s="331">
        <v>0</v>
      </c>
      <c r="R38" s="331">
        <v>0</v>
      </c>
      <c r="S38" s="138" t="s">
        <v>250</v>
      </c>
      <c r="T38" s="138">
        <v>214</v>
      </c>
      <c r="U38" s="138">
        <f t="shared" si="0"/>
        <v>0</v>
      </c>
      <c r="V38" s="329">
        <f t="shared" si="2"/>
        <v>0</v>
      </c>
      <c r="W38" s="138" t="e">
        <f t="shared" ca="1" si="3"/>
        <v>#N/A</v>
      </c>
      <c r="X38" s="138" t="e">
        <f t="shared" ca="1" si="4"/>
        <v>#N/A</v>
      </c>
      <c r="Y38" s="138" t="e">
        <f t="shared" ca="1" si="1"/>
        <v>#N/A</v>
      </c>
      <c r="Z38" s="138" t="e">
        <f t="shared" ca="1" si="5"/>
        <v>#N/A</v>
      </c>
      <c r="AA38" s="116" t="str">
        <f t="shared" si="6"/>
        <v/>
      </c>
    </row>
    <row r="39" spans="2:27" x14ac:dyDescent="0.25">
      <c r="B39" s="329"/>
      <c r="C39" s="138" t="s">
        <v>945</v>
      </c>
      <c r="D39" s="331">
        <v>0</v>
      </c>
      <c r="E39" s="331">
        <v>0</v>
      </c>
      <c r="F39" s="332">
        <v>0</v>
      </c>
      <c r="G39" s="331">
        <v>0</v>
      </c>
      <c r="H39" s="331">
        <v>0</v>
      </c>
      <c r="I39" s="331">
        <v>0</v>
      </c>
      <c r="J39" s="331">
        <v>0</v>
      </c>
      <c r="K39" s="331">
        <v>0</v>
      </c>
      <c r="L39" s="331">
        <v>0</v>
      </c>
      <c r="M39" s="331">
        <v>0</v>
      </c>
      <c r="N39" s="331">
        <v>0</v>
      </c>
      <c r="O39" s="331">
        <v>0</v>
      </c>
      <c r="P39" s="331">
        <v>0</v>
      </c>
      <c r="Q39" s="331">
        <v>0</v>
      </c>
      <c r="R39" s="331">
        <v>0</v>
      </c>
      <c r="S39" s="138" t="s">
        <v>250</v>
      </c>
      <c r="T39" s="138">
        <v>215</v>
      </c>
      <c r="U39" s="138">
        <f t="shared" si="0"/>
        <v>0</v>
      </c>
      <c r="V39" s="329">
        <f t="shared" si="2"/>
        <v>0</v>
      </c>
      <c r="W39" s="138" t="e">
        <f t="shared" ca="1" si="3"/>
        <v>#N/A</v>
      </c>
      <c r="X39" s="138" t="e">
        <f t="shared" ca="1" si="4"/>
        <v>#N/A</v>
      </c>
      <c r="Y39" s="138" t="e">
        <f t="shared" ca="1" si="1"/>
        <v>#N/A</v>
      </c>
      <c r="Z39" s="138" t="e">
        <f t="shared" ca="1" si="5"/>
        <v>#N/A</v>
      </c>
      <c r="AA39" s="116" t="str">
        <f t="shared" si="6"/>
        <v/>
      </c>
    </row>
    <row r="40" spans="2:27" x14ac:dyDescent="0.25">
      <c r="B40" s="329"/>
      <c r="C40" s="138" t="s">
        <v>946</v>
      </c>
      <c r="D40" s="331">
        <v>0</v>
      </c>
      <c r="E40" s="331">
        <v>0</v>
      </c>
      <c r="F40" s="332">
        <v>1</v>
      </c>
      <c r="G40" s="331">
        <v>0</v>
      </c>
      <c r="H40" s="331">
        <v>0</v>
      </c>
      <c r="I40" s="331">
        <v>0</v>
      </c>
      <c r="J40" s="331">
        <v>0</v>
      </c>
      <c r="K40" s="331">
        <v>0</v>
      </c>
      <c r="L40" s="331">
        <v>0</v>
      </c>
      <c r="M40" s="331">
        <v>0</v>
      </c>
      <c r="N40" s="331">
        <v>0</v>
      </c>
      <c r="O40" s="331">
        <v>0</v>
      </c>
      <c r="P40" s="331">
        <v>0</v>
      </c>
      <c r="Q40" s="331">
        <v>0</v>
      </c>
      <c r="R40" s="331">
        <v>0</v>
      </c>
      <c r="S40" s="138" t="s">
        <v>250</v>
      </c>
      <c r="T40" s="138">
        <v>216</v>
      </c>
      <c r="U40" s="138">
        <f t="shared" si="0"/>
        <v>1</v>
      </c>
      <c r="V40" s="329">
        <f t="shared" si="2"/>
        <v>1</v>
      </c>
      <c r="W40" s="138">
        <f t="shared" ca="1" si="3"/>
        <v>3</v>
      </c>
      <c r="X40" s="138" t="str">
        <f t="shared" ca="1" si="4"/>
        <v/>
      </c>
      <c r="Y40" s="138" t="str">
        <f t="shared" ca="1" si="1"/>
        <v>Ornamental</v>
      </c>
      <c r="Z40" s="138" t="str">
        <f t="shared" ca="1" si="5"/>
        <v/>
      </c>
      <c r="AA40" s="116" t="str">
        <f t="shared" ca="1" si="6"/>
        <v xml:space="preserve">1,    IntLtgSys:IntLtgSpecMthd,   1,    0   ; AreaCategoryMethod
1,    IntLtgSys:ParentSpcFunc,  216,    0   ; Dining Area (Bar/Lounge and Fine Dining)
2,              0,    "- none specified -"
2,              3,    "Ornamental"
</v>
      </c>
    </row>
    <row r="41" spans="2:27" x14ac:dyDescent="0.25">
      <c r="C41" s="138" t="s">
        <v>947</v>
      </c>
      <c r="D41" s="331">
        <v>0</v>
      </c>
      <c r="E41" s="331">
        <v>0</v>
      </c>
      <c r="F41" s="332">
        <v>1</v>
      </c>
      <c r="G41" s="331">
        <v>0</v>
      </c>
      <c r="H41" s="331">
        <v>0</v>
      </c>
      <c r="I41" s="331">
        <v>0</v>
      </c>
      <c r="J41" s="331">
        <v>0</v>
      </c>
      <c r="K41" s="331">
        <v>0</v>
      </c>
      <c r="L41" s="331">
        <v>0</v>
      </c>
      <c r="M41" s="331">
        <v>0</v>
      </c>
      <c r="N41" s="331">
        <v>0</v>
      </c>
      <c r="O41" s="331">
        <v>0</v>
      </c>
      <c r="P41" s="331">
        <v>0</v>
      </c>
      <c r="Q41" s="331">
        <v>0</v>
      </c>
      <c r="R41" s="331">
        <v>0</v>
      </c>
      <c r="S41" s="138" t="s">
        <v>250</v>
      </c>
      <c r="T41" s="138">
        <v>217</v>
      </c>
      <c r="U41" s="138">
        <f t="shared" si="0"/>
        <v>1</v>
      </c>
      <c r="V41" s="329">
        <f t="shared" si="2"/>
        <v>1</v>
      </c>
      <c r="W41" s="138">
        <f t="shared" ca="1" si="3"/>
        <v>3</v>
      </c>
      <c r="X41" s="138" t="str">
        <f t="shared" ca="1" si="4"/>
        <v/>
      </c>
      <c r="Y41" s="138" t="str">
        <f t="shared" ca="1" si="1"/>
        <v>Ornamental</v>
      </c>
      <c r="Z41" s="138" t="str">
        <f t="shared" ca="1" si="5"/>
        <v/>
      </c>
      <c r="AA41" s="116" t="str">
        <f t="shared" ca="1" si="6"/>
        <v xml:space="preserve">1,    IntLtgSys:IntLtgSpecMthd,   1,    0   ; AreaCategoryMethod
1,    IntLtgSys:ParentSpcFunc,  217,    0   ; Dining Area (Cafetaria/Fast Food)
2,              0,    "- none specified -"
2,              3,    "Ornamental"
</v>
      </c>
    </row>
    <row r="42" spans="2:27" x14ac:dyDescent="0.25">
      <c r="C42" s="138" t="s">
        <v>948</v>
      </c>
      <c r="D42" s="331">
        <v>0</v>
      </c>
      <c r="E42" s="331">
        <v>0</v>
      </c>
      <c r="F42" s="332">
        <v>1</v>
      </c>
      <c r="G42" s="331">
        <v>0</v>
      </c>
      <c r="H42" s="331">
        <v>0</v>
      </c>
      <c r="I42" s="331">
        <v>0</v>
      </c>
      <c r="J42" s="331">
        <v>0</v>
      </c>
      <c r="K42" s="331">
        <v>0</v>
      </c>
      <c r="L42" s="331">
        <v>0</v>
      </c>
      <c r="M42" s="331">
        <v>0</v>
      </c>
      <c r="N42" s="331">
        <v>0</v>
      </c>
      <c r="O42" s="331">
        <v>0</v>
      </c>
      <c r="P42" s="331">
        <v>0</v>
      </c>
      <c r="Q42" s="331">
        <v>0</v>
      </c>
      <c r="R42" s="331">
        <v>0</v>
      </c>
      <c r="S42" s="138" t="s">
        <v>250</v>
      </c>
      <c r="T42" s="138">
        <v>218</v>
      </c>
      <c r="U42" s="138">
        <f t="shared" si="0"/>
        <v>1</v>
      </c>
      <c r="V42" s="329">
        <f t="shared" si="2"/>
        <v>1</v>
      </c>
      <c r="W42" s="138">
        <f t="shared" ca="1" si="3"/>
        <v>3</v>
      </c>
      <c r="X42" s="138" t="str">
        <f t="shared" ca="1" si="4"/>
        <v/>
      </c>
      <c r="Y42" s="138" t="str">
        <f t="shared" ca="1" si="1"/>
        <v>Ornamental</v>
      </c>
      <c r="Z42" s="138" t="str">
        <f t="shared" ca="1" si="5"/>
        <v/>
      </c>
      <c r="AA42" s="116" t="str">
        <f t="shared" ca="1" si="6"/>
        <v xml:space="preserve">1,    IntLtgSys:IntLtgSpecMthd,   1,    0   ; AreaCategoryMethod
1,    IntLtgSys:ParentSpcFunc,  218,    0   ; Dining Area (Family and Leisure)
2,              0,    "- none specified -"
2,              3,    "Ornamental"
</v>
      </c>
    </row>
    <row r="43" spans="2:27" x14ac:dyDescent="0.25">
      <c r="C43" s="138" t="s">
        <v>643</v>
      </c>
      <c r="D43" s="331">
        <v>1</v>
      </c>
      <c r="E43" s="331">
        <v>0</v>
      </c>
      <c r="F43" s="332">
        <v>0</v>
      </c>
      <c r="G43" s="331">
        <v>0</v>
      </c>
      <c r="H43" s="331">
        <v>0</v>
      </c>
      <c r="I43" s="331">
        <v>0</v>
      </c>
      <c r="J43" s="331">
        <v>0</v>
      </c>
      <c r="K43" s="331">
        <v>0</v>
      </c>
      <c r="L43" s="331">
        <v>0</v>
      </c>
      <c r="M43" s="331">
        <v>0</v>
      </c>
      <c r="N43" s="331">
        <v>0</v>
      </c>
      <c r="O43" s="331">
        <v>0</v>
      </c>
      <c r="P43" s="331">
        <v>0</v>
      </c>
      <c r="Q43" s="331">
        <v>0</v>
      </c>
      <c r="R43" s="331">
        <v>0</v>
      </c>
      <c r="S43" s="138" t="s">
        <v>250</v>
      </c>
      <c r="T43" s="138">
        <v>219</v>
      </c>
      <c r="U43" s="138">
        <f t="shared" si="0"/>
        <v>1</v>
      </c>
      <c r="V43" s="329">
        <f t="shared" si="2"/>
        <v>1</v>
      </c>
      <c r="W43" s="138">
        <f t="shared" ca="1" si="3"/>
        <v>1</v>
      </c>
      <c r="X43" s="138" t="str">
        <f t="shared" ca="1" si="4"/>
        <v/>
      </c>
      <c r="Y43" s="138" t="str">
        <f t="shared" ca="1" si="1"/>
        <v>DetailedTaskWork</v>
      </c>
      <c r="Z43" s="138" t="str">
        <f t="shared" ca="1" si="5"/>
        <v/>
      </c>
      <c r="AA43" s="116" t="str">
        <f t="shared" ca="1" si="6"/>
        <v xml:space="preserve">1,    IntLtgSys:IntLtgSpecMthd,   1,    0   ; AreaCategoryMethod
1,    IntLtgSys:ParentSpcFunc,  219,    0   ; Electrical, Mechanical, Telephone Rooms
2,              0,    "- none specified -"
2,              1,    "DetailedTaskWork"
</v>
      </c>
    </row>
    <row r="44" spans="2:27" x14ac:dyDescent="0.25">
      <c r="C44" s="138" t="s">
        <v>949</v>
      </c>
      <c r="D44" s="331">
        <v>0</v>
      </c>
      <c r="E44" s="331">
        <v>0</v>
      </c>
      <c r="F44" s="332">
        <v>0</v>
      </c>
      <c r="G44" s="331">
        <v>0</v>
      </c>
      <c r="H44" s="331">
        <v>0</v>
      </c>
      <c r="I44" s="331">
        <v>0</v>
      </c>
      <c r="J44" s="331">
        <v>0</v>
      </c>
      <c r="K44" s="331">
        <v>0</v>
      </c>
      <c r="L44" s="331">
        <v>0</v>
      </c>
      <c r="M44" s="331">
        <v>0</v>
      </c>
      <c r="N44" s="331">
        <v>0</v>
      </c>
      <c r="O44" s="331">
        <v>0</v>
      </c>
      <c r="P44" s="331">
        <v>0</v>
      </c>
      <c r="Q44" s="331">
        <v>0</v>
      </c>
      <c r="R44" s="331">
        <v>0</v>
      </c>
      <c r="S44" s="138" t="s">
        <v>250</v>
      </c>
      <c r="T44" s="138">
        <v>220</v>
      </c>
      <c r="U44" s="138">
        <f t="shared" si="0"/>
        <v>0</v>
      </c>
      <c r="V44" s="329">
        <f t="shared" si="2"/>
        <v>0</v>
      </c>
      <c r="W44" s="138" t="e">
        <f t="shared" ca="1" si="3"/>
        <v>#N/A</v>
      </c>
      <c r="X44" s="138" t="e">
        <f t="shared" ca="1" si="4"/>
        <v>#N/A</v>
      </c>
      <c r="Y44" s="138" t="e">
        <f t="shared" ca="1" si="1"/>
        <v>#N/A</v>
      </c>
      <c r="Z44" s="138" t="e">
        <f t="shared" ca="1" si="5"/>
        <v>#N/A</v>
      </c>
      <c r="AA44" s="116" t="str">
        <f t="shared" si="6"/>
        <v/>
      </c>
    </row>
    <row r="45" spans="2:27" x14ac:dyDescent="0.25">
      <c r="B45" s="329"/>
      <c r="C45" s="138" t="s">
        <v>530</v>
      </c>
      <c r="D45" s="331">
        <v>0</v>
      </c>
      <c r="E45" s="331">
        <v>0</v>
      </c>
      <c r="F45" s="332">
        <v>1</v>
      </c>
      <c r="G45" s="331">
        <v>0</v>
      </c>
      <c r="H45" s="331">
        <v>0</v>
      </c>
      <c r="I45" s="331">
        <v>0</v>
      </c>
      <c r="J45" s="331">
        <v>0</v>
      </c>
      <c r="K45" s="331">
        <v>0</v>
      </c>
      <c r="L45" s="331">
        <v>0</v>
      </c>
      <c r="M45" s="331">
        <v>0</v>
      </c>
      <c r="N45" s="331">
        <v>0</v>
      </c>
      <c r="O45" s="331">
        <v>0</v>
      </c>
      <c r="P45" s="331">
        <v>0</v>
      </c>
      <c r="Q45" s="331">
        <v>0</v>
      </c>
      <c r="R45" s="331">
        <v>0</v>
      </c>
      <c r="S45" s="138" t="s">
        <v>250</v>
      </c>
      <c r="T45" s="138">
        <v>221</v>
      </c>
      <c r="U45" s="138">
        <f t="shared" si="0"/>
        <v>1</v>
      </c>
      <c r="V45" s="329">
        <f t="shared" si="2"/>
        <v>1</v>
      </c>
      <c r="W45" s="138">
        <f t="shared" ca="1" si="3"/>
        <v>3</v>
      </c>
      <c r="X45" s="138" t="str">
        <f t="shared" ca="1" si="4"/>
        <v/>
      </c>
      <c r="Y45" s="138" t="str">
        <f t="shared" ca="1" si="1"/>
        <v>Ornamental</v>
      </c>
      <c r="Z45" s="138" t="str">
        <f t="shared" ca="1" si="5"/>
        <v/>
      </c>
      <c r="AA45" s="116" t="str">
        <f t="shared" ca="1" si="6"/>
        <v xml:space="preserve">1,    IntLtgSys:IntLtgSpecMthd,   1,    0   ; AreaCategoryMethod
1,    IntLtgSys:ParentSpcFunc,  221,    0   ; Financial Transaction Area
2,              0,    "- none specified -"
2,              3,    "Ornamental"
</v>
      </c>
    </row>
    <row r="46" spans="2:27" x14ac:dyDescent="0.25">
      <c r="B46" s="329"/>
      <c r="C46" s="138" t="s">
        <v>950</v>
      </c>
      <c r="D46" s="331">
        <v>1</v>
      </c>
      <c r="E46" s="331">
        <v>0</v>
      </c>
      <c r="F46" s="332">
        <v>0</v>
      </c>
      <c r="G46" s="331">
        <v>0</v>
      </c>
      <c r="H46" s="331">
        <v>0</v>
      </c>
      <c r="I46" s="331">
        <v>0</v>
      </c>
      <c r="J46" s="331">
        <v>0</v>
      </c>
      <c r="K46" s="331">
        <v>0</v>
      </c>
      <c r="L46" s="331">
        <v>0</v>
      </c>
      <c r="M46" s="331">
        <v>0</v>
      </c>
      <c r="N46" s="331">
        <v>0</v>
      </c>
      <c r="O46" s="331">
        <v>0</v>
      </c>
      <c r="P46" s="331">
        <v>0</v>
      </c>
      <c r="Q46" s="331">
        <v>0</v>
      </c>
      <c r="R46" s="331">
        <v>0</v>
      </c>
      <c r="S46" s="138" t="s">
        <v>250</v>
      </c>
      <c r="T46" s="138">
        <v>222</v>
      </c>
      <c r="U46" s="138">
        <f t="shared" si="0"/>
        <v>1</v>
      </c>
      <c r="V46" s="329">
        <f t="shared" si="2"/>
        <v>1</v>
      </c>
      <c r="W46" s="138">
        <f t="shared" ca="1" si="3"/>
        <v>1</v>
      </c>
      <c r="X46" s="138" t="str">
        <f t="shared" ca="1" si="4"/>
        <v/>
      </c>
      <c r="Y46" s="138" t="str">
        <f t="shared" ca="1" si="1"/>
        <v>DetailedTaskWork</v>
      </c>
      <c r="Z46" s="138" t="str">
        <f t="shared" ca="1" si="5"/>
        <v/>
      </c>
      <c r="AA46" s="116" t="str">
        <f t="shared" ca="1" si="6"/>
        <v xml:space="preserve">1,    IntLtgSys:IntLtgSpecMthd,   1,    0   ; AreaCategoryMethod
1,    IntLtgSys:ParentSpcFunc,  222,    0   ; General/Commercial &amp; Industrial Work Area (High Bay)
2,              0,    "- none specified -"
2,              1,    "DetailedTaskWork"
</v>
      </c>
    </row>
    <row r="47" spans="2:27" x14ac:dyDescent="0.25">
      <c r="C47" s="138" t="s">
        <v>951</v>
      </c>
      <c r="D47" s="331">
        <v>1</v>
      </c>
      <c r="E47" s="331">
        <v>0</v>
      </c>
      <c r="F47" s="332">
        <v>0</v>
      </c>
      <c r="G47" s="331">
        <v>0</v>
      </c>
      <c r="H47" s="331">
        <v>0</v>
      </c>
      <c r="I47" s="331">
        <v>0</v>
      </c>
      <c r="J47" s="331">
        <v>0</v>
      </c>
      <c r="K47" s="331">
        <v>0</v>
      </c>
      <c r="L47" s="331">
        <v>0</v>
      </c>
      <c r="M47" s="331">
        <v>0</v>
      </c>
      <c r="N47" s="331">
        <v>0</v>
      </c>
      <c r="O47" s="331">
        <v>0</v>
      </c>
      <c r="P47" s="331">
        <v>0</v>
      </c>
      <c r="Q47" s="331">
        <v>0</v>
      </c>
      <c r="R47" s="331">
        <v>0</v>
      </c>
      <c r="S47" s="138" t="s">
        <v>250</v>
      </c>
      <c r="T47" s="138">
        <v>223</v>
      </c>
      <c r="U47" s="138">
        <f t="shared" si="0"/>
        <v>1</v>
      </c>
      <c r="V47" s="329">
        <f t="shared" si="2"/>
        <v>1</v>
      </c>
      <c r="W47" s="138">
        <f t="shared" ca="1" si="3"/>
        <v>1</v>
      </c>
      <c r="X47" s="138" t="str">
        <f t="shared" ca="1" si="4"/>
        <v/>
      </c>
      <c r="Y47" s="138" t="str">
        <f t="shared" ca="1" si="1"/>
        <v>DetailedTaskWork</v>
      </c>
      <c r="Z47" s="138" t="str">
        <f t="shared" ca="1" si="5"/>
        <v/>
      </c>
      <c r="AA47" s="116" t="str">
        <f t="shared" ca="1" si="6"/>
        <v xml:space="preserve">1,    IntLtgSys:IntLtgSpecMthd,   1,    0   ; AreaCategoryMethod
1,    IntLtgSys:ParentSpcFunc,  223,    0   ; General/Commercial &amp; Industrial Work Area (Low Bay)
2,              0,    "- none specified -"
2,              1,    "DetailedTaskWork"
</v>
      </c>
    </row>
    <row r="48" spans="2:27" x14ac:dyDescent="0.25">
      <c r="C48" s="138" t="s">
        <v>952</v>
      </c>
      <c r="D48" s="331">
        <v>0</v>
      </c>
      <c r="E48" s="331">
        <v>0</v>
      </c>
      <c r="F48" s="332">
        <v>0</v>
      </c>
      <c r="G48" s="331">
        <v>1</v>
      </c>
      <c r="H48" s="331">
        <v>0</v>
      </c>
      <c r="I48" s="331">
        <v>0</v>
      </c>
      <c r="J48" s="331">
        <v>0</v>
      </c>
      <c r="K48" s="331">
        <v>0</v>
      </c>
      <c r="L48" s="331">
        <v>0</v>
      </c>
      <c r="M48" s="331">
        <v>0</v>
      </c>
      <c r="N48" s="331">
        <v>0</v>
      </c>
      <c r="O48" s="331">
        <v>0</v>
      </c>
      <c r="P48" s="331">
        <v>0</v>
      </c>
      <c r="Q48" s="331">
        <v>0</v>
      </c>
      <c r="R48" s="331">
        <v>0</v>
      </c>
      <c r="S48" s="138" t="s">
        <v>250</v>
      </c>
      <c r="T48" s="138">
        <v>224</v>
      </c>
      <c r="U48" s="138">
        <f t="shared" si="0"/>
        <v>1</v>
      </c>
      <c r="V48" s="329">
        <f t="shared" si="2"/>
        <v>1</v>
      </c>
      <c r="W48" s="138">
        <f t="shared" ca="1" si="3"/>
        <v>4</v>
      </c>
      <c r="X48" s="138" t="str">
        <f t="shared" ca="1" si="4"/>
        <v/>
      </c>
      <c r="Y48" s="138" t="str">
        <f t="shared" ca="1" si="1"/>
        <v>PrecisionWork</v>
      </c>
      <c r="Z48" s="138" t="str">
        <f t="shared" ca="1" si="5"/>
        <v/>
      </c>
      <c r="AA48" s="116" t="str">
        <f t="shared" ca="1" si="6"/>
        <v xml:space="preserve">1,    IntLtgSys:IntLtgSpecMthd,   1,    0   ; AreaCategoryMethod
1,    IntLtgSys:ParentSpcFunc,  224,    0   ; General/Commercial &amp; Industrial Work Area (Precision)
2,              0,    "- none specified -"
2,              4,    "PrecisionWork"
</v>
      </c>
    </row>
    <row r="49" spans="2:27" x14ac:dyDescent="0.25">
      <c r="B49" s="329"/>
      <c r="C49" s="138" t="s">
        <v>953</v>
      </c>
      <c r="D49" s="331">
        <v>0</v>
      </c>
      <c r="E49" s="331">
        <v>0</v>
      </c>
      <c r="F49" s="332">
        <v>0</v>
      </c>
      <c r="G49" s="331">
        <v>0</v>
      </c>
      <c r="H49" s="331">
        <v>0</v>
      </c>
      <c r="I49" s="331">
        <v>0</v>
      </c>
      <c r="J49" s="331">
        <v>0</v>
      </c>
      <c r="K49" s="331">
        <v>0</v>
      </c>
      <c r="L49" s="331">
        <v>0</v>
      </c>
      <c r="M49" s="331">
        <v>0</v>
      </c>
      <c r="N49" s="331">
        <v>0</v>
      </c>
      <c r="O49" s="331">
        <v>0</v>
      </c>
      <c r="P49" s="331">
        <v>0</v>
      </c>
      <c r="Q49" s="331">
        <v>0</v>
      </c>
      <c r="R49" s="331">
        <v>0</v>
      </c>
      <c r="S49" s="138" t="s">
        <v>250</v>
      </c>
      <c r="T49" s="138">
        <v>225</v>
      </c>
      <c r="U49" s="138">
        <f t="shared" si="0"/>
        <v>0</v>
      </c>
      <c r="V49" s="329">
        <f t="shared" si="2"/>
        <v>0</v>
      </c>
      <c r="W49" s="138" t="e">
        <f t="shared" ca="1" si="3"/>
        <v>#N/A</v>
      </c>
      <c r="X49" s="138" t="e">
        <f t="shared" ca="1" si="4"/>
        <v>#N/A</v>
      </c>
      <c r="Y49" s="138" t="e">
        <f t="shared" ca="1" si="1"/>
        <v>#N/A</v>
      </c>
      <c r="Z49" s="138" t="e">
        <f t="shared" ca="1" si="5"/>
        <v>#N/A</v>
      </c>
      <c r="AA49" s="116" t="str">
        <f t="shared" si="6"/>
        <v/>
      </c>
    </row>
    <row r="50" spans="2:27" x14ac:dyDescent="0.25">
      <c r="B50" s="329"/>
      <c r="C50" s="138" t="s">
        <v>1026</v>
      </c>
      <c r="D50" s="331">
        <v>0</v>
      </c>
      <c r="E50" s="331">
        <v>0</v>
      </c>
      <c r="F50" s="332">
        <v>0</v>
      </c>
      <c r="G50" s="331">
        <v>0</v>
      </c>
      <c r="H50" s="331">
        <v>0</v>
      </c>
      <c r="I50" s="331">
        <v>0</v>
      </c>
      <c r="J50" s="331">
        <v>0</v>
      </c>
      <c r="K50" s="331">
        <v>0</v>
      </c>
      <c r="L50" s="331">
        <v>0</v>
      </c>
      <c r="M50" s="331">
        <v>0</v>
      </c>
      <c r="N50" s="331">
        <v>0</v>
      </c>
      <c r="O50" s="331">
        <v>0</v>
      </c>
      <c r="P50" s="331">
        <v>0</v>
      </c>
      <c r="Q50" s="331">
        <v>0</v>
      </c>
      <c r="R50" s="331">
        <v>0</v>
      </c>
      <c r="S50" s="138" t="s">
        <v>250</v>
      </c>
      <c r="T50" s="331">
        <v>277</v>
      </c>
      <c r="U50" s="138">
        <f>IF(SUM(D50:P50)&gt;0,1,0)</f>
        <v>0</v>
      </c>
      <c r="V50" s="329">
        <f t="shared" si="2"/>
        <v>0</v>
      </c>
      <c r="W50" s="138" t="e">
        <f t="shared" ca="1" si="3"/>
        <v>#N/A</v>
      </c>
      <c r="X50" s="138" t="e">
        <f t="shared" ca="1" si="4"/>
        <v>#N/A</v>
      </c>
      <c r="Y50" s="138" t="e">
        <f t="shared" ca="1" si="1"/>
        <v>#N/A</v>
      </c>
      <c r="Z50" s="138" t="e">
        <f t="shared" ca="1" si="5"/>
        <v>#N/A</v>
      </c>
      <c r="AA50" s="116" t="str">
        <f t="shared" si="6"/>
        <v/>
      </c>
    </row>
    <row r="51" spans="2:27" x14ac:dyDescent="0.25">
      <c r="B51" s="329"/>
      <c r="C51" s="138" t="s">
        <v>1027</v>
      </c>
      <c r="D51" s="331">
        <v>0</v>
      </c>
      <c r="E51" s="331">
        <v>0</v>
      </c>
      <c r="F51" s="332">
        <v>0</v>
      </c>
      <c r="G51" s="331">
        <v>0</v>
      </c>
      <c r="H51" s="331">
        <v>0</v>
      </c>
      <c r="I51" s="331">
        <v>0</v>
      </c>
      <c r="J51" s="331">
        <v>0</v>
      </c>
      <c r="K51" s="331">
        <v>0</v>
      </c>
      <c r="L51" s="331">
        <v>0</v>
      </c>
      <c r="M51" s="331">
        <v>0</v>
      </c>
      <c r="N51" s="331">
        <v>0</v>
      </c>
      <c r="O51" s="331">
        <v>0</v>
      </c>
      <c r="P51" s="331">
        <v>0</v>
      </c>
      <c r="Q51" s="331">
        <v>0</v>
      </c>
      <c r="R51" s="331">
        <v>0</v>
      </c>
      <c r="S51" s="138" t="s">
        <v>250</v>
      </c>
      <c r="T51" s="329">
        <v>278</v>
      </c>
      <c r="U51" s="138">
        <f>IF(SUM(D51:P51)&gt;0,1,0)</f>
        <v>0</v>
      </c>
      <c r="V51" s="329">
        <f t="shared" si="2"/>
        <v>0</v>
      </c>
      <c r="W51" s="138" t="e">
        <f t="shared" ca="1" si="3"/>
        <v>#N/A</v>
      </c>
      <c r="X51" s="138" t="e">
        <f t="shared" ca="1" si="4"/>
        <v>#N/A</v>
      </c>
      <c r="Y51" s="138" t="e">
        <f t="shared" ca="1" si="1"/>
        <v>#N/A</v>
      </c>
      <c r="Z51" s="138" t="e">
        <f t="shared" ca="1" si="5"/>
        <v>#N/A</v>
      </c>
      <c r="AA51" s="116" t="str">
        <f t="shared" si="6"/>
        <v/>
      </c>
    </row>
    <row r="52" spans="2:27" x14ac:dyDescent="0.25">
      <c r="B52" s="329"/>
      <c r="C52" s="138" t="s">
        <v>1028</v>
      </c>
      <c r="D52" s="331">
        <v>0</v>
      </c>
      <c r="E52" s="331">
        <v>0</v>
      </c>
      <c r="F52" s="332">
        <v>0</v>
      </c>
      <c r="G52" s="331">
        <v>0</v>
      </c>
      <c r="H52" s="331">
        <v>0</v>
      </c>
      <c r="I52" s="331">
        <v>0</v>
      </c>
      <c r="J52" s="331">
        <v>0</v>
      </c>
      <c r="K52" s="331">
        <v>0</v>
      </c>
      <c r="L52" s="331">
        <v>0</v>
      </c>
      <c r="M52" s="331">
        <v>0</v>
      </c>
      <c r="N52" s="331">
        <v>0</v>
      </c>
      <c r="O52" s="331">
        <v>0</v>
      </c>
      <c r="P52" s="331">
        <v>0</v>
      </c>
      <c r="Q52" s="331">
        <v>0</v>
      </c>
      <c r="R52" s="331">
        <v>1</v>
      </c>
      <c r="S52" s="138" t="s">
        <v>250</v>
      </c>
      <c r="T52" s="329">
        <v>279</v>
      </c>
      <c r="U52" s="138">
        <v>1</v>
      </c>
      <c r="V52" s="329">
        <f t="shared" si="2"/>
        <v>1</v>
      </c>
      <c r="W52" s="138">
        <f t="shared" ca="1" si="3"/>
        <v>15</v>
      </c>
      <c r="X52" s="138" t="str">
        <f t="shared" ca="1" si="4"/>
        <v/>
      </c>
      <c r="Y52" s="138" t="str">
        <f t="shared" ca="1" si="1"/>
        <v>TunableWhiteOrDimToWarm</v>
      </c>
      <c r="Z52" s="138" t="str">
        <f t="shared" ca="1" si="5"/>
        <v/>
      </c>
      <c r="AA52" s="116" t="str">
        <f t="shared" ca="1" si="6"/>
        <v xml:space="preserve">1,    IntLtgSys:IntLtgSpecMthd,   1,    0   ; AreaCategoryMethod
1,    IntLtgSys:ParentSpcFunc,  279,    0   ; Healthcare Facility and Hospitals (Nursery)
2,              0,    "- none specified -"
2,              15,    "TunableWhiteOrDimToWarm"
</v>
      </c>
    </row>
    <row r="53" spans="2:27" x14ac:dyDescent="0.25">
      <c r="C53" s="138" t="s">
        <v>1029</v>
      </c>
      <c r="D53" s="331">
        <v>0</v>
      </c>
      <c r="E53" s="331">
        <v>0</v>
      </c>
      <c r="F53" s="332">
        <v>0</v>
      </c>
      <c r="G53" s="331">
        <v>0</v>
      </c>
      <c r="H53" s="331">
        <v>0</v>
      </c>
      <c r="I53" s="331">
        <v>0</v>
      </c>
      <c r="J53" s="331">
        <v>0</v>
      </c>
      <c r="K53" s="331">
        <v>0</v>
      </c>
      <c r="L53" s="331">
        <v>0</v>
      </c>
      <c r="M53" s="331">
        <v>0</v>
      </c>
      <c r="N53" s="331">
        <v>0</v>
      </c>
      <c r="O53" s="331">
        <v>0</v>
      </c>
      <c r="P53" s="331">
        <v>0</v>
      </c>
      <c r="Q53" s="331">
        <v>0</v>
      </c>
      <c r="R53" s="331">
        <v>1</v>
      </c>
      <c r="S53" s="138" t="s">
        <v>250</v>
      </c>
      <c r="T53" s="329">
        <v>280</v>
      </c>
      <c r="U53" s="138">
        <v>1</v>
      </c>
      <c r="V53" s="329">
        <f t="shared" si="2"/>
        <v>1</v>
      </c>
      <c r="W53" s="138">
        <f t="shared" ca="1" si="3"/>
        <v>15</v>
      </c>
      <c r="X53" s="138" t="str">
        <f t="shared" ca="1" si="4"/>
        <v/>
      </c>
      <c r="Y53" s="138" t="str">
        <f t="shared" ca="1" si="1"/>
        <v>TunableWhiteOrDimToWarm</v>
      </c>
      <c r="Z53" s="138" t="str">
        <f t="shared" ca="1" si="5"/>
        <v/>
      </c>
      <c r="AA53" s="116" t="str">
        <f t="shared" ca="1" si="6"/>
        <v xml:space="preserve">1,    IntLtgSys:IntLtgSpecMthd,   1,    0   ; AreaCategoryMethod
1,    IntLtgSys:ParentSpcFunc,  280,    0   ; Healthcare Facility and Hospitals (Nurse's Station)
2,              0,    "- none specified -"
2,              15,    "TunableWhiteOrDimToWarm"
</v>
      </c>
    </row>
    <row r="54" spans="2:27" x14ac:dyDescent="0.25">
      <c r="B54" s="329"/>
      <c r="C54" s="138" t="s">
        <v>1030</v>
      </c>
      <c r="D54" s="331">
        <v>0</v>
      </c>
      <c r="E54" s="331">
        <v>0</v>
      </c>
      <c r="F54" s="332">
        <v>0</v>
      </c>
      <c r="G54" s="331">
        <v>0</v>
      </c>
      <c r="H54" s="331">
        <v>0</v>
      </c>
      <c r="I54" s="331">
        <v>0</v>
      </c>
      <c r="J54" s="331">
        <v>0</v>
      </c>
      <c r="K54" s="331">
        <v>0</v>
      </c>
      <c r="L54" s="331">
        <v>0</v>
      </c>
      <c r="M54" s="331">
        <v>0</v>
      </c>
      <c r="N54" s="331">
        <v>0</v>
      </c>
      <c r="O54" s="331">
        <v>0</v>
      </c>
      <c r="P54" s="331">
        <v>0</v>
      </c>
      <c r="Q54" s="331">
        <v>0</v>
      </c>
      <c r="R54" s="331">
        <v>0</v>
      </c>
      <c r="S54" s="138" t="s">
        <v>250</v>
      </c>
      <c r="T54" s="329">
        <v>281</v>
      </c>
      <c r="U54" s="138">
        <f>IF(SUM(D54:P54)&gt;0,1,0)</f>
        <v>0</v>
      </c>
      <c r="V54" s="329">
        <f t="shared" si="2"/>
        <v>0</v>
      </c>
      <c r="W54" s="138" t="e">
        <f t="shared" ca="1" si="3"/>
        <v>#N/A</v>
      </c>
      <c r="X54" s="138" t="e">
        <f t="shared" ca="1" si="4"/>
        <v>#N/A</v>
      </c>
      <c r="Y54" s="138" t="e">
        <f t="shared" ca="1" si="1"/>
        <v>#N/A</v>
      </c>
      <c r="Z54" s="138" t="e">
        <f t="shared" ca="1" si="5"/>
        <v>#N/A</v>
      </c>
      <c r="AA54" s="116" t="str">
        <f t="shared" si="6"/>
        <v/>
      </c>
    </row>
    <row r="55" spans="2:27" x14ac:dyDescent="0.25">
      <c r="B55" s="329"/>
      <c r="C55" s="138" t="s">
        <v>1031</v>
      </c>
      <c r="D55" s="331">
        <v>0</v>
      </c>
      <c r="E55" s="331">
        <v>0</v>
      </c>
      <c r="F55" s="332">
        <v>0</v>
      </c>
      <c r="G55" s="331">
        <v>0</v>
      </c>
      <c r="H55" s="331">
        <v>0</v>
      </c>
      <c r="I55" s="331">
        <v>0</v>
      </c>
      <c r="J55" s="331">
        <v>0</v>
      </c>
      <c r="K55" s="331">
        <v>1</v>
      </c>
      <c r="L55" s="331">
        <v>0</v>
      </c>
      <c r="M55" s="331">
        <v>0</v>
      </c>
      <c r="N55" s="331">
        <v>0</v>
      </c>
      <c r="O55" s="331">
        <v>0</v>
      </c>
      <c r="P55" s="331">
        <v>0</v>
      </c>
      <c r="Q55" s="331">
        <v>0</v>
      </c>
      <c r="R55" s="331">
        <v>1</v>
      </c>
      <c r="S55" s="138" t="s">
        <v>250</v>
      </c>
      <c r="T55" s="329">
        <v>282</v>
      </c>
      <c r="U55" s="138">
        <v>1</v>
      </c>
      <c r="V55" s="329">
        <f t="shared" si="2"/>
        <v>2</v>
      </c>
      <c r="W55" s="138">
        <f t="shared" ca="1" si="3"/>
        <v>8</v>
      </c>
      <c r="X55" s="138">
        <f t="shared" ca="1" si="4"/>
        <v>15</v>
      </c>
      <c r="Y55" s="138" t="str">
        <f t="shared" ca="1" si="1"/>
        <v>Decorative</v>
      </c>
      <c r="Z55" s="138" t="str">
        <f t="shared" ca="1" si="5"/>
        <v>TunableWhiteOrDimToWarm</v>
      </c>
      <c r="AA55" s="116" t="str">
        <f t="shared" ca="1" si="6"/>
        <v>1,    IntLtgSys:IntLtgSpecMthd,   1,    0   ; AreaCategoryMethod
1,    IntLtgSys:ParentSpcFunc,  282,    0   ; Healthcare Facility and Hospitals (Patient Room)
2,              0,    "- none specified -"
2,              8,    "Decorative"
2,              15,    "TunableWhiteOrDimToWarm"</v>
      </c>
    </row>
    <row r="56" spans="2:27" x14ac:dyDescent="0.25">
      <c r="B56" s="329"/>
      <c r="C56" s="138" t="s">
        <v>1032</v>
      </c>
      <c r="D56" s="331">
        <v>0</v>
      </c>
      <c r="E56" s="331">
        <v>0</v>
      </c>
      <c r="F56" s="332">
        <v>0</v>
      </c>
      <c r="G56" s="331">
        <v>0</v>
      </c>
      <c r="H56" s="331">
        <v>0</v>
      </c>
      <c r="I56" s="331">
        <v>0</v>
      </c>
      <c r="J56" s="331">
        <v>0</v>
      </c>
      <c r="K56" s="331">
        <v>0</v>
      </c>
      <c r="L56" s="331">
        <v>0</v>
      </c>
      <c r="M56" s="331">
        <v>0</v>
      </c>
      <c r="N56" s="331">
        <v>0</v>
      </c>
      <c r="O56" s="331">
        <v>0</v>
      </c>
      <c r="P56" s="331">
        <v>0</v>
      </c>
      <c r="Q56" s="331">
        <v>0</v>
      </c>
      <c r="R56" s="331">
        <v>1</v>
      </c>
      <c r="S56" s="138" t="s">
        <v>250</v>
      </c>
      <c r="T56" s="329">
        <v>283</v>
      </c>
      <c r="U56" s="138">
        <v>1</v>
      </c>
      <c r="V56" s="329">
        <f t="shared" si="2"/>
        <v>1</v>
      </c>
      <c r="W56" s="138">
        <f t="shared" ca="1" si="3"/>
        <v>15</v>
      </c>
      <c r="X56" s="138" t="str">
        <f t="shared" ca="1" si="4"/>
        <v/>
      </c>
      <c r="Y56" s="138" t="str">
        <f t="shared" ca="1" si="1"/>
        <v>TunableWhiteOrDimToWarm</v>
      </c>
      <c r="Z56" s="138" t="str">
        <f t="shared" ca="1" si="5"/>
        <v/>
      </c>
      <c r="AA56" s="116" t="str">
        <f t="shared" ca="1" si="6"/>
        <v xml:space="preserve">1,    IntLtgSys:IntLtgSpecMthd,   1,    0   ; AreaCategoryMethod
1,    IntLtgSys:ParentSpcFunc,  283,    0   ; Healthcare Facility and Hospitals (Physical Therapy Room)
2,              0,    "- none specified -"
2,              15,    "TunableWhiteOrDimToWarm"
</v>
      </c>
    </row>
    <row r="57" spans="2:27" x14ac:dyDescent="0.25">
      <c r="B57" s="329"/>
      <c r="C57" s="138" t="s">
        <v>1033</v>
      </c>
      <c r="D57" s="331">
        <v>0</v>
      </c>
      <c r="E57" s="331">
        <v>0</v>
      </c>
      <c r="F57" s="332">
        <v>0</v>
      </c>
      <c r="G57" s="331">
        <v>0</v>
      </c>
      <c r="H57" s="331">
        <v>0</v>
      </c>
      <c r="I57" s="331">
        <v>0</v>
      </c>
      <c r="J57" s="331">
        <v>0</v>
      </c>
      <c r="K57" s="331">
        <v>0</v>
      </c>
      <c r="L57" s="331">
        <v>0</v>
      </c>
      <c r="M57" s="331">
        <v>0</v>
      </c>
      <c r="N57" s="331">
        <v>0</v>
      </c>
      <c r="O57" s="331">
        <v>0</v>
      </c>
      <c r="P57" s="331">
        <v>0</v>
      </c>
      <c r="Q57" s="331">
        <v>0</v>
      </c>
      <c r="R57" s="331">
        <v>1</v>
      </c>
      <c r="S57" s="138" t="s">
        <v>250</v>
      </c>
      <c r="T57" s="329">
        <v>284</v>
      </c>
      <c r="U57" s="138">
        <v>1</v>
      </c>
      <c r="V57" s="329">
        <f t="shared" si="2"/>
        <v>1</v>
      </c>
      <c r="W57" s="138">
        <f t="shared" ca="1" si="3"/>
        <v>15</v>
      </c>
      <c r="X57" s="138" t="str">
        <f t="shared" ca="1" si="4"/>
        <v/>
      </c>
      <c r="Y57" s="138" t="str">
        <f t="shared" ca="1" si="1"/>
        <v>TunableWhiteOrDimToWarm</v>
      </c>
      <c r="Z57" s="138" t="str">
        <f t="shared" ca="1" si="5"/>
        <v/>
      </c>
      <c r="AA57" s="116" t="str">
        <f t="shared" ca="1" si="6"/>
        <v xml:space="preserve">1,    IntLtgSys:IntLtgSpecMthd,   1,    0   ; AreaCategoryMethod
1,    IntLtgSys:ParentSpcFunc,  284,    0   ; Healthcare Facility and Hospitals (Recovery Room)
2,              0,    "- none specified -"
2,              15,    "TunableWhiteOrDimToWarm"
</v>
      </c>
    </row>
    <row r="58" spans="2:27" x14ac:dyDescent="0.25">
      <c r="C58" s="138" t="s">
        <v>647</v>
      </c>
      <c r="D58" s="331">
        <v>0</v>
      </c>
      <c r="E58" s="331">
        <v>0</v>
      </c>
      <c r="F58" s="332">
        <v>0</v>
      </c>
      <c r="G58" s="331">
        <v>0</v>
      </c>
      <c r="H58" s="331">
        <v>0</v>
      </c>
      <c r="I58" s="331">
        <v>0</v>
      </c>
      <c r="J58" s="331">
        <v>0</v>
      </c>
      <c r="K58" s="331">
        <v>0</v>
      </c>
      <c r="L58" s="331">
        <v>0</v>
      </c>
      <c r="M58" s="331">
        <v>0</v>
      </c>
      <c r="N58" s="331">
        <v>0</v>
      </c>
      <c r="O58" s="331">
        <v>0</v>
      </c>
      <c r="P58" s="331">
        <v>0</v>
      </c>
      <c r="Q58" s="331">
        <v>0</v>
      </c>
      <c r="R58" s="331">
        <v>0</v>
      </c>
      <c r="S58" s="138" t="s">
        <v>250</v>
      </c>
      <c r="T58" s="138">
        <v>226</v>
      </c>
      <c r="U58" s="138">
        <f t="shared" ref="U58:U96" si="7">IF(SUM(D58:P58)&gt;0,1,0)</f>
        <v>0</v>
      </c>
      <c r="V58" s="329">
        <f t="shared" si="2"/>
        <v>0</v>
      </c>
      <c r="W58" s="138" t="e">
        <f t="shared" ca="1" si="3"/>
        <v>#N/A</v>
      </c>
      <c r="X58" s="138" t="e">
        <f t="shared" ca="1" si="4"/>
        <v>#N/A</v>
      </c>
      <c r="Y58" s="138" t="e">
        <f t="shared" ca="1" si="1"/>
        <v>#N/A</v>
      </c>
      <c r="Z58" s="138" t="e">
        <f t="shared" ca="1" si="5"/>
        <v>#N/A</v>
      </c>
      <c r="AA58" s="116" t="str">
        <f t="shared" si="6"/>
        <v/>
      </c>
    </row>
    <row r="59" spans="2:27" x14ac:dyDescent="0.25">
      <c r="C59" s="138" t="s">
        <v>532</v>
      </c>
      <c r="D59" s="331">
        <v>0</v>
      </c>
      <c r="E59" s="331">
        <v>0</v>
      </c>
      <c r="F59" s="332">
        <v>1</v>
      </c>
      <c r="G59" s="331">
        <v>0</v>
      </c>
      <c r="H59" s="331">
        <v>0</v>
      </c>
      <c r="I59" s="331">
        <v>0</v>
      </c>
      <c r="J59" s="331">
        <v>0</v>
      </c>
      <c r="K59" s="331">
        <v>0</v>
      </c>
      <c r="L59" s="331">
        <v>0</v>
      </c>
      <c r="M59" s="331">
        <v>0</v>
      </c>
      <c r="N59" s="331">
        <v>0</v>
      </c>
      <c r="O59" s="331">
        <v>0</v>
      </c>
      <c r="P59" s="331">
        <v>0</v>
      </c>
      <c r="Q59" s="331">
        <v>0</v>
      </c>
      <c r="R59" s="331">
        <v>0</v>
      </c>
      <c r="S59" s="138" t="s">
        <v>250</v>
      </c>
      <c r="T59" s="138">
        <v>227</v>
      </c>
      <c r="U59" s="138">
        <f t="shared" si="7"/>
        <v>1</v>
      </c>
      <c r="V59" s="329">
        <f t="shared" si="2"/>
        <v>1</v>
      </c>
      <c r="W59" s="138">
        <f t="shared" ca="1" si="3"/>
        <v>3</v>
      </c>
      <c r="X59" s="138" t="str">
        <f t="shared" ca="1" si="4"/>
        <v/>
      </c>
      <c r="Y59" s="138" t="str">
        <f t="shared" ca="1" si="1"/>
        <v>Ornamental</v>
      </c>
      <c r="Z59" s="138" t="str">
        <f t="shared" ca="1" si="5"/>
        <v/>
      </c>
      <c r="AA59" s="116" t="str">
        <f t="shared" ca="1" si="6"/>
        <v xml:space="preserve">1,    IntLtgSys:IntLtgSpecMthd,   1,    0   ; AreaCategoryMethod
1,    IntLtgSys:ParentSpcFunc,  227,    0   ; Hotel Function Area
2,              0,    "- none specified -"
2,              3,    "Ornamental"
</v>
      </c>
    </row>
    <row r="60" spans="2:27" x14ac:dyDescent="0.25">
      <c r="C60" s="138" t="s">
        <v>648</v>
      </c>
      <c r="D60" s="331">
        <v>0</v>
      </c>
      <c r="E60" s="331">
        <v>0</v>
      </c>
      <c r="F60" s="332">
        <v>0</v>
      </c>
      <c r="G60" s="331">
        <v>0</v>
      </c>
      <c r="H60" s="331">
        <v>0</v>
      </c>
      <c r="I60" s="331">
        <v>0</v>
      </c>
      <c r="J60" s="331">
        <v>0</v>
      </c>
      <c r="K60" s="331">
        <v>0</v>
      </c>
      <c r="L60" s="331">
        <v>0</v>
      </c>
      <c r="M60" s="331">
        <v>0</v>
      </c>
      <c r="N60" s="331">
        <v>0</v>
      </c>
      <c r="O60" s="331">
        <v>0</v>
      </c>
      <c r="P60" s="331">
        <v>0</v>
      </c>
      <c r="Q60" s="331">
        <v>0</v>
      </c>
      <c r="R60" s="331">
        <v>0</v>
      </c>
      <c r="S60" s="138" t="s">
        <v>250</v>
      </c>
      <c r="T60" s="138">
        <v>228</v>
      </c>
      <c r="U60" s="138">
        <f t="shared" si="7"/>
        <v>0</v>
      </c>
      <c r="V60" s="329">
        <f t="shared" si="2"/>
        <v>0</v>
      </c>
      <c r="W60" s="138" t="e">
        <f t="shared" ca="1" si="3"/>
        <v>#N/A</v>
      </c>
      <c r="X60" s="138" t="e">
        <f t="shared" ca="1" si="4"/>
        <v>#N/A</v>
      </c>
      <c r="Y60" s="138" t="e">
        <f t="shared" ca="1" si="1"/>
        <v>#N/A</v>
      </c>
      <c r="Z60" s="138" t="e">
        <f t="shared" ca="1" si="5"/>
        <v>#N/A</v>
      </c>
      <c r="AA60" s="116" t="str">
        <f t="shared" si="6"/>
        <v/>
      </c>
    </row>
    <row r="61" spans="2:27" x14ac:dyDescent="0.25">
      <c r="C61" s="138" t="s">
        <v>954</v>
      </c>
      <c r="D61" s="331">
        <v>0</v>
      </c>
      <c r="E61" s="331">
        <v>0</v>
      </c>
      <c r="F61" s="332">
        <v>0</v>
      </c>
      <c r="G61" s="331">
        <v>0</v>
      </c>
      <c r="H61" s="331">
        <v>0</v>
      </c>
      <c r="I61" s="331">
        <v>0</v>
      </c>
      <c r="J61" s="331">
        <v>0</v>
      </c>
      <c r="K61" s="331">
        <v>0</v>
      </c>
      <c r="L61" s="331">
        <v>0</v>
      </c>
      <c r="M61" s="331">
        <v>0</v>
      </c>
      <c r="N61" s="331">
        <v>0</v>
      </c>
      <c r="O61" s="331">
        <v>0</v>
      </c>
      <c r="P61" s="331">
        <v>0</v>
      </c>
      <c r="Q61" s="331">
        <v>0</v>
      </c>
      <c r="R61" s="331">
        <v>0</v>
      </c>
      <c r="S61" s="138" t="s">
        <v>250</v>
      </c>
      <c r="T61" s="138">
        <v>229</v>
      </c>
      <c r="U61" s="138">
        <f t="shared" si="7"/>
        <v>0</v>
      </c>
      <c r="V61" s="329">
        <f t="shared" si="2"/>
        <v>0</v>
      </c>
      <c r="W61" s="138" t="e">
        <f t="shared" ca="1" si="3"/>
        <v>#N/A</v>
      </c>
      <c r="X61" s="138" t="e">
        <f t="shared" ca="1" si="4"/>
        <v>#N/A</v>
      </c>
      <c r="Y61" s="138" t="e">
        <f t="shared" ca="1" si="1"/>
        <v>#N/A</v>
      </c>
      <c r="Z61" s="138" t="e">
        <f t="shared" ca="1" si="5"/>
        <v>#N/A</v>
      </c>
      <c r="AA61" s="116" t="str">
        <f t="shared" si="6"/>
        <v/>
      </c>
    </row>
    <row r="62" spans="2:27" x14ac:dyDescent="0.25">
      <c r="C62" s="138" t="s">
        <v>652</v>
      </c>
      <c r="D62" s="331">
        <v>0</v>
      </c>
      <c r="E62" s="331">
        <v>0</v>
      </c>
      <c r="F62" s="332">
        <v>0</v>
      </c>
      <c r="G62" s="331">
        <v>0</v>
      </c>
      <c r="H62" s="331">
        <v>0</v>
      </c>
      <c r="I62" s="331">
        <v>0</v>
      </c>
      <c r="J62" s="331">
        <v>0</v>
      </c>
      <c r="K62" s="331">
        <v>0</v>
      </c>
      <c r="L62" s="331">
        <v>0</v>
      </c>
      <c r="M62" s="331">
        <v>0</v>
      </c>
      <c r="N62" s="331">
        <v>0</v>
      </c>
      <c r="O62" s="331">
        <v>0</v>
      </c>
      <c r="P62" s="331">
        <v>0</v>
      </c>
      <c r="Q62" s="331">
        <v>0</v>
      </c>
      <c r="R62" s="331">
        <v>0</v>
      </c>
      <c r="S62" s="138" t="s">
        <v>250</v>
      </c>
      <c r="T62" s="138">
        <v>230</v>
      </c>
      <c r="U62" s="138">
        <f t="shared" si="7"/>
        <v>0</v>
      </c>
      <c r="V62" s="329">
        <f t="shared" si="2"/>
        <v>0</v>
      </c>
      <c r="W62" s="138" t="e">
        <f t="shared" ca="1" si="3"/>
        <v>#N/A</v>
      </c>
      <c r="X62" s="138" t="e">
        <f t="shared" ca="1" si="4"/>
        <v>#N/A</v>
      </c>
      <c r="Y62" s="138" t="e">
        <f t="shared" ca="1" si="1"/>
        <v>#N/A</v>
      </c>
      <c r="Z62" s="138" t="e">
        <f t="shared" ca="1" si="5"/>
        <v>#N/A</v>
      </c>
      <c r="AA62" s="116" t="str">
        <f t="shared" si="6"/>
        <v/>
      </c>
    </row>
    <row r="63" spans="2:27" x14ac:dyDescent="0.25">
      <c r="C63" s="138" t="s">
        <v>955</v>
      </c>
      <c r="D63" s="331">
        <v>0</v>
      </c>
      <c r="E63" s="331">
        <v>0</v>
      </c>
      <c r="F63" s="332">
        <v>0</v>
      </c>
      <c r="G63" s="331">
        <v>0</v>
      </c>
      <c r="H63" s="331">
        <v>0</v>
      </c>
      <c r="I63" s="331">
        <v>0</v>
      </c>
      <c r="J63" s="331">
        <v>0</v>
      </c>
      <c r="K63" s="331">
        <v>0</v>
      </c>
      <c r="L63" s="331">
        <v>0</v>
      </c>
      <c r="M63" s="331">
        <v>0</v>
      </c>
      <c r="N63" s="331">
        <v>0</v>
      </c>
      <c r="O63" s="331">
        <v>0</v>
      </c>
      <c r="P63" s="331">
        <v>0</v>
      </c>
      <c r="Q63" s="331">
        <v>0</v>
      </c>
      <c r="R63" s="331">
        <v>0</v>
      </c>
      <c r="S63" s="138" t="s">
        <v>250</v>
      </c>
      <c r="T63" s="138">
        <v>231</v>
      </c>
      <c r="U63" s="138">
        <f t="shared" si="7"/>
        <v>0</v>
      </c>
      <c r="V63" s="329">
        <f t="shared" si="2"/>
        <v>0</v>
      </c>
      <c r="W63" s="138" t="e">
        <f t="shared" ca="1" si="3"/>
        <v>#N/A</v>
      </c>
      <c r="X63" s="138" t="e">
        <f t="shared" ca="1" si="4"/>
        <v>#N/A</v>
      </c>
      <c r="Y63" s="138" t="e">
        <f t="shared" ca="1" si="1"/>
        <v>#N/A</v>
      </c>
      <c r="Z63" s="138" t="e">
        <f t="shared" ca="1" si="5"/>
        <v>#N/A</v>
      </c>
      <c r="AA63" s="116" t="str">
        <f t="shared" si="6"/>
        <v/>
      </c>
    </row>
    <row r="64" spans="2:27" x14ac:dyDescent="0.25">
      <c r="C64" s="138" t="s">
        <v>956</v>
      </c>
      <c r="D64" s="331">
        <v>0</v>
      </c>
      <c r="E64" s="331">
        <v>0</v>
      </c>
      <c r="F64" s="332">
        <v>1</v>
      </c>
      <c r="G64" s="331">
        <v>0</v>
      </c>
      <c r="H64" s="331">
        <v>0</v>
      </c>
      <c r="I64" s="331">
        <v>0</v>
      </c>
      <c r="J64" s="331">
        <v>0</v>
      </c>
      <c r="K64" s="331">
        <v>0</v>
      </c>
      <c r="L64" s="331">
        <v>0</v>
      </c>
      <c r="M64" s="331">
        <v>0</v>
      </c>
      <c r="N64" s="331">
        <v>0</v>
      </c>
      <c r="O64" s="331">
        <v>0</v>
      </c>
      <c r="P64" s="331">
        <v>0</v>
      </c>
      <c r="Q64" s="331">
        <v>0</v>
      </c>
      <c r="R64" s="331">
        <v>0</v>
      </c>
      <c r="S64" s="138" t="s">
        <v>250</v>
      </c>
      <c r="T64" s="138">
        <v>232</v>
      </c>
      <c r="U64" s="138">
        <f t="shared" si="7"/>
        <v>1</v>
      </c>
      <c r="V64" s="329">
        <f t="shared" si="2"/>
        <v>1</v>
      </c>
      <c r="W64" s="138">
        <f t="shared" ca="1" si="3"/>
        <v>3</v>
      </c>
      <c r="X64" s="138" t="str">
        <f t="shared" ca="1" si="4"/>
        <v/>
      </c>
      <c r="Y64" s="138" t="str">
        <f t="shared" ca="1" si="1"/>
        <v>Ornamental</v>
      </c>
      <c r="Z64" s="138" t="str">
        <f t="shared" ca="1" si="5"/>
        <v/>
      </c>
      <c r="AA64" s="116" t="str">
        <f t="shared" ca="1" si="6"/>
        <v xml:space="preserve">1,    IntLtgSys:IntLtgSpecMthd,   1,    0   ; AreaCategoryMethod
1,    IntLtgSys:ParentSpcFunc,  232,    0   ; Library (Reading Area)
2,              0,    "- none specified -"
2,              3,    "Ornamental"
</v>
      </c>
    </row>
    <row r="65" spans="2:27" x14ac:dyDescent="0.25">
      <c r="C65" s="138" t="s">
        <v>957</v>
      </c>
      <c r="D65" s="331">
        <v>0</v>
      </c>
      <c r="E65" s="331">
        <v>0</v>
      </c>
      <c r="F65" s="332">
        <v>0</v>
      </c>
      <c r="G65" s="331">
        <v>0</v>
      </c>
      <c r="H65" s="331">
        <v>0</v>
      </c>
      <c r="I65" s="331">
        <v>0</v>
      </c>
      <c r="J65" s="331">
        <v>0</v>
      </c>
      <c r="K65" s="331">
        <v>0</v>
      </c>
      <c r="L65" s="331">
        <v>0</v>
      </c>
      <c r="M65" s="331">
        <v>0</v>
      </c>
      <c r="N65" s="331">
        <v>0</v>
      </c>
      <c r="O65" s="331">
        <v>0</v>
      </c>
      <c r="P65" s="331">
        <v>0</v>
      </c>
      <c r="Q65" s="331">
        <v>0</v>
      </c>
      <c r="R65" s="331">
        <v>0</v>
      </c>
      <c r="S65" s="138" t="s">
        <v>250</v>
      </c>
      <c r="T65" s="138">
        <v>233</v>
      </c>
      <c r="U65" s="138">
        <f t="shared" si="7"/>
        <v>0</v>
      </c>
      <c r="V65" s="329">
        <f t="shared" si="2"/>
        <v>0</v>
      </c>
      <c r="W65" s="138" t="e">
        <f t="shared" ca="1" si="3"/>
        <v>#N/A</v>
      </c>
      <c r="X65" s="138" t="e">
        <f t="shared" ca="1" si="4"/>
        <v>#N/A</v>
      </c>
      <c r="Y65" s="138" t="e">
        <f t="shared" ca="1" si="1"/>
        <v>#N/A</v>
      </c>
      <c r="Z65" s="138" t="e">
        <f t="shared" ca="1" si="5"/>
        <v>#N/A</v>
      </c>
      <c r="AA65" s="116" t="str">
        <f t="shared" si="6"/>
        <v/>
      </c>
    </row>
    <row r="66" spans="2:27" x14ac:dyDescent="0.25">
      <c r="C66" s="138" t="s">
        <v>830</v>
      </c>
      <c r="D66" s="331">
        <v>0</v>
      </c>
      <c r="E66" s="331">
        <v>0</v>
      </c>
      <c r="F66" s="332">
        <v>0</v>
      </c>
      <c r="G66" s="331">
        <v>0</v>
      </c>
      <c r="H66" s="331">
        <v>0</v>
      </c>
      <c r="I66" s="331">
        <v>0</v>
      </c>
      <c r="J66" s="331">
        <v>0</v>
      </c>
      <c r="K66" s="331">
        <v>0</v>
      </c>
      <c r="L66" s="331">
        <v>0</v>
      </c>
      <c r="M66" s="331">
        <v>0</v>
      </c>
      <c r="N66" s="331">
        <v>0</v>
      </c>
      <c r="O66" s="331">
        <v>0</v>
      </c>
      <c r="P66" s="331">
        <v>0</v>
      </c>
      <c r="Q66" s="331">
        <v>0</v>
      </c>
      <c r="R66" s="331">
        <v>0</v>
      </c>
      <c r="S66" s="138" t="s">
        <v>250</v>
      </c>
      <c r="T66" s="138">
        <v>234</v>
      </c>
      <c r="U66" s="138">
        <f t="shared" si="7"/>
        <v>0</v>
      </c>
      <c r="V66" s="329">
        <f t="shared" si="2"/>
        <v>0</v>
      </c>
      <c r="W66" s="138" t="e">
        <f t="shared" ca="1" si="3"/>
        <v>#N/A</v>
      </c>
      <c r="X66" s="138" t="e">
        <f t="shared" ca="1" si="4"/>
        <v>#N/A</v>
      </c>
      <c r="Y66" s="138" t="e">
        <f t="shared" ca="1" si="1"/>
        <v>#N/A</v>
      </c>
      <c r="Z66" s="138" t="e">
        <f t="shared" ca="1" si="5"/>
        <v>#N/A</v>
      </c>
      <c r="AA66" s="116" t="str">
        <f t="shared" si="6"/>
        <v/>
      </c>
    </row>
    <row r="67" spans="2:27" x14ac:dyDescent="0.25">
      <c r="C67" s="138" t="s">
        <v>958</v>
      </c>
      <c r="D67" s="331">
        <v>0</v>
      </c>
      <c r="E67" s="331">
        <v>0</v>
      </c>
      <c r="F67" s="332">
        <v>1</v>
      </c>
      <c r="G67" s="331">
        <v>0</v>
      </c>
      <c r="H67" s="331">
        <v>0</v>
      </c>
      <c r="I67" s="331">
        <v>0</v>
      </c>
      <c r="J67" s="331">
        <v>0</v>
      </c>
      <c r="K67" s="331">
        <v>0</v>
      </c>
      <c r="L67" s="331">
        <v>0</v>
      </c>
      <c r="M67" s="331">
        <v>0</v>
      </c>
      <c r="N67" s="331">
        <v>0</v>
      </c>
      <c r="O67" s="331">
        <v>0</v>
      </c>
      <c r="P67" s="331">
        <v>0</v>
      </c>
      <c r="Q67" s="331">
        <v>0</v>
      </c>
      <c r="R67" s="331">
        <v>0</v>
      </c>
      <c r="S67" s="138" t="s">
        <v>250</v>
      </c>
      <c r="T67" s="138">
        <v>235</v>
      </c>
      <c r="U67" s="138">
        <f t="shared" si="7"/>
        <v>1</v>
      </c>
      <c r="V67" s="329">
        <f t="shared" si="2"/>
        <v>1</v>
      </c>
      <c r="W67" s="138">
        <f t="shared" ca="1" si="3"/>
        <v>3</v>
      </c>
      <c r="X67" s="138" t="str">
        <f t="shared" ca="1" si="4"/>
        <v/>
      </c>
      <c r="Y67" s="138" t="str">
        <f t="shared" ca="1" si="1"/>
        <v>Ornamental</v>
      </c>
      <c r="Z67" s="138" t="str">
        <f t="shared" ca="1" si="5"/>
        <v/>
      </c>
      <c r="AA67" s="116" t="str">
        <f t="shared" ca="1" si="6"/>
        <v xml:space="preserve">1,    IntLtgSys:IntLtgSpecMthd,   1,    0   ; AreaCategoryMethod
1,    IntLtgSys:ParentSpcFunc,  235,    0   ; Lounge, Breakroom, or Waiting Area
2,              0,    "- none specified -"
2,              3,    "Ornamental"
</v>
      </c>
    </row>
    <row r="68" spans="2:27" x14ac:dyDescent="0.25">
      <c r="B68" s="329"/>
      <c r="C68" s="138" t="s">
        <v>959</v>
      </c>
      <c r="D68" s="331">
        <v>0</v>
      </c>
      <c r="E68" s="331">
        <v>0</v>
      </c>
      <c r="F68" s="332">
        <v>1</v>
      </c>
      <c r="G68" s="331">
        <v>0</v>
      </c>
      <c r="H68" s="331">
        <v>0</v>
      </c>
      <c r="I68" s="331">
        <v>0</v>
      </c>
      <c r="J68" s="331">
        <v>0</v>
      </c>
      <c r="K68" s="331">
        <v>0</v>
      </c>
      <c r="L68" s="331">
        <v>0</v>
      </c>
      <c r="M68" s="331">
        <v>0</v>
      </c>
      <c r="N68" s="331">
        <v>0</v>
      </c>
      <c r="O68" s="331">
        <v>0</v>
      </c>
      <c r="P68" s="331">
        <v>0</v>
      </c>
      <c r="Q68" s="331">
        <v>0</v>
      </c>
      <c r="R68" s="331">
        <v>0</v>
      </c>
      <c r="S68" s="138" t="s">
        <v>250</v>
      </c>
      <c r="T68" s="138">
        <v>236</v>
      </c>
      <c r="U68" s="138">
        <f t="shared" si="7"/>
        <v>1</v>
      </c>
      <c r="V68" s="329">
        <f t="shared" si="2"/>
        <v>1</v>
      </c>
      <c r="W68" s="138">
        <f t="shared" ca="1" si="3"/>
        <v>3</v>
      </c>
      <c r="X68" s="138" t="str">
        <f t="shared" ca="1" si="4"/>
        <v/>
      </c>
      <c r="Y68" s="138" t="str">
        <f t="shared" ca="1" si="1"/>
        <v>Ornamental</v>
      </c>
      <c r="Z68" s="138" t="str">
        <f t="shared" ca="1" si="5"/>
        <v/>
      </c>
      <c r="AA68" s="116" t="str">
        <f t="shared" ca="1" si="6"/>
        <v xml:space="preserve">1,    IntLtgSys:IntLtgSpecMthd,   1,    0   ; AreaCategoryMethod
1,    IntLtgSys:ParentSpcFunc,  236,    0   ; Main Entry Lobby
2,              0,    "- none specified -"
2,              3,    "Ornamental"
</v>
      </c>
    </row>
    <row r="69" spans="2:27" x14ac:dyDescent="0.25">
      <c r="C69" s="138" t="s">
        <v>960</v>
      </c>
      <c r="D69" s="331">
        <v>0</v>
      </c>
      <c r="E69" s="331">
        <v>0</v>
      </c>
      <c r="F69" s="332">
        <v>0</v>
      </c>
      <c r="G69" s="331">
        <v>0</v>
      </c>
      <c r="H69" s="331">
        <v>0</v>
      </c>
      <c r="I69" s="331">
        <v>0</v>
      </c>
      <c r="J69" s="331">
        <v>1</v>
      </c>
      <c r="K69" s="331">
        <v>0</v>
      </c>
      <c r="L69" s="331">
        <v>0</v>
      </c>
      <c r="M69" s="331">
        <v>0</v>
      </c>
      <c r="N69" s="331">
        <v>0</v>
      </c>
      <c r="O69" s="331">
        <v>0</v>
      </c>
      <c r="P69" s="331">
        <v>0</v>
      </c>
      <c r="Q69" s="331">
        <v>0</v>
      </c>
      <c r="R69" s="331">
        <v>0</v>
      </c>
      <c r="S69" s="138" t="s">
        <v>250</v>
      </c>
      <c r="T69" s="138">
        <v>237</v>
      </c>
      <c r="U69" s="138">
        <f t="shared" si="7"/>
        <v>1</v>
      </c>
      <c r="V69" s="329">
        <f t="shared" si="2"/>
        <v>1</v>
      </c>
      <c r="W69" s="138">
        <f ca="1">OFFSET($C$9,0,MATCH(1,$D69:$R69,0))</f>
        <v>7</v>
      </c>
      <c r="X69" s="138" t="str">
        <f t="shared" ca="1" si="4"/>
        <v/>
      </c>
      <c r="Y69" s="138" t="str">
        <f ca="1">OFFSET($C$9,15,MATCH(1,$D69:$R69,0))</f>
        <v>AccentDisplayFeature-Museum</v>
      </c>
      <c r="Z69" s="138" t="str">
        <f t="shared" ca="1" si="5"/>
        <v/>
      </c>
      <c r="AA69" s="116" t="str">
        <f t="shared" ca="1" si="6"/>
        <v xml:space="preserve">1,    IntLtgSys:IntLtgSpecMthd,   1,    0   ; AreaCategoryMethod
1,    IntLtgSys:ParentSpcFunc,  237,    0   ; Museum Area (Exhibition/Display)
2,              0,    "- none specified -"
2,              7,    "AccentDisplayFeature-Museum"
</v>
      </c>
    </row>
    <row r="70" spans="2:27" x14ac:dyDescent="0.25">
      <c r="C70" s="138" t="s">
        <v>961</v>
      </c>
      <c r="D70" s="331">
        <v>1</v>
      </c>
      <c r="E70" s="331">
        <v>0</v>
      </c>
      <c r="F70" s="332">
        <v>0</v>
      </c>
      <c r="G70" s="331">
        <v>0</v>
      </c>
      <c r="H70" s="331">
        <v>0</v>
      </c>
      <c r="I70" s="331">
        <v>0</v>
      </c>
      <c r="J70" s="331">
        <v>0</v>
      </c>
      <c r="K70" s="331">
        <v>0</v>
      </c>
      <c r="L70" s="331">
        <v>0</v>
      </c>
      <c r="M70" s="331">
        <v>0</v>
      </c>
      <c r="N70" s="331">
        <v>0</v>
      </c>
      <c r="O70" s="331">
        <v>0</v>
      </c>
      <c r="P70" s="331">
        <v>0</v>
      </c>
      <c r="Q70" s="331">
        <v>0</v>
      </c>
      <c r="R70" s="331">
        <v>0</v>
      </c>
      <c r="S70" s="138" t="s">
        <v>250</v>
      </c>
      <c r="T70" s="138">
        <v>238</v>
      </c>
      <c r="U70" s="138">
        <f t="shared" si="7"/>
        <v>1</v>
      </c>
      <c r="V70" s="329">
        <f t="shared" si="2"/>
        <v>1</v>
      </c>
      <c r="W70" s="138">
        <f t="shared" ca="1" si="3"/>
        <v>1</v>
      </c>
      <c r="X70" s="138" t="str">
        <f t="shared" ca="1" si="4"/>
        <v/>
      </c>
      <c r="Y70" s="138" t="str">
        <f t="shared" ca="1" si="1"/>
        <v>DetailedTaskWork</v>
      </c>
      <c r="Z70" s="138" t="str">
        <f t="shared" ca="1" si="5"/>
        <v/>
      </c>
      <c r="AA70" s="116" t="str">
        <f t="shared" ca="1" si="6"/>
        <v xml:space="preserve">1,    IntLtgSys:IntLtgSpecMthd,   1,    0   ; AreaCategoryMethod
1,    IntLtgSys:ParentSpcFunc,  238,    0   ; Museum Area (Restoration Room)
2,              0,    "- none specified -"
2,              1,    "DetailedTaskWork"
</v>
      </c>
    </row>
    <row r="71" spans="2:27" x14ac:dyDescent="0.25">
      <c r="C71" s="138" t="s">
        <v>962</v>
      </c>
      <c r="D71" s="331">
        <v>0</v>
      </c>
      <c r="E71" s="331">
        <v>0</v>
      </c>
      <c r="F71" s="332">
        <v>0</v>
      </c>
      <c r="G71" s="331">
        <v>0</v>
      </c>
      <c r="H71" s="331">
        <v>0</v>
      </c>
      <c r="I71" s="331">
        <v>0</v>
      </c>
      <c r="J71" s="331">
        <v>0</v>
      </c>
      <c r="K71" s="331">
        <v>0</v>
      </c>
      <c r="L71" s="331">
        <v>0</v>
      </c>
      <c r="M71" s="331">
        <v>0</v>
      </c>
      <c r="N71" s="331">
        <v>1</v>
      </c>
      <c r="O71" s="331">
        <v>0</v>
      </c>
      <c r="P71" s="331">
        <v>0</v>
      </c>
      <c r="Q71" s="331">
        <v>0</v>
      </c>
      <c r="R71" s="331">
        <v>0</v>
      </c>
      <c r="S71" s="138" t="s">
        <v>250</v>
      </c>
      <c r="T71" s="138">
        <v>239</v>
      </c>
      <c r="U71" s="138">
        <f t="shared" si="7"/>
        <v>1</v>
      </c>
      <c r="V71" s="329">
        <f t="shared" si="2"/>
        <v>1</v>
      </c>
      <c r="W71" s="138">
        <f t="shared" ca="1" si="3"/>
        <v>11</v>
      </c>
      <c r="X71" s="138" t="str">
        <f t="shared" ca="1" si="4"/>
        <v/>
      </c>
      <c r="Y71" s="138" t="str">
        <f t="shared" ca="1" si="1"/>
        <v>PortableLightingForOffice</v>
      </c>
      <c r="Z71" s="138" t="str">
        <f t="shared" ca="1" si="5"/>
        <v/>
      </c>
      <c r="AA71" s="116" t="str">
        <f t="shared" ca="1" si="6"/>
        <v xml:space="preserve">1,    IntLtgSys:IntLtgSpecMthd,   1,    0   ; AreaCategoryMethod
1,    IntLtgSys:ParentSpcFunc,  239,    0   ; Office Area (&lt;250 square feet)
2,              0,    "- none specified -"
2,              11,    "PortableLightingForOffice"
</v>
      </c>
    </row>
    <row r="72" spans="2:27" x14ac:dyDescent="0.25">
      <c r="C72" s="138" t="s">
        <v>963</v>
      </c>
      <c r="D72" s="331">
        <v>0</v>
      </c>
      <c r="E72" s="331">
        <v>0</v>
      </c>
      <c r="F72" s="332">
        <v>0</v>
      </c>
      <c r="G72" s="331">
        <v>0</v>
      </c>
      <c r="H72" s="331">
        <v>0</v>
      </c>
      <c r="I72" s="331">
        <v>0</v>
      </c>
      <c r="J72" s="331">
        <v>0</v>
      </c>
      <c r="K72" s="331">
        <v>0</v>
      </c>
      <c r="L72" s="331">
        <v>0</v>
      </c>
      <c r="M72" s="331">
        <v>0</v>
      </c>
      <c r="N72" s="331">
        <v>1</v>
      </c>
      <c r="O72" s="331">
        <v>0</v>
      </c>
      <c r="P72" s="331">
        <v>0</v>
      </c>
      <c r="Q72" s="331">
        <v>0</v>
      </c>
      <c r="R72" s="331">
        <v>0</v>
      </c>
      <c r="S72" s="138" t="s">
        <v>250</v>
      </c>
      <c r="T72" s="138">
        <v>240</v>
      </c>
      <c r="U72" s="138">
        <f t="shared" si="7"/>
        <v>1</v>
      </c>
      <c r="V72" s="329">
        <f t="shared" si="2"/>
        <v>1</v>
      </c>
      <c r="W72" s="138">
        <f t="shared" ca="1" si="3"/>
        <v>11</v>
      </c>
      <c r="X72" s="138" t="str">
        <f t="shared" ca="1" si="4"/>
        <v/>
      </c>
      <c r="Y72" s="138" t="str">
        <f t="shared" ca="1" si="1"/>
        <v>PortableLightingForOffice</v>
      </c>
      <c r="Z72" s="138" t="str">
        <f t="shared" ca="1" si="5"/>
        <v/>
      </c>
      <c r="AA72" s="116" t="str">
        <f t="shared" ca="1" si="6"/>
        <v xml:space="preserve">1,    IntLtgSys:IntLtgSpecMthd,   1,    0   ; AreaCategoryMethod
1,    IntLtgSys:ParentSpcFunc,  240,    0   ; Office Area (&gt;250 square feet)
2,              0,    "- none specified -"
2,              11,    "PortableLightingForOffice"
</v>
      </c>
    </row>
    <row r="73" spans="2:27" x14ac:dyDescent="0.25">
      <c r="B73" s="329"/>
      <c r="C73" s="138" t="s">
        <v>964</v>
      </c>
      <c r="D73" s="331">
        <v>0</v>
      </c>
      <c r="E73" s="331">
        <v>0</v>
      </c>
      <c r="F73" s="332">
        <v>0</v>
      </c>
      <c r="G73" s="331">
        <v>0</v>
      </c>
      <c r="H73" s="331">
        <v>0</v>
      </c>
      <c r="I73" s="331">
        <v>0</v>
      </c>
      <c r="J73" s="331">
        <v>0</v>
      </c>
      <c r="K73" s="331">
        <v>0</v>
      </c>
      <c r="L73" s="331">
        <v>0</v>
      </c>
      <c r="M73" s="331">
        <v>0</v>
      </c>
      <c r="N73" s="331">
        <v>1</v>
      </c>
      <c r="O73" s="331">
        <v>0</v>
      </c>
      <c r="P73" s="331">
        <v>0</v>
      </c>
      <c r="Q73" s="331">
        <v>0</v>
      </c>
      <c r="R73" s="331">
        <v>0</v>
      </c>
      <c r="S73" s="138" t="s">
        <v>250</v>
      </c>
      <c r="T73" s="138">
        <v>241</v>
      </c>
      <c r="U73" s="138">
        <f t="shared" si="7"/>
        <v>1</v>
      </c>
      <c r="V73" s="329">
        <f t="shared" si="2"/>
        <v>1</v>
      </c>
      <c r="W73" s="138">
        <f t="shared" ca="1" si="3"/>
        <v>11</v>
      </c>
      <c r="X73" s="138" t="str">
        <f t="shared" ca="1" si="4"/>
        <v/>
      </c>
      <c r="Y73" s="138" t="str">
        <f t="shared" ca="1" si="1"/>
        <v>PortableLightingForOffice</v>
      </c>
      <c r="Z73" s="138" t="str">
        <f t="shared" ca="1" si="5"/>
        <v/>
      </c>
      <c r="AA73" s="116" t="str">
        <f t="shared" ca="1" si="6"/>
        <v xml:space="preserve">1,    IntLtgSys:IntLtgSpecMthd,   1,    0   ; AreaCategoryMethod
1,    IntLtgSys:ParentSpcFunc,  241,    0   ; Office Area (Open plan office)
2,              0,    "- none specified -"
2,              11,    "PortableLightingForOffice"
</v>
      </c>
    </row>
    <row r="74" spans="2:27" x14ac:dyDescent="0.25">
      <c r="C74" s="138" t="s">
        <v>965</v>
      </c>
      <c r="D74" s="331">
        <v>0</v>
      </c>
      <c r="E74" s="331">
        <v>0</v>
      </c>
      <c r="F74" s="332">
        <v>0</v>
      </c>
      <c r="G74" s="331">
        <v>0</v>
      </c>
      <c r="H74" s="331">
        <v>0</v>
      </c>
      <c r="I74" s="331">
        <v>0</v>
      </c>
      <c r="J74" s="331">
        <v>0</v>
      </c>
      <c r="K74" s="331">
        <v>0</v>
      </c>
      <c r="L74" s="331">
        <v>0</v>
      </c>
      <c r="M74" s="331">
        <v>0</v>
      </c>
      <c r="N74" s="331">
        <v>0</v>
      </c>
      <c r="O74" s="331">
        <v>0</v>
      </c>
      <c r="P74" s="331">
        <v>0</v>
      </c>
      <c r="Q74" s="331">
        <v>0</v>
      </c>
      <c r="R74" s="331">
        <v>0</v>
      </c>
      <c r="S74" s="138" t="s">
        <v>250</v>
      </c>
      <c r="T74" s="138">
        <v>242</v>
      </c>
      <c r="U74" s="138">
        <f t="shared" si="7"/>
        <v>0</v>
      </c>
      <c r="V74" s="329">
        <f t="shared" si="2"/>
        <v>0</v>
      </c>
      <c r="W74" s="138" t="e">
        <f t="shared" ca="1" si="3"/>
        <v>#N/A</v>
      </c>
      <c r="X74" s="138" t="e">
        <f t="shared" ca="1" si="4"/>
        <v>#N/A</v>
      </c>
      <c r="Y74" s="138" t="e">
        <f t="shared" ca="1" si="1"/>
        <v>#N/A</v>
      </c>
      <c r="Z74" s="138" t="e">
        <f t="shared" ca="1" si="5"/>
        <v>#N/A</v>
      </c>
      <c r="AA74" s="116" t="str">
        <f t="shared" si="6"/>
        <v/>
      </c>
    </row>
    <row r="75" spans="2:27" x14ac:dyDescent="0.25">
      <c r="C75" s="138" t="s">
        <v>966</v>
      </c>
      <c r="D75" s="331">
        <v>0</v>
      </c>
      <c r="E75" s="331">
        <v>0</v>
      </c>
      <c r="F75" s="332">
        <v>0</v>
      </c>
      <c r="G75" s="331">
        <v>0</v>
      </c>
      <c r="H75" s="331">
        <v>0</v>
      </c>
      <c r="I75" s="331">
        <v>0</v>
      </c>
      <c r="J75" s="331">
        <v>0</v>
      </c>
      <c r="K75" s="331">
        <v>0</v>
      </c>
      <c r="L75" s="331">
        <v>0</v>
      </c>
      <c r="M75" s="331">
        <v>0</v>
      </c>
      <c r="N75" s="331">
        <v>0</v>
      </c>
      <c r="O75" s="331">
        <v>0</v>
      </c>
      <c r="P75" s="331">
        <v>0</v>
      </c>
      <c r="Q75" s="331">
        <v>0</v>
      </c>
      <c r="R75" s="331">
        <v>0</v>
      </c>
      <c r="S75" s="138" t="s">
        <v>250</v>
      </c>
      <c r="T75" s="138">
        <v>243</v>
      </c>
      <c r="U75" s="138">
        <f t="shared" si="7"/>
        <v>0</v>
      </c>
      <c r="V75" s="329">
        <f t="shared" si="2"/>
        <v>0</v>
      </c>
      <c r="W75" s="138" t="e">
        <f t="shared" ca="1" si="3"/>
        <v>#N/A</v>
      </c>
      <c r="X75" s="138" t="e">
        <f t="shared" ca="1" si="4"/>
        <v>#N/A</v>
      </c>
      <c r="Y75" s="138" t="e">
        <f t="shared" ca="1" si="1"/>
        <v>#N/A</v>
      </c>
      <c r="Z75" s="138" t="e">
        <f t="shared" ca="1" si="5"/>
        <v>#N/A</v>
      </c>
      <c r="AA75" s="116" t="str">
        <f t="shared" si="6"/>
        <v/>
      </c>
    </row>
    <row r="76" spans="2:27" x14ac:dyDescent="0.25">
      <c r="B76" s="329"/>
      <c r="C76" s="138" t="s">
        <v>967</v>
      </c>
      <c r="D76" s="331">
        <v>0</v>
      </c>
      <c r="E76" s="331">
        <v>0</v>
      </c>
      <c r="F76" s="332">
        <v>0</v>
      </c>
      <c r="G76" s="331">
        <v>0</v>
      </c>
      <c r="H76" s="331">
        <v>0</v>
      </c>
      <c r="I76" s="331">
        <v>0</v>
      </c>
      <c r="J76" s="331">
        <v>0</v>
      </c>
      <c r="K76" s="331">
        <v>0</v>
      </c>
      <c r="L76" s="331">
        <v>0</v>
      </c>
      <c r="M76" s="331">
        <v>1</v>
      </c>
      <c r="N76" s="331">
        <v>0</v>
      </c>
      <c r="O76" s="331">
        <v>0</v>
      </c>
      <c r="P76" s="331">
        <v>0</v>
      </c>
      <c r="Q76" s="331">
        <v>0</v>
      </c>
      <c r="R76" s="331">
        <v>0</v>
      </c>
      <c r="S76" s="138" t="s">
        <v>250</v>
      </c>
      <c r="T76" s="138">
        <v>244</v>
      </c>
      <c r="U76" s="138">
        <f t="shared" si="7"/>
        <v>1</v>
      </c>
      <c r="V76" s="329">
        <f t="shared" si="2"/>
        <v>1</v>
      </c>
      <c r="W76" s="138">
        <f t="shared" ca="1" si="3"/>
        <v>10</v>
      </c>
      <c r="X76" s="138" t="str">
        <f t="shared" ca="1" si="4"/>
        <v/>
      </c>
      <c r="Y76" s="138" t="str">
        <f t="shared" ca="1" si="1"/>
        <v>ParkingGarageATMLighting</v>
      </c>
      <c r="Z76" s="138" t="str">
        <f t="shared" ca="1" si="5"/>
        <v/>
      </c>
      <c r="AA76" s="116" t="str">
        <f t="shared" ca="1" si="6"/>
        <v xml:space="preserve">1,    IntLtgSys:IntLtgSpecMthd,   1,    0   ; AreaCategoryMethod
1,    IntLtgSys:ParentSpcFunc,  244,    0   ; Parking Garage Area (Parking Zone)
2,              0,    "- none specified -"
2,              10,    "ParkingGarageATMLighting"
</v>
      </c>
    </row>
    <row r="77" spans="2:27" x14ac:dyDescent="0.25">
      <c r="B77" s="329"/>
      <c r="C77" s="138" t="s">
        <v>968</v>
      </c>
      <c r="D77" s="331">
        <v>0</v>
      </c>
      <c r="E77" s="331">
        <v>1</v>
      </c>
      <c r="F77" s="332">
        <v>0</v>
      </c>
      <c r="G77" s="331">
        <v>0</v>
      </c>
      <c r="H77" s="331">
        <v>0</v>
      </c>
      <c r="I77" s="331">
        <v>0</v>
      </c>
      <c r="J77" s="331">
        <v>0</v>
      </c>
      <c r="K77" s="331">
        <v>0</v>
      </c>
      <c r="L77" s="331">
        <v>0</v>
      </c>
      <c r="M77" s="331">
        <v>0</v>
      </c>
      <c r="N77" s="331">
        <v>0</v>
      </c>
      <c r="O77" s="331">
        <v>0</v>
      </c>
      <c r="P77" s="331">
        <v>0</v>
      </c>
      <c r="Q77" s="331">
        <v>0</v>
      </c>
      <c r="R77" s="331">
        <v>0</v>
      </c>
      <c r="S77" s="138" t="s">
        <v>250</v>
      </c>
      <c r="T77" s="138">
        <v>245</v>
      </c>
      <c r="U77" s="138">
        <f t="shared" si="7"/>
        <v>1</v>
      </c>
      <c r="V77" s="329">
        <f t="shared" si="2"/>
        <v>1</v>
      </c>
      <c r="W77" s="138">
        <f t="shared" ca="1" si="3"/>
        <v>2</v>
      </c>
      <c r="X77" s="138" t="str">
        <f t="shared" ca="1" si="4"/>
        <v/>
      </c>
      <c r="Y77" s="138" t="str">
        <f t="shared" ca="1" si="1"/>
        <v>SpecializedTaskWork</v>
      </c>
      <c r="Z77" s="138" t="str">
        <f t="shared" ca="1" si="5"/>
        <v/>
      </c>
      <c r="AA77" s="116" t="str">
        <f t="shared" ca="1" si="6"/>
        <v xml:space="preserve">1,    IntLtgSys:IntLtgSpecMthd,   1,    0   ; AreaCategoryMethod
1,    IntLtgSys:ParentSpcFunc,  245,    0   ; Pharmacy Area
2,              0,    "- none specified -"
2,              2,    "SpecializedTaskWork"
</v>
      </c>
    </row>
    <row r="78" spans="2:27" x14ac:dyDescent="0.25">
      <c r="C78" s="138" t="s">
        <v>537</v>
      </c>
      <c r="D78" s="331">
        <v>0</v>
      </c>
      <c r="E78" s="331">
        <v>0</v>
      </c>
      <c r="F78" s="332">
        <v>1</v>
      </c>
      <c r="G78" s="331">
        <v>0</v>
      </c>
      <c r="H78" s="331">
        <v>0</v>
      </c>
      <c r="I78" s="331">
        <v>0</v>
      </c>
      <c r="J78" s="331">
        <v>0</v>
      </c>
      <c r="K78" s="331">
        <v>0</v>
      </c>
      <c r="L78" s="331">
        <v>0</v>
      </c>
      <c r="M78" s="331">
        <v>0</v>
      </c>
      <c r="N78" s="331">
        <v>0</v>
      </c>
      <c r="O78" s="331">
        <v>0</v>
      </c>
      <c r="P78" s="331">
        <v>0</v>
      </c>
      <c r="Q78" s="331">
        <v>0</v>
      </c>
      <c r="R78" s="331">
        <v>0</v>
      </c>
      <c r="S78" s="138" t="s">
        <v>250</v>
      </c>
      <c r="T78" s="138">
        <v>246</v>
      </c>
      <c r="U78" s="138">
        <f t="shared" si="7"/>
        <v>1</v>
      </c>
      <c r="V78" s="329">
        <f t="shared" si="2"/>
        <v>1</v>
      </c>
      <c r="W78" s="138">
        <f t="shared" ca="1" si="3"/>
        <v>3</v>
      </c>
      <c r="X78" s="138" t="str">
        <f t="shared" ca="1" si="4"/>
        <v/>
      </c>
      <c r="Y78" s="138" t="str">
        <f t="shared" ca="1" si="1"/>
        <v>Ornamental</v>
      </c>
      <c r="Z78" s="138" t="str">
        <f t="shared" ca="1" si="5"/>
        <v/>
      </c>
      <c r="AA78" s="116" t="str">
        <f t="shared" ca="1" si="6"/>
        <v xml:space="preserve">1,    IntLtgSys:IntLtgSpecMthd,   1,    0   ; AreaCategoryMethod
1,    IntLtgSys:ParentSpcFunc,  246,    0   ; Religious Worship Area
2,              0,    "- none specified -"
2,              3,    "Ornamental"
</v>
      </c>
    </row>
    <row r="79" spans="2:27" x14ac:dyDescent="0.25">
      <c r="C79" s="138" t="s">
        <v>834</v>
      </c>
      <c r="D79" s="331">
        <v>0</v>
      </c>
      <c r="E79" s="331">
        <v>0</v>
      </c>
      <c r="F79" s="332">
        <v>0</v>
      </c>
      <c r="G79" s="331">
        <v>0</v>
      </c>
      <c r="H79" s="331">
        <v>0</v>
      </c>
      <c r="I79" s="361">
        <v>1</v>
      </c>
      <c r="J79" s="361">
        <v>0</v>
      </c>
      <c r="K79" s="361">
        <v>1</v>
      </c>
      <c r="L79" s="331">
        <v>0</v>
      </c>
      <c r="M79" s="331">
        <v>0</v>
      </c>
      <c r="N79" s="331">
        <v>0</v>
      </c>
      <c r="O79" s="331">
        <v>0</v>
      </c>
      <c r="P79" s="331">
        <v>0</v>
      </c>
      <c r="Q79" s="331">
        <v>0</v>
      </c>
      <c r="R79" s="331">
        <v>0</v>
      </c>
      <c r="S79" s="138" t="s">
        <v>250</v>
      </c>
      <c r="T79" s="138">
        <v>247</v>
      </c>
      <c r="U79" s="138">
        <f t="shared" si="7"/>
        <v>1</v>
      </c>
      <c r="V79" s="329">
        <f t="shared" si="2"/>
        <v>2</v>
      </c>
      <c r="W79" s="138">
        <f t="shared" ca="1" si="3"/>
        <v>6</v>
      </c>
      <c r="X79" s="138">
        <f t="shared" ca="1" si="4"/>
        <v>8</v>
      </c>
      <c r="Y79" s="138" t="str">
        <f t="shared" ca="1" si="1"/>
        <v>AccentDisplayFeature</v>
      </c>
      <c r="Z79" s="138" t="str">
        <f t="shared" ca="1" si="5"/>
        <v>Decorative</v>
      </c>
      <c r="AA79" s="116" t="str">
        <f t="shared" ca="1" si="6"/>
        <v>1,    IntLtgSys:IntLtgSpecMthd,   1,    0   ; AreaCategoryMethod
1,    IntLtgSys:ParentSpcFunc,  247,    0   ; Restrooms
2,              0,    "- none specified -"
2,              6,    "AccentDisplayFeature"
2,              8,    "Decorative"</v>
      </c>
    </row>
    <row r="80" spans="2:27" x14ac:dyDescent="0.25">
      <c r="B80" s="329"/>
      <c r="C80" s="138" t="s">
        <v>969</v>
      </c>
      <c r="D80" s="331">
        <v>0</v>
      </c>
      <c r="E80" s="331">
        <v>0</v>
      </c>
      <c r="F80" s="332">
        <v>0</v>
      </c>
      <c r="G80" s="331">
        <v>0</v>
      </c>
      <c r="H80" s="331">
        <v>0</v>
      </c>
      <c r="I80" s="331">
        <v>0</v>
      </c>
      <c r="J80" s="331">
        <v>0</v>
      </c>
      <c r="K80" s="331">
        <v>0</v>
      </c>
      <c r="L80" s="331">
        <v>0</v>
      </c>
      <c r="M80" s="331">
        <v>0</v>
      </c>
      <c r="N80" s="331">
        <v>0</v>
      </c>
      <c r="O80" s="331">
        <v>1</v>
      </c>
      <c r="P80" s="331">
        <v>1</v>
      </c>
      <c r="Q80" s="331">
        <v>0</v>
      </c>
      <c r="R80" s="331">
        <v>0</v>
      </c>
      <c r="S80" s="138" t="s">
        <v>250</v>
      </c>
      <c r="T80" s="138">
        <v>248</v>
      </c>
      <c r="U80" s="138">
        <f t="shared" si="7"/>
        <v>1</v>
      </c>
      <c r="V80" s="329">
        <f t="shared" si="2"/>
        <v>2</v>
      </c>
      <c r="W80" s="138">
        <f t="shared" ca="1" si="3"/>
        <v>12</v>
      </c>
      <c r="X80" s="138">
        <f t="shared" ca="1" si="4"/>
        <v>13</v>
      </c>
      <c r="Y80" s="138" t="str">
        <f t="shared" ca="1" si="1"/>
        <v>ExternalIlluminatedMirror</v>
      </c>
      <c r="Z80" s="138" t="str">
        <f t="shared" ca="1" si="5"/>
        <v>InternalIlluminatedMirror</v>
      </c>
      <c r="AA80" s="116" t="str">
        <f t="shared" ca="1" si="6"/>
        <v>1,    IntLtgSys:IntLtgSpecMthd,   1,    0   ; AreaCategoryMethod
1,    IntLtgSys:ParentSpcFunc,  248,    0   ; Retail Sales Area (Fitting Room)
2,              0,    "- none specified -"
2,              12,    "ExternalIlluminatedMirror"
2,              13,    "InternalIlluminatedMirror"</v>
      </c>
    </row>
    <row r="81" spans="2:27" x14ac:dyDescent="0.25">
      <c r="B81" s="329"/>
      <c r="C81" s="138" t="s">
        <v>970</v>
      </c>
      <c r="D81" s="331">
        <v>0</v>
      </c>
      <c r="E81" s="331">
        <v>0</v>
      </c>
      <c r="F81" s="332">
        <v>0</v>
      </c>
      <c r="G81" s="331">
        <v>0</v>
      </c>
      <c r="H81" s="331">
        <v>0</v>
      </c>
      <c r="I81" s="331">
        <v>1</v>
      </c>
      <c r="J81" s="331">
        <v>0</v>
      </c>
      <c r="K81" s="331">
        <v>1</v>
      </c>
      <c r="L81" s="331">
        <v>0</v>
      </c>
      <c r="M81" s="331">
        <v>0</v>
      </c>
      <c r="N81" s="331">
        <v>0</v>
      </c>
      <c r="O81" s="331">
        <v>0</v>
      </c>
      <c r="P81" s="331">
        <v>0</v>
      </c>
      <c r="Q81" s="331">
        <v>0</v>
      </c>
      <c r="R81" s="331">
        <v>0</v>
      </c>
      <c r="S81" s="138" t="s">
        <v>250</v>
      </c>
      <c r="T81" s="138">
        <v>249</v>
      </c>
      <c r="U81" s="138">
        <f t="shared" si="7"/>
        <v>1</v>
      </c>
      <c r="V81" s="329">
        <f t="shared" si="2"/>
        <v>2</v>
      </c>
      <c r="W81" s="138">
        <f t="shared" ca="1" si="3"/>
        <v>6</v>
      </c>
      <c r="X81" s="138">
        <f t="shared" ca="1" si="4"/>
        <v>8</v>
      </c>
      <c r="Y81" s="138" t="str">
        <f t="shared" ca="1" si="1"/>
        <v>AccentDisplayFeature</v>
      </c>
      <c r="Z81" s="138" t="str">
        <f t="shared" ca="1" si="5"/>
        <v>Decorative</v>
      </c>
      <c r="AA81" s="116" t="str">
        <f t="shared" ca="1" si="6"/>
        <v>1,    IntLtgSys:IntLtgSpecMthd,   1,    0   ; AreaCategoryMethod
1,    IntLtgSys:ParentSpcFunc,  249,    0   ; Retail Sales Area (Grocery Sales)
2,              0,    "- none specified -"
2,              6,    "AccentDisplayFeature"
2,              8,    "Decorative"</v>
      </c>
    </row>
    <row r="82" spans="2:27" x14ac:dyDescent="0.25">
      <c r="B82" s="329"/>
      <c r="C82" s="138" t="s">
        <v>971</v>
      </c>
      <c r="D82" s="331">
        <v>0</v>
      </c>
      <c r="E82" s="331">
        <v>0</v>
      </c>
      <c r="F82" s="332">
        <v>0</v>
      </c>
      <c r="G82" s="331">
        <v>0</v>
      </c>
      <c r="H82" s="331">
        <v>0</v>
      </c>
      <c r="I82" s="331">
        <v>1</v>
      </c>
      <c r="J82" s="331">
        <v>0</v>
      </c>
      <c r="K82" s="331">
        <v>1</v>
      </c>
      <c r="L82" s="331">
        <v>0</v>
      </c>
      <c r="M82" s="331">
        <v>0</v>
      </c>
      <c r="N82" s="331">
        <v>0</v>
      </c>
      <c r="O82" s="331">
        <v>0</v>
      </c>
      <c r="P82" s="331">
        <v>0</v>
      </c>
      <c r="Q82" s="331">
        <v>0</v>
      </c>
      <c r="R82" s="331">
        <v>0</v>
      </c>
      <c r="S82" s="138" t="s">
        <v>250</v>
      </c>
      <c r="T82" s="138">
        <v>250</v>
      </c>
      <c r="U82" s="138">
        <f t="shared" si="7"/>
        <v>1</v>
      </c>
      <c r="V82" s="329">
        <f t="shared" si="2"/>
        <v>2</v>
      </c>
      <c r="W82" s="138">
        <f t="shared" ca="1" si="3"/>
        <v>6</v>
      </c>
      <c r="X82" s="138">
        <f t="shared" ca="1" si="4"/>
        <v>8</v>
      </c>
      <c r="Y82" s="138" t="str">
        <f t="shared" ca="1" si="1"/>
        <v>AccentDisplayFeature</v>
      </c>
      <c r="Z82" s="138" t="str">
        <f t="shared" ca="1" si="5"/>
        <v>Decorative</v>
      </c>
      <c r="AA82" s="116" t="str">
        <f t="shared" ca="1" si="6"/>
        <v>1,    IntLtgSys:IntLtgSpecMthd,   1,    0   ; AreaCategoryMethod
1,    IntLtgSys:ParentSpcFunc,  250,    0   ; Retail Sales Area (Retail Merchandise Sales)
2,              0,    "- none specified -"
2,              6,    "AccentDisplayFeature"
2,              8,    "Decorative"</v>
      </c>
    </row>
    <row r="83" spans="2:27" x14ac:dyDescent="0.25">
      <c r="C83" s="138" t="s">
        <v>972</v>
      </c>
      <c r="D83" s="331">
        <v>0</v>
      </c>
      <c r="E83" s="331">
        <v>1</v>
      </c>
      <c r="F83" s="332">
        <v>0</v>
      </c>
      <c r="G83" s="331">
        <v>0</v>
      </c>
      <c r="H83" s="331">
        <v>0</v>
      </c>
      <c r="I83" s="331">
        <v>0</v>
      </c>
      <c r="J83" s="331">
        <v>0</v>
      </c>
      <c r="K83" s="331">
        <v>0</v>
      </c>
      <c r="L83" s="331">
        <v>0</v>
      </c>
      <c r="M83" s="331">
        <v>0</v>
      </c>
      <c r="N83" s="331">
        <v>0</v>
      </c>
      <c r="O83" s="331">
        <v>0</v>
      </c>
      <c r="P83" s="331">
        <v>0</v>
      </c>
      <c r="Q83" s="331">
        <v>0</v>
      </c>
      <c r="R83" s="331">
        <v>0</v>
      </c>
      <c r="S83" s="138" t="s">
        <v>250</v>
      </c>
      <c r="T83" s="138">
        <v>251</v>
      </c>
      <c r="U83" s="138">
        <f t="shared" si="7"/>
        <v>1</v>
      </c>
      <c r="V83" s="329">
        <f t="shared" si="2"/>
        <v>1</v>
      </c>
      <c r="W83" s="138">
        <f t="shared" ca="1" si="3"/>
        <v>2</v>
      </c>
      <c r="X83" s="138" t="str">
        <f t="shared" ca="1" si="4"/>
        <v/>
      </c>
      <c r="Y83" s="138" t="str">
        <f t="shared" ca="1" si="1"/>
        <v>SpecializedTaskWork</v>
      </c>
      <c r="Z83" s="138" t="str">
        <f t="shared" ca="1" si="5"/>
        <v/>
      </c>
      <c r="AA83" s="116" t="str">
        <f t="shared" ca="1" si="6"/>
        <v xml:space="preserve">1,    IntLtgSys:IntLtgSpecMthd,   1,    0   ; AreaCategoryMethod
1,    IntLtgSys:ParentSpcFunc,  251,    0   ; Scientific Laboratory Area
2,              0,    "- none specified -"
2,              2,    "SpecializedTaskWork"
</v>
      </c>
    </row>
    <row r="84" spans="2:27" x14ac:dyDescent="0.25">
      <c r="C84" s="138" t="s">
        <v>1012</v>
      </c>
      <c r="D84" s="331">
        <v>0</v>
      </c>
      <c r="E84" s="331">
        <v>0</v>
      </c>
      <c r="F84" s="332">
        <v>0</v>
      </c>
      <c r="G84" s="331">
        <v>0</v>
      </c>
      <c r="H84" s="331">
        <v>0</v>
      </c>
      <c r="I84" s="331">
        <v>0</v>
      </c>
      <c r="J84" s="331">
        <v>0</v>
      </c>
      <c r="K84" s="331">
        <v>0</v>
      </c>
      <c r="L84" s="331">
        <v>0</v>
      </c>
      <c r="M84" s="331">
        <v>0</v>
      </c>
      <c r="N84" s="331">
        <v>0</v>
      </c>
      <c r="O84" s="331">
        <v>0</v>
      </c>
      <c r="P84" s="331">
        <v>0</v>
      </c>
      <c r="Q84" s="331">
        <v>0</v>
      </c>
      <c r="R84" s="331">
        <v>0</v>
      </c>
      <c r="S84" s="138" t="s">
        <v>250</v>
      </c>
      <c r="T84" s="138">
        <v>252</v>
      </c>
      <c r="U84" s="138">
        <f t="shared" si="7"/>
        <v>0</v>
      </c>
      <c r="V84" s="329">
        <f t="shared" si="2"/>
        <v>0</v>
      </c>
      <c r="W84" s="138" t="e">
        <f t="shared" ca="1" si="3"/>
        <v>#N/A</v>
      </c>
      <c r="X84" s="138" t="e">
        <f t="shared" ca="1" si="4"/>
        <v>#N/A</v>
      </c>
      <c r="Y84" s="138" t="e">
        <f t="shared" ca="1" si="1"/>
        <v>#N/A</v>
      </c>
      <c r="Z84" s="138" t="e">
        <f t="shared" ca="1" si="5"/>
        <v>#N/A</v>
      </c>
      <c r="AA84" s="116" t="str">
        <f t="shared" si="6"/>
        <v/>
      </c>
    </row>
    <row r="85" spans="2:27" x14ac:dyDescent="0.25">
      <c r="B85" s="329"/>
      <c r="C85" s="138" t="s">
        <v>1013</v>
      </c>
      <c r="D85" s="331">
        <v>0</v>
      </c>
      <c r="E85" s="331">
        <v>0</v>
      </c>
      <c r="F85" s="332">
        <v>0</v>
      </c>
      <c r="G85" s="331">
        <v>0</v>
      </c>
      <c r="H85" s="331">
        <v>0</v>
      </c>
      <c r="I85" s="331">
        <v>0</v>
      </c>
      <c r="J85" s="331">
        <v>0</v>
      </c>
      <c r="K85" s="331">
        <v>0</v>
      </c>
      <c r="L85" s="331">
        <v>0</v>
      </c>
      <c r="M85" s="331">
        <v>0</v>
      </c>
      <c r="N85" s="331">
        <v>0</v>
      </c>
      <c r="O85" s="331">
        <v>0</v>
      </c>
      <c r="P85" s="331">
        <v>0</v>
      </c>
      <c r="Q85" s="331">
        <v>0</v>
      </c>
      <c r="R85" s="331">
        <v>0</v>
      </c>
      <c r="S85" s="138" t="s">
        <v>250</v>
      </c>
      <c r="T85" s="138">
        <v>253</v>
      </c>
      <c r="U85" s="138">
        <f t="shared" si="7"/>
        <v>0</v>
      </c>
      <c r="V85" s="329">
        <f t="shared" si="2"/>
        <v>0</v>
      </c>
      <c r="W85" s="138" t="e">
        <f t="shared" ca="1" si="3"/>
        <v>#N/A</v>
      </c>
      <c r="X85" s="138" t="e">
        <f t="shared" ca="1" si="4"/>
        <v>#N/A</v>
      </c>
      <c r="Y85" s="138" t="e">
        <f t="shared" ca="1" si="1"/>
        <v>#N/A</v>
      </c>
      <c r="Z85" s="138" t="e">
        <f t="shared" ca="1" si="5"/>
        <v>#N/A</v>
      </c>
      <c r="AA85" s="116" t="str">
        <f t="shared" si="6"/>
        <v/>
      </c>
    </row>
    <row r="86" spans="2:27" x14ac:dyDescent="0.25">
      <c r="B86" s="329"/>
      <c r="C86" s="138" t="s">
        <v>1014</v>
      </c>
      <c r="D86" s="331">
        <v>0</v>
      </c>
      <c r="E86" s="331">
        <v>0</v>
      </c>
      <c r="F86" s="332">
        <v>0</v>
      </c>
      <c r="G86" s="331">
        <v>0</v>
      </c>
      <c r="H86" s="331">
        <v>0</v>
      </c>
      <c r="I86" s="331">
        <v>0</v>
      </c>
      <c r="J86" s="331">
        <v>0</v>
      </c>
      <c r="K86" s="331">
        <v>0</v>
      </c>
      <c r="L86" s="331">
        <v>0</v>
      </c>
      <c r="M86" s="331">
        <v>0</v>
      </c>
      <c r="N86" s="331">
        <v>0</v>
      </c>
      <c r="O86" s="331">
        <v>0</v>
      </c>
      <c r="P86" s="331">
        <v>0</v>
      </c>
      <c r="Q86" s="331">
        <v>0</v>
      </c>
      <c r="R86" s="331">
        <v>0</v>
      </c>
      <c r="S86" s="138" t="s">
        <v>250</v>
      </c>
      <c r="T86" s="138">
        <v>254</v>
      </c>
      <c r="U86" s="138">
        <f t="shared" si="7"/>
        <v>0</v>
      </c>
      <c r="V86" s="329">
        <f t="shared" si="2"/>
        <v>0</v>
      </c>
      <c r="W86" s="138" t="e">
        <f t="shared" ca="1" si="3"/>
        <v>#N/A</v>
      </c>
      <c r="X86" s="138" t="e">
        <f t="shared" ca="1" si="4"/>
        <v>#N/A</v>
      </c>
      <c r="Y86" s="138" t="e">
        <f t="shared" ca="1" si="1"/>
        <v>#N/A</v>
      </c>
      <c r="Z86" s="138" t="e">
        <f t="shared" ca="1" si="5"/>
        <v>#N/A</v>
      </c>
      <c r="AA86" s="116" t="str">
        <f t="shared" si="6"/>
        <v/>
      </c>
    </row>
    <row r="87" spans="2:27" x14ac:dyDescent="0.25">
      <c r="B87" s="329"/>
      <c r="C87" s="138" t="s">
        <v>1015</v>
      </c>
      <c r="D87" s="331">
        <v>0</v>
      </c>
      <c r="E87" s="331">
        <v>0</v>
      </c>
      <c r="F87" s="332">
        <v>0</v>
      </c>
      <c r="G87" s="331">
        <v>0</v>
      </c>
      <c r="H87" s="331">
        <v>0</v>
      </c>
      <c r="I87" s="331">
        <v>0</v>
      </c>
      <c r="J87" s="331">
        <v>0</v>
      </c>
      <c r="K87" s="331">
        <v>0</v>
      </c>
      <c r="L87" s="331">
        <v>0</v>
      </c>
      <c r="M87" s="331">
        <v>0</v>
      </c>
      <c r="N87" s="331">
        <v>0</v>
      </c>
      <c r="O87" s="331">
        <v>0</v>
      </c>
      <c r="P87" s="331">
        <v>0</v>
      </c>
      <c r="Q87" s="331">
        <v>0</v>
      </c>
      <c r="R87" s="331">
        <v>0</v>
      </c>
      <c r="S87" s="138" t="s">
        <v>250</v>
      </c>
      <c r="T87" s="138">
        <v>255</v>
      </c>
      <c r="U87" s="138">
        <f t="shared" si="7"/>
        <v>0</v>
      </c>
      <c r="V87" s="329">
        <f t="shared" si="2"/>
        <v>0</v>
      </c>
      <c r="W87" s="138" t="e">
        <f t="shared" ca="1" si="3"/>
        <v>#N/A</v>
      </c>
      <c r="X87" s="138" t="e">
        <f t="shared" ca="1" si="4"/>
        <v>#N/A</v>
      </c>
      <c r="Y87" s="138" t="e">
        <f t="shared" ca="1" si="1"/>
        <v>#N/A</v>
      </c>
      <c r="Z87" s="138" t="e">
        <f t="shared" ca="1" si="5"/>
        <v>#N/A</v>
      </c>
      <c r="AA87" s="116" t="str">
        <f t="shared" si="6"/>
        <v/>
      </c>
    </row>
    <row r="88" spans="2:27" x14ac:dyDescent="0.25">
      <c r="C88" s="138" t="s">
        <v>973</v>
      </c>
      <c r="D88" s="331">
        <v>0</v>
      </c>
      <c r="E88" s="331">
        <v>0</v>
      </c>
      <c r="F88" s="332">
        <v>0</v>
      </c>
      <c r="G88" s="331">
        <v>0</v>
      </c>
      <c r="H88" s="331">
        <v>0</v>
      </c>
      <c r="I88" s="331">
        <v>1</v>
      </c>
      <c r="J88" s="331">
        <v>0</v>
      </c>
      <c r="K88" s="331">
        <v>1</v>
      </c>
      <c r="L88" s="331">
        <v>0</v>
      </c>
      <c r="M88" s="331">
        <v>0</v>
      </c>
      <c r="N88" s="331">
        <v>0</v>
      </c>
      <c r="O88" s="331">
        <v>0</v>
      </c>
      <c r="P88" s="331">
        <v>0</v>
      </c>
      <c r="Q88" s="331">
        <v>0</v>
      </c>
      <c r="R88" s="331">
        <v>0</v>
      </c>
      <c r="S88" s="138" t="s">
        <v>250</v>
      </c>
      <c r="T88" s="138">
        <v>256</v>
      </c>
      <c r="U88" s="138">
        <f t="shared" si="7"/>
        <v>1</v>
      </c>
      <c r="V88" s="329">
        <f t="shared" si="2"/>
        <v>2</v>
      </c>
      <c r="W88" s="138">
        <f t="shared" ca="1" si="3"/>
        <v>6</v>
      </c>
      <c r="X88" s="138">
        <f t="shared" ca="1" si="4"/>
        <v>8</v>
      </c>
      <c r="Y88" s="138" t="str">
        <f t="shared" ca="1" si="1"/>
        <v>AccentDisplayFeature</v>
      </c>
      <c r="Z88" s="138" t="str">
        <f t="shared" ca="1" si="5"/>
        <v>Decorative</v>
      </c>
      <c r="AA88" s="116" t="str">
        <f t="shared" ca="1" si="6"/>
        <v>1,    IntLtgSys:IntLtgSpecMthd,   1,    0   ; AreaCategoryMethod
1,    IntLtgSys:ParentSpcFunc,  256,    0   ; Stairwell
2,              0,    "- none specified -"
2,              6,    "AccentDisplayFeature"
2,              8,    "Decorative"</v>
      </c>
    </row>
    <row r="89" spans="2:27" x14ac:dyDescent="0.25">
      <c r="B89" s="329"/>
      <c r="C89" s="138" t="s">
        <v>974</v>
      </c>
      <c r="D89" s="331">
        <v>0</v>
      </c>
      <c r="E89" s="331">
        <v>0</v>
      </c>
      <c r="F89" s="332">
        <v>1</v>
      </c>
      <c r="G89" s="331">
        <v>0</v>
      </c>
      <c r="H89" s="331">
        <v>0</v>
      </c>
      <c r="I89" s="331">
        <v>0</v>
      </c>
      <c r="J89" s="331">
        <v>0</v>
      </c>
      <c r="K89" s="331">
        <v>0</v>
      </c>
      <c r="L89" s="331">
        <v>0</v>
      </c>
      <c r="M89" s="331">
        <v>0</v>
      </c>
      <c r="N89" s="331">
        <v>0</v>
      </c>
      <c r="O89" s="331">
        <v>0</v>
      </c>
      <c r="P89" s="331">
        <v>0</v>
      </c>
      <c r="Q89" s="331">
        <v>0</v>
      </c>
      <c r="R89" s="331">
        <v>0</v>
      </c>
      <c r="S89" s="138" t="s">
        <v>250</v>
      </c>
      <c r="T89" s="138">
        <v>257</v>
      </c>
      <c r="U89" s="138">
        <f t="shared" si="7"/>
        <v>1</v>
      </c>
      <c r="V89" s="329">
        <f t="shared" si="2"/>
        <v>1</v>
      </c>
      <c r="W89" s="138">
        <f t="shared" ca="1" si="3"/>
        <v>3</v>
      </c>
      <c r="X89" s="138" t="str">
        <f t="shared" ca="1" si="4"/>
        <v/>
      </c>
      <c r="Y89" s="138" t="str">
        <f t="shared" ca="1" si="1"/>
        <v>Ornamental</v>
      </c>
      <c r="Z89" s="138" t="str">
        <f t="shared" ca="1" si="5"/>
        <v/>
      </c>
      <c r="AA89" s="116" t="str">
        <f t="shared" ca="1" si="6"/>
        <v xml:space="preserve">1,    IntLtgSys:IntLtgSpecMthd,   1,    0   ; AreaCategoryMethod
1,    IntLtgSys:ParentSpcFunc,  257,    0   ; Theater Area (Motion Picture)
2,              0,    "- none specified -"
2,              3,    "Ornamental"
</v>
      </c>
    </row>
    <row r="90" spans="2:27" x14ac:dyDescent="0.25">
      <c r="B90" s="329"/>
      <c r="C90" s="138" t="s">
        <v>975</v>
      </c>
      <c r="D90" s="331">
        <v>0</v>
      </c>
      <c r="E90" s="331">
        <v>0</v>
      </c>
      <c r="F90" s="332">
        <v>1</v>
      </c>
      <c r="G90" s="331">
        <v>0</v>
      </c>
      <c r="H90" s="331">
        <v>0</v>
      </c>
      <c r="I90" s="331">
        <v>0</v>
      </c>
      <c r="J90" s="331">
        <v>0</v>
      </c>
      <c r="K90" s="331">
        <v>0</v>
      </c>
      <c r="L90" s="331">
        <v>0</v>
      </c>
      <c r="M90" s="331">
        <v>0</v>
      </c>
      <c r="N90" s="331">
        <v>0</v>
      </c>
      <c r="O90" s="331">
        <v>0</v>
      </c>
      <c r="P90" s="331">
        <v>0</v>
      </c>
      <c r="Q90" s="331">
        <v>0</v>
      </c>
      <c r="R90" s="331">
        <v>0</v>
      </c>
      <c r="S90" s="138" t="s">
        <v>250</v>
      </c>
      <c r="T90" s="138">
        <v>258</v>
      </c>
      <c r="U90" s="138">
        <f t="shared" si="7"/>
        <v>1</v>
      </c>
      <c r="V90" s="329">
        <f t="shared" si="2"/>
        <v>1</v>
      </c>
      <c r="W90" s="138">
        <f t="shared" ca="1" si="3"/>
        <v>3</v>
      </c>
      <c r="X90" s="138" t="str">
        <f t="shared" ca="1" si="4"/>
        <v/>
      </c>
      <c r="Y90" s="138" t="str">
        <f t="shared" ca="1" si="1"/>
        <v>Ornamental</v>
      </c>
      <c r="Z90" s="138" t="str">
        <f t="shared" ca="1" si="5"/>
        <v/>
      </c>
      <c r="AA90" s="116" t="str">
        <f t="shared" ca="1" si="6"/>
        <v xml:space="preserve">1,    IntLtgSys:IntLtgSpecMthd,   1,    0   ; AreaCategoryMethod
1,    IntLtgSys:ParentSpcFunc,  258,    0   ; Theater Area (Performance)
2,              0,    "- none specified -"
2,              3,    "Ornamental"
</v>
      </c>
    </row>
    <row r="91" spans="2:27" x14ac:dyDescent="0.25">
      <c r="B91" s="329"/>
      <c r="C91" s="138" t="s">
        <v>976</v>
      </c>
      <c r="D91" s="331">
        <v>0</v>
      </c>
      <c r="E91" s="331">
        <v>0</v>
      </c>
      <c r="F91" s="332">
        <v>0</v>
      </c>
      <c r="G91" s="331">
        <v>0</v>
      </c>
      <c r="H91" s="331">
        <v>0</v>
      </c>
      <c r="I91" s="331">
        <v>0</v>
      </c>
      <c r="J91" s="331">
        <v>0</v>
      </c>
      <c r="K91" s="331">
        <v>0</v>
      </c>
      <c r="L91" s="331">
        <v>0</v>
      </c>
      <c r="M91" s="331">
        <v>0</v>
      </c>
      <c r="N91" s="331">
        <v>0</v>
      </c>
      <c r="O91" s="331">
        <v>0</v>
      </c>
      <c r="P91" s="331">
        <v>0</v>
      </c>
      <c r="Q91" s="331">
        <v>0</v>
      </c>
      <c r="R91" s="331">
        <v>0</v>
      </c>
      <c r="S91" s="138" t="s">
        <v>250</v>
      </c>
      <c r="T91" s="138">
        <v>259</v>
      </c>
      <c r="U91" s="138">
        <f t="shared" si="7"/>
        <v>0</v>
      </c>
      <c r="V91" s="329">
        <f t="shared" ref="V91:V109" si="8">SUM(D91:R91)</f>
        <v>0</v>
      </c>
      <c r="W91" s="138" t="e">
        <f t="shared" ref="W91:W109" ca="1" si="9">OFFSET($C$9,0,MATCH(1,$D91:$R91,0))</f>
        <v>#N/A</v>
      </c>
      <c r="X91" s="138" t="e">
        <f t="shared" ref="X91:X109" ca="1" si="10">IF(OFFSET($C$9,0,_xlfn.XMATCH(1,$D91:$R91,0,-1))&lt;&gt;W91,OFFSET($C$9,0,_xlfn.XMATCH(1,$D91:$R91,0,-1)),"")</f>
        <v>#N/A</v>
      </c>
      <c r="Y91" s="138" t="e">
        <f t="shared" ca="1" si="1"/>
        <v>#N/A</v>
      </c>
      <c r="Z91" s="138" t="e">
        <f t="shared" ref="Z91:Z109" ca="1" si="11">IF(OFFSET($C$9,15,_xlfn.XMATCH(1,$D91:$R91,0,-1))&lt;&gt;Y91,OFFSET($C$9,15,_xlfn.XMATCH(1,$D91:$R91,0,-1)),"")</f>
        <v>#N/A</v>
      </c>
      <c r="AA91" s="116" t="str">
        <f t="shared" si="6"/>
        <v/>
      </c>
    </row>
    <row r="92" spans="2:27" x14ac:dyDescent="0.25">
      <c r="B92" s="329"/>
      <c r="C92" s="138" t="s">
        <v>977</v>
      </c>
      <c r="D92" s="331">
        <v>0</v>
      </c>
      <c r="E92" s="331">
        <v>0</v>
      </c>
      <c r="F92" s="332">
        <v>0</v>
      </c>
      <c r="G92" s="331">
        <v>0</v>
      </c>
      <c r="H92" s="331">
        <v>0</v>
      </c>
      <c r="I92" s="331">
        <v>1</v>
      </c>
      <c r="J92" s="331">
        <v>0</v>
      </c>
      <c r="K92" s="331">
        <v>0</v>
      </c>
      <c r="L92" s="331">
        <v>0</v>
      </c>
      <c r="M92" s="331">
        <v>0</v>
      </c>
      <c r="N92" s="331">
        <v>0</v>
      </c>
      <c r="O92" s="331">
        <v>0</v>
      </c>
      <c r="P92" s="331">
        <v>0</v>
      </c>
      <c r="Q92" s="331">
        <v>0</v>
      </c>
      <c r="R92" s="331">
        <v>0</v>
      </c>
      <c r="T92" s="138">
        <v>260</v>
      </c>
      <c r="U92" s="138">
        <f t="shared" si="7"/>
        <v>1</v>
      </c>
      <c r="V92" s="329">
        <f t="shared" si="8"/>
        <v>1</v>
      </c>
      <c r="W92" s="138">
        <f t="shared" ca="1" si="9"/>
        <v>6</v>
      </c>
      <c r="X92" s="138" t="str">
        <f t="shared" ca="1" si="10"/>
        <v/>
      </c>
      <c r="Y92" s="138" t="str">
        <f t="shared" ca="1" si="1"/>
        <v>AccentDisplayFeature</v>
      </c>
      <c r="Z92" s="138" t="str">
        <f t="shared" ca="1" si="11"/>
        <v/>
      </c>
      <c r="AA92" s="116" t="str">
        <f t="shared" ref="AA92:AA109" ca="1" si="12">IF($V92=1,$AA$14&amp;$AD$14&amp;$AA$15&amp;TEXT($T92,0)&amp;$AB$15&amp;$C92&amp;$AD$15&amp;$AA$16&amp;$AD$16&amp;$AA$17&amp;TEXT($W92,0)&amp;$AB$17&amp;$Y92&amp;$AC$17&amp;$AD$17,
IF($V92=2,$AA$14&amp;$AD$14&amp;$AA$15&amp;TEXT($T92,0)&amp;$AB$15&amp;$C92&amp;$AD$15&amp;$AA$16&amp;$AD$16&amp;$AA$17&amp;TEXT($W92,0)&amp;$AB$17&amp;$Y92&amp;$AC$17&amp;$AD$17&amp;$AA$18&amp;TEXT($X92,0)&amp;$AB$18&amp;$Z92&amp;$AC$18&amp;$AD$18,""))</f>
        <v xml:space="preserve">1,    IntLtgSys:IntLtgSpecMthd,   1,    0   ; AreaCategoryMethod
1,    IntLtgSys:ParentSpcFunc,  260,    0   ; Transportation Function (Ticketing Area)
2,              0,    "- none specified -"
2,              6,    "AccentDisplayFeature"
</v>
      </c>
    </row>
    <row r="93" spans="2:27" x14ac:dyDescent="0.25">
      <c r="C93" s="138" t="s">
        <v>935</v>
      </c>
      <c r="D93" s="331">
        <v>0</v>
      </c>
      <c r="E93" s="331">
        <v>0</v>
      </c>
      <c r="F93" s="331">
        <v>0</v>
      </c>
      <c r="G93" s="331">
        <v>0</v>
      </c>
      <c r="H93" s="331">
        <v>0</v>
      </c>
      <c r="I93" s="331">
        <v>0</v>
      </c>
      <c r="J93" s="331">
        <v>0</v>
      </c>
      <c r="K93" s="331">
        <v>0</v>
      </c>
      <c r="L93" s="331">
        <v>0</v>
      </c>
      <c r="M93" s="331">
        <v>0</v>
      </c>
      <c r="N93" s="331">
        <v>0</v>
      </c>
      <c r="O93" s="331">
        <v>0</v>
      </c>
      <c r="P93" s="331">
        <v>0</v>
      </c>
      <c r="Q93" s="331">
        <v>0</v>
      </c>
      <c r="R93" s="331">
        <v>0</v>
      </c>
      <c r="T93" s="138">
        <v>261</v>
      </c>
      <c r="U93" s="138">
        <f t="shared" si="7"/>
        <v>0</v>
      </c>
      <c r="V93" s="329">
        <f t="shared" si="8"/>
        <v>0</v>
      </c>
      <c r="W93" s="138" t="e">
        <f t="shared" ca="1" si="9"/>
        <v>#N/A</v>
      </c>
      <c r="X93" s="138" t="e">
        <f t="shared" ca="1" si="10"/>
        <v>#N/A</v>
      </c>
      <c r="Y93" s="138" t="e">
        <f t="shared" ca="1" si="1"/>
        <v>#N/A</v>
      </c>
      <c r="Z93" s="138" t="e">
        <f t="shared" ca="1" si="11"/>
        <v>#N/A</v>
      </c>
      <c r="AA93" s="116" t="str">
        <f t="shared" si="12"/>
        <v/>
      </c>
    </row>
    <row r="94" spans="2:27" x14ac:dyDescent="0.25">
      <c r="C94" s="138" t="s">
        <v>666</v>
      </c>
      <c r="D94" s="331">
        <v>0</v>
      </c>
      <c r="E94" s="331">
        <v>0</v>
      </c>
      <c r="F94" s="331">
        <v>0</v>
      </c>
      <c r="G94" s="331">
        <v>0</v>
      </c>
      <c r="H94" s="331">
        <v>0</v>
      </c>
      <c r="I94" s="331">
        <v>0</v>
      </c>
      <c r="J94" s="331">
        <v>0</v>
      </c>
      <c r="K94" s="331">
        <v>0</v>
      </c>
      <c r="L94" s="331">
        <v>0</v>
      </c>
      <c r="M94" s="331">
        <v>0</v>
      </c>
      <c r="N94" s="331">
        <v>0</v>
      </c>
      <c r="O94" s="331">
        <v>0</v>
      </c>
      <c r="P94" s="331">
        <v>0</v>
      </c>
      <c r="Q94" s="331">
        <v>0</v>
      </c>
      <c r="R94" s="331">
        <v>0</v>
      </c>
      <c r="T94" s="138">
        <v>262</v>
      </c>
      <c r="U94" s="138">
        <f t="shared" si="7"/>
        <v>0</v>
      </c>
      <c r="V94" s="329">
        <f t="shared" si="8"/>
        <v>0</v>
      </c>
      <c r="W94" s="138" t="e">
        <f t="shared" ca="1" si="9"/>
        <v>#N/A</v>
      </c>
      <c r="X94" s="138" t="e">
        <f t="shared" ca="1" si="10"/>
        <v>#N/A</v>
      </c>
      <c r="Y94" s="138" t="e">
        <f t="shared" ca="1" si="1"/>
        <v>#N/A</v>
      </c>
      <c r="Z94" s="138" t="e">
        <f t="shared" ca="1" si="11"/>
        <v>#N/A</v>
      </c>
      <c r="AA94" s="116" t="str">
        <f t="shared" si="12"/>
        <v/>
      </c>
    </row>
    <row r="95" spans="2:27" x14ac:dyDescent="0.25">
      <c r="C95" s="138" t="s">
        <v>667</v>
      </c>
      <c r="D95" s="331">
        <v>0</v>
      </c>
      <c r="E95" s="331">
        <v>0</v>
      </c>
      <c r="F95" s="331">
        <v>0</v>
      </c>
      <c r="G95" s="331">
        <v>0</v>
      </c>
      <c r="H95" s="331">
        <v>0</v>
      </c>
      <c r="I95" s="331">
        <v>0</v>
      </c>
      <c r="J95" s="331">
        <v>0</v>
      </c>
      <c r="K95" s="331">
        <v>0</v>
      </c>
      <c r="L95" s="331">
        <v>0</v>
      </c>
      <c r="M95" s="331">
        <v>0</v>
      </c>
      <c r="N95" s="331">
        <v>0</v>
      </c>
      <c r="O95" s="331">
        <v>0</v>
      </c>
      <c r="P95" s="331">
        <v>0</v>
      </c>
      <c r="Q95" s="331">
        <v>0</v>
      </c>
      <c r="R95" s="331">
        <v>0</v>
      </c>
      <c r="T95" s="138">
        <v>263</v>
      </c>
      <c r="U95" s="138">
        <f t="shared" si="7"/>
        <v>0</v>
      </c>
      <c r="V95" s="329">
        <f t="shared" si="8"/>
        <v>0</v>
      </c>
      <c r="W95" s="138" t="e">
        <f t="shared" ca="1" si="9"/>
        <v>#N/A</v>
      </c>
      <c r="X95" s="138" t="e">
        <f t="shared" ca="1" si="10"/>
        <v>#N/A</v>
      </c>
      <c r="Y95" s="138" t="e">
        <f t="shared" ca="1" si="1"/>
        <v>#N/A</v>
      </c>
      <c r="Z95" s="138" t="e">
        <f t="shared" ca="1" si="11"/>
        <v>#N/A</v>
      </c>
      <c r="AA95" s="116" t="str">
        <f t="shared" si="12"/>
        <v/>
      </c>
    </row>
    <row r="96" spans="2:27" x14ac:dyDescent="0.25">
      <c r="C96" s="138" t="s">
        <v>668</v>
      </c>
      <c r="D96" s="331">
        <v>0</v>
      </c>
      <c r="E96" s="331">
        <v>0</v>
      </c>
      <c r="F96" s="331">
        <v>0</v>
      </c>
      <c r="G96" s="331">
        <v>0</v>
      </c>
      <c r="H96" s="331">
        <v>0</v>
      </c>
      <c r="I96" s="331">
        <v>0</v>
      </c>
      <c r="J96" s="331">
        <v>0</v>
      </c>
      <c r="K96" s="331">
        <v>0</v>
      </c>
      <c r="L96" s="331">
        <v>1</v>
      </c>
      <c r="M96" s="331">
        <v>0</v>
      </c>
      <c r="N96" s="331">
        <v>0</v>
      </c>
      <c r="O96" s="331">
        <v>0</v>
      </c>
      <c r="P96" s="331">
        <v>0</v>
      </c>
      <c r="Q96" s="331">
        <v>0</v>
      </c>
      <c r="R96" s="331">
        <v>0</v>
      </c>
      <c r="T96" s="138">
        <v>264</v>
      </c>
      <c r="U96" s="138">
        <f t="shared" si="7"/>
        <v>1</v>
      </c>
      <c r="V96" s="329">
        <f t="shared" si="8"/>
        <v>1</v>
      </c>
      <c r="W96" s="138">
        <f t="shared" ca="1" si="9"/>
        <v>9</v>
      </c>
      <c r="X96" s="138" t="str">
        <f t="shared" ca="1" si="10"/>
        <v/>
      </c>
      <c r="Y96" s="138" t="str">
        <f t="shared" ca="1" si="1"/>
        <v>VideoconferencingStudioLighting</v>
      </c>
      <c r="Z96" s="138" t="str">
        <f t="shared" ca="1" si="11"/>
        <v/>
      </c>
      <c r="AA96" s="116" t="str">
        <f t="shared" ca="1" si="12"/>
        <v xml:space="preserve">1,    IntLtgSys:IntLtgSpecMthd,   1,    0   ; AreaCategoryMethod
1,    IntLtgSys:ParentSpcFunc,  264,    0   ; Videoconferencing Studio
2,              0,    "- none specified -"
2,              9,    "VideoconferencingStudioLighting"
</v>
      </c>
    </row>
    <row r="97" spans="2:27" x14ac:dyDescent="0.25">
      <c r="B97" s="329"/>
      <c r="C97" s="149" t="s">
        <v>1018</v>
      </c>
      <c r="D97" s="331">
        <v>0</v>
      </c>
      <c r="E97" s="331">
        <v>0</v>
      </c>
      <c r="F97" s="331">
        <v>0</v>
      </c>
      <c r="G97" s="331">
        <v>0</v>
      </c>
      <c r="H97" s="331">
        <v>0</v>
      </c>
      <c r="I97" s="331">
        <v>0</v>
      </c>
      <c r="J97" s="331">
        <v>0</v>
      </c>
      <c r="K97" s="331">
        <v>1</v>
      </c>
      <c r="L97" s="331">
        <v>0</v>
      </c>
      <c r="M97" s="331">
        <v>0</v>
      </c>
      <c r="N97" s="331">
        <v>0</v>
      </c>
      <c r="O97" s="331">
        <v>0</v>
      </c>
      <c r="P97" s="331">
        <v>0</v>
      </c>
      <c r="Q97" s="331">
        <v>0</v>
      </c>
      <c r="R97" s="331">
        <v>0</v>
      </c>
      <c r="S97" s="138" t="s">
        <v>250</v>
      </c>
      <c r="T97" s="139">
        <v>269</v>
      </c>
      <c r="U97" s="139">
        <v>1</v>
      </c>
      <c r="V97" s="329">
        <f t="shared" si="8"/>
        <v>1</v>
      </c>
      <c r="W97" s="138">
        <f t="shared" ca="1" si="9"/>
        <v>8</v>
      </c>
      <c r="X97" s="138" t="str">
        <f t="shared" ca="1" si="10"/>
        <v/>
      </c>
      <c r="Y97" s="138" t="str">
        <f ca="1">OFFSET($C$9,15,MATCH(1,$D97:$R97,0))</f>
        <v>Decorative</v>
      </c>
      <c r="Z97" s="138" t="str">
        <f t="shared" ca="1" si="11"/>
        <v/>
      </c>
      <c r="AA97" s="116" t="str">
        <f t="shared" ca="1" si="12"/>
        <v xml:space="preserve">1,    IntLtgSys:IntLtgSpecMthd,   1,    0   ; AreaCategoryMethod
1,    IntLtgSys:ParentSpcFunc,  269,    0   ; Aging Eye/Low-vision (Corridor Area)
2,              0,    "- none specified -"
2,              8,    "Decorative"
</v>
      </c>
    </row>
    <row r="98" spans="2:27" x14ac:dyDescent="0.25">
      <c r="B98" s="329"/>
      <c r="C98" s="149" t="s">
        <v>1019</v>
      </c>
      <c r="D98" s="331">
        <v>0</v>
      </c>
      <c r="E98" s="331">
        <v>0</v>
      </c>
      <c r="F98" s="331">
        <v>1</v>
      </c>
      <c r="G98" s="331">
        <v>0</v>
      </c>
      <c r="H98" s="331">
        <v>0</v>
      </c>
      <c r="I98" s="331">
        <v>0</v>
      </c>
      <c r="J98" s="331">
        <v>0</v>
      </c>
      <c r="K98" s="331">
        <v>0</v>
      </c>
      <c r="L98" s="331">
        <v>0</v>
      </c>
      <c r="M98" s="331">
        <v>0</v>
      </c>
      <c r="N98" s="331">
        <v>0</v>
      </c>
      <c r="O98" s="331">
        <v>0</v>
      </c>
      <c r="P98" s="331">
        <v>0</v>
      </c>
      <c r="Q98" s="331">
        <v>0</v>
      </c>
      <c r="R98" s="331">
        <v>0</v>
      </c>
      <c r="S98" s="138" t="s">
        <v>250</v>
      </c>
      <c r="T98" s="139">
        <f>T97+1</f>
        <v>270</v>
      </c>
      <c r="U98" s="139">
        <v>1</v>
      </c>
      <c r="V98" s="329">
        <f t="shared" si="8"/>
        <v>1</v>
      </c>
      <c r="W98" s="138">
        <f t="shared" ca="1" si="9"/>
        <v>3</v>
      </c>
      <c r="X98" s="138" t="str">
        <f t="shared" ca="1" si="10"/>
        <v/>
      </c>
      <c r="Y98" s="138" t="str">
        <f t="shared" ref="Y98:Y105" ca="1" si="13">OFFSET($C$9,15,MATCH(1,$D98:$R98,0))</f>
        <v>Ornamental</v>
      </c>
      <c r="Z98" s="138" t="str">
        <f t="shared" ca="1" si="11"/>
        <v/>
      </c>
      <c r="AA98" s="116" t="str">
        <f t="shared" ca="1" si="12"/>
        <v xml:space="preserve">1,    IntLtgSys:IntLtgSpecMthd,   1,    0   ; AreaCategoryMethod
1,    IntLtgSys:ParentSpcFunc,  270,    0   ; Aging Eye/Low-vision (Dining)
2,              0,    "- none specified -"
2,              3,    "Ornamental"
</v>
      </c>
    </row>
    <row r="99" spans="2:27" x14ac:dyDescent="0.25">
      <c r="B99" s="329"/>
      <c r="C99" s="149" t="s">
        <v>1020</v>
      </c>
      <c r="D99" s="331">
        <v>0</v>
      </c>
      <c r="E99" s="331">
        <v>0</v>
      </c>
      <c r="F99" s="331">
        <v>1</v>
      </c>
      <c r="G99" s="331">
        <v>0</v>
      </c>
      <c r="H99" s="331">
        <v>0</v>
      </c>
      <c r="I99" s="331">
        <v>0</v>
      </c>
      <c r="J99" s="331">
        <v>0</v>
      </c>
      <c r="K99" s="331">
        <v>0</v>
      </c>
      <c r="L99" s="331">
        <v>0</v>
      </c>
      <c r="M99" s="331">
        <v>0</v>
      </c>
      <c r="N99" s="331">
        <v>0</v>
      </c>
      <c r="O99" s="331">
        <v>0</v>
      </c>
      <c r="P99" s="331">
        <v>0</v>
      </c>
      <c r="Q99" s="331">
        <v>0</v>
      </c>
      <c r="R99" s="331">
        <v>0</v>
      </c>
      <c r="S99" s="138" t="s">
        <v>250</v>
      </c>
      <c r="T99" s="139">
        <f t="shared" ref="T99:T104" si="14">T98+1</f>
        <v>271</v>
      </c>
      <c r="U99" s="139">
        <v>1</v>
      </c>
      <c r="V99" s="329">
        <f t="shared" si="8"/>
        <v>1</v>
      </c>
      <c r="W99" s="138">
        <f t="shared" ca="1" si="9"/>
        <v>3</v>
      </c>
      <c r="X99" s="138" t="str">
        <f t="shared" ca="1" si="10"/>
        <v/>
      </c>
      <c r="Y99" s="138" t="str">
        <f t="shared" ca="1" si="13"/>
        <v>Ornamental</v>
      </c>
      <c r="Z99" s="138" t="str">
        <f t="shared" ca="1" si="11"/>
        <v/>
      </c>
      <c r="AA99" s="116" t="str">
        <f t="shared" ca="1" si="12"/>
        <v xml:space="preserve">1,    IntLtgSys:IntLtgSpecMthd,   1,    0   ; AreaCategoryMethod
1,    IntLtgSys:ParentSpcFunc,  271,    0   ; Aging Eye/Low-vision (Lounge/Waiting Area)
2,              0,    "- none specified -"
2,              3,    "Ornamental"
</v>
      </c>
    </row>
    <row r="100" spans="2:27" x14ac:dyDescent="0.25">
      <c r="B100" s="329"/>
      <c r="C100" s="149" t="s">
        <v>1021</v>
      </c>
      <c r="D100" s="331">
        <v>0</v>
      </c>
      <c r="E100" s="331">
        <v>0</v>
      </c>
      <c r="F100" s="331">
        <v>1</v>
      </c>
      <c r="G100" s="331">
        <v>0</v>
      </c>
      <c r="H100" s="331">
        <v>0</v>
      </c>
      <c r="I100" s="331">
        <v>0</v>
      </c>
      <c r="J100" s="331">
        <v>0</v>
      </c>
      <c r="K100" s="331">
        <v>0</v>
      </c>
      <c r="L100" s="331">
        <v>0</v>
      </c>
      <c r="M100" s="331">
        <v>0</v>
      </c>
      <c r="N100" s="331">
        <v>0</v>
      </c>
      <c r="O100" s="331">
        <v>0</v>
      </c>
      <c r="P100" s="331">
        <v>0</v>
      </c>
      <c r="Q100" s="331">
        <v>1</v>
      </c>
      <c r="R100" s="331">
        <v>0</v>
      </c>
      <c r="S100" s="138" t="s">
        <v>250</v>
      </c>
      <c r="T100" s="139">
        <f t="shared" si="14"/>
        <v>272</v>
      </c>
      <c r="U100" s="139">
        <v>1</v>
      </c>
      <c r="V100" s="329">
        <f t="shared" si="8"/>
        <v>2</v>
      </c>
      <c r="W100" s="138">
        <f t="shared" ca="1" si="9"/>
        <v>3</v>
      </c>
      <c r="X100" s="138">
        <f t="shared" ca="1" si="10"/>
        <v>14</v>
      </c>
      <c r="Y100" s="138" t="str">
        <f t="shared" ca="1" si="13"/>
        <v>Ornamental</v>
      </c>
      <c r="Z100" s="138" t="str">
        <f t="shared" ca="1" si="11"/>
        <v>TransitionLightingOffAtNight</v>
      </c>
      <c r="AA100" s="116" t="str">
        <f t="shared" ca="1" si="12"/>
        <v>1,    IntLtgSys:IntLtgSpecMthd,   1,    0   ; AreaCategoryMethod
1,    IntLtgSys:ParentSpcFunc,  272,    0   ; Aging Eye/Low-vision (Main Entry Lobby)
2,              0,    "- none specified -"
2,              3,    "Ornamental"
2,              14,    "TransitionLightingOffAtNight"</v>
      </c>
    </row>
    <row r="101" spans="2:27" x14ac:dyDescent="0.25">
      <c r="B101" s="329"/>
      <c r="C101" s="149" t="s">
        <v>1022</v>
      </c>
      <c r="D101" s="331">
        <v>0</v>
      </c>
      <c r="E101" s="331">
        <v>0</v>
      </c>
      <c r="F101" s="331">
        <v>1</v>
      </c>
      <c r="G101" s="331">
        <v>0</v>
      </c>
      <c r="H101" s="331">
        <v>0</v>
      </c>
      <c r="I101" s="331">
        <v>0</v>
      </c>
      <c r="J101" s="331">
        <v>0</v>
      </c>
      <c r="K101" s="331">
        <v>0</v>
      </c>
      <c r="L101" s="331">
        <v>0</v>
      </c>
      <c r="M101" s="331">
        <v>0</v>
      </c>
      <c r="N101" s="331">
        <v>0</v>
      </c>
      <c r="O101" s="331">
        <v>0</v>
      </c>
      <c r="P101" s="331">
        <v>0</v>
      </c>
      <c r="Q101" s="331">
        <v>0</v>
      </c>
      <c r="R101" s="331">
        <v>0</v>
      </c>
      <c r="S101" s="138" t="s">
        <v>250</v>
      </c>
      <c r="T101" s="139">
        <f t="shared" si="14"/>
        <v>273</v>
      </c>
      <c r="U101" s="139">
        <v>1</v>
      </c>
      <c r="V101" s="329">
        <f t="shared" si="8"/>
        <v>1</v>
      </c>
      <c r="W101" s="138">
        <f t="shared" ca="1" si="9"/>
        <v>3</v>
      </c>
      <c r="X101" s="138" t="str">
        <f t="shared" ca="1" si="10"/>
        <v/>
      </c>
      <c r="Y101" s="138" t="str">
        <f t="shared" ca="1" si="13"/>
        <v>Ornamental</v>
      </c>
      <c r="Z101" s="138" t="str">
        <f t="shared" ca="1" si="11"/>
        <v/>
      </c>
      <c r="AA101" s="116" t="str">
        <f t="shared" ca="1" si="12"/>
        <v xml:space="preserve">1,    IntLtgSys:IntLtgSpecMthd,   1,    0   ; AreaCategoryMethod
1,    IntLtgSys:ParentSpcFunc,  273,    0   ; Aging Eye/Low-vision (Multipurpose Room)
2,              0,    "- none specified -"
2,              3,    "Ornamental"
</v>
      </c>
    </row>
    <row r="102" spans="2:27" x14ac:dyDescent="0.25">
      <c r="C102" s="149" t="s">
        <v>1023</v>
      </c>
      <c r="D102" s="331">
        <v>0</v>
      </c>
      <c r="E102" s="331">
        <v>0</v>
      </c>
      <c r="F102" s="331">
        <v>1</v>
      </c>
      <c r="G102" s="331">
        <v>0</v>
      </c>
      <c r="H102" s="331">
        <v>0</v>
      </c>
      <c r="I102" s="331">
        <v>0</v>
      </c>
      <c r="J102" s="331">
        <v>0</v>
      </c>
      <c r="K102" s="331">
        <v>0</v>
      </c>
      <c r="L102" s="331">
        <v>0</v>
      </c>
      <c r="M102" s="331">
        <v>0</v>
      </c>
      <c r="N102" s="331">
        <v>0</v>
      </c>
      <c r="O102" s="331">
        <v>0</v>
      </c>
      <c r="P102" s="331">
        <v>0</v>
      </c>
      <c r="Q102" s="331">
        <v>0</v>
      </c>
      <c r="R102" s="331">
        <v>0</v>
      </c>
      <c r="S102" s="138" t="s">
        <v>250</v>
      </c>
      <c r="T102" s="139">
        <f t="shared" si="14"/>
        <v>274</v>
      </c>
      <c r="U102" s="139">
        <v>1</v>
      </c>
      <c r="V102" s="329">
        <f t="shared" si="8"/>
        <v>1</v>
      </c>
      <c r="W102" s="138">
        <f t="shared" ca="1" si="9"/>
        <v>3</v>
      </c>
      <c r="X102" s="138" t="str">
        <f t="shared" ca="1" si="10"/>
        <v/>
      </c>
      <c r="Y102" s="138" t="str">
        <f t="shared" ca="1" si="13"/>
        <v>Ornamental</v>
      </c>
      <c r="Z102" s="138" t="str">
        <f t="shared" ca="1" si="11"/>
        <v/>
      </c>
      <c r="AA102" s="116" t="str">
        <f t="shared" ca="1" si="12"/>
        <v xml:space="preserve">1,    IntLtgSys:IntLtgSpecMthd,   1,    0   ; AreaCategoryMethod
1,    IntLtgSys:ParentSpcFunc,  274,    0   ; Aging Eye/Low-vision (Religious Worship Area)
2,              0,    "- none specified -"
2,              3,    "Ornamental"
</v>
      </c>
    </row>
    <row r="103" spans="2:27" x14ac:dyDescent="0.25">
      <c r="C103" s="149" t="s">
        <v>1024</v>
      </c>
      <c r="D103" s="331">
        <v>0</v>
      </c>
      <c r="E103" s="331">
        <v>0</v>
      </c>
      <c r="F103" s="331">
        <v>0</v>
      </c>
      <c r="G103" s="331">
        <v>0</v>
      </c>
      <c r="H103" s="331">
        <v>0</v>
      </c>
      <c r="I103" s="331">
        <v>1</v>
      </c>
      <c r="J103" s="331">
        <v>0</v>
      </c>
      <c r="K103" s="331">
        <v>0</v>
      </c>
      <c r="L103" s="331">
        <v>0</v>
      </c>
      <c r="M103" s="331">
        <v>0</v>
      </c>
      <c r="N103" s="331">
        <v>0</v>
      </c>
      <c r="O103" s="331">
        <v>0</v>
      </c>
      <c r="P103" s="331">
        <v>0</v>
      </c>
      <c r="Q103" s="331">
        <v>0</v>
      </c>
      <c r="R103" s="331">
        <v>0</v>
      </c>
      <c r="S103" s="138" t="s">
        <v>250</v>
      </c>
      <c r="T103" s="139">
        <f t="shared" si="14"/>
        <v>275</v>
      </c>
      <c r="U103" s="139">
        <v>1</v>
      </c>
      <c r="V103" s="329">
        <f t="shared" si="8"/>
        <v>1</v>
      </c>
      <c r="W103" s="138">
        <f t="shared" ca="1" si="9"/>
        <v>6</v>
      </c>
      <c r="X103" s="138" t="str">
        <f t="shared" ca="1" si="10"/>
        <v/>
      </c>
      <c r="Y103" s="138" t="str">
        <f t="shared" ca="1" si="13"/>
        <v>AccentDisplayFeature</v>
      </c>
      <c r="Z103" s="138" t="str">
        <f t="shared" ca="1" si="11"/>
        <v/>
      </c>
      <c r="AA103" s="116" t="str">
        <f t="shared" ca="1" si="12"/>
        <v xml:space="preserve">1,    IntLtgSys:IntLtgSpecMthd,   1,    0   ; AreaCategoryMethod
1,    IntLtgSys:ParentSpcFunc,  275,    0   ; Aging Eye/Low-vision (Restroom)
2,              0,    "- none specified -"
2,              6,    "AccentDisplayFeature"
</v>
      </c>
    </row>
    <row r="104" spans="2:27" x14ac:dyDescent="0.25">
      <c r="C104" s="149" t="s">
        <v>1025</v>
      </c>
      <c r="D104" s="331">
        <v>0</v>
      </c>
      <c r="E104" s="331">
        <v>0</v>
      </c>
      <c r="F104" s="331">
        <v>0</v>
      </c>
      <c r="G104" s="331">
        <v>0</v>
      </c>
      <c r="H104" s="331">
        <v>0</v>
      </c>
      <c r="I104" s="331">
        <v>0</v>
      </c>
      <c r="J104" s="331">
        <v>0</v>
      </c>
      <c r="K104" s="331">
        <v>0</v>
      </c>
      <c r="L104" s="331">
        <v>0</v>
      </c>
      <c r="M104" s="331">
        <v>0</v>
      </c>
      <c r="N104" s="331">
        <v>0</v>
      </c>
      <c r="O104" s="331">
        <v>0</v>
      </c>
      <c r="P104" s="331">
        <v>0</v>
      </c>
      <c r="Q104" s="331">
        <v>0</v>
      </c>
      <c r="R104" s="331">
        <v>0</v>
      </c>
      <c r="S104" s="138" t="s">
        <v>250</v>
      </c>
      <c r="T104" s="139">
        <f t="shared" si="14"/>
        <v>276</v>
      </c>
      <c r="U104" s="139">
        <v>0</v>
      </c>
      <c r="V104" s="329">
        <f t="shared" si="8"/>
        <v>0</v>
      </c>
      <c r="W104" s="138" t="e">
        <f t="shared" ca="1" si="9"/>
        <v>#N/A</v>
      </c>
      <c r="X104" s="138" t="e">
        <f t="shared" ca="1" si="10"/>
        <v>#N/A</v>
      </c>
      <c r="Y104" s="138" t="e">
        <f t="shared" ca="1" si="13"/>
        <v>#N/A</v>
      </c>
      <c r="Z104" s="138" t="e">
        <f t="shared" ca="1" si="11"/>
        <v>#N/A</v>
      </c>
      <c r="AA104" s="116" t="str">
        <f t="shared" si="12"/>
        <v/>
      </c>
    </row>
    <row r="105" spans="2:27" x14ac:dyDescent="0.25">
      <c r="B105" s="329"/>
      <c r="C105" s="138" t="s">
        <v>936</v>
      </c>
      <c r="D105" s="331">
        <v>0</v>
      </c>
      <c r="E105" s="331">
        <v>0</v>
      </c>
      <c r="F105" s="332">
        <v>0</v>
      </c>
      <c r="G105" s="331">
        <v>0</v>
      </c>
      <c r="H105" s="331">
        <v>0</v>
      </c>
      <c r="I105" s="331">
        <v>0</v>
      </c>
      <c r="J105" s="331">
        <v>0</v>
      </c>
      <c r="K105" s="331">
        <v>0</v>
      </c>
      <c r="L105" s="331">
        <v>0</v>
      </c>
      <c r="M105" s="331">
        <v>0</v>
      </c>
      <c r="N105" s="331">
        <v>0</v>
      </c>
      <c r="O105" s="331">
        <v>0</v>
      </c>
      <c r="P105" s="331">
        <v>0</v>
      </c>
      <c r="Q105" s="331">
        <v>0</v>
      </c>
      <c r="R105" s="331">
        <v>0</v>
      </c>
      <c r="S105" s="138" t="s">
        <v>250</v>
      </c>
      <c r="T105" s="138">
        <v>201</v>
      </c>
      <c r="U105" s="138">
        <f>IF(SUM(D105:P105)&gt;0,1,0)</f>
        <v>0</v>
      </c>
      <c r="V105" s="329">
        <f t="shared" si="8"/>
        <v>0</v>
      </c>
      <c r="W105" s="138" t="e">
        <f t="shared" ca="1" si="9"/>
        <v>#N/A</v>
      </c>
      <c r="X105" s="138" t="e">
        <f t="shared" ca="1" si="10"/>
        <v>#N/A</v>
      </c>
      <c r="Y105" s="138" t="e">
        <f t="shared" ca="1" si="13"/>
        <v>#N/A</v>
      </c>
      <c r="Z105" s="138" t="e">
        <f t="shared" ca="1" si="11"/>
        <v>#N/A</v>
      </c>
      <c r="AA105" s="116" t="str">
        <f t="shared" si="12"/>
        <v/>
      </c>
    </row>
    <row r="106" spans="2:27" x14ac:dyDescent="0.25">
      <c r="C106" s="138" t="s">
        <v>978</v>
      </c>
      <c r="D106" s="331">
        <v>0</v>
      </c>
      <c r="E106" s="331">
        <v>0</v>
      </c>
      <c r="F106" s="331">
        <v>0</v>
      </c>
      <c r="G106" s="331">
        <v>0</v>
      </c>
      <c r="H106" s="331">
        <v>0</v>
      </c>
      <c r="I106" s="331">
        <v>0</v>
      </c>
      <c r="J106" s="331">
        <v>0</v>
      </c>
      <c r="K106" s="331">
        <v>0</v>
      </c>
      <c r="L106" s="331">
        <v>0</v>
      </c>
      <c r="M106" s="331">
        <v>0</v>
      </c>
      <c r="N106" s="331">
        <v>0</v>
      </c>
      <c r="O106" s="331">
        <v>0</v>
      </c>
      <c r="P106" s="331">
        <v>0</v>
      </c>
      <c r="Q106" s="331">
        <v>0</v>
      </c>
      <c r="R106" s="331">
        <v>0</v>
      </c>
      <c r="T106" s="138">
        <v>265</v>
      </c>
      <c r="U106" s="138">
        <f>IF(SUM(D106:P106)&gt;0,1,0)</f>
        <v>0</v>
      </c>
      <c r="V106" s="329">
        <f t="shared" si="8"/>
        <v>0</v>
      </c>
      <c r="W106" s="138" t="e">
        <f t="shared" ca="1" si="9"/>
        <v>#N/A</v>
      </c>
      <c r="X106" s="138" t="e">
        <f t="shared" ca="1" si="10"/>
        <v>#N/A</v>
      </c>
      <c r="Y106" s="138" t="e">
        <f ca="1">OFFSET($C$9,15,MATCH(1,$D106:$R106,0))</f>
        <v>#N/A</v>
      </c>
      <c r="Z106" s="138" t="e">
        <f t="shared" ca="1" si="11"/>
        <v>#N/A</v>
      </c>
      <c r="AA106" s="116" t="str">
        <f t="shared" si="12"/>
        <v/>
      </c>
    </row>
    <row r="107" spans="2:27" x14ac:dyDescent="0.25">
      <c r="C107" s="138" t="s">
        <v>979</v>
      </c>
      <c r="D107" s="331">
        <v>0</v>
      </c>
      <c r="E107" s="331">
        <v>0</v>
      </c>
      <c r="F107" s="331">
        <v>0</v>
      </c>
      <c r="G107" s="331">
        <v>0</v>
      </c>
      <c r="H107" s="331">
        <v>0</v>
      </c>
      <c r="I107" s="331">
        <v>0</v>
      </c>
      <c r="J107" s="331">
        <v>0</v>
      </c>
      <c r="K107" s="331">
        <v>0</v>
      </c>
      <c r="L107" s="331">
        <v>0</v>
      </c>
      <c r="M107" s="331">
        <v>0</v>
      </c>
      <c r="N107" s="331">
        <v>0</v>
      </c>
      <c r="O107" s="331">
        <v>0</v>
      </c>
      <c r="P107" s="331">
        <v>0</v>
      </c>
      <c r="Q107" s="331">
        <v>0</v>
      </c>
      <c r="R107" s="331">
        <v>0</v>
      </c>
      <c r="T107" s="138">
        <v>266</v>
      </c>
      <c r="U107" s="138">
        <f>IF(SUM(D107:P107)&gt;0,1,0)</f>
        <v>0</v>
      </c>
      <c r="V107" s="329">
        <f t="shared" si="8"/>
        <v>0</v>
      </c>
      <c r="W107" s="138" t="e">
        <f t="shared" ca="1" si="9"/>
        <v>#N/A</v>
      </c>
      <c r="X107" s="138" t="e">
        <f t="shared" ca="1" si="10"/>
        <v>#N/A</v>
      </c>
      <c r="Y107" s="138" t="e">
        <f ca="1">OFFSET($C$9,15,MATCH(1,$D107:$R107,0))</f>
        <v>#N/A</v>
      </c>
      <c r="Z107" s="138" t="e">
        <f t="shared" ca="1" si="11"/>
        <v>#N/A</v>
      </c>
      <c r="AA107" s="116" t="str">
        <f t="shared" si="12"/>
        <v/>
      </c>
    </row>
    <row r="108" spans="2:27" x14ac:dyDescent="0.25">
      <c r="C108" s="138" t="s">
        <v>980</v>
      </c>
      <c r="D108" s="331">
        <v>0</v>
      </c>
      <c r="E108" s="331">
        <v>0</v>
      </c>
      <c r="F108" s="331">
        <v>0</v>
      </c>
      <c r="G108" s="331">
        <v>0</v>
      </c>
      <c r="H108" s="331">
        <v>0</v>
      </c>
      <c r="I108" s="331">
        <v>0</v>
      </c>
      <c r="J108" s="331">
        <v>0</v>
      </c>
      <c r="K108" s="331">
        <v>0</v>
      </c>
      <c r="L108" s="331">
        <v>0</v>
      </c>
      <c r="M108" s="331">
        <v>0</v>
      </c>
      <c r="N108" s="331">
        <v>0</v>
      </c>
      <c r="O108" s="331">
        <v>0</v>
      </c>
      <c r="P108" s="331">
        <v>0</v>
      </c>
      <c r="Q108" s="331">
        <v>0</v>
      </c>
      <c r="R108" s="331">
        <v>0</v>
      </c>
      <c r="T108" s="138">
        <v>267</v>
      </c>
      <c r="U108" s="138">
        <f>IF(SUM(D108:P108)&gt;0,1,0)</f>
        <v>0</v>
      </c>
      <c r="V108" s="329">
        <f t="shared" si="8"/>
        <v>0</v>
      </c>
      <c r="W108" s="138" t="e">
        <f t="shared" ca="1" si="9"/>
        <v>#N/A</v>
      </c>
      <c r="X108" s="138" t="e">
        <f t="shared" ca="1" si="10"/>
        <v>#N/A</v>
      </c>
      <c r="Y108" s="138" t="e">
        <f ca="1">OFFSET($C$9,15,MATCH(1,$D108:$R108,0))</f>
        <v>#N/A</v>
      </c>
      <c r="Z108" s="138" t="e">
        <f t="shared" ca="1" si="11"/>
        <v>#N/A</v>
      </c>
      <c r="AA108" s="116" t="str">
        <f t="shared" si="12"/>
        <v/>
      </c>
    </row>
    <row r="109" spans="2:27" x14ac:dyDescent="0.25">
      <c r="C109" s="138" t="s">
        <v>981</v>
      </c>
      <c r="D109" s="331">
        <v>0</v>
      </c>
      <c r="E109" s="331">
        <v>0</v>
      </c>
      <c r="F109" s="331">
        <v>0</v>
      </c>
      <c r="G109" s="331">
        <v>0</v>
      </c>
      <c r="H109" s="331">
        <v>0</v>
      </c>
      <c r="I109" s="331">
        <v>0</v>
      </c>
      <c r="J109" s="331">
        <v>0</v>
      </c>
      <c r="K109" s="331">
        <v>0</v>
      </c>
      <c r="L109" s="331">
        <v>0</v>
      </c>
      <c r="M109" s="331">
        <v>0</v>
      </c>
      <c r="N109" s="331">
        <v>0</v>
      </c>
      <c r="O109" s="331">
        <v>0</v>
      </c>
      <c r="P109" s="331">
        <v>0</v>
      </c>
      <c r="Q109" s="331">
        <v>0</v>
      </c>
      <c r="R109" s="331">
        <v>0</v>
      </c>
      <c r="T109" s="138">
        <v>268</v>
      </c>
      <c r="U109" s="138">
        <f>IF(SUM(D109:P109)&gt;0,1,0)</f>
        <v>0</v>
      </c>
      <c r="V109" s="329">
        <f t="shared" si="8"/>
        <v>0</v>
      </c>
      <c r="W109" s="138" t="e">
        <f t="shared" ca="1" si="9"/>
        <v>#N/A</v>
      </c>
      <c r="X109" s="138" t="e">
        <f t="shared" ca="1" si="10"/>
        <v>#N/A</v>
      </c>
      <c r="Y109" s="138" t="e">
        <f ca="1">OFFSET($C$9,15,MATCH(1,$D109:$R109,0))</f>
        <v>#N/A</v>
      </c>
      <c r="Z109" s="138" t="e">
        <f t="shared" ca="1" si="11"/>
        <v>#N/A</v>
      </c>
      <c r="AA109" s="116" t="str">
        <f t="shared" si="12"/>
        <v/>
      </c>
    </row>
    <row r="110" spans="2:27" x14ac:dyDescent="0.25">
      <c r="B110" s="138" t="s">
        <v>245</v>
      </c>
      <c r="V110" s="329"/>
      <c r="AA110" s="116"/>
    </row>
    <row r="111" spans="2:27" x14ac:dyDescent="0.25">
      <c r="C111" s="149"/>
      <c r="D111" s="331"/>
      <c r="E111" s="331"/>
      <c r="F111" s="331"/>
      <c r="G111" s="331"/>
      <c r="H111" s="331"/>
      <c r="I111" s="331"/>
      <c r="J111" s="331"/>
      <c r="K111" s="331"/>
      <c r="L111" s="331"/>
      <c r="M111" s="331"/>
      <c r="N111" s="331"/>
      <c r="O111" s="331"/>
      <c r="P111" s="331"/>
      <c r="Q111" s="331"/>
      <c r="R111" s="331"/>
      <c r="T111" s="139"/>
      <c r="U111" s="139"/>
      <c r="V111" s="139"/>
      <c r="AA111" s="116"/>
    </row>
    <row r="112" spans="2:27" x14ac:dyDescent="0.25">
      <c r="C112" s="149"/>
      <c r="D112" s="331"/>
      <c r="E112" s="331"/>
      <c r="F112" s="331"/>
      <c r="G112" s="331"/>
      <c r="H112" s="331"/>
      <c r="I112" s="331"/>
      <c r="J112" s="331"/>
      <c r="K112" s="331"/>
      <c r="L112" s="331"/>
      <c r="M112" s="331"/>
      <c r="N112" s="331"/>
      <c r="O112" s="331"/>
      <c r="P112" s="331"/>
      <c r="Q112" s="331"/>
      <c r="R112" s="331"/>
      <c r="T112" s="139"/>
      <c r="U112" s="139"/>
      <c r="V112" s="139"/>
      <c r="AA112" s="116"/>
    </row>
    <row r="113" spans="3:27" x14ac:dyDescent="0.25">
      <c r="C113" s="149"/>
      <c r="D113" s="331"/>
      <c r="E113" s="331"/>
      <c r="F113" s="331"/>
      <c r="G113" s="331"/>
      <c r="H113" s="331"/>
      <c r="I113" s="331"/>
      <c r="J113" s="331"/>
      <c r="K113" s="331"/>
      <c r="L113" s="331"/>
      <c r="M113" s="331"/>
      <c r="N113" s="331"/>
      <c r="O113" s="331"/>
      <c r="P113" s="331"/>
      <c r="Q113" s="331"/>
      <c r="R113" s="331"/>
      <c r="T113" s="139"/>
      <c r="U113" s="139"/>
      <c r="V113" s="139"/>
      <c r="AA113" s="116"/>
    </row>
    <row r="114" spans="3:27" x14ac:dyDescent="0.25">
      <c r="C114" s="149"/>
      <c r="D114" s="331"/>
      <c r="E114" s="331"/>
      <c r="F114" s="331"/>
      <c r="G114" s="331"/>
      <c r="H114" s="331"/>
      <c r="I114" s="331"/>
      <c r="J114" s="331"/>
      <c r="K114" s="331"/>
      <c r="L114" s="331"/>
      <c r="M114" s="331"/>
      <c r="N114" s="331"/>
      <c r="O114" s="331"/>
      <c r="P114" s="331"/>
      <c r="Q114" s="331"/>
      <c r="R114" s="331"/>
      <c r="T114" s="139"/>
      <c r="U114" s="139"/>
      <c r="V114" s="139"/>
      <c r="AA114" s="116"/>
    </row>
    <row r="115" spans="3:27" x14ac:dyDescent="0.25">
      <c r="C115" s="149"/>
      <c r="D115" s="331"/>
      <c r="E115" s="331"/>
      <c r="F115" s="331"/>
      <c r="G115" s="331"/>
      <c r="H115" s="331"/>
      <c r="I115" s="331"/>
      <c r="J115" s="331"/>
      <c r="K115" s="331"/>
      <c r="L115" s="331"/>
      <c r="M115" s="331"/>
      <c r="N115" s="331"/>
      <c r="O115" s="331"/>
      <c r="P115" s="331"/>
      <c r="Q115" s="331"/>
      <c r="R115" s="331"/>
      <c r="T115" s="139"/>
      <c r="U115" s="139"/>
      <c r="V115" s="139"/>
      <c r="AA115" s="116"/>
    </row>
    <row r="116" spans="3:27" x14ac:dyDescent="0.25">
      <c r="C116" s="149"/>
      <c r="D116" s="331"/>
      <c r="E116" s="331"/>
      <c r="F116" s="331"/>
      <c r="G116" s="331"/>
      <c r="H116" s="331"/>
      <c r="I116" s="331"/>
      <c r="J116" s="331"/>
      <c r="K116" s="331"/>
      <c r="L116" s="331"/>
      <c r="M116" s="331"/>
      <c r="N116" s="331"/>
      <c r="O116" s="331"/>
      <c r="P116" s="331"/>
      <c r="Q116" s="331"/>
      <c r="R116" s="331"/>
      <c r="T116" s="139"/>
      <c r="U116" s="139"/>
      <c r="V116" s="139"/>
      <c r="AA116" s="116"/>
    </row>
    <row r="117" spans="3:27" x14ac:dyDescent="0.25">
      <c r="C117" s="149"/>
      <c r="D117" s="331"/>
      <c r="E117" s="331"/>
      <c r="F117" s="331"/>
      <c r="G117" s="331"/>
      <c r="H117" s="331"/>
      <c r="I117" s="331"/>
      <c r="J117" s="331"/>
      <c r="K117" s="331"/>
      <c r="L117" s="331"/>
      <c r="M117" s="331"/>
      <c r="N117" s="331"/>
      <c r="O117" s="331"/>
      <c r="P117" s="331"/>
      <c r="Q117" s="331"/>
      <c r="R117" s="331"/>
      <c r="T117" s="139"/>
      <c r="U117" s="139"/>
      <c r="V117" s="139"/>
      <c r="AA117" s="116"/>
    </row>
    <row r="118" spans="3:27" x14ac:dyDescent="0.25">
      <c r="C118" s="149"/>
      <c r="D118" s="331"/>
      <c r="E118" s="331"/>
      <c r="F118" s="331"/>
      <c r="G118" s="331"/>
      <c r="H118" s="331"/>
      <c r="I118" s="331"/>
      <c r="J118" s="331"/>
      <c r="K118" s="331"/>
      <c r="L118" s="331"/>
      <c r="M118" s="331"/>
      <c r="N118" s="331"/>
      <c r="O118" s="331"/>
      <c r="P118" s="331"/>
      <c r="Q118" s="331"/>
      <c r="R118" s="331"/>
      <c r="T118" s="139"/>
      <c r="U118" s="139"/>
      <c r="V118" s="139"/>
      <c r="W118" s="139"/>
      <c r="X118" s="139"/>
      <c r="AA118" s="116"/>
    </row>
    <row r="119" spans="3:27" x14ac:dyDescent="0.25">
      <c r="D119" s="331"/>
      <c r="E119" s="331"/>
      <c r="F119" s="332"/>
      <c r="G119" s="331"/>
      <c r="H119" s="331"/>
      <c r="I119" s="331"/>
      <c r="J119" s="331"/>
      <c r="K119" s="331"/>
      <c r="L119" s="331"/>
      <c r="M119" s="331"/>
      <c r="N119" s="331"/>
      <c r="O119" s="331"/>
      <c r="P119" s="331"/>
      <c r="Q119" s="331"/>
      <c r="R119" s="331"/>
      <c r="AA119" s="116"/>
    </row>
  </sheetData>
  <autoFilter ref="A25:V110" xr:uid="{48B3A7D7-CEBA-4AA5-A817-AEA9D94D14BF}"/>
  <conditionalFormatting sqref="T59 D26:N96 P26:R96 T50 P106:R109 D106:N109">
    <cfRule type="expression" dxfId="42" priority="13">
      <formula>D26&gt;0</formula>
    </cfRule>
  </conditionalFormatting>
  <conditionalFormatting sqref="O26:O96 O106:O109">
    <cfRule type="expression" dxfId="41" priority="11">
      <formula>O26&gt;0</formula>
    </cfRule>
  </conditionalFormatting>
  <conditionalFormatting sqref="K26:R33">
    <cfRule type="expression" dxfId="40" priority="10">
      <formula>K26&gt;0</formula>
    </cfRule>
  </conditionalFormatting>
  <conditionalFormatting sqref="D26:J33">
    <cfRule type="expression" dxfId="39" priority="9">
      <formula>D26&gt;0</formula>
    </cfRule>
  </conditionalFormatting>
  <conditionalFormatting sqref="D119:N119 P119:R119">
    <cfRule type="expression" dxfId="38" priority="8">
      <formula>D119&gt;0</formula>
    </cfRule>
  </conditionalFormatting>
  <conditionalFormatting sqref="O119">
    <cfRule type="expression" dxfId="37" priority="7">
      <formula>O119&gt;0</formula>
    </cfRule>
  </conditionalFormatting>
  <conditionalFormatting sqref="K111:R118">
    <cfRule type="expression" dxfId="36" priority="6">
      <formula>K111&gt;0</formula>
    </cfRule>
  </conditionalFormatting>
  <conditionalFormatting sqref="D111:J118">
    <cfRule type="expression" dxfId="35" priority="5">
      <formula>D111&gt;0</formula>
    </cfRule>
  </conditionalFormatting>
  <conditionalFormatting sqref="D105:N105 P105:R105">
    <cfRule type="expression" dxfId="34" priority="4">
      <formula>D105&gt;0</formula>
    </cfRule>
  </conditionalFormatting>
  <conditionalFormatting sqref="O105">
    <cfRule type="expression" dxfId="33" priority="3">
      <formula>O105&gt;0</formula>
    </cfRule>
  </conditionalFormatting>
  <conditionalFormatting sqref="K97:R104">
    <cfRule type="expression" dxfId="32" priority="2">
      <formula>K97&gt;0</formula>
    </cfRule>
  </conditionalFormatting>
  <conditionalFormatting sqref="D97:J104">
    <cfRule type="expression" dxfId="31" priority="1">
      <formula>D97&gt;0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142875</xdr:rowOff>
                  </from>
                  <to>
                    <xdr:col>4</xdr:col>
                    <xdr:colOff>523875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CB637-12FF-47E8-9364-AEE2FEFFD25C}">
  <sheetPr codeName="Sheet40">
    <tabColor rgb="FFFFFF00"/>
  </sheetPr>
  <dimension ref="A1:AF115"/>
  <sheetViews>
    <sheetView topLeftCell="A9" zoomScale="55" zoomScaleNormal="55" workbookViewId="0">
      <pane xSplit="3" ySplit="26" topLeftCell="D35" activePane="bottomRight" state="frozen"/>
      <selection activeCell="A9" sqref="A9"/>
      <selection pane="topRight" activeCell="D9" sqref="D9"/>
      <selection pane="bottomLeft" activeCell="A27" sqref="A27"/>
      <selection pane="bottomRight" activeCell="L102" sqref="L102"/>
    </sheetView>
  </sheetViews>
  <sheetFormatPr defaultColWidth="9.140625" defaultRowHeight="15" outlineLevelCol="1" x14ac:dyDescent="0.25"/>
  <cols>
    <col min="1" max="2" width="9.140625" style="138"/>
    <col min="3" max="3" width="66.42578125" style="138" customWidth="1" collapsed="1"/>
    <col min="4" max="10" width="21.5703125" style="138" customWidth="1" outlineLevel="1"/>
    <col min="11" max="11" width="22.140625" style="138" customWidth="1" outlineLevel="1"/>
    <col min="12" max="18" width="34" style="138" customWidth="1" outlineLevel="1"/>
    <col min="19" max="22" width="9.140625" style="138"/>
    <col min="23" max="25" width="9.7109375" style="138" customWidth="1"/>
    <col min="26" max="28" width="22.7109375" style="138" customWidth="1"/>
    <col min="29" max="29" width="63.42578125" style="138" customWidth="1"/>
    <col min="30" max="16384" width="9.140625" style="138"/>
  </cols>
  <sheetData>
    <row r="1" spans="1:32" x14ac:dyDescent="0.25">
      <c r="A1" s="138" t="s">
        <v>250</v>
      </c>
      <c r="B1" s="138" t="s">
        <v>918</v>
      </c>
    </row>
    <row r="2" spans="1:32" x14ac:dyDescent="0.25">
      <c r="A2" s="138" t="s">
        <v>250</v>
      </c>
    </row>
    <row r="3" spans="1:32" x14ac:dyDescent="0.25">
      <c r="A3" s="138" t="s">
        <v>250</v>
      </c>
      <c r="B3" s="138" t="s">
        <v>356</v>
      </c>
    </row>
    <row r="4" spans="1:32" x14ac:dyDescent="0.25">
      <c r="A4" s="138" t="s">
        <v>250</v>
      </c>
      <c r="C4" s="138" t="s">
        <v>796</v>
      </c>
    </row>
    <row r="5" spans="1:32" x14ac:dyDescent="0.25">
      <c r="A5" s="138" t="s">
        <v>250</v>
      </c>
    </row>
    <row r="6" spans="1:32" x14ac:dyDescent="0.25">
      <c r="A6" s="138" t="s">
        <v>250</v>
      </c>
      <c r="B6" s="138" t="s">
        <v>357</v>
      </c>
    </row>
    <row r="7" spans="1:32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32" x14ac:dyDescent="0.25">
      <c r="A8" s="138" t="s">
        <v>250</v>
      </c>
      <c r="B8" s="141"/>
      <c r="C8" s="144">
        <v>42205</v>
      </c>
      <c r="D8" s="145" t="s">
        <v>410</v>
      </c>
      <c r="E8" s="138" t="s">
        <v>797</v>
      </c>
    </row>
    <row r="9" spans="1:32" x14ac:dyDescent="0.25">
      <c r="A9" s="138" t="s">
        <v>250</v>
      </c>
      <c r="B9" s="141"/>
      <c r="C9" s="346"/>
      <c r="D9" s="138">
        <v>1</v>
      </c>
      <c r="E9" s="138">
        <v>2</v>
      </c>
      <c r="F9" s="138">
        <v>3</v>
      </c>
      <c r="G9" s="138">
        <v>4</v>
      </c>
      <c r="H9" s="138">
        <v>5</v>
      </c>
      <c r="I9" s="138">
        <v>6</v>
      </c>
      <c r="J9" s="138">
        <v>7</v>
      </c>
      <c r="K9" s="138">
        <v>8</v>
      </c>
      <c r="L9" s="138">
        <v>9</v>
      </c>
      <c r="M9" s="138">
        <v>10</v>
      </c>
      <c r="N9" s="138">
        <v>11</v>
      </c>
      <c r="O9" s="138">
        <v>12</v>
      </c>
      <c r="P9" s="138">
        <v>13</v>
      </c>
      <c r="Q9" s="138">
        <v>14</v>
      </c>
      <c r="R9" s="138">
        <v>15</v>
      </c>
    </row>
    <row r="10" spans="1:32" x14ac:dyDescent="0.25">
      <c r="A10" s="138" t="s">
        <v>250</v>
      </c>
      <c r="B10" s="141"/>
      <c r="C10" s="144"/>
    </row>
    <row r="11" spans="1:32" x14ac:dyDescent="0.25">
      <c r="A11" s="138" t="s">
        <v>250</v>
      </c>
      <c r="B11" s="138" t="s">
        <v>266</v>
      </c>
    </row>
    <row r="12" spans="1:32" x14ac:dyDescent="0.25">
      <c r="A12" s="138" t="s">
        <v>250</v>
      </c>
      <c r="C12" s="138" t="s">
        <v>800</v>
      </c>
      <c r="AC12" s="138" t="s">
        <v>986</v>
      </c>
    </row>
    <row r="13" spans="1:32" x14ac:dyDescent="0.25">
      <c r="A13" s="138" t="s">
        <v>250</v>
      </c>
      <c r="C13" s="138" t="s">
        <v>422</v>
      </c>
      <c r="AC13" s="138" t="s">
        <v>987</v>
      </c>
      <c r="AF13" s="138" t="s">
        <v>989</v>
      </c>
    </row>
    <row r="14" spans="1:32" x14ac:dyDescent="0.25">
      <c r="A14" s="138" t="s">
        <v>250</v>
      </c>
      <c r="B14" s="138" t="s">
        <v>251</v>
      </c>
      <c r="AC14" s="138" t="s">
        <v>994</v>
      </c>
      <c r="AF14" s="138" t="str">
        <f>CHAR(10)</f>
        <v xml:space="preserve">
</v>
      </c>
    </row>
    <row r="15" spans="1:32" s="139" customFormat="1" x14ac:dyDescent="0.25">
      <c r="A15" s="139" t="s">
        <v>250</v>
      </c>
      <c r="AC15" s="139" t="s">
        <v>988</v>
      </c>
      <c r="AD15" s="139" t="s">
        <v>995</v>
      </c>
      <c r="AF15" s="138" t="str">
        <f>CHAR(10)</f>
        <v xml:space="preserve">
</v>
      </c>
    </row>
    <row r="16" spans="1:32" x14ac:dyDescent="0.25">
      <c r="A16" s="138" t="s">
        <v>250</v>
      </c>
      <c r="AC16" s="138" t="s">
        <v>990</v>
      </c>
      <c r="AF16" s="138" t="str">
        <f>CHAR(10)</f>
        <v xml:space="preserve">
</v>
      </c>
    </row>
    <row r="17" spans="1:32" x14ac:dyDescent="0.25">
      <c r="A17" s="138" t="s">
        <v>250</v>
      </c>
      <c r="B17" s="138" t="s">
        <v>272</v>
      </c>
      <c r="AC17" s="138" t="s">
        <v>991</v>
      </c>
      <c r="AD17" s="138" t="s">
        <v>992</v>
      </c>
      <c r="AE17" s="138" t="s">
        <v>993</v>
      </c>
      <c r="AF17" s="138" t="str">
        <f>CHAR(10)</f>
        <v xml:space="preserve">
</v>
      </c>
    </row>
    <row r="18" spans="1:32" x14ac:dyDescent="0.25">
      <c r="A18" s="138" t="s">
        <v>250</v>
      </c>
      <c r="AC18" s="138" t="s">
        <v>991</v>
      </c>
      <c r="AD18" s="138" t="s">
        <v>992</v>
      </c>
      <c r="AE18" s="138" t="s">
        <v>993</v>
      </c>
    </row>
    <row r="19" spans="1:32" x14ac:dyDescent="0.25">
      <c r="A19" s="138" t="s">
        <v>250</v>
      </c>
      <c r="B19" s="372" t="s">
        <v>1052</v>
      </c>
      <c r="AC19" s="138" t="s">
        <v>991</v>
      </c>
      <c r="AD19" s="138" t="s">
        <v>992</v>
      </c>
      <c r="AE19" s="138" t="s">
        <v>993</v>
      </c>
    </row>
    <row r="20" spans="1:32" x14ac:dyDescent="0.25">
      <c r="A20" s="138" t="s">
        <v>250</v>
      </c>
    </row>
    <row r="21" spans="1:32" x14ac:dyDescent="0.25">
      <c r="A21" s="138" t="s">
        <v>365</v>
      </c>
    </row>
    <row r="22" spans="1:32" x14ac:dyDescent="0.25">
      <c r="B22" s="140" t="str">
        <f>"TABLE "&amp;$C$4</f>
        <v>TABLE LtgInputRestrictions</v>
      </c>
      <c r="C22" s="140"/>
    </row>
    <row r="23" spans="1:32" x14ac:dyDescent="0.25">
      <c r="C23" s="140" t="s">
        <v>435</v>
      </c>
      <c r="D23" s="334" t="s">
        <v>427</v>
      </c>
      <c r="E23" s="334" t="s">
        <v>427</v>
      </c>
      <c r="F23" s="334" t="s">
        <v>427</v>
      </c>
      <c r="G23" s="334" t="s">
        <v>427</v>
      </c>
      <c r="H23" s="334" t="s">
        <v>427</v>
      </c>
      <c r="I23" s="334" t="s">
        <v>427</v>
      </c>
      <c r="J23" s="334" t="s">
        <v>427</v>
      </c>
      <c r="K23" s="334" t="s">
        <v>427</v>
      </c>
      <c r="L23" s="334" t="s">
        <v>427</v>
      </c>
      <c r="M23" s="334" t="s">
        <v>427</v>
      </c>
      <c r="N23" s="334" t="s">
        <v>427</v>
      </c>
      <c r="O23" s="334" t="s">
        <v>427</v>
      </c>
      <c r="P23" s="334" t="s">
        <v>427</v>
      </c>
      <c r="Q23" s="334" t="s">
        <v>427</v>
      </c>
      <c r="R23" s="334" t="s">
        <v>427</v>
      </c>
      <c r="S23" s="138" t="s">
        <v>250</v>
      </c>
    </row>
    <row r="24" spans="1:32" ht="106.5" customHeight="1" x14ac:dyDescent="0.25">
      <c r="C24" s="333" t="s">
        <v>1043</v>
      </c>
      <c r="D24" s="116" t="s">
        <v>983</v>
      </c>
      <c r="E24" s="116" t="s">
        <v>429</v>
      </c>
      <c r="F24" s="116" t="s">
        <v>1076</v>
      </c>
      <c r="G24" s="116" t="s">
        <v>996</v>
      </c>
      <c r="H24" s="116" t="s">
        <v>424</v>
      </c>
      <c r="I24" s="116" t="s">
        <v>425</v>
      </c>
      <c r="J24" s="116" t="s">
        <v>1046</v>
      </c>
      <c r="K24" s="116" t="s">
        <v>1077</v>
      </c>
      <c r="L24" s="116" t="s">
        <v>432</v>
      </c>
      <c r="M24" s="116" t="s">
        <v>909</v>
      </c>
      <c r="N24" s="116" t="s">
        <v>1195</v>
      </c>
      <c r="O24" s="116" t="s">
        <v>1010</v>
      </c>
      <c r="P24" s="116" t="s">
        <v>1011</v>
      </c>
      <c r="Q24" s="116" t="s">
        <v>1016</v>
      </c>
      <c r="R24" s="116" t="s">
        <v>1017</v>
      </c>
      <c r="S24" s="189" t="s">
        <v>250</v>
      </c>
      <c r="T24" s="139" t="s">
        <v>794</v>
      </c>
      <c r="U24" s="116" t="s">
        <v>985</v>
      </c>
      <c r="V24" s="139" t="s">
        <v>1047</v>
      </c>
      <c r="W24" s="139" t="s">
        <v>1051</v>
      </c>
      <c r="X24" s="139" t="s">
        <v>1050</v>
      </c>
      <c r="Y24" s="139" t="s">
        <v>1079</v>
      </c>
      <c r="Z24" s="139" t="s">
        <v>1048</v>
      </c>
      <c r="AA24" s="139" t="s">
        <v>1049</v>
      </c>
      <c r="AB24" s="139" t="s">
        <v>1078</v>
      </c>
    </row>
    <row r="25" spans="1:32" s="139" customFormat="1" x14ac:dyDescent="0.25">
      <c r="C25" s="336" t="s">
        <v>250</v>
      </c>
      <c r="D25" s="337" t="s">
        <v>798</v>
      </c>
      <c r="E25" s="337" t="s">
        <v>798</v>
      </c>
      <c r="F25" s="337" t="s">
        <v>798</v>
      </c>
      <c r="G25" s="337" t="s">
        <v>798</v>
      </c>
      <c r="H25" s="337" t="s">
        <v>798</v>
      </c>
      <c r="I25" s="337" t="s">
        <v>798</v>
      </c>
      <c r="J25" s="337" t="s">
        <v>798</v>
      </c>
      <c r="K25" s="337" t="s">
        <v>798</v>
      </c>
      <c r="L25" s="337" t="s">
        <v>798</v>
      </c>
      <c r="M25" s="337" t="s">
        <v>798</v>
      </c>
      <c r="N25" s="337" t="s">
        <v>798</v>
      </c>
      <c r="O25" s="337" t="s">
        <v>798</v>
      </c>
      <c r="P25" s="337" t="s">
        <v>798</v>
      </c>
      <c r="Q25" s="337" t="s">
        <v>798</v>
      </c>
      <c r="R25" s="337" t="s">
        <v>798</v>
      </c>
    </row>
    <row r="26" spans="1:32" s="139" customFormat="1" x14ac:dyDescent="0.25">
      <c r="C26" s="138" t="s">
        <v>1018</v>
      </c>
      <c r="D26" s="331">
        <v>0</v>
      </c>
      <c r="E26" s="331">
        <v>0</v>
      </c>
      <c r="F26" s="332">
        <v>1</v>
      </c>
      <c r="G26" s="331">
        <v>0</v>
      </c>
      <c r="H26" s="331">
        <v>0</v>
      </c>
      <c r="I26" s="331">
        <v>0</v>
      </c>
      <c r="J26" s="331">
        <v>0</v>
      </c>
      <c r="K26" s="331">
        <v>0</v>
      </c>
      <c r="L26" s="331">
        <v>0</v>
      </c>
      <c r="M26" s="331">
        <v>0</v>
      </c>
      <c r="N26" s="331">
        <v>0</v>
      </c>
      <c r="O26" s="331">
        <v>0</v>
      </c>
      <c r="P26" s="331">
        <v>0</v>
      </c>
      <c r="Q26" s="331">
        <v>0</v>
      </c>
      <c r="R26" s="331">
        <v>0</v>
      </c>
      <c r="S26" s="138" t="s">
        <v>250</v>
      </c>
      <c r="T26" s="138">
        <v>302</v>
      </c>
      <c r="U26" s="138">
        <f t="shared" ref="U26:U49" si="0">IF(SUM(D26:P26)&gt;0,1,0)</f>
        <v>1</v>
      </c>
      <c r="V26" s="329">
        <f>SUM(D26:R26)</f>
        <v>1</v>
      </c>
      <c r="W26" s="138">
        <f ca="1">MATCH(1,OFFSET($C26,0,1,1,15),0)</f>
        <v>3</v>
      </c>
      <c r="X26" s="138" t="str">
        <f ca="1">IFERROR(W26+MATCH(1,OFFSET($C26,0,W26+1,1,15-W26),0),"")</f>
        <v/>
      </c>
      <c r="Y26" s="138" t="str">
        <f ca="1">IFERROR(X26+MATCH(1,OFFSET($C26,0,X26+1,1,15-X26),0),"")</f>
        <v/>
      </c>
      <c r="Z26" s="138" t="str">
        <f ca="1">OFFSET($C$9,15,W26)</f>
        <v>Decorative/Display</v>
      </c>
      <c r="AA26" s="138" t="str">
        <f ca="1">IF(X26&lt;&gt;"",OFFSET($C$9,15,X26),"")</f>
        <v/>
      </c>
      <c r="AB26" s="138" t="str">
        <f ca="1">IF(Y26&lt;&gt;"",OFFSET($C$9,15,Y26),"")</f>
        <v/>
      </c>
      <c r="AC26" s="116" t="str">
        <f ca="1">IF($V26=1,$AC$14&amp;$AF$14&amp;$AC$15&amp;TEXT($T26,0)&amp;$AD$15&amp;$C26&amp;$AF$15&amp;$AC$16&amp;$AF$16&amp;$AC$17&amp;TEXT($W26,0)&amp;$AD$17&amp;$Z26&amp;$AE$17&amp;$AF$17,
IF($V26=2,$AC$14&amp;$AF$14&amp;$AC$15&amp;TEXT($T26,0)&amp;$AD$15&amp;$C26&amp;$AF$15&amp;$AC$16&amp;$AF$16&amp;$AC$17&amp;TEXT($W26,0)&amp;$AD$17&amp;$Z26&amp;$AE$17&amp;$AF$17&amp;$AC$18&amp;TEXT($X26,0)&amp;$AD$18&amp;$AA26&amp;$AE$18&amp;$AF$18,
IF($V26=3,$AC$14&amp;$AF$14&amp;$AC$15&amp;TEXT($T26,0)&amp;$AD$15&amp;$C26&amp;$AF$15&amp;$AC$16&amp;$AF$16&amp;$AC$17&amp;TEXT($W26,0)&amp;$AD$17&amp;$Z26&amp;$AE$17&amp;$AF$17&amp;$AC$18&amp;TEXT($X26,0)&amp;$AD$18&amp;$AA26&amp;$AE$18&amp;$AF$18&amp;$AC$19&amp;TEXT($Y26,0)&amp;$AD$19&amp;$AB26&amp;$AE$19&amp;$AF$19,"")))</f>
        <v xml:space="preserve">1,    IntLtgSys:IntLtgSpecMthd,   1,    0   ; AreaCategoryMethod
1,    IntLtgSys:ParentSpcFunc,  302,    0   ; Aging Eye/Low-vision (Corridor Area)
2,              0,    "- none specified -"
2,              3,    "Decorative/Display"
</v>
      </c>
    </row>
    <row r="27" spans="1:32" s="139" customFormat="1" x14ac:dyDescent="0.25">
      <c r="C27" s="138" t="s">
        <v>1019</v>
      </c>
      <c r="D27" s="331">
        <v>0</v>
      </c>
      <c r="E27" s="331">
        <v>0</v>
      </c>
      <c r="F27" s="332">
        <v>1</v>
      </c>
      <c r="G27" s="331">
        <v>0</v>
      </c>
      <c r="H27" s="331">
        <v>0</v>
      </c>
      <c r="I27" s="331">
        <v>0</v>
      </c>
      <c r="J27" s="331">
        <v>0</v>
      </c>
      <c r="K27" s="331">
        <v>0</v>
      </c>
      <c r="L27" s="331">
        <v>0</v>
      </c>
      <c r="M27" s="331">
        <v>0</v>
      </c>
      <c r="N27" s="331">
        <v>0</v>
      </c>
      <c r="O27" s="331">
        <v>0</v>
      </c>
      <c r="P27" s="331">
        <v>0</v>
      </c>
      <c r="Q27" s="331">
        <v>0</v>
      </c>
      <c r="R27" s="331">
        <v>1</v>
      </c>
      <c r="S27" s="138" t="s">
        <v>250</v>
      </c>
      <c r="T27" s="138">
        <v>303</v>
      </c>
      <c r="U27" s="138">
        <f t="shared" si="0"/>
        <v>1</v>
      </c>
      <c r="V27" s="329">
        <f t="shared" ref="V27:V90" si="1">SUM(D27:R27)</f>
        <v>2</v>
      </c>
      <c r="W27" s="138">
        <f t="shared" ref="W27:W90" ca="1" si="2">MATCH(1,OFFSET($C27,0,1,1,15),0)</f>
        <v>3</v>
      </c>
      <c r="X27" s="138">
        <f t="shared" ref="X27:Y28" ca="1" si="3">IFERROR(W27+MATCH(1,OFFSET($C27,0,W27+1,1,15-W27),0),"")</f>
        <v>15</v>
      </c>
      <c r="Y27" s="138" t="str">
        <f t="shared" ca="1" si="3"/>
        <v/>
      </c>
      <c r="Z27" s="138" t="str">
        <f t="shared" ref="Z27:Z96" ca="1" si="4">OFFSET($C$9,15,MATCH(1,$D27:$R27,0))</f>
        <v>Decorative/Display</v>
      </c>
      <c r="AA27" s="138" t="str">
        <f t="shared" ref="AA27:AA31" ca="1" si="5">IF(X27&lt;&gt;"",OFFSET($C$9,15,X27),"")</f>
        <v>TunableWhiteOrDimToWarm</v>
      </c>
      <c r="AB27" s="138" t="str">
        <f t="shared" ref="AB27:AB31" ca="1" si="6">IF(Y27&lt;&gt;"",OFFSET($C$9,15,Y27),"")</f>
        <v/>
      </c>
      <c r="AC27" s="116" t="str">
        <f t="shared" ref="AC27:AC90" ca="1" si="7">IF($V27=1,$AC$14&amp;$AF$14&amp;$AC$15&amp;TEXT($T27,0)&amp;$AD$15&amp;$C27&amp;$AF$15&amp;$AC$16&amp;$AF$16&amp;$AC$17&amp;TEXT($W27,0)&amp;$AD$17&amp;$Z27&amp;$AE$17&amp;$AF$17,
IF($V27=2,$AC$14&amp;$AF$14&amp;$AC$15&amp;TEXT($T27,0)&amp;$AD$15&amp;$C27&amp;$AF$15&amp;$AC$16&amp;$AF$16&amp;$AC$17&amp;TEXT($W27,0)&amp;$AD$17&amp;$Z27&amp;$AE$17&amp;$AF$17&amp;$AC$18&amp;TEXT($X27,0)&amp;$AD$18&amp;$AA27&amp;$AE$18&amp;$AF$18,
IF($V27=3,$AC$14&amp;$AF$14&amp;$AC$15&amp;TEXT($T27,0)&amp;$AD$15&amp;$C27&amp;$AF$15&amp;$AC$16&amp;$AF$16&amp;$AC$17&amp;TEXT($W27,0)&amp;$AD$17&amp;$Z27&amp;$AE$17&amp;$AF$17&amp;$AC$18&amp;TEXT($X27,0)&amp;$AD$18&amp;$AA27&amp;$AE$18&amp;$AF$18&amp;$AC$19&amp;TEXT($Y27,0)&amp;$AD$19&amp;$AB27&amp;$AE$19&amp;$AF$19,"")))</f>
        <v>1,    IntLtgSys:IntLtgSpecMthd,   1,    0   ; AreaCategoryMethod
1,    IntLtgSys:ParentSpcFunc,  303,    0   ; Aging Eye/Low-vision (Dining)
2,              0,    "- none specified -"
2,              3,    "Decorative/Display"
2,              15,    "TunableWhiteOrDimToWarm"</v>
      </c>
    </row>
    <row r="28" spans="1:32" s="139" customFormat="1" x14ac:dyDescent="0.25">
      <c r="C28" s="138" t="s">
        <v>1065</v>
      </c>
      <c r="D28" s="331">
        <v>0</v>
      </c>
      <c r="E28" s="331">
        <v>0</v>
      </c>
      <c r="F28" s="332">
        <v>1</v>
      </c>
      <c r="G28" s="331">
        <v>0</v>
      </c>
      <c r="H28" s="331">
        <v>0</v>
      </c>
      <c r="I28" s="331">
        <v>0</v>
      </c>
      <c r="J28" s="331">
        <v>0</v>
      </c>
      <c r="K28" s="331">
        <v>0</v>
      </c>
      <c r="L28" s="331">
        <v>0</v>
      </c>
      <c r="M28" s="331">
        <v>0</v>
      </c>
      <c r="N28" s="331">
        <v>0</v>
      </c>
      <c r="O28" s="331">
        <v>0</v>
      </c>
      <c r="P28" s="331">
        <v>0</v>
      </c>
      <c r="Q28" s="331">
        <v>1</v>
      </c>
      <c r="R28" s="331">
        <v>1</v>
      </c>
      <c r="S28" s="138" t="s">
        <v>250</v>
      </c>
      <c r="T28" s="138">
        <v>304</v>
      </c>
      <c r="U28" s="138">
        <f t="shared" si="0"/>
        <v>1</v>
      </c>
      <c r="V28" s="329">
        <f t="shared" si="1"/>
        <v>3</v>
      </c>
      <c r="W28" s="138">
        <f t="shared" ca="1" si="2"/>
        <v>3</v>
      </c>
      <c r="X28" s="138">
        <f t="shared" ca="1" si="3"/>
        <v>14</v>
      </c>
      <c r="Y28" s="138">
        <f t="shared" ca="1" si="3"/>
        <v>15</v>
      </c>
      <c r="Z28" s="138" t="str">
        <f t="shared" ca="1" si="4"/>
        <v>Decorative/Display</v>
      </c>
      <c r="AA28" s="138" t="str">
        <f t="shared" ca="1" si="5"/>
        <v>TransitionLightingOffAtNight</v>
      </c>
      <c r="AB28" s="138" t="str">
        <f t="shared" ca="1" si="6"/>
        <v>TunableWhiteOrDimToWarm</v>
      </c>
      <c r="AC28" s="116" t="str">
        <f t="shared" ca="1" si="7"/>
        <v>1,    IntLtgSys:IntLtgSpecMthd,   1,    0   ; AreaCategoryMethod
1,    IntLtgSys:ParentSpcFunc,  304,    0   ; Aging Eye/Low-vision (Lobby, Main Entry)
2,              0,    "- none specified -"
2,              3,    "Decorative/Display"
2,              14,    "TransitionLightingOffAtNight"2,              15,    "TunableWhiteOrDimToWarm"</v>
      </c>
    </row>
    <row r="29" spans="1:32" s="139" customFormat="1" x14ac:dyDescent="0.25">
      <c r="C29" s="138" t="s">
        <v>1020</v>
      </c>
      <c r="D29" s="331">
        <v>0</v>
      </c>
      <c r="E29" s="331">
        <v>0</v>
      </c>
      <c r="F29" s="332">
        <v>1</v>
      </c>
      <c r="G29" s="331">
        <v>0</v>
      </c>
      <c r="H29" s="331">
        <v>0</v>
      </c>
      <c r="I29" s="331">
        <v>0</v>
      </c>
      <c r="J29" s="331">
        <v>0</v>
      </c>
      <c r="K29" s="331">
        <v>0</v>
      </c>
      <c r="L29" s="331">
        <v>0</v>
      </c>
      <c r="M29" s="331">
        <v>0</v>
      </c>
      <c r="N29" s="331">
        <v>0</v>
      </c>
      <c r="O29" s="331">
        <v>0</v>
      </c>
      <c r="P29" s="331">
        <v>0</v>
      </c>
      <c r="Q29" s="331">
        <v>0</v>
      </c>
      <c r="R29" s="331">
        <v>1</v>
      </c>
      <c r="S29" s="138" t="s">
        <v>250</v>
      </c>
      <c r="T29" s="138">
        <v>305</v>
      </c>
      <c r="U29" s="138">
        <f t="shared" si="0"/>
        <v>1</v>
      </c>
      <c r="V29" s="329">
        <f t="shared" si="1"/>
        <v>2</v>
      </c>
      <c r="W29" s="138">
        <f t="shared" ca="1" si="2"/>
        <v>3</v>
      </c>
      <c r="X29" s="138">
        <f t="shared" ref="X29:Y29" ca="1" si="8">IFERROR(W29+MATCH(1,OFFSET($C29,0,W29+1,1,15-W29),0),"")</f>
        <v>15</v>
      </c>
      <c r="Y29" s="138" t="str">
        <f t="shared" ca="1" si="8"/>
        <v/>
      </c>
      <c r="Z29" s="138" t="str">
        <f t="shared" ca="1" si="4"/>
        <v>Decorative/Display</v>
      </c>
      <c r="AA29" s="138" t="str">
        <f t="shared" ca="1" si="5"/>
        <v>TunableWhiteOrDimToWarm</v>
      </c>
      <c r="AB29" s="138" t="str">
        <f t="shared" ca="1" si="6"/>
        <v/>
      </c>
      <c r="AC29" s="116" t="str">
        <f t="shared" ca="1" si="7"/>
        <v>1,    IntLtgSys:IntLtgSpecMthd,   1,    0   ; AreaCategoryMethod
1,    IntLtgSys:ParentSpcFunc,  305,    0   ; Aging Eye/Low-vision (Lounge/Waiting Area)
2,              0,    "- none specified -"
2,              3,    "Decorative/Display"
2,              15,    "TunableWhiteOrDimToWarm"</v>
      </c>
    </row>
    <row r="30" spans="1:32" s="139" customFormat="1" x14ac:dyDescent="0.25">
      <c r="C30" s="138" t="s">
        <v>1022</v>
      </c>
      <c r="D30" s="331">
        <v>0</v>
      </c>
      <c r="E30" s="331">
        <v>0</v>
      </c>
      <c r="F30" s="332">
        <v>1</v>
      </c>
      <c r="G30" s="331">
        <v>0</v>
      </c>
      <c r="H30" s="331">
        <v>0</v>
      </c>
      <c r="I30" s="331">
        <v>0</v>
      </c>
      <c r="J30" s="331">
        <v>0</v>
      </c>
      <c r="K30" s="331">
        <v>0</v>
      </c>
      <c r="L30" s="331">
        <v>0</v>
      </c>
      <c r="M30" s="331">
        <v>0</v>
      </c>
      <c r="N30" s="331">
        <v>0</v>
      </c>
      <c r="O30" s="331">
        <v>0</v>
      </c>
      <c r="P30" s="331">
        <v>0</v>
      </c>
      <c r="Q30" s="331">
        <v>0</v>
      </c>
      <c r="R30" s="331">
        <v>1</v>
      </c>
      <c r="S30" s="138" t="s">
        <v>250</v>
      </c>
      <c r="T30" s="138">
        <v>306</v>
      </c>
      <c r="U30" s="138">
        <f t="shared" si="0"/>
        <v>1</v>
      </c>
      <c r="V30" s="329">
        <f t="shared" si="1"/>
        <v>2</v>
      </c>
      <c r="W30" s="138">
        <f t="shared" ca="1" si="2"/>
        <v>3</v>
      </c>
      <c r="X30" s="138">
        <f t="shared" ref="X30:Y30" ca="1" si="9">IFERROR(W30+MATCH(1,OFFSET($C30,0,W30+1,1,15-W30),0),"")</f>
        <v>15</v>
      </c>
      <c r="Y30" s="138" t="str">
        <f t="shared" ca="1" si="9"/>
        <v/>
      </c>
      <c r="Z30" s="138" t="str">
        <f t="shared" ca="1" si="4"/>
        <v>Decorative/Display</v>
      </c>
      <c r="AA30" s="138" t="str">
        <f t="shared" ca="1" si="5"/>
        <v>TunableWhiteOrDimToWarm</v>
      </c>
      <c r="AB30" s="138" t="str">
        <f t="shared" ca="1" si="6"/>
        <v/>
      </c>
      <c r="AC30" s="116" t="str">
        <f t="shared" ca="1" si="7"/>
        <v>1,    IntLtgSys:IntLtgSpecMthd,   1,    0   ; AreaCategoryMethod
1,    IntLtgSys:ParentSpcFunc,  306,    0   ; Aging Eye/Low-vision (Multipurpose Room)
2,              0,    "- none specified -"
2,              3,    "Decorative/Display"
2,              15,    "TunableWhiteOrDimToWarm"</v>
      </c>
    </row>
    <row r="31" spans="1:32" s="139" customFormat="1" x14ac:dyDescent="0.25">
      <c r="C31" s="138" t="s">
        <v>1023</v>
      </c>
      <c r="D31" s="331">
        <v>0</v>
      </c>
      <c r="E31" s="331">
        <v>0</v>
      </c>
      <c r="F31" s="332">
        <v>1</v>
      </c>
      <c r="G31" s="331">
        <v>0</v>
      </c>
      <c r="H31" s="331">
        <v>0</v>
      </c>
      <c r="I31" s="331">
        <v>0</v>
      </c>
      <c r="J31" s="331">
        <v>0</v>
      </c>
      <c r="K31" s="331">
        <v>0</v>
      </c>
      <c r="L31" s="331">
        <v>0</v>
      </c>
      <c r="M31" s="331">
        <v>0</v>
      </c>
      <c r="N31" s="331">
        <v>0</v>
      </c>
      <c r="O31" s="331">
        <v>0</v>
      </c>
      <c r="P31" s="331">
        <v>0</v>
      </c>
      <c r="Q31" s="331">
        <v>0</v>
      </c>
      <c r="R31" s="331">
        <v>1</v>
      </c>
      <c r="S31" s="138" t="s">
        <v>250</v>
      </c>
      <c r="T31" s="138">
        <v>307</v>
      </c>
      <c r="U31" s="138">
        <f t="shared" si="0"/>
        <v>1</v>
      </c>
      <c r="V31" s="329">
        <f t="shared" si="1"/>
        <v>2</v>
      </c>
      <c r="W31" s="138">
        <f t="shared" ca="1" si="2"/>
        <v>3</v>
      </c>
      <c r="X31" s="138">
        <f t="shared" ref="X31:Y31" ca="1" si="10">IFERROR(W31+MATCH(1,OFFSET($C31,0,W31+1,1,15-W31),0),"")</f>
        <v>15</v>
      </c>
      <c r="Y31" s="138" t="str">
        <f t="shared" ca="1" si="10"/>
        <v/>
      </c>
      <c r="Z31" s="138" t="str">
        <f t="shared" ca="1" si="4"/>
        <v>Decorative/Display</v>
      </c>
      <c r="AA31" s="138" t="str">
        <f t="shared" ca="1" si="5"/>
        <v>TunableWhiteOrDimToWarm</v>
      </c>
      <c r="AB31" s="138" t="str">
        <f t="shared" ca="1" si="6"/>
        <v/>
      </c>
      <c r="AC31" s="116" t="str">
        <f t="shared" ca="1" si="7"/>
        <v>1,    IntLtgSys:IntLtgSpecMthd,   1,    0   ; AreaCategoryMethod
1,    IntLtgSys:ParentSpcFunc,  307,    0   ; Aging Eye/Low-vision (Religious Worship Area)
2,              0,    "- none specified -"
2,              3,    "Decorative/Display"
2,              15,    "TunableWhiteOrDimToWarm"</v>
      </c>
    </row>
    <row r="32" spans="1:32" s="139" customFormat="1" x14ac:dyDescent="0.25">
      <c r="C32" s="138" t="s">
        <v>1024</v>
      </c>
      <c r="D32" s="331">
        <v>0</v>
      </c>
      <c r="E32" s="331">
        <v>0</v>
      </c>
      <c r="F32" s="332">
        <v>1</v>
      </c>
      <c r="G32" s="331">
        <v>0</v>
      </c>
      <c r="H32" s="331">
        <v>0</v>
      </c>
      <c r="I32" s="331">
        <v>0</v>
      </c>
      <c r="J32" s="331">
        <v>0</v>
      </c>
      <c r="K32" s="331">
        <v>0</v>
      </c>
      <c r="L32" s="331">
        <v>0</v>
      </c>
      <c r="M32" s="331">
        <v>0</v>
      </c>
      <c r="N32" s="331">
        <v>0</v>
      </c>
      <c r="O32" s="331">
        <v>0</v>
      </c>
      <c r="P32" s="331">
        <v>0</v>
      </c>
      <c r="Q32" s="331">
        <v>0</v>
      </c>
      <c r="R32" s="331">
        <v>0</v>
      </c>
      <c r="S32" s="138" t="s">
        <v>250</v>
      </c>
      <c r="T32" s="138">
        <v>308</v>
      </c>
      <c r="U32" s="138">
        <f t="shared" si="0"/>
        <v>1</v>
      </c>
      <c r="V32" s="329">
        <f t="shared" si="1"/>
        <v>1</v>
      </c>
      <c r="W32" s="138">
        <f t="shared" ca="1" si="2"/>
        <v>3</v>
      </c>
      <c r="X32" s="138" t="str">
        <f t="shared" ref="X32:Y32" ca="1" si="11">IFERROR(W32+MATCH(1,OFFSET($C32,0,W32+1,1,15-W32),0),"")</f>
        <v/>
      </c>
      <c r="Y32" s="138" t="str">
        <f t="shared" ca="1" si="11"/>
        <v/>
      </c>
      <c r="Z32" s="138" t="str">
        <f t="shared" ca="1" si="4"/>
        <v>Decorative/Display</v>
      </c>
      <c r="AA32" s="138" t="str">
        <f t="shared" ref="AA32:AA95" ca="1" si="12">IF(X32&lt;&gt;"",OFFSET($C$9,15,X32),"")</f>
        <v/>
      </c>
      <c r="AB32" s="138" t="str">
        <f t="shared" ref="AB32:AB95" ca="1" si="13">IF(Y32&lt;&gt;"",OFFSET($C$9,15,Y32),"")</f>
        <v/>
      </c>
      <c r="AC32" s="116" t="str">
        <f t="shared" ca="1" si="7"/>
        <v xml:space="preserve">1,    IntLtgSys:IntLtgSpecMthd,   1,    0   ; AreaCategoryMethod
1,    IntLtgSys:ParentSpcFunc,  308,    0   ; Aging Eye/Low-vision (Restroom)
2,              0,    "- none specified -"
2,              3,    "Decorative/Display"
</v>
      </c>
    </row>
    <row r="33" spans="2:29" s="139" customFormat="1" x14ac:dyDescent="0.25">
      <c r="C33" s="138" t="s">
        <v>1025</v>
      </c>
      <c r="D33" s="331">
        <v>0</v>
      </c>
      <c r="E33" s="331">
        <v>0</v>
      </c>
      <c r="F33" s="332">
        <v>1</v>
      </c>
      <c r="G33" s="331">
        <v>0</v>
      </c>
      <c r="H33" s="331">
        <v>0</v>
      </c>
      <c r="I33" s="331">
        <v>0</v>
      </c>
      <c r="J33" s="331">
        <v>0</v>
      </c>
      <c r="K33" s="331">
        <v>0</v>
      </c>
      <c r="L33" s="331">
        <v>0</v>
      </c>
      <c r="M33" s="331">
        <v>0</v>
      </c>
      <c r="N33" s="331">
        <v>0</v>
      </c>
      <c r="O33" s="331">
        <v>0</v>
      </c>
      <c r="P33" s="331">
        <v>0</v>
      </c>
      <c r="Q33" s="331">
        <v>0</v>
      </c>
      <c r="R33" s="331">
        <v>0</v>
      </c>
      <c r="S33" s="138" t="s">
        <v>250</v>
      </c>
      <c r="T33" s="138">
        <v>309</v>
      </c>
      <c r="U33" s="138">
        <f t="shared" si="0"/>
        <v>1</v>
      </c>
      <c r="V33" s="329">
        <f t="shared" si="1"/>
        <v>1</v>
      </c>
      <c r="W33" s="138">
        <f t="shared" ca="1" si="2"/>
        <v>3</v>
      </c>
      <c r="X33" s="138" t="str">
        <f t="shared" ref="X33:Y33" ca="1" si="14">IFERROR(W33+MATCH(1,OFFSET($C33,0,W33+1,1,15-W33),0),"")</f>
        <v/>
      </c>
      <c r="Y33" s="138" t="str">
        <f t="shared" ca="1" si="14"/>
        <v/>
      </c>
      <c r="Z33" s="138" t="str">
        <f t="shared" ca="1" si="4"/>
        <v>Decorative/Display</v>
      </c>
      <c r="AA33" s="138" t="str">
        <f t="shared" ca="1" si="12"/>
        <v/>
      </c>
      <c r="AB33" s="138" t="str">
        <f t="shared" ca="1" si="13"/>
        <v/>
      </c>
      <c r="AC33" s="116" t="str">
        <f t="shared" ca="1" si="7"/>
        <v xml:space="preserve">1,    IntLtgSys:IntLtgSpecMthd,   1,    0   ; AreaCategoryMethod
1,    IntLtgSys:ParentSpcFunc,  309,    0   ; Aging Eye/Low-vision (Stairwell)
2,              0,    "- none specified -"
2,              3,    "Decorative/Display"
</v>
      </c>
    </row>
    <row r="34" spans="2:29" x14ac:dyDescent="0.25">
      <c r="C34" s="138" t="s">
        <v>937</v>
      </c>
      <c r="D34" s="331">
        <v>0</v>
      </c>
      <c r="E34" s="331">
        <v>0</v>
      </c>
      <c r="F34" s="332">
        <v>1</v>
      </c>
      <c r="G34" s="331">
        <v>0</v>
      </c>
      <c r="H34" s="331">
        <v>0</v>
      </c>
      <c r="I34" s="331">
        <v>0</v>
      </c>
      <c r="J34" s="331">
        <v>0</v>
      </c>
      <c r="K34" s="331">
        <v>0</v>
      </c>
      <c r="L34" s="331">
        <v>0</v>
      </c>
      <c r="M34" s="331">
        <v>0</v>
      </c>
      <c r="N34" s="331">
        <v>0</v>
      </c>
      <c r="O34" s="331">
        <v>0</v>
      </c>
      <c r="P34" s="331">
        <v>0</v>
      </c>
      <c r="Q34" s="331">
        <v>0</v>
      </c>
      <c r="R34" s="331">
        <v>0</v>
      </c>
      <c r="S34" s="138" t="s">
        <v>250</v>
      </c>
      <c r="T34" s="138">
        <v>310</v>
      </c>
      <c r="U34" s="138">
        <f t="shared" si="0"/>
        <v>1</v>
      </c>
      <c r="V34" s="329">
        <f t="shared" si="1"/>
        <v>1</v>
      </c>
      <c r="W34" s="138">
        <f t="shared" ca="1" si="2"/>
        <v>3</v>
      </c>
      <c r="X34" s="138" t="str">
        <f t="shared" ref="X34:Y34" ca="1" si="15">IFERROR(W34+MATCH(1,OFFSET($C34,0,W34+1,1,15-W34),0),"")</f>
        <v/>
      </c>
      <c r="Y34" s="138" t="str">
        <f t="shared" ca="1" si="15"/>
        <v/>
      </c>
      <c r="Z34" s="138" t="str">
        <f t="shared" ca="1" si="4"/>
        <v>Decorative/Display</v>
      </c>
      <c r="AA34" s="138" t="str">
        <f t="shared" ca="1" si="12"/>
        <v/>
      </c>
      <c r="AB34" s="138" t="str">
        <f t="shared" ca="1" si="13"/>
        <v/>
      </c>
      <c r="AC34" s="116" t="str">
        <f t="shared" ca="1" si="7"/>
        <v xml:space="preserve">1,    IntLtgSys:IntLtgSpecMthd,   1,    0   ; AreaCategoryMethod
1,    IntLtgSys:ParentSpcFunc,  310,    0   ; Audience Seating Area
2,              0,    "- none specified -"
2,              3,    "Decorative/Display"
</v>
      </c>
    </row>
    <row r="35" spans="2:29" x14ac:dyDescent="0.25">
      <c r="B35" s="329"/>
      <c r="C35" s="138" t="s">
        <v>525</v>
      </c>
      <c r="D35" s="331">
        <v>0</v>
      </c>
      <c r="E35" s="331">
        <v>0</v>
      </c>
      <c r="F35" s="332">
        <v>1</v>
      </c>
      <c r="G35" s="331">
        <v>0</v>
      </c>
      <c r="H35" s="331">
        <v>0</v>
      </c>
      <c r="I35" s="331">
        <v>0</v>
      </c>
      <c r="J35" s="331">
        <v>0</v>
      </c>
      <c r="K35" s="331">
        <v>0</v>
      </c>
      <c r="L35" s="331">
        <v>0</v>
      </c>
      <c r="M35" s="331">
        <v>0</v>
      </c>
      <c r="N35" s="331">
        <v>0</v>
      </c>
      <c r="O35" s="331">
        <v>0</v>
      </c>
      <c r="P35" s="331">
        <v>0</v>
      </c>
      <c r="Q35" s="331">
        <v>0</v>
      </c>
      <c r="R35" s="331">
        <v>0</v>
      </c>
      <c r="S35" s="138" t="s">
        <v>250</v>
      </c>
      <c r="T35" s="138">
        <v>311</v>
      </c>
      <c r="U35" s="138">
        <f t="shared" si="0"/>
        <v>1</v>
      </c>
      <c r="V35" s="329">
        <f t="shared" si="1"/>
        <v>1</v>
      </c>
      <c r="W35" s="138">
        <f t="shared" ca="1" si="2"/>
        <v>3</v>
      </c>
      <c r="X35" s="138" t="str">
        <f t="shared" ref="X35:Y35" ca="1" si="16">IFERROR(W35+MATCH(1,OFFSET($C35,0,W35+1,1,15-W35),0),"")</f>
        <v/>
      </c>
      <c r="Y35" s="138" t="str">
        <f t="shared" ca="1" si="16"/>
        <v/>
      </c>
      <c r="Z35" s="138" t="str">
        <f t="shared" ca="1" si="4"/>
        <v>Decorative/Display</v>
      </c>
      <c r="AA35" s="138" t="str">
        <f t="shared" ca="1" si="12"/>
        <v/>
      </c>
      <c r="AB35" s="138" t="str">
        <f t="shared" ca="1" si="13"/>
        <v/>
      </c>
      <c r="AC35" s="116" t="str">
        <f t="shared" ca="1" si="7"/>
        <v xml:space="preserve">1,    IntLtgSys:IntLtgSpecMthd,   1,    0   ; AreaCategoryMethod
1,    IntLtgSys:ParentSpcFunc,  311,    0   ; Auditorium Area
2,              0,    "- none specified -"
2,              3,    "Decorative/Display"
</v>
      </c>
    </row>
    <row r="36" spans="2:29" x14ac:dyDescent="0.25">
      <c r="B36" s="329"/>
      <c r="C36" s="138" t="s">
        <v>938</v>
      </c>
      <c r="D36" s="331">
        <v>1</v>
      </c>
      <c r="E36" s="331">
        <v>0</v>
      </c>
      <c r="F36" s="332">
        <v>0</v>
      </c>
      <c r="G36" s="331">
        <v>0</v>
      </c>
      <c r="H36" s="331">
        <v>0</v>
      </c>
      <c r="I36" s="331">
        <v>0</v>
      </c>
      <c r="J36" s="331">
        <v>0</v>
      </c>
      <c r="K36" s="331">
        <v>0</v>
      </c>
      <c r="L36" s="331">
        <v>0</v>
      </c>
      <c r="M36" s="331">
        <v>0</v>
      </c>
      <c r="N36" s="331">
        <v>0</v>
      </c>
      <c r="O36" s="331">
        <v>0</v>
      </c>
      <c r="P36" s="331">
        <v>0</v>
      </c>
      <c r="Q36" s="331">
        <v>0</v>
      </c>
      <c r="R36" s="331">
        <v>0</v>
      </c>
      <c r="S36" s="138" t="s">
        <v>250</v>
      </c>
      <c r="T36" s="138">
        <v>312</v>
      </c>
      <c r="U36" s="138">
        <f t="shared" si="0"/>
        <v>1</v>
      </c>
      <c r="V36" s="329">
        <f t="shared" si="1"/>
        <v>1</v>
      </c>
      <c r="W36" s="138">
        <f t="shared" ca="1" si="2"/>
        <v>1</v>
      </c>
      <c r="X36" s="138" t="str">
        <f t="shared" ref="X36:Y36" ca="1" si="17">IFERROR(W36+MATCH(1,OFFSET($C36,0,W36+1,1,15-W36),0),"")</f>
        <v/>
      </c>
      <c r="Y36" s="138" t="str">
        <f t="shared" ca="1" si="17"/>
        <v/>
      </c>
      <c r="Z36" s="138" t="str">
        <f t="shared" ca="1" si="4"/>
        <v>DetailedTaskWork</v>
      </c>
      <c r="AA36" s="138" t="str">
        <f t="shared" ca="1" si="12"/>
        <v/>
      </c>
      <c r="AB36" s="138" t="str">
        <f t="shared" ca="1" si="13"/>
        <v/>
      </c>
      <c r="AC36" s="116" t="str">
        <f t="shared" ca="1" si="7"/>
        <v xml:space="preserve">1,    IntLtgSys:IntLtgSpecMthd,   1,    0   ; AreaCategoryMethod
1,    IntLtgSys:ParentSpcFunc,  312,    0   ; Auto Repair / Maintenance Area
2,              0,    "- none specified -"
2,              1,    "DetailedTaskWork"
</v>
      </c>
    </row>
    <row r="37" spans="2:29" x14ac:dyDescent="0.25">
      <c r="B37" s="329"/>
      <c r="C37" s="138" t="s">
        <v>1066</v>
      </c>
      <c r="D37" s="331">
        <v>1</v>
      </c>
      <c r="E37" s="331">
        <v>0</v>
      </c>
      <c r="F37" s="332">
        <v>1</v>
      </c>
      <c r="G37" s="331">
        <v>0</v>
      </c>
      <c r="H37" s="331">
        <v>0</v>
      </c>
      <c r="I37" s="331">
        <v>0</v>
      </c>
      <c r="J37" s="331">
        <v>0</v>
      </c>
      <c r="K37" s="331">
        <v>0</v>
      </c>
      <c r="L37" s="331">
        <v>0</v>
      </c>
      <c r="M37" s="331">
        <v>0</v>
      </c>
      <c r="N37" s="331">
        <v>0</v>
      </c>
      <c r="O37" s="331">
        <v>0</v>
      </c>
      <c r="P37" s="331">
        <v>0</v>
      </c>
      <c r="Q37" s="331">
        <v>0</v>
      </c>
      <c r="R37" s="331">
        <v>0</v>
      </c>
      <c r="S37" s="138" t="s">
        <v>250</v>
      </c>
      <c r="T37" s="138">
        <v>313</v>
      </c>
      <c r="U37" s="138">
        <f t="shared" si="0"/>
        <v>1</v>
      </c>
      <c r="V37" s="329">
        <f t="shared" si="1"/>
        <v>2</v>
      </c>
      <c r="W37" s="138">
        <f t="shared" ca="1" si="2"/>
        <v>1</v>
      </c>
      <c r="X37" s="138">
        <f t="shared" ref="X37:Y37" ca="1" si="18">IFERROR(W37+MATCH(1,OFFSET($C37,0,W37+1,1,15-W37),0),"")</f>
        <v>3</v>
      </c>
      <c r="Y37" s="138" t="str">
        <f t="shared" ca="1" si="18"/>
        <v/>
      </c>
      <c r="Z37" s="138" t="str">
        <f t="shared" ca="1" si="4"/>
        <v>DetailedTaskWork</v>
      </c>
      <c r="AA37" s="138" t="str">
        <f t="shared" ca="1" si="12"/>
        <v>Decorative/Display</v>
      </c>
      <c r="AB37" s="138" t="str">
        <f t="shared" ca="1" si="13"/>
        <v/>
      </c>
      <c r="AC37" s="116" t="str">
        <f t="shared" ca="1" si="7"/>
        <v>1,    IntLtgSys:IntLtgSpecMthd,   1,    0   ; AreaCategoryMethod
1,    IntLtgSys:ParentSpcFunc,  313,    0   ; Barber, Beauty Salon, Spa Area
2,              0,    "- none specified -"
2,              1,    "DetailedTaskWork"
2,              3,    "Decorative/Display"</v>
      </c>
    </row>
    <row r="38" spans="2:29" x14ac:dyDescent="0.25">
      <c r="B38" s="329"/>
      <c r="C38" s="138" t="s">
        <v>526</v>
      </c>
      <c r="D38" s="331">
        <v>0</v>
      </c>
      <c r="E38" s="331">
        <v>0</v>
      </c>
      <c r="F38" s="332">
        <v>1</v>
      </c>
      <c r="G38" s="331">
        <v>0</v>
      </c>
      <c r="H38" s="331">
        <v>0</v>
      </c>
      <c r="I38" s="331">
        <v>0</v>
      </c>
      <c r="J38" s="331">
        <v>0</v>
      </c>
      <c r="K38" s="331">
        <v>0</v>
      </c>
      <c r="L38" s="331">
        <v>0</v>
      </c>
      <c r="M38" s="331">
        <v>0</v>
      </c>
      <c r="N38" s="331">
        <v>0</v>
      </c>
      <c r="O38" s="331">
        <v>0</v>
      </c>
      <c r="P38" s="331">
        <v>0</v>
      </c>
      <c r="Q38" s="331">
        <v>0</v>
      </c>
      <c r="R38" s="331">
        <v>0</v>
      </c>
      <c r="S38" s="138" t="s">
        <v>250</v>
      </c>
      <c r="T38" s="138">
        <v>314</v>
      </c>
      <c r="U38" s="138">
        <f t="shared" si="0"/>
        <v>1</v>
      </c>
      <c r="V38" s="329">
        <f t="shared" si="1"/>
        <v>1</v>
      </c>
      <c r="W38" s="138">
        <f t="shared" ca="1" si="2"/>
        <v>3</v>
      </c>
      <c r="X38" s="138" t="str">
        <f t="shared" ref="X38:Y38" ca="1" si="19">IFERROR(W38+MATCH(1,OFFSET($C38,0,W38+1,1,15-W38),0),"")</f>
        <v/>
      </c>
      <c r="Y38" s="138" t="str">
        <f t="shared" ca="1" si="19"/>
        <v/>
      </c>
      <c r="Z38" s="138" t="str">
        <f t="shared" ca="1" si="4"/>
        <v>Decorative/Display</v>
      </c>
      <c r="AA38" s="138" t="str">
        <f t="shared" ca="1" si="12"/>
        <v/>
      </c>
      <c r="AB38" s="138" t="str">
        <f t="shared" ca="1" si="13"/>
        <v/>
      </c>
      <c r="AC38" s="116" t="str">
        <f t="shared" ca="1" si="7"/>
        <v xml:space="preserve">1,    IntLtgSys:IntLtgSpecMthd,   1,    0   ; AreaCategoryMethod
1,    IntLtgSys:ParentSpcFunc,  314,    0   ; Civic Meeting Place Area
2,              0,    "- none specified -"
2,              3,    "Decorative/Display"
</v>
      </c>
    </row>
    <row r="39" spans="2:29" x14ac:dyDescent="0.25">
      <c r="B39" s="329"/>
      <c r="C39" s="138" t="s">
        <v>939</v>
      </c>
      <c r="D39" s="331">
        <v>0</v>
      </c>
      <c r="E39" s="331">
        <v>0</v>
      </c>
      <c r="F39" s="332">
        <v>0</v>
      </c>
      <c r="G39" s="331">
        <v>0</v>
      </c>
      <c r="H39" s="331">
        <v>1</v>
      </c>
      <c r="I39" s="331">
        <v>0</v>
      </c>
      <c r="J39" s="331">
        <v>0</v>
      </c>
      <c r="K39" s="331">
        <v>0</v>
      </c>
      <c r="L39" s="331">
        <v>0</v>
      </c>
      <c r="M39" s="331">
        <v>0</v>
      </c>
      <c r="N39" s="331">
        <v>0</v>
      </c>
      <c r="O39" s="331">
        <v>0</v>
      </c>
      <c r="P39" s="331">
        <v>0</v>
      </c>
      <c r="Q39" s="331">
        <v>0</v>
      </c>
      <c r="R39" s="331">
        <v>0</v>
      </c>
      <c r="S39" s="138" t="s">
        <v>250</v>
      </c>
      <c r="T39" s="138">
        <v>315</v>
      </c>
      <c r="U39" s="138">
        <f t="shared" si="0"/>
        <v>1</v>
      </c>
      <c r="V39" s="329">
        <f t="shared" si="1"/>
        <v>1</v>
      </c>
      <c r="W39" s="138">
        <f t="shared" ca="1" si="2"/>
        <v>5</v>
      </c>
      <c r="X39" s="138" t="str">
        <f t="shared" ref="X39:Y39" ca="1" si="20">IFERROR(W39+MATCH(1,OFFSET($C39,0,W39+1,1,15-W39),0),"")</f>
        <v/>
      </c>
      <c r="Y39" s="138" t="str">
        <f t="shared" ca="1" si="20"/>
        <v/>
      </c>
      <c r="Z39" s="138" t="str">
        <f t="shared" ca="1" si="4"/>
        <v>WhiteOrChalkBoard</v>
      </c>
      <c r="AA39" s="138" t="str">
        <f t="shared" ca="1" si="12"/>
        <v/>
      </c>
      <c r="AB39" s="138" t="str">
        <f t="shared" ca="1" si="13"/>
        <v/>
      </c>
      <c r="AC39" s="116" t="str">
        <f t="shared" ca="1" si="7"/>
        <v xml:space="preserve">1,    IntLtgSys:IntLtgSpecMthd,   1,    0   ; AreaCategoryMethod
1,    IntLtgSys:ParentSpcFunc,  315,    0   ; Classroom, Lecture, Training, Vocational Areas
2,              0,    "- none specified -"
2,              5,    "WhiteOrChalkBoard"
</v>
      </c>
    </row>
    <row r="40" spans="2:29" x14ac:dyDescent="0.25">
      <c r="B40" s="329"/>
      <c r="C40" s="138" t="s">
        <v>639</v>
      </c>
      <c r="D40" s="331">
        <v>0</v>
      </c>
      <c r="E40" s="331">
        <v>0</v>
      </c>
      <c r="F40" s="332">
        <v>0</v>
      </c>
      <c r="G40" s="331">
        <v>0</v>
      </c>
      <c r="H40" s="331">
        <v>0</v>
      </c>
      <c r="I40" s="331">
        <v>0</v>
      </c>
      <c r="J40" s="331">
        <v>0</v>
      </c>
      <c r="K40" s="331">
        <v>0</v>
      </c>
      <c r="L40" s="331">
        <v>0</v>
      </c>
      <c r="M40" s="331">
        <v>0</v>
      </c>
      <c r="N40" s="331">
        <v>0</v>
      </c>
      <c r="O40" s="331">
        <v>0</v>
      </c>
      <c r="P40" s="331">
        <v>0</v>
      </c>
      <c r="Q40" s="331">
        <v>0</v>
      </c>
      <c r="R40" s="331">
        <v>0</v>
      </c>
      <c r="S40" s="138" t="s">
        <v>250</v>
      </c>
      <c r="T40" s="138">
        <v>316</v>
      </c>
      <c r="U40" s="138">
        <f t="shared" si="0"/>
        <v>0</v>
      </c>
      <c r="V40" s="329">
        <f t="shared" si="1"/>
        <v>0</v>
      </c>
      <c r="W40" s="138" t="e">
        <f t="shared" ca="1" si="2"/>
        <v>#N/A</v>
      </c>
      <c r="X40" s="138" t="str">
        <f t="shared" ref="X40:Y40" ca="1" si="21">IFERROR(W40+MATCH(1,OFFSET($C40,0,W40+1,1,15-W40),0),"")</f>
        <v/>
      </c>
      <c r="Y40" s="138" t="str">
        <f t="shared" ca="1" si="21"/>
        <v/>
      </c>
      <c r="Z40" s="138" t="e">
        <f t="shared" ca="1" si="4"/>
        <v>#N/A</v>
      </c>
      <c r="AA40" s="138" t="str">
        <f t="shared" ca="1" si="12"/>
        <v/>
      </c>
      <c r="AB40" s="138" t="str">
        <f t="shared" ca="1" si="13"/>
        <v/>
      </c>
      <c r="AC40" s="116" t="str">
        <f t="shared" si="7"/>
        <v/>
      </c>
    </row>
    <row r="41" spans="2:29" x14ac:dyDescent="0.25">
      <c r="C41" s="138" t="s">
        <v>943</v>
      </c>
      <c r="D41" s="331">
        <v>0</v>
      </c>
      <c r="E41" s="331">
        <v>0</v>
      </c>
      <c r="F41" s="332">
        <v>1</v>
      </c>
      <c r="G41" s="331">
        <v>0</v>
      </c>
      <c r="H41" s="331">
        <v>0</v>
      </c>
      <c r="I41" s="331">
        <v>0</v>
      </c>
      <c r="J41" s="331">
        <v>0</v>
      </c>
      <c r="K41" s="331">
        <v>0</v>
      </c>
      <c r="L41" s="331">
        <v>0</v>
      </c>
      <c r="M41" s="331">
        <v>0</v>
      </c>
      <c r="N41" s="331">
        <v>0</v>
      </c>
      <c r="O41" s="331">
        <v>0</v>
      </c>
      <c r="P41" s="331">
        <v>0</v>
      </c>
      <c r="Q41" s="331">
        <v>0</v>
      </c>
      <c r="R41" s="331">
        <v>0</v>
      </c>
      <c r="S41" s="138" t="s">
        <v>250</v>
      </c>
      <c r="T41" s="138">
        <v>317</v>
      </c>
      <c r="U41" s="138">
        <f t="shared" si="0"/>
        <v>1</v>
      </c>
      <c r="V41" s="329">
        <f t="shared" si="1"/>
        <v>1</v>
      </c>
      <c r="W41" s="138">
        <f t="shared" ca="1" si="2"/>
        <v>3</v>
      </c>
      <c r="X41" s="138" t="str">
        <f t="shared" ref="X41:Y41" ca="1" si="22">IFERROR(W41+MATCH(1,OFFSET($C41,0,W41+1,1,15-W41),0),"")</f>
        <v/>
      </c>
      <c r="Y41" s="138" t="str">
        <f t="shared" ca="1" si="22"/>
        <v/>
      </c>
      <c r="Z41" s="138" t="str">
        <f t="shared" ca="1" si="4"/>
        <v>Decorative/Display</v>
      </c>
      <c r="AA41" s="138" t="str">
        <f t="shared" ca="1" si="12"/>
        <v/>
      </c>
      <c r="AB41" s="138" t="str">
        <f t="shared" ca="1" si="13"/>
        <v/>
      </c>
      <c r="AC41" s="116" t="str">
        <f t="shared" ca="1" si="7"/>
        <v xml:space="preserve">1,    IntLtgSys:IntLtgSpecMthd,   1,    0   ; AreaCategoryMethod
1,    IntLtgSys:ParentSpcFunc,  317,    0   ; Concourse and Atria Area
2,              0,    "- none specified -"
2,              3,    "Decorative/Display"
</v>
      </c>
    </row>
    <row r="42" spans="2:29" x14ac:dyDescent="0.25">
      <c r="C42" s="138" t="s">
        <v>944</v>
      </c>
      <c r="D42" s="331">
        <v>0</v>
      </c>
      <c r="E42" s="331">
        <v>0</v>
      </c>
      <c r="F42" s="332">
        <v>1</v>
      </c>
      <c r="G42" s="331">
        <v>0</v>
      </c>
      <c r="H42" s="331">
        <v>0</v>
      </c>
      <c r="I42" s="331">
        <v>0</v>
      </c>
      <c r="J42" s="331">
        <v>0</v>
      </c>
      <c r="K42" s="331">
        <v>0</v>
      </c>
      <c r="L42" s="331">
        <v>0</v>
      </c>
      <c r="M42" s="331">
        <v>0</v>
      </c>
      <c r="N42" s="331">
        <v>0</v>
      </c>
      <c r="O42" s="331">
        <v>0</v>
      </c>
      <c r="P42" s="331">
        <v>0</v>
      </c>
      <c r="Q42" s="331">
        <v>0</v>
      </c>
      <c r="R42" s="331">
        <v>0</v>
      </c>
      <c r="S42" s="138" t="s">
        <v>250</v>
      </c>
      <c r="T42" s="138">
        <v>318</v>
      </c>
      <c r="U42" s="138">
        <f t="shared" si="0"/>
        <v>1</v>
      </c>
      <c r="V42" s="329">
        <f t="shared" si="1"/>
        <v>1</v>
      </c>
      <c r="W42" s="138">
        <f t="shared" ca="1" si="2"/>
        <v>3</v>
      </c>
      <c r="X42" s="138" t="str">
        <f t="shared" ref="X42:Y42" ca="1" si="23">IFERROR(W42+MATCH(1,OFFSET($C42,0,W42+1,1,15-W42),0),"")</f>
        <v/>
      </c>
      <c r="Y42" s="138" t="str">
        <f t="shared" ca="1" si="23"/>
        <v/>
      </c>
      <c r="Z42" s="138" t="str">
        <f t="shared" ca="1" si="4"/>
        <v>Decorative/Display</v>
      </c>
      <c r="AA42" s="138" t="str">
        <f t="shared" ca="1" si="12"/>
        <v/>
      </c>
      <c r="AB42" s="138" t="str">
        <f t="shared" ca="1" si="13"/>
        <v/>
      </c>
      <c r="AC42" s="116" t="str">
        <f t="shared" ca="1" si="7"/>
        <v xml:space="preserve">1,    IntLtgSys:IntLtgSpecMthd,   1,    0   ; AreaCategoryMethod
1,    IntLtgSys:ParentSpcFunc,  318,    0   ; Convention, Conference, Multipurpose and Meeting Area
2,              0,    "- none specified -"
2,              3,    "Decorative/Display"
</v>
      </c>
    </row>
    <row r="43" spans="2:29" x14ac:dyDescent="0.25">
      <c r="C43" s="138" t="s">
        <v>922</v>
      </c>
      <c r="D43" s="331">
        <v>0</v>
      </c>
      <c r="E43" s="331">
        <v>0</v>
      </c>
      <c r="F43" s="332">
        <v>0</v>
      </c>
      <c r="G43" s="331">
        <v>0</v>
      </c>
      <c r="H43" s="331">
        <v>0</v>
      </c>
      <c r="I43" s="331">
        <v>0</v>
      </c>
      <c r="J43" s="331">
        <v>0</v>
      </c>
      <c r="K43" s="331">
        <v>0</v>
      </c>
      <c r="L43" s="331">
        <v>0</v>
      </c>
      <c r="M43" s="331">
        <v>0</v>
      </c>
      <c r="N43" s="331">
        <v>0</v>
      </c>
      <c r="O43" s="331">
        <v>0</v>
      </c>
      <c r="P43" s="331">
        <v>0</v>
      </c>
      <c r="Q43" s="331">
        <v>0</v>
      </c>
      <c r="R43" s="331">
        <v>0</v>
      </c>
      <c r="S43" s="138" t="s">
        <v>250</v>
      </c>
      <c r="T43" s="138">
        <v>319</v>
      </c>
      <c r="U43" s="138">
        <f t="shared" si="0"/>
        <v>0</v>
      </c>
      <c r="V43" s="329">
        <f t="shared" si="1"/>
        <v>0</v>
      </c>
      <c r="W43" s="138" t="e">
        <f t="shared" ca="1" si="2"/>
        <v>#N/A</v>
      </c>
      <c r="X43" s="138" t="str">
        <f t="shared" ref="X43:Y43" ca="1" si="24">IFERROR(W43+MATCH(1,OFFSET($C43,0,W43+1,1,15-W43),0),"")</f>
        <v/>
      </c>
      <c r="Y43" s="138" t="str">
        <f t="shared" ca="1" si="24"/>
        <v/>
      </c>
      <c r="Z43" s="138" t="e">
        <f t="shared" ca="1" si="4"/>
        <v>#N/A</v>
      </c>
      <c r="AA43" s="138" t="str">
        <f t="shared" ca="1" si="12"/>
        <v/>
      </c>
      <c r="AB43" s="138" t="str">
        <f t="shared" ca="1" si="13"/>
        <v/>
      </c>
      <c r="AC43" s="116" t="str">
        <f t="shared" si="7"/>
        <v/>
      </c>
    </row>
    <row r="44" spans="2:29" x14ac:dyDescent="0.25">
      <c r="C44" s="138" t="s">
        <v>945</v>
      </c>
      <c r="D44" s="331">
        <v>0</v>
      </c>
      <c r="E44" s="331">
        <v>0</v>
      </c>
      <c r="F44" s="332">
        <v>1</v>
      </c>
      <c r="G44" s="331">
        <v>0</v>
      </c>
      <c r="H44" s="331">
        <v>0</v>
      </c>
      <c r="I44" s="331">
        <v>0</v>
      </c>
      <c r="J44" s="331">
        <v>0</v>
      </c>
      <c r="K44" s="331">
        <v>0</v>
      </c>
      <c r="L44" s="331">
        <v>0</v>
      </c>
      <c r="M44" s="331">
        <v>0</v>
      </c>
      <c r="N44" s="331">
        <v>0</v>
      </c>
      <c r="O44" s="331">
        <v>0</v>
      </c>
      <c r="P44" s="331">
        <v>0</v>
      </c>
      <c r="Q44" s="331">
        <v>0</v>
      </c>
      <c r="R44" s="331">
        <v>0</v>
      </c>
      <c r="S44" s="138" t="s">
        <v>250</v>
      </c>
      <c r="T44" s="138">
        <v>320</v>
      </c>
      <c r="U44" s="138">
        <f t="shared" si="0"/>
        <v>1</v>
      </c>
      <c r="V44" s="329">
        <f t="shared" si="1"/>
        <v>1</v>
      </c>
      <c r="W44" s="138">
        <f t="shared" ca="1" si="2"/>
        <v>3</v>
      </c>
      <c r="X44" s="138" t="str">
        <f t="shared" ref="X44:Y44" ca="1" si="25">IFERROR(W44+MATCH(1,OFFSET($C44,0,W44+1,1,15-W44),0),"")</f>
        <v/>
      </c>
      <c r="Y44" s="138" t="str">
        <f t="shared" ca="1" si="25"/>
        <v/>
      </c>
      <c r="Z44" s="138" t="str">
        <f t="shared" ca="1" si="4"/>
        <v>Decorative/Display</v>
      </c>
      <c r="AA44" s="138" t="str">
        <f t="shared" ca="1" si="12"/>
        <v/>
      </c>
      <c r="AB44" s="138" t="str">
        <f t="shared" ca="1" si="13"/>
        <v/>
      </c>
      <c r="AC44" s="116" t="str">
        <f t="shared" ca="1" si="7"/>
        <v xml:space="preserve">1,    IntLtgSys:IntLtgSpecMthd,   1,    0   ; AreaCategoryMethod
1,    IntLtgSys:ParentSpcFunc,  320,    0   ; Corridor Area
2,              0,    "- none specified -"
2,              3,    "Decorative/Display"
</v>
      </c>
    </row>
    <row r="45" spans="2:29" x14ac:dyDescent="0.25">
      <c r="B45" s="329"/>
      <c r="C45" s="138" t="s">
        <v>946</v>
      </c>
      <c r="D45" s="331">
        <v>0</v>
      </c>
      <c r="E45" s="331">
        <v>0</v>
      </c>
      <c r="F45" s="332">
        <v>1</v>
      </c>
      <c r="G45" s="331">
        <v>0</v>
      </c>
      <c r="H45" s="331">
        <v>0</v>
      </c>
      <c r="I45" s="331">
        <v>0</v>
      </c>
      <c r="J45" s="331">
        <v>0</v>
      </c>
      <c r="K45" s="331">
        <v>0</v>
      </c>
      <c r="L45" s="331">
        <v>0</v>
      </c>
      <c r="M45" s="331">
        <v>0</v>
      </c>
      <c r="N45" s="331">
        <v>0</v>
      </c>
      <c r="O45" s="331">
        <v>0</v>
      </c>
      <c r="P45" s="331">
        <v>0</v>
      </c>
      <c r="Q45" s="331">
        <v>0</v>
      </c>
      <c r="R45" s="331">
        <v>0</v>
      </c>
      <c r="S45" s="138" t="s">
        <v>250</v>
      </c>
      <c r="T45" s="138">
        <v>321</v>
      </c>
      <c r="U45" s="138">
        <f t="shared" si="0"/>
        <v>1</v>
      </c>
      <c r="V45" s="329">
        <f t="shared" si="1"/>
        <v>1</v>
      </c>
      <c r="W45" s="138">
        <f t="shared" ca="1" si="2"/>
        <v>3</v>
      </c>
      <c r="X45" s="138" t="str">
        <f t="shared" ref="X45:Y45" ca="1" si="26">IFERROR(W45+MATCH(1,OFFSET($C45,0,W45+1,1,15-W45),0),"")</f>
        <v/>
      </c>
      <c r="Y45" s="138" t="str">
        <f t="shared" ca="1" si="26"/>
        <v/>
      </c>
      <c r="Z45" s="138" t="str">
        <f t="shared" ca="1" si="4"/>
        <v>Decorative/Display</v>
      </c>
      <c r="AA45" s="138" t="str">
        <f t="shared" ca="1" si="12"/>
        <v/>
      </c>
      <c r="AB45" s="138" t="str">
        <f t="shared" ca="1" si="13"/>
        <v/>
      </c>
      <c r="AC45" s="116" t="str">
        <f t="shared" ca="1" si="7"/>
        <v xml:space="preserve">1,    IntLtgSys:IntLtgSpecMthd,   1,    0   ; AreaCategoryMethod
1,    IntLtgSys:ParentSpcFunc,  321,    0   ; Dining Area (Bar/Lounge and Fine Dining)
2,              0,    "- none specified -"
2,              3,    "Decorative/Display"
</v>
      </c>
    </row>
    <row r="46" spans="2:29" x14ac:dyDescent="0.25">
      <c r="B46" s="329"/>
      <c r="C46" s="138" t="s">
        <v>947</v>
      </c>
      <c r="D46" s="331">
        <v>0</v>
      </c>
      <c r="E46" s="331">
        <v>0</v>
      </c>
      <c r="F46" s="332">
        <v>1</v>
      </c>
      <c r="G46" s="331">
        <v>0</v>
      </c>
      <c r="H46" s="331">
        <v>0</v>
      </c>
      <c r="I46" s="331">
        <v>0</v>
      </c>
      <c r="J46" s="331">
        <v>0</v>
      </c>
      <c r="K46" s="331">
        <v>0</v>
      </c>
      <c r="L46" s="331">
        <v>0</v>
      </c>
      <c r="M46" s="331">
        <v>0</v>
      </c>
      <c r="N46" s="331">
        <v>0</v>
      </c>
      <c r="O46" s="331">
        <v>0</v>
      </c>
      <c r="P46" s="331">
        <v>0</v>
      </c>
      <c r="Q46" s="331">
        <v>0</v>
      </c>
      <c r="R46" s="331">
        <v>0</v>
      </c>
      <c r="S46" s="138" t="s">
        <v>250</v>
      </c>
      <c r="T46" s="138">
        <v>322</v>
      </c>
      <c r="U46" s="138">
        <f t="shared" si="0"/>
        <v>1</v>
      </c>
      <c r="V46" s="329">
        <f t="shared" si="1"/>
        <v>1</v>
      </c>
      <c r="W46" s="138">
        <f t="shared" ca="1" si="2"/>
        <v>3</v>
      </c>
      <c r="X46" s="138" t="str">
        <f t="shared" ref="X46:Y46" ca="1" si="27">IFERROR(W46+MATCH(1,OFFSET($C46,0,W46+1,1,15-W46),0),"")</f>
        <v/>
      </c>
      <c r="Y46" s="138" t="str">
        <f t="shared" ca="1" si="27"/>
        <v/>
      </c>
      <c r="Z46" s="138" t="str">
        <f t="shared" ca="1" si="4"/>
        <v>Decorative/Display</v>
      </c>
      <c r="AA46" s="138" t="str">
        <f t="shared" ca="1" si="12"/>
        <v/>
      </c>
      <c r="AB46" s="138" t="str">
        <f t="shared" ca="1" si="13"/>
        <v/>
      </c>
      <c r="AC46" s="116" t="str">
        <f t="shared" ca="1" si="7"/>
        <v xml:space="preserve">1,    IntLtgSys:IntLtgSpecMthd,   1,    0   ; AreaCategoryMethod
1,    IntLtgSys:ParentSpcFunc,  322,    0   ; Dining Area (Cafetaria/Fast Food)
2,              0,    "- none specified -"
2,              3,    "Decorative/Display"
</v>
      </c>
    </row>
    <row r="47" spans="2:29" x14ac:dyDescent="0.25">
      <c r="C47" s="138" t="s">
        <v>948</v>
      </c>
      <c r="D47" s="331">
        <v>0</v>
      </c>
      <c r="E47" s="331">
        <v>0</v>
      </c>
      <c r="F47" s="332">
        <v>1</v>
      </c>
      <c r="G47" s="331">
        <v>0</v>
      </c>
      <c r="H47" s="331">
        <v>0</v>
      </c>
      <c r="I47" s="331">
        <v>0</v>
      </c>
      <c r="J47" s="331">
        <v>0</v>
      </c>
      <c r="K47" s="331">
        <v>0</v>
      </c>
      <c r="L47" s="331">
        <v>0</v>
      </c>
      <c r="M47" s="331">
        <v>0</v>
      </c>
      <c r="N47" s="331">
        <v>0</v>
      </c>
      <c r="O47" s="331">
        <v>0</v>
      </c>
      <c r="P47" s="331">
        <v>0</v>
      </c>
      <c r="Q47" s="331">
        <v>0</v>
      </c>
      <c r="R47" s="331">
        <v>0</v>
      </c>
      <c r="S47" s="138" t="s">
        <v>250</v>
      </c>
      <c r="T47" s="138">
        <v>323</v>
      </c>
      <c r="U47" s="138">
        <f t="shared" si="0"/>
        <v>1</v>
      </c>
      <c r="V47" s="329">
        <f t="shared" si="1"/>
        <v>1</v>
      </c>
      <c r="W47" s="138">
        <f t="shared" ca="1" si="2"/>
        <v>3</v>
      </c>
      <c r="X47" s="138" t="str">
        <f t="shared" ref="X47:Y47" ca="1" si="28">IFERROR(W47+MATCH(1,OFFSET($C47,0,W47+1,1,15-W47),0),"")</f>
        <v/>
      </c>
      <c r="Y47" s="138" t="str">
        <f t="shared" ca="1" si="28"/>
        <v/>
      </c>
      <c r="Z47" s="138" t="str">
        <f t="shared" ca="1" si="4"/>
        <v>Decorative/Display</v>
      </c>
      <c r="AA47" s="138" t="str">
        <f t="shared" ca="1" si="12"/>
        <v/>
      </c>
      <c r="AB47" s="138" t="str">
        <f t="shared" ca="1" si="13"/>
        <v/>
      </c>
      <c r="AC47" s="116" t="str">
        <f t="shared" ca="1" si="7"/>
        <v xml:space="preserve">1,    IntLtgSys:IntLtgSpecMthd,   1,    0   ; AreaCategoryMethod
1,    IntLtgSys:ParentSpcFunc,  323,    0   ; Dining Area (Family and Leisure)
2,              0,    "- none specified -"
2,              3,    "Decorative/Display"
</v>
      </c>
    </row>
    <row r="48" spans="2:29" x14ac:dyDescent="0.25">
      <c r="C48" s="138" t="s">
        <v>643</v>
      </c>
      <c r="D48" s="331">
        <v>1</v>
      </c>
      <c r="E48" s="331">
        <v>0</v>
      </c>
      <c r="F48" s="332">
        <v>0</v>
      </c>
      <c r="G48" s="331">
        <v>0</v>
      </c>
      <c r="H48" s="331">
        <v>0</v>
      </c>
      <c r="I48" s="331">
        <v>0</v>
      </c>
      <c r="J48" s="331">
        <v>0</v>
      </c>
      <c r="K48" s="331">
        <v>0</v>
      </c>
      <c r="L48" s="331">
        <v>0</v>
      </c>
      <c r="M48" s="331">
        <v>0</v>
      </c>
      <c r="N48" s="331">
        <v>0</v>
      </c>
      <c r="O48" s="331">
        <v>0</v>
      </c>
      <c r="P48" s="331">
        <v>0</v>
      </c>
      <c r="Q48" s="331">
        <v>0</v>
      </c>
      <c r="R48" s="331">
        <v>0</v>
      </c>
      <c r="S48" s="138" t="s">
        <v>250</v>
      </c>
      <c r="T48" s="138">
        <v>324</v>
      </c>
      <c r="U48" s="138">
        <f t="shared" si="0"/>
        <v>1</v>
      </c>
      <c r="V48" s="329">
        <f t="shared" si="1"/>
        <v>1</v>
      </c>
      <c r="W48" s="138">
        <f t="shared" ca="1" si="2"/>
        <v>1</v>
      </c>
      <c r="X48" s="138" t="str">
        <f t="shared" ref="X48:Y48" ca="1" si="29">IFERROR(W48+MATCH(1,OFFSET($C48,0,W48+1,1,15-W48),0),"")</f>
        <v/>
      </c>
      <c r="Y48" s="138" t="str">
        <f t="shared" ca="1" si="29"/>
        <v/>
      </c>
      <c r="Z48" s="138" t="str">
        <f t="shared" ca="1" si="4"/>
        <v>DetailedTaskWork</v>
      </c>
      <c r="AA48" s="138" t="str">
        <f t="shared" ca="1" si="12"/>
        <v/>
      </c>
      <c r="AB48" s="138" t="str">
        <f t="shared" ca="1" si="13"/>
        <v/>
      </c>
      <c r="AC48" s="116" t="str">
        <f t="shared" ca="1" si="7"/>
        <v xml:space="preserve">1,    IntLtgSys:IntLtgSpecMthd,   1,    0   ; AreaCategoryMethod
1,    IntLtgSys:ParentSpcFunc,  324,    0   ; Electrical, Mechanical, Telephone Rooms
2,              0,    "- none specified -"
2,              1,    "DetailedTaskWork"
</v>
      </c>
    </row>
    <row r="49" spans="2:29" x14ac:dyDescent="0.25">
      <c r="B49" s="329"/>
      <c r="C49" s="138" t="s">
        <v>949</v>
      </c>
      <c r="D49" s="331">
        <v>0</v>
      </c>
      <c r="E49" s="331">
        <v>0</v>
      </c>
      <c r="F49" s="332">
        <v>0</v>
      </c>
      <c r="G49" s="331">
        <v>0</v>
      </c>
      <c r="H49" s="331">
        <v>0</v>
      </c>
      <c r="I49" s="331">
        <v>0</v>
      </c>
      <c r="J49" s="331">
        <v>0</v>
      </c>
      <c r="K49" s="331">
        <v>0</v>
      </c>
      <c r="L49" s="331">
        <v>0</v>
      </c>
      <c r="M49" s="331">
        <v>0</v>
      </c>
      <c r="N49" s="331">
        <v>0</v>
      </c>
      <c r="O49" s="331">
        <v>0</v>
      </c>
      <c r="P49" s="331">
        <v>0</v>
      </c>
      <c r="Q49" s="331">
        <v>0</v>
      </c>
      <c r="R49" s="331">
        <v>0</v>
      </c>
      <c r="S49" s="138" t="s">
        <v>250</v>
      </c>
      <c r="T49" s="138">
        <v>325</v>
      </c>
      <c r="U49" s="138">
        <f t="shared" si="0"/>
        <v>0</v>
      </c>
      <c r="V49" s="329">
        <f t="shared" si="1"/>
        <v>0</v>
      </c>
      <c r="W49" s="138" t="e">
        <f t="shared" ca="1" si="2"/>
        <v>#N/A</v>
      </c>
      <c r="X49" s="138" t="str">
        <f t="shared" ref="X49:Y49" ca="1" si="30">IFERROR(W49+MATCH(1,OFFSET($C49,0,W49+1,1,15-W49),0),"")</f>
        <v/>
      </c>
      <c r="Y49" s="138" t="str">
        <f t="shared" ca="1" si="30"/>
        <v/>
      </c>
      <c r="Z49" s="138" t="e">
        <f t="shared" ca="1" si="4"/>
        <v>#N/A</v>
      </c>
      <c r="AA49" s="138" t="str">
        <f t="shared" ca="1" si="12"/>
        <v/>
      </c>
      <c r="AB49" s="138" t="str">
        <f t="shared" ca="1" si="13"/>
        <v/>
      </c>
      <c r="AC49" s="116" t="str">
        <f t="shared" si="7"/>
        <v/>
      </c>
    </row>
    <row r="50" spans="2:29" x14ac:dyDescent="0.25">
      <c r="B50" s="329"/>
      <c r="C50" s="138" t="s">
        <v>530</v>
      </c>
      <c r="D50" s="331">
        <v>0</v>
      </c>
      <c r="E50" s="331">
        <v>0</v>
      </c>
      <c r="F50" s="332">
        <v>1</v>
      </c>
      <c r="G50" s="331">
        <v>0</v>
      </c>
      <c r="H50" s="331">
        <v>0</v>
      </c>
      <c r="I50" s="331">
        <v>0</v>
      </c>
      <c r="J50" s="331">
        <v>0</v>
      </c>
      <c r="K50" s="331">
        <v>0</v>
      </c>
      <c r="L50" s="331">
        <v>0</v>
      </c>
      <c r="M50" s="331">
        <v>0</v>
      </c>
      <c r="N50" s="331">
        <v>0</v>
      </c>
      <c r="O50" s="331">
        <v>0</v>
      </c>
      <c r="P50" s="331">
        <v>0</v>
      </c>
      <c r="Q50" s="331">
        <v>0</v>
      </c>
      <c r="R50" s="331">
        <v>0</v>
      </c>
      <c r="S50" s="138" t="s">
        <v>250</v>
      </c>
      <c r="T50" s="331">
        <v>326</v>
      </c>
      <c r="U50" s="138">
        <f>IF(SUM(D50:P50)&gt;0,1,0)</f>
        <v>1</v>
      </c>
      <c r="V50" s="329">
        <f t="shared" si="1"/>
        <v>1</v>
      </c>
      <c r="W50" s="138">
        <f t="shared" ca="1" si="2"/>
        <v>3</v>
      </c>
      <c r="X50" s="138" t="str">
        <f t="shared" ref="X50:Y50" ca="1" si="31">IFERROR(W50+MATCH(1,OFFSET($C50,0,W50+1,1,15-W50),0),"")</f>
        <v/>
      </c>
      <c r="Y50" s="138" t="str">
        <f t="shared" ca="1" si="31"/>
        <v/>
      </c>
      <c r="Z50" s="138" t="str">
        <f t="shared" ca="1" si="4"/>
        <v>Decorative/Display</v>
      </c>
      <c r="AA50" s="138" t="str">
        <f t="shared" ca="1" si="12"/>
        <v/>
      </c>
      <c r="AB50" s="138" t="str">
        <f t="shared" ca="1" si="13"/>
        <v/>
      </c>
      <c r="AC50" s="116" t="str">
        <f t="shared" ca="1" si="7"/>
        <v xml:space="preserve">1,    IntLtgSys:IntLtgSpecMthd,   1,    0   ; AreaCategoryMethod
1,    IntLtgSys:ParentSpcFunc,  326,    0   ; Financial Transaction Area
2,              0,    "- none specified -"
2,              3,    "Decorative/Display"
</v>
      </c>
    </row>
    <row r="51" spans="2:29" x14ac:dyDescent="0.25">
      <c r="B51" s="329"/>
      <c r="C51" s="138" t="s">
        <v>953</v>
      </c>
      <c r="D51" s="331">
        <v>0</v>
      </c>
      <c r="E51" s="331">
        <v>0</v>
      </c>
      <c r="F51" s="332">
        <v>0</v>
      </c>
      <c r="G51" s="331">
        <v>0</v>
      </c>
      <c r="H51" s="331">
        <v>0</v>
      </c>
      <c r="I51" s="331">
        <v>0</v>
      </c>
      <c r="J51" s="331">
        <v>0</v>
      </c>
      <c r="K51" s="331">
        <v>0</v>
      </c>
      <c r="L51" s="331">
        <v>0</v>
      </c>
      <c r="M51" s="331">
        <v>0</v>
      </c>
      <c r="N51" s="331">
        <v>0</v>
      </c>
      <c r="O51" s="331">
        <v>0</v>
      </c>
      <c r="P51" s="331">
        <v>0</v>
      </c>
      <c r="Q51" s="331">
        <v>0</v>
      </c>
      <c r="R51" s="331">
        <v>0</v>
      </c>
      <c r="S51" s="138" t="s">
        <v>250</v>
      </c>
      <c r="T51" s="329">
        <v>327</v>
      </c>
      <c r="U51" s="138">
        <f>IF(SUM(D51:P51)&gt;0,1,0)</f>
        <v>0</v>
      </c>
      <c r="V51" s="329">
        <f t="shared" si="1"/>
        <v>0</v>
      </c>
      <c r="W51" s="138" t="e">
        <f t="shared" ca="1" si="2"/>
        <v>#N/A</v>
      </c>
      <c r="X51" s="138" t="str">
        <f t="shared" ref="X51:Y51" ca="1" si="32">IFERROR(W51+MATCH(1,OFFSET($C51,0,W51+1,1,15-W51),0),"")</f>
        <v/>
      </c>
      <c r="Y51" s="138" t="str">
        <f t="shared" ca="1" si="32"/>
        <v/>
      </c>
      <c r="Z51" s="138" t="e">
        <f t="shared" ca="1" si="4"/>
        <v>#N/A</v>
      </c>
      <c r="AA51" s="138" t="str">
        <f t="shared" ca="1" si="12"/>
        <v/>
      </c>
      <c r="AB51" s="138" t="str">
        <f t="shared" ca="1" si="13"/>
        <v/>
      </c>
      <c r="AC51" s="116" t="str">
        <f t="shared" si="7"/>
        <v/>
      </c>
    </row>
    <row r="52" spans="2:29" x14ac:dyDescent="0.25">
      <c r="B52" s="329"/>
      <c r="C52" s="138" t="s">
        <v>1026</v>
      </c>
      <c r="D52" s="331">
        <v>0</v>
      </c>
      <c r="E52" s="331">
        <v>0</v>
      </c>
      <c r="F52" s="332">
        <v>1</v>
      </c>
      <c r="G52" s="331">
        <v>0</v>
      </c>
      <c r="H52" s="331">
        <v>0</v>
      </c>
      <c r="I52" s="331">
        <v>0</v>
      </c>
      <c r="J52" s="331">
        <v>0</v>
      </c>
      <c r="K52" s="331">
        <v>0</v>
      </c>
      <c r="L52" s="331">
        <v>0</v>
      </c>
      <c r="M52" s="331">
        <v>0</v>
      </c>
      <c r="N52" s="331">
        <v>0</v>
      </c>
      <c r="O52" s="331">
        <v>0</v>
      </c>
      <c r="P52" s="331">
        <v>0</v>
      </c>
      <c r="Q52" s="331">
        <v>0</v>
      </c>
      <c r="R52" s="331">
        <v>1</v>
      </c>
      <c r="S52" s="138" t="s">
        <v>250</v>
      </c>
      <c r="T52" s="329">
        <v>328</v>
      </c>
      <c r="U52" s="138">
        <v>1</v>
      </c>
      <c r="V52" s="329">
        <f t="shared" si="1"/>
        <v>2</v>
      </c>
      <c r="W52" s="138">
        <f t="shared" ca="1" si="2"/>
        <v>3</v>
      </c>
      <c r="X52" s="138">
        <f t="shared" ref="X52:Y52" ca="1" si="33">IFERROR(W52+MATCH(1,OFFSET($C52,0,W52+1,1,15-W52),0),"")</f>
        <v>15</v>
      </c>
      <c r="Y52" s="138" t="str">
        <f t="shared" ca="1" si="33"/>
        <v/>
      </c>
      <c r="Z52" s="138" t="str">
        <f t="shared" ca="1" si="4"/>
        <v>Decorative/Display</v>
      </c>
      <c r="AA52" s="138" t="str">
        <f t="shared" ca="1" si="12"/>
        <v>TunableWhiteOrDimToWarm</v>
      </c>
      <c r="AB52" s="138" t="str">
        <f t="shared" ca="1" si="13"/>
        <v/>
      </c>
      <c r="AC52" s="116" t="str">
        <f t="shared" ca="1" si="7"/>
        <v>1,    IntLtgSys:IntLtgSpecMthd,   1,    0   ; AreaCategoryMethod
1,    IntLtgSys:ParentSpcFunc,  328,    0   ; Healthcare Facility and Hospitals (Imaging Room)
2,              0,    "- none specified -"
2,              3,    "Decorative/Display"
2,              15,    "TunableWhiteOrDimToWarm"</v>
      </c>
    </row>
    <row r="53" spans="2:29" x14ac:dyDescent="0.25">
      <c r="C53" s="138" t="s">
        <v>1027</v>
      </c>
      <c r="D53" s="331">
        <v>0</v>
      </c>
      <c r="E53" s="331">
        <v>0</v>
      </c>
      <c r="F53" s="332">
        <v>0</v>
      </c>
      <c r="G53" s="331">
        <v>0</v>
      </c>
      <c r="H53" s="331">
        <v>0</v>
      </c>
      <c r="I53" s="331">
        <v>0</v>
      </c>
      <c r="J53" s="331">
        <v>0</v>
      </c>
      <c r="K53" s="331">
        <v>0</v>
      </c>
      <c r="L53" s="331">
        <v>0</v>
      </c>
      <c r="M53" s="331">
        <v>0</v>
      </c>
      <c r="N53" s="331">
        <v>0</v>
      </c>
      <c r="O53" s="331">
        <v>0</v>
      </c>
      <c r="P53" s="331">
        <v>0</v>
      </c>
      <c r="Q53" s="331">
        <v>0</v>
      </c>
      <c r="R53" s="331">
        <v>0</v>
      </c>
      <c r="S53" s="138" t="s">
        <v>250</v>
      </c>
      <c r="T53" s="329">
        <v>329</v>
      </c>
      <c r="U53" s="138">
        <v>1</v>
      </c>
      <c r="V53" s="329">
        <f t="shared" si="1"/>
        <v>0</v>
      </c>
      <c r="W53" s="138" t="e">
        <f t="shared" ca="1" si="2"/>
        <v>#N/A</v>
      </c>
      <c r="X53" s="138" t="str">
        <f t="shared" ref="X53:Y53" ca="1" si="34">IFERROR(W53+MATCH(1,OFFSET($C53,0,W53+1,1,15-W53),0),"")</f>
        <v/>
      </c>
      <c r="Y53" s="138" t="str">
        <f t="shared" ca="1" si="34"/>
        <v/>
      </c>
      <c r="Z53" s="138" t="e">
        <f t="shared" ca="1" si="4"/>
        <v>#N/A</v>
      </c>
      <c r="AA53" s="138" t="str">
        <f t="shared" ca="1" si="12"/>
        <v/>
      </c>
      <c r="AB53" s="138" t="str">
        <f t="shared" ca="1" si="13"/>
        <v/>
      </c>
      <c r="AC53" s="116" t="str">
        <f t="shared" si="7"/>
        <v/>
      </c>
    </row>
    <row r="54" spans="2:29" x14ac:dyDescent="0.25">
      <c r="B54" s="329"/>
      <c r="C54" s="138" t="s">
        <v>1028</v>
      </c>
      <c r="D54" s="331">
        <v>0</v>
      </c>
      <c r="E54" s="331">
        <v>0</v>
      </c>
      <c r="F54" s="332">
        <v>0</v>
      </c>
      <c r="G54" s="331">
        <v>0</v>
      </c>
      <c r="H54" s="331">
        <v>0</v>
      </c>
      <c r="I54" s="331">
        <v>0</v>
      </c>
      <c r="J54" s="331">
        <v>0</v>
      </c>
      <c r="K54" s="331">
        <v>0</v>
      </c>
      <c r="L54" s="331">
        <v>0</v>
      </c>
      <c r="M54" s="331">
        <v>0</v>
      </c>
      <c r="N54" s="331">
        <v>0</v>
      </c>
      <c r="O54" s="331">
        <v>0</v>
      </c>
      <c r="P54" s="331">
        <v>0</v>
      </c>
      <c r="Q54" s="331">
        <v>0</v>
      </c>
      <c r="R54" s="331">
        <v>1</v>
      </c>
      <c r="S54" s="138" t="s">
        <v>250</v>
      </c>
      <c r="T54" s="329">
        <v>330</v>
      </c>
      <c r="U54" s="138">
        <f>IF(SUM(D54:P54)&gt;0,1,0)</f>
        <v>0</v>
      </c>
      <c r="V54" s="329">
        <f t="shared" si="1"/>
        <v>1</v>
      </c>
      <c r="W54" s="138">
        <f t="shared" ca="1" si="2"/>
        <v>15</v>
      </c>
      <c r="X54" s="138" t="str">
        <f t="shared" ref="X54:Y54" ca="1" si="35">IFERROR(W54+MATCH(1,OFFSET($C54,0,W54+1,1,15-W54),0),"")</f>
        <v/>
      </c>
      <c r="Y54" s="138" t="str">
        <f t="shared" ca="1" si="35"/>
        <v/>
      </c>
      <c r="Z54" s="138" t="str">
        <f t="shared" ca="1" si="4"/>
        <v>TunableWhiteOrDimToWarm</v>
      </c>
      <c r="AA54" s="138" t="str">
        <f t="shared" ca="1" si="12"/>
        <v/>
      </c>
      <c r="AB54" s="138" t="str">
        <f t="shared" ca="1" si="13"/>
        <v/>
      </c>
      <c r="AC54" s="116" t="str">
        <f t="shared" ca="1" si="7"/>
        <v xml:space="preserve">1,    IntLtgSys:IntLtgSpecMthd,   1,    0   ; AreaCategoryMethod
1,    IntLtgSys:ParentSpcFunc,  330,    0   ; Healthcare Facility and Hospitals (Nursery)
2,              0,    "- none specified -"
2,              15,    "TunableWhiteOrDimToWarm"
</v>
      </c>
    </row>
    <row r="55" spans="2:29" x14ac:dyDescent="0.25">
      <c r="B55" s="329"/>
      <c r="C55" s="138" t="s">
        <v>1029</v>
      </c>
      <c r="D55" s="331">
        <v>0</v>
      </c>
      <c r="E55" s="331">
        <v>0</v>
      </c>
      <c r="F55" s="332">
        <v>1</v>
      </c>
      <c r="G55" s="331">
        <v>0</v>
      </c>
      <c r="H55" s="331">
        <v>0</v>
      </c>
      <c r="I55" s="331">
        <v>0</v>
      </c>
      <c r="J55" s="331">
        <v>0</v>
      </c>
      <c r="K55" s="331">
        <v>0</v>
      </c>
      <c r="L55" s="331">
        <v>0</v>
      </c>
      <c r="M55" s="331">
        <v>0</v>
      </c>
      <c r="N55" s="331">
        <v>0</v>
      </c>
      <c r="O55" s="331">
        <v>0</v>
      </c>
      <c r="P55" s="331">
        <v>0</v>
      </c>
      <c r="Q55" s="331">
        <v>0</v>
      </c>
      <c r="R55" s="331">
        <v>1</v>
      </c>
      <c r="S55" s="138" t="s">
        <v>250</v>
      </c>
      <c r="T55" s="329">
        <v>331</v>
      </c>
      <c r="U55" s="138">
        <v>1</v>
      </c>
      <c r="V55" s="329">
        <f t="shared" si="1"/>
        <v>2</v>
      </c>
      <c r="W55" s="138">
        <f t="shared" ca="1" si="2"/>
        <v>3</v>
      </c>
      <c r="X55" s="138">
        <f t="shared" ref="X55:Y55" ca="1" si="36">IFERROR(W55+MATCH(1,OFFSET($C55,0,W55+1,1,15-W55),0),"")</f>
        <v>15</v>
      </c>
      <c r="Y55" s="138" t="str">
        <f t="shared" ca="1" si="36"/>
        <v/>
      </c>
      <c r="Z55" s="138" t="str">
        <f t="shared" ca="1" si="4"/>
        <v>Decorative/Display</v>
      </c>
      <c r="AA55" s="138" t="str">
        <f t="shared" ca="1" si="12"/>
        <v>TunableWhiteOrDimToWarm</v>
      </c>
      <c r="AB55" s="138" t="str">
        <f t="shared" ca="1" si="13"/>
        <v/>
      </c>
      <c r="AC55" s="116" t="str">
        <f t="shared" ca="1" si="7"/>
        <v>1,    IntLtgSys:IntLtgSpecMthd,   1,    0   ; AreaCategoryMethod
1,    IntLtgSys:ParentSpcFunc,  331,    0   ; Healthcare Facility and Hospitals (Nurse's Station)
2,              0,    "- none specified -"
2,              3,    "Decorative/Display"
2,              15,    "TunableWhiteOrDimToWarm"</v>
      </c>
    </row>
    <row r="56" spans="2:29" x14ac:dyDescent="0.25">
      <c r="B56" s="329"/>
      <c r="C56" s="138" t="s">
        <v>1030</v>
      </c>
      <c r="D56" s="331">
        <v>0</v>
      </c>
      <c r="E56" s="331">
        <v>0</v>
      </c>
      <c r="F56" s="332">
        <v>0</v>
      </c>
      <c r="G56" s="331">
        <v>0</v>
      </c>
      <c r="H56" s="331">
        <v>0</v>
      </c>
      <c r="I56" s="331">
        <v>0</v>
      </c>
      <c r="J56" s="331">
        <v>0</v>
      </c>
      <c r="K56" s="331">
        <v>0</v>
      </c>
      <c r="L56" s="331">
        <v>0</v>
      </c>
      <c r="M56" s="331">
        <v>0</v>
      </c>
      <c r="N56" s="331">
        <v>0</v>
      </c>
      <c r="O56" s="331">
        <v>0</v>
      </c>
      <c r="P56" s="331">
        <v>0</v>
      </c>
      <c r="Q56" s="331">
        <v>0</v>
      </c>
      <c r="R56" s="331">
        <v>0</v>
      </c>
      <c r="S56" s="138" t="s">
        <v>250</v>
      </c>
      <c r="T56" s="329">
        <v>332</v>
      </c>
      <c r="U56" s="138">
        <v>1</v>
      </c>
      <c r="V56" s="329">
        <f t="shared" si="1"/>
        <v>0</v>
      </c>
      <c r="W56" s="138" t="e">
        <f t="shared" ca="1" si="2"/>
        <v>#N/A</v>
      </c>
      <c r="X56" s="138" t="str">
        <f t="shared" ref="X56:Y56" ca="1" si="37">IFERROR(W56+MATCH(1,OFFSET($C56,0,W56+1,1,15-W56),0),"")</f>
        <v/>
      </c>
      <c r="Y56" s="138" t="str">
        <f t="shared" ca="1" si="37"/>
        <v/>
      </c>
      <c r="Z56" s="138" t="e">
        <f t="shared" ca="1" si="4"/>
        <v>#N/A</v>
      </c>
      <c r="AA56" s="138" t="str">
        <f t="shared" ca="1" si="12"/>
        <v/>
      </c>
      <c r="AB56" s="138" t="str">
        <f t="shared" ca="1" si="13"/>
        <v/>
      </c>
      <c r="AC56" s="116" t="str">
        <f t="shared" si="7"/>
        <v/>
      </c>
    </row>
    <row r="57" spans="2:29" x14ac:dyDescent="0.25">
      <c r="B57" s="329"/>
      <c r="C57" s="138" t="s">
        <v>1031</v>
      </c>
      <c r="D57" s="331">
        <v>0</v>
      </c>
      <c r="E57" s="331">
        <v>0</v>
      </c>
      <c r="F57" s="332">
        <v>1</v>
      </c>
      <c r="G57" s="331">
        <v>0</v>
      </c>
      <c r="H57" s="331">
        <v>0</v>
      </c>
      <c r="I57" s="331">
        <v>0</v>
      </c>
      <c r="J57" s="331">
        <v>0</v>
      </c>
      <c r="K57" s="331">
        <v>0</v>
      </c>
      <c r="L57" s="331">
        <v>0</v>
      </c>
      <c r="M57" s="331">
        <v>0</v>
      </c>
      <c r="N57" s="331">
        <v>0</v>
      </c>
      <c r="O57" s="331">
        <v>0</v>
      </c>
      <c r="P57" s="331">
        <v>0</v>
      </c>
      <c r="Q57" s="331">
        <v>0</v>
      </c>
      <c r="R57" s="331">
        <v>0</v>
      </c>
      <c r="S57" s="138" t="s">
        <v>250</v>
      </c>
      <c r="T57" s="329">
        <v>333</v>
      </c>
      <c r="U57" s="138">
        <v>1</v>
      </c>
      <c r="V57" s="329">
        <f t="shared" si="1"/>
        <v>1</v>
      </c>
      <c r="W57" s="138">
        <f t="shared" ca="1" si="2"/>
        <v>3</v>
      </c>
      <c r="X57" s="138" t="str">
        <f t="shared" ref="X57:Y57" ca="1" si="38">IFERROR(W57+MATCH(1,OFFSET($C57,0,W57+1,1,15-W57),0),"")</f>
        <v/>
      </c>
      <c r="Y57" s="138" t="str">
        <f t="shared" ca="1" si="38"/>
        <v/>
      </c>
      <c r="Z57" s="138" t="str">
        <f t="shared" ca="1" si="4"/>
        <v>Decorative/Display</v>
      </c>
      <c r="AA57" s="138" t="str">
        <f t="shared" ca="1" si="12"/>
        <v/>
      </c>
      <c r="AB57" s="138" t="str">
        <f t="shared" ca="1" si="13"/>
        <v/>
      </c>
      <c r="AC57" s="116" t="str">
        <f t="shared" ca="1" si="7"/>
        <v xml:space="preserve">1,    IntLtgSys:IntLtgSpecMthd,   1,    0   ; AreaCategoryMethod
1,    IntLtgSys:ParentSpcFunc,  333,    0   ; Healthcare Facility and Hospitals (Patient Room)
2,              0,    "- none specified -"
2,              3,    "Decorative/Display"
</v>
      </c>
    </row>
    <row r="58" spans="2:29" x14ac:dyDescent="0.25">
      <c r="C58" s="138" t="s">
        <v>1032</v>
      </c>
      <c r="D58" s="331">
        <v>0</v>
      </c>
      <c r="E58" s="331">
        <v>0</v>
      </c>
      <c r="F58" s="332">
        <v>0</v>
      </c>
      <c r="G58" s="331">
        <v>0</v>
      </c>
      <c r="H58" s="331">
        <v>0</v>
      </c>
      <c r="I58" s="331">
        <v>0</v>
      </c>
      <c r="J58" s="331">
        <v>0</v>
      </c>
      <c r="K58" s="331">
        <v>0</v>
      </c>
      <c r="L58" s="331">
        <v>0</v>
      </c>
      <c r="M58" s="331">
        <v>0</v>
      </c>
      <c r="N58" s="331">
        <v>0</v>
      </c>
      <c r="O58" s="331">
        <v>0</v>
      </c>
      <c r="P58" s="331">
        <v>0</v>
      </c>
      <c r="Q58" s="331">
        <v>0</v>
      </c>
      <c r="R58" s="331">
        <v>1</v>
      </c>
      <c r="S58" s="138" t="s">
        <v>250</v>
      </c>
      <c r="T58" s="138">
        <v>334</v>
      </c>
      <c r="U58" s="138">
        <f t="shared" ref="U58:U96" si="39">IF(SUM(D58:P58)&gt;0,1,0)</f>
        <v>0</v>
      </c>
      <c r="V58" s="329">
        <f t="shared" si="1"/>
        <v>1</v>
      </c>
      <c r="W58" s="138">
        <f t="shared" ca="1" si="2"/>
        <v>15</v>
      </c>
      <c r="X58" s="138" t="str">
        <f t="shared" ref="X58:Y58" ca="1" si="40">IFERROR(W58+MATCH(1,OFFSET($C58,0,W58+1,1,15-W58),0),"")</f>
        <v/>
      </c>
      <c r="Y58" s="138" t="str">
        <f t="shared" ca="1" si="40"/>
        <v/>
      </c>
      <c r="Z58" s="138" t="str">
        <f t="shared" ca="1" si="4"/>
        <v>TunableWhiteOrDimToWarm</v>
      </c>
      <c r="AA58" s="138" t="str">
        <f t="shared" ca="1" si="12"/>
        <v/>
      </c>
      <c r="AB58" s="138" t="str">
        <f t="shared" ca="1" si="13"/>
        <v/>
      </c>
      <c r="AC58" s="116" t="str">
        <f t="shared" ca="1" si="7"/>
        <v xml:space="preserve">1,    IntLtgSys:IntLtgSpecMthd,   1,    0   ; AreaCategoryMethod
1,    IntLtgSys:ParentSpcFunc,  334,    0   ; Healthcare Facility and Hospitals (Physical Therapy Room)
2,              0,    "- none specified -"
2,              15,    "TunableWhiteOrDimToWarm"
</v>
      </c>
    </row>
    <row r="59" spans="2:29" x14ac:dyDescent="0.25">
      <c r="C59" s="138" t="s">
        <v>1033</v>
      </c>
      <c r="D59" s="331">
        <v>0</v>
      </c>
      <c r="E59" s="331">
        <v>0</v>
      </c>
      <c r="F59" s="332">
        <v>0</v>
      </c>
      <c r="G59" s="331">
        <v>0</v>
      </c>
      <c r="H59" s="331">
        <v>0</v>
      </c>
      <c r="I59" s="331">
        <v>0</v>
      </c>
      <c r="J59" s="331">
        <v>0</v>
      </c>
      <c r="K59" s="331">
        <v>0</v>
      </c>
      <c r="L59" s="331">
        <v>0</v>
      </c>
      <c r="M59" s="331">
        <v>0</v>
      </c>
      <c r="N59" s="331">
        <v>0</v>
      </c>
      <c r="O59" s="331">
        <v>0</v>
      </c>
      <c r="P59" s="331">
        <v>0</v>
      </c>
      <c r="Q59" s="331">
        <v>0</v>
      </c>
      <c r="R59" s="331">
        <v>1</v>
      </c>
      <c r="S59" s="138" t="s">
        <v>250</v>
      </c>
      <c r="T59" s="138">
        <v>335</v>
      </c>
      <c r="U59" s="138">
        <f t="shared" si="39"/>
        <v>0</v>
      </c>
      <c r="V59" s="329">
        <f t="shared" si="1"/>
        <v>1</v>
      </c>
      <c r="W59" s="138">
        <f t="shared" ca="1" si="2"/>
        <v>15</v>
      </c>
      <c r="X59" s="138" t="str">
        <f t="shared" ref="X59:Y59" ca="1" si="41">IFERROR(W59+MATCH(1,OFFSET($C59,0,W59+1,1,15-W59),0),"")</f>
        <v/>
      </c>
      <c r="Y59" s="138" t="str">
        <f t="shared" ca="1" si="41"/>
        <v/>
      </c>
      <c r="Z59" s="138" t="str">
        <f t="shared" ca="1" si="4"/>
        <v>TunableWhiteOrDimToWarm</v>
      </c>
      <c r="AA59" s="138" t="str">
        <f t="shared" ca="1" si="12"/>
        <v/>
      </c>
      <c r="AB59" s="138" t="str">
        <f t="shared" ca="1" si="13"/>
        <v/>
      </c>
      <c r="AC59" s="116" t="str">
        <f t="shared" ca="1" si="7"/>
        <v xml:space="preserve">1,    IntLtgSys:IntLtgSpecMthd,   1,    0   ; AreaCategoryMethod
1,    IntLtgSys:ParentSpcFunc,  335,    0   ; Healthcare Facility and Hospitals (Recovery Room)
2,              0,    "- none specified -"
2,              15,    "TunableWhiteOrDimToWarm"
</v>
      </c>
    </row>
    <row r="60" spans="2:29" x14ac:dyDescent="0.25">
      <c r="C60" s="138" t="s">
        <v>647</v>
      </c>
      <c r="D60" s="331">
        <v>0</v>
      </c>
      <c r="E60" s="331">
        <v>0</v>
      </c>
      <c r="F60" s="332">
        <v>0</v>
      </c>
      <c r="G60" s="331">
        <v>0</v>
      </c>
      <c r="H60" s="331">
        <v>0</v>
      </c>
      <c r="I60" s="331">
        <v>0</v>
      </c>
      <c r="J60" s="331">
        <v>0</v>
      </c>
      <c r="K60" s="331">
        <v>0</v>
      </c>
      <c r="L60" s="331">
        <v>0</v>
      </c>
      <c r="M60" s="331">
        <v>0</v>
      </c>
      <c r="N60" s="331">
        <v>0</v>
      </c>
      <c r="O60" s="331">
        <v>0</v>
      </c>
      <c r="P60" s="331">
        <v>0</v>
      </c>
      <c r="Q60" s="331">
        <v>0</v>
      </c>
      <c r="R60" s="331">
        <v>0</v>
      </c>
      <c r="S60" s="138" t="s">
        <v>250</v>
      </c>
      <c r="T60" s="138">
        <v>336</v>
      </c>
      <c r="U60" s="138">
        <f t="shared" si="39"/>
        <v>0</v>
      </c>
      <c r="V60" s="329">
        <f t="shared" si="1"/>
        <v>0</v>
      </c>
      <c r="W60" s="138" t="e">
        <f t="shared" ca="1" si="2"/>
        <v>#N/A</v>
      </c>
      <c r="X60" s="138" t="str">
        <f t="shared" ref="X60:Y60" ca="1" si="42">IFERROR(W60+MATCH(1,OFFSET($C60,0,W60+1,1,15-W60),0),"")</f>
        <v/>
      </c>
      <c r="Y60" s="138" t="str">
        <f t="shared" ca="1" si="42"/>
        <v/>
      </c>
      <c r="Z60" s="138" t="e">
        <f t="shared" ca="1" si="4"/>
        <v>#N/A</v>
      </c>
      <c r="AA60" s="138" t="str">
        <f t="shared" ca="1" si="12"/>
        <v/>
      </c>
      <c r="AB60" s="138" t="str">
        <f t="shared" ca="1" si="13"/>
        <v/>
      </c>
      <c r="AC60" s="116" t="str">
        <f t="shared" si="7"/>
        <v/>
      </c>
    </row>
    <row r="61" spans="2:29" x14ac:dyDescent="0.25">
      <c r="C61" s="138" t="s">
        <v>532</v>
      </c>
      <c r="D61" s="331">
        <v>0</v>
      </c>
      <c r="E61" s="331">
        <v>0</v>
      </c>
      <c r="F61" s="332">
        <v>1</v>
      </c>
      <c r="G61" s="331">
        <v>0</v>
      </c>
      <c r="H61" s="331">
        <v>0</v>
      </c>
      <c r="I61" s="331">
        <v>0</v>
      </c>
      <c r="J61" s="331">
        <v>0</v>
      </c>
      <c r="K61" s="331">
        <v>0</v>
      </c>
      <c r="L61" s="331">
        <v>0</v>
      </c>
      <c r="M61" s="331">
        <v>0</v>
      </c>
      <c r="N61" s="331">
        <v>0</v>
      </c>
      <c r="O61" s="331">
        <v>0</v>
      </c>
      <c r="P61" s="331">
        <v>0</v>
      </c>
      <c r="Q61" s="331">
        <v>0</v>
      </c>
      <c r="R61" s="331">
        <v>0</v>
      </c>
      <c r="S61" s="138" t="s">
        <v>250</v>
      </c>
      <c r="T61" s="138">
        <v>337</v>
      </c>
      <c r="U61" s="138">
        <f t="shared" si="39"/>
        <v>1</v>
      </c>
      <c r="V61" s="329">
        <f t="shared" si="1"/>
        <v>1</v>
      </c>
      <c r="W61" s="138">
        <f t="shared" ca="1" si="2"/>
        <v>3</v>
      </c>
      <c r="X61" s="138" t="str">
        <f t="shared" ref="X61:Y61" ca="1" si="43">IFERROR(W61+MATCH(1,OFFSET($C61,0,W61+1,1,15-W61),0),"")</f>
        <v/>
      </c>
      <c r="Y61" s="138" t="str">
        <f t="shared" ca="1" si="43"/>
        <v/>
      </c>
      <c r="Z61" s="138" t="str">
        <f t="shared" ca="1" si="4"/>
        <v>Decorative/Display</v>
      </c>
      <c r="AA61" s="138" t="str">
        <f t="shared" ca="1" si="12"/>
        <v/>
      </c>
      <c r="AB61" s="138" t="str">
        <f t="shared" ca="1" si="13"/>
        <v/>
      </c>
      <c r="AC61" s="116" t="str">
        <f t="shared" ca="1" si="7"/>
        <v xml:space="preserve">1,    IntLtgSys:IntLtgSpecMthd,   1,    0   ; AreaCategoryMethod
1,    IntLtgSys:ParentSpcFunc,  337,    0   ; Hotel Function Area
2,              0,    "- none specified -"
2,              3,    "Decorative/Display"
</v>
      </c>
    </row>
    <row r="62" spans="2:29" x14ac:dyDescent="0.25">
      <c r="C62" s="138" t="s">
        <v>648</v>
      </c>
      <c r="D62" s="331">
        <v>0</v>
      </c>
      <c r="E62" s="331">
        <v>0</v>
      </c>
      <c r="F62" s="332">
        <v>0</v>
      </c>
      <c r="G62" s="331">
        <v>0</v>
      </c>
      <c r="H62" s="331">
        <v>0</v>
      </c>
      <c r="I62" s="331">
        <v>0</v>
      </c>
      <c r="J62" s="331">
        <v>0</v>
      </c>
      <c r="K62" s="331">
        <v>0</v>
      </c>
      <c r="L62" s="331">
        <v>0</v>
      </c>
      <c r="M62" s="331">
        <v>0</v>
      </c>
      <c r="N62" s="331">
        <v>0</v>
      </c>
      <c r="O62" s="331">
        <v>0</v>
      </c>
      <c r="P62" s="331">
        <v>0</v>
      </c>
      <c r="Q62" s="331">
        <v>0</v>
      </c>
      <c r="R62" s="331">
        <v>0</v>
      </c>
      <c r="S62" s="138" t="s">
        <v>250</v>
      </c>
      <c r="T62" s="138">
        <v>338</v>
      </c>
      <c r="U62" s="138">
        <f t="shared" si="39"/>
        <v>0</v>
      </c>
      <c r="V62" s="329">
        <f t="shared" si="1"/>
        <v>0</v>
      </c>
      <c r="W62" s="138" t="e">
        <f t="shared" ca="1" si="2"/>
        <v>#N/A</v>
      </c>
      <c r="X62" s="138" t="str">
        <f t="shared" ref="X62:Y62" ca="1" si="44">IFERROR(W62+MATCH(1,OFFSET($C62,0,W62+1,1,15-W62),0),"")</f>
        <v/>
      </c>
      <c r="Y62" s="138" t="str">
        <f t="shared" ca="1" si="44"/>
        <v/>
      </c>
      <c r="Z62" s="138" t="e">
        <f t="shared" ca="1" si="4"/>
        <v>#N/A</v>
      </c>
      <c r="AA62" s="138" t="str">
        <f t="shared" ca="1" si="12"/>
        <v/>
      </c>
      <c r="AB62" s="138" t="str">
        <f t="shared" ca="1" si="13"/>
        <v/>
      </c>
      <c r="AC62" s="116" t="str">
        <f t="shared" si="7"/>
        <v/>
      </c>
    </row>
    <row r="63" spans="2:29" x14ac:dyDescent="0.25">
      <c r="C63" s="138" t="s">
        <v>954</v>
      </c>
      <c r="D63" s="331">
        <v>0</v>
      </c>
      <c r="E63" s="331">
        <v>0</v>
      </c>
      <c r="F63" s="332">
        <v>0</v>
      </c>
      <c r="G63" s="331">
        <v>0</v>
      </c>
      <c r="H63" s="331">
        <v>0</v>
      </c>
      <c r="I63" s="331">
        <v>0</v>
      </c>
      <c r="J63" s="331">
        <v>0</v>
      </c>
      <c r="K63" s="331">
        <v>0</v>
      </c>
      <c r="L63" s="331">
        <v>0</v>
      </c>
      <c r="M63" s="331">
        <v>0</v>
      </c>
      <c r="N63" s="331">
        <v>0</v>
      </c>
      <c r="O63" s="331">
        <v>0</v>
      </c>
      <c r="P63" s="331">
        <v>0</v>
      </c>
      <c r="Q63" s="331">
        <v>0</v>
      </c>
      <c r="R63" s="331">
        <v>0</v>
      </c>
      <c r="S63" s="138" t="s">
        <v>250</v>
      </c>
      <c r="T63" s="138">
        <v>339</v>
      </c>
      <c r="U63" s="138">
        <f t="shared" si="39"/>
        <v>0</v>
      </c>
      <c r="V63" s="329">
        <f t="shared" si="1"/>
        <v>0</v>
      </c>
      <c r="W63" s="138" t="e">
        <f t="shared" ca="1" si="2"/>
        <v>#N/A</v>
      </c>
      <c r="X63" s="138" t="str">
        <f t="shared" ref="X63:Y63" ca="1" si="45">IFERROR(W63+MATCH(1,OFFSET($C63,0,W63+1,1,15-W63),0),"")</f>
        <v/>
      </c>
      <c r="Y63" s="138" t="str">
        <f t="shared" ca="1" si="45"/>
        <v/>
      </c>
      <c r="Z63" s="138" t="e">
        <f t="shared" ca="1" si="4"/>
        <v>#N/A</v>
      </c>
      <c r="AA63" s="138" t="str">
        <f t="shared" ca="1" si="12"/>
        <v/>
      </c>
      <c r="AB63" s="138" t="str">
        <f t="shared" ca="1" si="13"/>
        <v/>
      </c>
      <c r="AC63" s="116" t="str">
        <f t="shared" si="7"/>
        <v/>
      </c>
    </row>
    <row r="64" spans="2:29" x14ac:dyDescent="0.25">
      <c r="C64" s="138" t="s">
        <v>652</v>
      </c>
      <c r="D64" s="331">
        <v>0</v>
      </c>
      <c r="E64" s="331">
        <v>0</v>
      </c>
      <c r="F64" s="332">
        <v>0</v>
      </c>
      <c r="G64" s="331">
        <v>0</v>
      </c>
      <c r="H64" s="331">
        <v>0</v>
      </c>
      <c r="I64" s="331">
        <v>0</v>
      </c>
      <c r="J64" s="331">
        <v>0</v>
      </c>
      <c r="K64" s="331">
        <v>0</v>
      </c>
      <c r="L64" s="331">
        <v>0</v>
      </c>
      <c r="M64" s="331">
        <v>0</v>
      </c>
      <c r="N64" s="331">
        <v>0</v>
      </c>
      <c r="O64" s="331">
        <v>0</v>
      </c>
      <c r="P64" s="331">
        <v>0</v>
      </c>
      <c r="Q64" s="331">
        <v>0</v>
      </c>
      <c r="R64" s="331">
        <v>0</v>
      </c>
      <c r="S64" s="138" t="s">
        <v>250</v>
      </c>
      <c r="T64" s="138">
        <v>340</v>
      </c>
      <c r="U64" s="138">
        <f t="shared" si="39"/>
        <v>0</v>
      </c>
      <c r="V64" s="329">
        <f t="shared" si="1"/>
        <v>0</v>
      </c>
      <c r="W64" s="138" t="e">
        <f t="shared" ca="1" si="2"/>
        <v>#N/A</v>
      </c>
      <c r="X64" s="138" t="str">
        <f t="shared" ref="X64:Y64" ca="1" si="46">IFERROR(W64+MATCH(1,OFFSET($C64,0,W64+1,1,15-W64),0),"")</f>
        <v/>
      </c>
      <c r="Y64" s="138" t="str">
        <f t="shared" ca="1" si="46"/>
        <v/>
      </c>
      <c r="Z64" s="138" t="e">
        <f t="shared" ca="1" si="4"/>
        <v>#N/A</v>
      </c>
      <c r="AA64" s="138" t="str">
        <f t="shared" ca="1" si="12"/>
        <v/>
      </c>
      <c r="AB64" s="138" t="str">
        <f t="shared" ca="1" si="13"/>
        <v/>
      </c>
      <c r="AC64" s="116" t="str">
        <f t="shared" si="7"/>
        <v/>
      </c>
    </row>
    <row r="65" spans="2:29" x14ac:dyDescent="0.25">
      <c r="C65" s="138" t="s">
        <v>653</v>
      </c>
      <c r="D65" s="331">
        <v>0</v>
      </c>
      <c r="E65" s="331">
        <v>1</v>
      </c>
      <c r="F65" s="332">
        <v>0</v>
      </c>
      <c r="G65" s="331">
        <v>0</v>
      </c>
      <c r="H65" s="331">
        <v>0</v>
      </c>
      <c r="I65" s="331">
        <v>0</v>
      </c>
      <c r="J65" s="331">
        <v>0</v>
      </c>
      <c r="K65" s="331">
        <v>0</v>
      </c>
      <c r="L65" s="331">
        <v>0</v>
      </c>
      <c r="M65" s="331">
        <v>0</v>
      </c>
      <c r="N65" s="331">
        <v>0</v>
      </c>
      <c r="O65" s="331">
        <v>0</v>
      </c>
      <c r="P65" s="331">
        <v>0</v>
      </c>
      <c r="Q65" s="331">
        <v>0</v>
      </c>
      <c r="R65" s="331">
        <v>0</v>
      </c>
      <c r="S65" s="138" t="s">
        <v>250</v>
      </c>
      <c r="T65" s="138">
        <v>341</v>
      </c>
      <c r="U65" s="138">
        <f t="shared" si="39"/>
        <v>1</v>
      </c>
      <c r="V65" s="329">
        <f t="shared" si="1"/>
        <v>1</v>
      </c>
      <c r="W65" s="138">
        <f t="shared" ca="1" si="2"/>
        <v>2</v>
      </c>
      <c r="X65" s="138" t="str">
        <f t="shared" ref="X65:Y65" ca="1" si="47">IFERROR(W65+MATCH(1,OFFSET($C65,0,W65+1,1,15-W65),0),"")</f>
        <v/>
      </c>
      <c r="Y65" s="138" t="str">
        <f t="shared" ca="1" si="47"/>
        <v/>
      </c>
      <c r="Z65" s="138" t="str">
        <f t="shared" ca="1" si="4"/>
        <v>SpecializedTaskWork</v>
      </c>
      <c r="AA65" s="138" t="str">
        <f t="shared" ca="1" si="12"/>
        <v/>
      </c>
      <c r="AB65" s="138" t="str">
        <f t="shared" ca="1" si="13"/>
        <v/>
      </c>
      <c r="AC65" s="116" t="str">
        <f t="shared" ca="1" si="7"/>
        <v xml:space="preserve">1,    IntLtgSys:IntLtgSpecMthd,   1,    0   ; AreaCategoryMethod
1,    IntLtgSys:ParentSpcFunc,  341,    0   ; Laboratory, Scientific
2,              0,    "- none specified -"
2,              2,    "SpecializedTaskWork"
</v>
      </c>
    </row>
    <row r="66" spans="2:29" x14ac:dyDescent="0.25">
      <c r="C66" s="138" t="s">
        <v>955</v>
      </c>
      <c r="D66" s="331">
        <v>0</v>
      </c>
      <c r="E66" s="331">
        <v>0</v>
      </c>
      <c r="F66" s="332">
        <v>0</v>
      </c>
      <c r="G66" s="331">
        <v>0</v>
      </c>
      <c r="H66" s="331">
        <v>0</v>
      </c>
      <c r="I66" s="331">
        <v>0</v>
      </c>
      <c r="J66" s="331">
        <v>0</v>
      </c>
      <c r="K66" s="331">
        <v>0</v>
      </c>
      <c r="L66" s="331">
        <v>0</v>
      </c>
      <c r="M66" s="331">
        <v>0</v>
      </c>
      <c r="N66" s="331">
        <v>0</v>
      </c>
      <c r="O66" s="331">
        <v>0</v>
      </c>
      <c r="P66" s="331">
        <v>0</v>
      </c>
      <c r="Q66" s="331">
        <v>0</v>
      </c>
      <c r="R66" s="331">
        <v>0</v>
      </c>
      <c r="S66" s="138" t="s">
        <v>250</v>
      </c>
      <c r="T66" s="138">
        <v>342</v>
      </c>
      <c r="U66" s="138">
        <f t="shared" si="39"/>
        <v>0</v>
      </c>
      <c r="V66" s="329">
        <f t="shared" si="1"/>
        <v>0</v>
      </c>
      <c r="W66" s="138" t="e">
        <f t="shared" ca="1" si="2"/>
        <v>#N/A</v>
      </c>
      <c r="X66" s="138" t="str">
        <f t="shared" ref="X66:Y66" ca="1" si="48">IFERROR(W66+MATCH(1,OFFSET($C66,0,W66+1,1,15-W66),0),"")</f>
        <v/>
      </c>
      <c r="Y66" s="138" t="str">
        <f t="shared" ca="1" si="48"/>
        <v/>
      </c>
      <c r="Z66" s="138" t="e">
        <f t="shared" ca="1" si="4"/>
        <v>#N/A</v>
      </c>
      <c r="AA66" s="138" t="str">
        <f t="shared" ca="1" si="12"/>
        <v/>
      </c>
      <c r="AB66" s="138" t="str">
        <f t="shared" ca="1" si="13"/>
        <v/>
      </c>
      <c r="AC66" s="116" t="str">
        <f t="shared" si="7"/>
        <v/>
      </c>
    </row>
    <row r="67" spans="2:29" x14ac:dyDescent="0.25">
      <c r="C67" s="138" t="s">
        <v>956</v>
      </c>
      <c r="D67" s="331">
        <v>0</v>
      </c>
      <c r="E67" s="331">
        <v>0</v>
      </c>
      <c r="F67" s="332">
        <v>1</v>
      </c>
      <c r="G67" s="331">
        <v>0</v>
      </c>
      <c r="H67" s="331">
        <v>0</v>
      </c>
      <c r="I67" s="331">
        <v>0</v>
      </c>
      <c r="J67" s="331">
        <v>0</v>
      </c>
      <c r="K67" s="331">
        <v>0</v>
      </c>
      <c r="L67" s="331">
        <v>0</v>
      </c>
      <c r="M67" s="331">
        <v>0</v>
      </c>
      <c r="N67" s="331">
        <v>0</v>
      </c>
      <c r="O67" s="331">
        <v>0</v>
      </c>
      <c r="P67" s="331">
        <v>0</v>
      </c>
      <c r="Q67" s="331">
        <v>0</v>
      </c>
      <c r="R67" s="331">
        <v>0</v>
      </c>
      <c r="S67" s="138" t="s">
        <v>250</v>
      </c>
      <c r="T67" s="138">
        <v>343</v>
      </c>
      <c r="U67" s="138">
        <f t="shared" si="39"/>
        <v>1</v>
      </c>
      <c r="V67" s="329">
        <f t="shared" si="1"/>
        <v>1</v>
      </c>
      <c r="W67" s="138">
        <f t="shared" ca="1" si="2"/>
        <v>3</v>
      </c>
      <c r="X67" s="138" t="str">
        <f t="shared" ref="X67:Y67" ca="1" si="49">IFERROR(W67+MATCH(1,OFFSET($C67,0,W67+1,1,15-W67),0),"")</f>
        <v/>
      </c>
      <c r="Y67" s="138" t="str">
        <f t="shared" ca="1" si="49"/>
        <v/>
      </c>
      <c r="Z67" s="138" t="str">
        <f t="shared" ca="1" si="4"/>
        <v>Decorative/Display</v>
      </c>
      <c r="AA67" s="138" t="str">
        <f t="shared" ca="1" si="12"/>
        <v/>
      </c>
      <c r="AB67" s="138" t="str">
        <f t="shared" ca="1" si="13"/>
        <v/>
      </c>
      <c r="AC67" s="116" t="str">
        <f t="shared" ca="1" si="7"/>
        <v xml:space="preserve">1,    IntLtgSys:IntLtgSpecMthd,   1,    0   ; AreaCategoryMethod
1,    IntLtgSys:ParentSpcFunc,  343,    0   ; Library (Reading Area)
2,              0,    "- none specified -"
2,              3,    "Decorative/Display"
</v>
      </c>
    </row>
    <row r="68" spans="2:29" x14ac:dyDescent="0.25">
      <c r="B68" s="329"/>
      <c r="C68" s="138" t="s">
        <v>957</v>
      </c>
      <c r="D68" s="331">
        <v>0</v>
      </c>
      <c r="E68" s="331">
        <v>0</v>
      </c>
      <c r="F68" s="332">
        <v>0</v>
      </c>
      <c r="G68" s="331">
        <v>0</v>
      </c>
      <c r="H68" s="331">
        <v>0</v>
      </c>
      <c r="I68" s="331">
        <v>0</v>
      </c>
      <c r="J68" s="331">
        <v>0</v>
      </c>
      <c r="K68" s="331">
        <v>0</v>
      </c>
      <c r="L68" s="331">
        <v>0</v>
      </c>
      <c r="M68" s="331">
        <v>0</v>
      </c>
      <c r="N68" s="331">
        <v>0</v>
      </c>
      <c r="O68" s="331">
        <v>0</v>
      </c>
      <c r="P68" s="331">
        <v>0</v>
      </c>
      <c r="Q68" s="331">
        <v>0</v>
      </c>
      <c r="R68" s="331">
        <v>0</v>
      </c>
      <c r="S68" s="138" t="s">
        <v>250</v>
      </c>
      <c r="T68" s="138">
        <v>344</v>
      </c>
      <c r="U68" s="138">
        <f t="shared" si="39"/>
        <v>0</v>
      </c>
      <c r="V68" s="329">
        <f t="shared" si="1"/>
        <v>0</v>
      </c>
      <c r="W68" s="138" t="e">
        <f t="shared" ca="1" si="2"/>
        <v>#N/A</v>
      </c>
      <c r="X68" s="138" t="str">
        <f t="shared" ref="X68:Y68" ca="1" si="50">IFERROR(W68+MATCH(1,OFFSET($C68,0,W68+1,1,15-W68),0),"")</f>
        <v/>
      </c>
      <c r="Y68" s="138" t="str">
        <f t="shared" ca="1" si="50"/>
        <v/>
      </c>
      <c r="Z68" s="138" t="e">
        <f t="shared" ca="1" si="4"/>
        <v>#N/A</v>
      </c>
      <c r="AA68" s="138" t="str">
        <f t="shared" ca="1" si="12"/>
        <v/>
      </c>
      <c r="AB68" s="138" t="str">
        <f t="shared" ca="1" si="13"/>
        <v/>
      </c>
      <c r="AC68" s="116" t="str">
        <f t="shared" si="7"/>
        <v/>
      </c>
    </row>
    <row r="69" spans="2:29" x14ac:dyDescent="0.25">
      <c r="C69" s="138" t="s">
        <v>534</v>
      </c>
      <c r="D69" s="331">
        <v>0</v>
      </c>
      <c r="E69" s="331">
        <v>0</v>
      </c>
      <c r="F69" s="332">
        <v>1</v>
      </c>
      <c r="G69" s="331">
        <v>0</v>
      </c>
      <c r="H69" s="331">
        <v>0</v>
      </c>
      <c r="I69" s="331">
        <v>0</v>
      </c>
      <c r="J69" s="331">
        <v>0</v>
      </c>
      <c r="K69" s="331">
        <v>0</v>
      </c>
      <c r="L69" s="331">
        <v>0</v>
      </c>
      <c r="M69" s="331">
        <v>0</v>
      </c>
      <c r="N69" s="331">
        <v>0</v>
      </c>
      <c r="O69" s="331">
        <v>0</v>
      </c>
      <c r="P69" s="331">
        <v>0</v>
      </c>
      <c r="Q69" s="331">
        <v>0</v>
      </c>
      <c r="R69" s="331">
        <v>0</v>
      </c>
      <c r="S69" s="138" t="s">
        <v>250</v>
      </c>
      <c r="T69" s="138">
        <v>345</v>
      </c>
      <c r="U69" s="138">
        <f t="shared" si="39"/>
        <v>1</v>
      </c>
      <c r="V69" s="329">
        <f t="shared" si="1"/>
        <v>1</v>
      </c>
      <c r="W69" s="138">
        <f t="shared" ca="1" si="2"/>
        <v>3</v>
      </c>
      <c r="X69" s="138" t="str">
        <f t="shared" ref="X69:Y69" ca="1" si="51">IFERROR(W69+MATCH(1,OFFSET($C69,0,W69+1,1,15-W69),0),"")</f>
        <v/>
      </c>
      <c r="Y69" s="138" t="str">
        <f t="shared" ca="1" si="51"/>
        <v/>
      </c>
      <c r="Z69" s="138" t="str">
        <f ca="1">OFFSET($C$9,15,MATCH(1,$D69:$R69,0))</f>
        <v>Decorative/Display</v>
      </c>
      <c r="AA69" s="138" t="str">
        <f t="shared" ca="1" si="12"/>
        <v/>
      </c>
      <c r="AB69" s="138" t="str">
        <f t="shared" ca="1" si="13"/>
        <v/>
      </c>
      <c r="AC69" s="116" t="str">
        <f t="shared" ca="1" si="7"/>
        <v xml:space="preserve">1,    IntLtgSys:IntLtgSpecMthd,   1,    0   ; AreaCategoryMethod
1,    IntLtgSys:ParentSpcFunc,  345,    0   ; Lobby, Main Entry
2,              0,    "- none specified -"
2,              3,    "Decorative/Display"
</v>
      </c>
    </row>
    <row r="70" spans="2:29" x14ac:dyDescent="0.25">
      <c r="C70" s="138" t="s">
        <v>830</v>
      </c>
      <c r="D70" s="331">
        <v>0</v>
      </c>
      <c r="E70" s="331">
        <v>0</v>
      </c>
      <c r="F70" s="332">
        <v>0</v>
      </c>
      <c r="G70" s="331">
        <v>0</v>
      </c>
      <c r="H70" s="331">
        <v>0</v>
      </c>
      <c r="I70" s="331">
        <v>0</v>
      </c>
      <c r="J70" s="331">
        <v>0</v>
      </c>
      <c r="K70" s="331">
        <v>0</v>
      </c>
      <c r="L70" s="331">
        <v>0</v>
      </c>
      <c r="M70" s="331">
        <v>0</v>
      </c>
      <c r="N70" s="331">
        <v>0</v>
      </c>
      <c r="O70" s="331">
        <v>0</v>
      </c>
      <c r="P70" s="331">
        <v>0</v>
      </c>
      <c r="Q70" s="331">
        <v>0</v>
      </c>
      <c r="R70" s="331">
        <v>0</v>
      </c>
      <c r="S70" s="138" t="s">
        <v>250</v>
      </c>
      <c r="T70" s="138">
        <v>346</v>
      </c>
      <c r="U70" s="138">
        <f t="shared" si="39"/>
        <v>0</v>
      </c>
      <c r="V70" s="329">
        <f t="shared" si="1"/>
        <v>0</v>
      </c>
      <c r="W70" s="138" t="e">
        <f t="shared" ca="1" si="2"/>
        <v>#N/A</v>
      </c>
      <c r="X70" s="138" t="str">
        <f t="shared" ref="X70:Y70" ca="1" si="52">IFERROR(W70+MATCH(1,OFFSET($C70,0,W70+1,1,15-W70),0),"")</f>
        <v/>
      </c>
      <c r="Y70" s="138" t="str">
        <f t="shared" ca="1" si="52"/>
        <v/>
      </c>
      <c r="Z70" s="138" t="e">
        <f t="shared" ca="1" si="4"/>
        <v>#N/A</v>
      </c>
      <c r="AA70" s="138" t="str">
        <f t="shared" ca="1" si="12"/>
        <v/>
      </c>
      <c r="AB70" s="138" t="str">
        <f t="shared" ca="1" si="13"/>
        <v/>
      </c>
      <c r="AC70" s="116" t="str">
        <f t="shared" si="7"/>
        <v/>
      </c>
    </row>
    <row r="71" spans="2:29" x14ac:dyDescent="0.25">
      <c r="C71" s="138" t="s">
        <v>958</v>
      </c>
      <c r="D71" s="331">
        <v>0</v>
      </c>
      <c r="E71" s="331">
        <v>0</v>
      </c>
      <c r="F71" s="332">
        <v>1</v>
      </c>
      <c r="G71" s="331">
        <v>0</v>
      </c>
      <c r="H71" s="331">
        <v>0</v>
      </c>
      <c r="I71" s="331">
        <v>0</v>
      </c>
      <c r="J71" s="331">
        <v>0</v>
      </c>
      <c r="K71" s="331">
        <v>0</v>
      </c>
      <c r="L71" s="331">
        <v>0</v>
      </c>
      <c r="M71" s="331">
        <v>0</v>
      </c>
      <c r="N71" s="331">
        <v>0</v>
      </c>
      <c r="O71" s="331">
        <v>0</v>
      </c>
      <c r="P71" s="331">
        <v>0</v>
      </c>
      <c r="Q71" s="331">
        <v>0</v>
      </c>
      <c r="R71" s="331">
        <v>0</v>
      </c>
      <c r="S71" s="138" t="s">
        <v>250</v>
      </c>
      <c r="T71" s="138">
        <v>347</v>
      </c>
      <c r="U71" s="138">
        <f t="shared" si="39"/>
        <v>1</v>
      </c>
      <c r="V71" s="329">
        <f t="shared" si="1"/>
        <v>1</v>
      </c>
      <c r="W71" s="138">
        <f t="shared" ca="1" si="2"/>
        <v>3</v>
      </c>
      <c r="X71" s="138" t="str">
        <f t="shared" ref="X71:Y71" ca="1" si="53">IFERROR(W71+MATCH(1,OFFSET($C71,0,W71+1,1,15-W71),0),"")</f>
        <v/>
      </c>
      <c r="Y71" s="138" t="str">
        <f t="shared" ca="1" si="53"/>
        <v/>
      </c>
      <c r="Z71" s="138" t="str">
        <f t="shared" ca="1" si="4"/>
        <v>Decorative/Display</v>
      </c>
      <c r="AA71" s="138" t="str">
        <f t="shared" ca="1" si="12"/>
        <v/>
      </c>
      <c r="AB71" s="138" t="str">
        <f t="shared" ca="1" si="13"/>
        <v/>
      </c>
      <c r="AC71" s="116" t="str">
        <f t="shared" ca="1" si="7"/>
        <v xml:space="preserve">1,    IntLtgSys:IntLtgSpecMthd,   1,    0   ; AreaCategoryMethod
1,    IntLtgSys:ParentSpcFunc,  347,    0   ; Lounge, Breakroom, or Waiting Area
2,              0,    "- none specified -"
2,              3,    "Decorative/Display"
</v>
      </c>
    </row>
    <row r="72" spans="2:29" x14ac:dyDescent="0.25">
      <c r="C72" s="138" t="s">
        <v>1067</v>
      </c>
      <c r="D72" s="331">
        <v>1</v>
      </c>
      <c r="E72" s="331">
        <v>0</v>
      </c>
      <c r="F72" s="332">
        <v>0</v>
      </c>
      <c r="G72" s="331">
        <v>0</v>
      </c>
      <c r="H72" s="331">
        <v>0</v>
      </c>
      <c r="I72" s="331">
        <v>0</v>
      </c>
      <c r="J72" s="331">
        <v>0</v>
      </c>
      <c r="K72" s="331">
        <v>0</v>
      </c>
      <c r="L72" s="331">
        <v>0</v>
      </c>
      <c r="M72" s="331">
        <v>0</v>
      </c>
      <c r="N72" s="331">
        <v>0</v>
      </c>
      <c r="O72" s="331">
        <v>0</v>
      </c>
      <c r="P72" s="331">
        <v>0</v>
      </c>
      <c r="Q72" s="331">
        <v>0</v>
      </c>
      <c r="R72" s="331">
        <v>0</v>
      </c>
      <c r="S72" s="138" t="s">
        <v>250</v>
      </c>
      <c r="T72" s="138">
        <v>348</v>
      </c>
      <c r="U72" s="138">
        <f t="shared" si="39"/>
        <v>1</v>
      </c>
      <c r="V72" s="329">
        <f t="shared" si="1"/>
        <v>1</v>
      </c>
      <c r="W72" s="138">
        <f t="shared" ca="1" si="2"/>
        <v>1</v>
      </c>
      <c r="X72" s="138" t="str">
        <f t="shared" ref="X72:Y72" ca="1" si="54">IFERROR(W72+MATCH(1,OFFSET($C72,0,W72+1,1,15-W72),0),"")</f>
        <v/>
      </c>
      <c r="Y72" s="138" t="str">
        <f t="shared" ca="1" si="54"/>
        <v/>
      </c>
      <c r="Z72" s="138" t="str">
        <f t="shared" ca="1" si="4"/>
        <v>DetailedTaskWork</v>
      </c>
      <c r="AA72" s="138" t="str">
        <f t="shared" ca="1" si="12"/>
        <v/>
      </c>
      <c r="AB72" s="138" t="str">
        <f t="shared" ca="1" si="13"/>
        <v/>
      </c>
      <c r="AC72" s="116" t="str">
        <f t="shared" ca="1" si="7"/>
        <v xml:space="preserve">1,    IntLtgSys:IntLtgSpecMthd,   1,    0   ; AreaCategoryMethod
1,    IntLtgSys:ParentSpcFunc,  348,    0   ; Manufacturing, Commercial &amp; Industrial Work Area (Low Bay)
2,              0,    "- none specified -"
2,              1,    "DetailedTaskWork"
</v>
      </c>
    </row>
    <row r="73" spans="2:29" x14ac:dyDescent="0.25">
      <c r="B73" s="329"/>
      <c r="C73" s="138" t="s">
        <v>1068</v>
      </c>
      <c r="D73" s="331">
        <v>1</v>
      </c>
      <c r="E73" s="331">
        <v>0</v>
      </c>
      <c r="F73" s="332">
        <v>0</v>
      </c>
      <c r="G73" s="331">
        <v>0</v>
      </c>
      <c r="H73" s="331">
        <v>0</v>
      </c>
      <c r="I73" s="331">
        <v>0</v>
      </c>
      <c r="J73" s="331">
        <v>0</v>
      </c>
      <c r="K73" s="331">
        <v>0</v>
      </c>
      <c r="L73" s="331">
        <v>0</v>
      </c>
      <c r="M73" s="331">
        <v>0</v>
      </c>
      <c r="N73" s="331">
        <v>0</v>
      </c>
      <c r="O73" s="331">
        <v>0</v>
      </c>
      <c r="P73" s="331">
        <v>0</v>
      </c>
      <c r="Q73" s="331">
        <v>0</v>
      </c>
      <c r="R73" s="331">
        <v>0</v>
      </c>
      <c r="S73" s="138" t="s">
        <v>250</v>
      </c>
      <c r="T73" s="138">
        <v>349</v>
      </c>
      <c r="U73" s="138">
        <f t="shared" si="39"/>
        <v>1</v>
      </c>
      <c r="V73" s="329">
        <f t="shared" si="1"/>
        <v>1</v>
      </c>
      <c r="W73" s="138">
        <f t="shared" ca="1" si="2"/>
        <v>1</v>
      </c>
      <c r="X73" s="138" t="str">
        <f t="shared" ref="X73:Y73" ca="1" si="55">IFERROR(W73+MATCH(1,OFFSET($C73,0,W73+1,1,15-W73),0),"")</f>
        <v/>
      </c>
      <c r="Y73" s="138" t="str">
        <f t="shared" ca="1" si="55"/>
        <v/>
      </c>
      <c r="Z73" s="138" t="str">
        <f t="shared" ca="1" si="4"/>
        <v>DetailedTaskWork</v>
      </c>
      <c r="AA73" s="138" t="str">
        <f t="shared" ca="1" si="12"/>
        <v/>
      </c>
      <c r="AB73" s="138" t="str">
        <f t="shared" ca="1" si="13"/>
        <v/>
      </c>
      <c r="AC73" s="116" t="str">
        <f t="shared" ca="1" si="7"/>
        <v xml:space="preserve">1,    IntLtgSys:IntLtgSpecMthd,   1,    0   ; AreaCategoryMethod
1,    IntLtgSys:ParentSpcFunc,  349,    0   ; Manufacturing, Commercial &amp; Industrial Work Area (High Bay)
2,              0,    "- none specified -"
2,              1,    "DetailedTaskWork"
</v>
      </c>
    </row>
    <row r="74" spans="2:29" x14ac:dyDescent="0.25">
      <c r="C74" s="138" t="s">
        <v>1069</v>
      </c>
      <c r="D74" s="331">
        <v>0</v>
      </c>
      <c r="E74" s="331">
        <v>0</v>
      </c>
      <c r="F74" s="332">
        <v>0</v>
      </c>
      <c r="G74" s="331">
        <v>1</v>
      </c>
      <c r="H74" s="331">
        <v>0</v>
      </c>
      <c r="I74" s="331">
        <v>0</v>
      </c>
      <c r="J74" s="331">
        <v>0</v>
      </c>
      <c r="K74" s="331">
        <v>0</v>
      </c>
      <c r="L74" s="331">
        <v>0</v>
      </c>
      <c r="M74" s="331">
        <v>0</v>
      </c>
      <c r="N74" s="331">
        <v>0</v>
      </c>
      <c r="O74" s="331">
        <v>0</v>
      </c>
      <c r="P74" s="331">
        <v>0</v>
      </c>
      <c r="Q74" s="331">
        <v>0</v>
      </c>
      <c r="R74" s="331">
        <v>0</v>
      </c>
      <c r="S74" s="138" t="s">
        <v>250</v>
      </c>
      <c r="T74" s="138">
        <v>350</v>
      </c>
      <c r="U74" s="138">
        <f t="shared" si="39"/>
        <v>1</v>
      </c>
      <c r="V74" s="329">
        <f t="shared" si="1"/>
        <v>1</v>
      </c>
      <c r="W74" s="138">
        <f t="shared" ca="1" si="2"/>
        <v>4</v>
      </c>
      <c r="X74" s="138" t="str">
        <f t="shared" ref="X74:Y74" ca="1" si="56">IFERROR(W74+MATCH(1,OFFSET($C74,0,W74+1,1,15-W74),0),"")</f>
        <v/>
      </c>
      <c r="Y74" s="138" t="str">
        <f t="shared" ca="1" si="56"/>
        <v/>
      </c>
      <c r="Z74" s="138" t="str">
        <f t="shared" ca="1" si="4"/>
        <v>PrecisionWork</v>
      </c>
      <c r="AA74" s="138" t="str">
        <f t="shared" ca="1" si="12"/>
        <v/>
      </c>
      <c r="AB74" s="138" t="str">
        <f t="shared" ca="1" si="13"/>
        <v/>
      </c>
      <c r="AC74" s="116" t="str">
        <f t="shared" ca="1" si="7"/>
        <v xml:space="preserve">1,    IntLtgSys:IntLtgSpecMthd,   1,    0   ; AreaCategoryMethod
1,    IntLtgSys:ParentSpcFunc,  350,    0   ; Manufacturing, Commercial &amp; Industrial Work Area (Precision)
2,              0,    "- none specified -"
2,              4,    "PrecisionWork"
</v>
      </c>
    </row>
    <row r="75" spans="2:29" x14ac:dyDescent="0.25">
      <c r="C75" s="138" t="s">
        <v>960</v>
      </c>
      <c r="D75" s="331">
        <v>0</v>
      </c>
      <c r="E75" s="331">
        <v>0</v>
      </c>
      <c r="F75" s="332">
        <v>1</v>
      </c>
      <c r="G75" s="331">
        <v>0</v>
      </c>
      <c r="H75" s="331">
        <v>0</v>
      </c>
      <c r="I75" s="331">
        <v>0</v>
      </c>
      <c r="J75" s="331">
        <v>0</v>
      </c>
      <c r="K75" s="331">
        <v>0</v>
      </c>
      <c r="L75" s="331">
        <v>0</v>
      </c>
      <c r="M75" s="331">
        <v>0</v>
      </c>
      <c r="N75" s="331">
        <v>0</v>
      </c>
      <c r="O75" s="331">
        <v>0</v>
      </c>
      <c r="P75" s="331">
        <v>0</v>
      </c>
      <c r="Q75" s="331">
        <v>0</v>
      </c>
      <c r="R75" s="331">
        <v>0</v>
      </c>
      <c r="S75" s="138" t="s">
        <v>250</v>
      </c>
      <c r="T75" s="138">
        <v>351</v>
      </c>
      <c r="U75" s="138">
        <f t="shared" si="39"/>
        <v>1</v>
      </c>
      <c r="V75" s="329">
        <f t="shared" si="1"/>
        <v>1</v>
      </c>
      <c r="W75" s="138">
        <f t="shared" ca="1" si="2"/>
        <v>3</v>
      </c>
      <c r="X75" s="138" t="str">
        <f t="shared" ref="X75:Y75" ca="1" si="57">IFERROR(W75+MATCH(1,OFFSET($C75,0,W75+1,1,15-W75),0),"")</f>
        <v/>
      </c>
      <c r="Y75" s="138" t="str">
        <f t="shared" ca="1" si="57"/>
        <v/>
      </c>
      <c r="Z75" s="138" t="str">
        <f t="shared" ca="1" si="4"/>
        <v>Decorative/Display</v>
      </c>
      <c r="AA75" s="138" t="str">
        <f t="shared" ca="1" si="12"/>
        <v/>
      </c>
      <c r="AB75" s="138" t="str">
        <f t="shared" ca="1" si="13"/>
        <v/>
      </c>
      <c r="AC75" s="116" t="str">
        <f t="shared" ca="1" si="7"/>
        <v xml:space="preserve">1,    IntLtgSys:IntLtgSpecMthd,   1,    0   ; AreaCategoryMethod
1,    IntLtgSys:ParentSpcFunc,  351,    0   ; Museum Area (Exhibition/Display)
2,              0,    "- none specified -"
2,              3,    "Decorative/Display"
</v>
      </c>
    </row>
    <row r="76" spans="2:29" x14ac:dyDescent="0.25">
      <c r="B76" s="329"/>
      <c r="C76" s="138" t="s">
        <v>961</v>
      </c>
      <c r="D76" s="331">
        <v>1</v>
      </c>
      <c r="E76" s="331">
        <v>0</v>
      </c>
      <c r="F76" s="332">
        <v>0</v>
      </c>
      <c r="G76" s="331">
        <v>0</v>
      </c>
      <c r="H76" s="331">
        <v>0</v>
      </c>
      <c r="I76" s="331">
        <v>0</v>
      </c>
      <c r="J76" s="331">
        <v>0</v>
      </c>
      <c r="K76" s="331">
        <v>0</v>
      </c>
      <c r="L76" s="331">
        <v>0</v>
      </c>
      <c r="M76" s="331">
        <v>0</v>
      </c>
      <c r="N76" s="331">
        <v>0</v>
      </c>
      <c r="O76" s="331">
        <v>0</v>
      </c>
      <c r="P76" s="331">
        <v>0</v>
      </c>
      <c r="Q76" s="331">
        <v>0</v>
      </c>
      <c r="R76" s="331">
        <v>0</v>
      </c>
      <c r="S76" s="138" t="s">
        <v>250</v>
      </c>
      <c r="T76" s="138">
        <v>352</v>
      </c>
      <c r="U76" s="138">
        <f t="shared" si="39"/>
        <v>1</v>
      </c>
      <c r="V76" s="329">
        <f t="shared" si="1"/>
        <v>1</v>
      </c>
      <c r="W76" s="138">
        <f t="shared" ca="1" si="2"/>
        <v>1</v>
      </c>
      <c r="X76" s="138" t="str">
        <f t="shared" ref="X76:Y76" ca="1" si="58">IFERROR(W76+MATCH(1,OFFSET($C76,0,W76+1,1,15-W76),0),"")</f>
        <v/>
      </c>
      <c r="Y76" s="138" t="str">
        <f t="shared" ca="1" si="58"/>
        <v/>
      </c>
      <c r="Z76" s="138" t="str">
        <f t="shared" ca="1" si="4"/>
        <v>DetailedTaskWork</v>
      </c>
      <c r="AA76" s="138" t="str">
        <f t="shared" ca="1" si="12"/>
        <v/>
      </c>
      <c r="AB76" s="138" t="str">
        <f t="shared" ca="1" si="13"/>
        <v/>
      </c>
      <c r="AC76" s="116" t="str">
        <f t="shared" ca="1" si="7"/>
        <v xml:space="preserve">1,    IntLtgSys:IntLtgSpecMthd,   1,    0   ; AreaCategoryMethod
1,    IntLtgSys:ParentSpcFunc,  352,    0   ; Museum Area (Restoration Room)
2,              0,    "- none specified -"
2,              1,    "DetailedTaskWork"
</v>
      </c>
    </row>
    <row r="77" spans="2:29" x14ac:dyDescent="0.25">
      <c r="B77" s="329"/>
      <c r="C77" s="138" t="s">
        <v>963</v>
      </c>
      <c r="D77" s="331">
        <v>0</v>
      </c>
      <c r="E77" s="331">
        <v>0</v>
      </c>
      <c r="F77" s="332">
        <v>0</v>
      </c>
      <c r="G77" s="331">
        <v>0</v>
      </c>
      <c r="H77" s="331">
        <v>0</v>
      </c>
      <c r="I77" s="331">
        <v>0</v>
      </c>
      <c r="J77" s="331">
        <v>0</v>
      </c>
      <c r="K77" s="331">
        <v>0</v>
      </c>
      <c r="L77" s="331">
        <v>0</v>
      </c>
      <c r="M77" s="331">
        <v>0</v>
      </c>
      <c r="N77" s="331">
        <v>1</v>
      </c>
      <c r="O77" s="331">
        <v>0</v>
      </c>
      <c r="P77" s="331">
        <v>0</v>
      </c>
      <c r="Q77" s="331">
        <v>0</v>
      </c>
      <c r="R77" s="331">
        <v>0</v>
      </c>
      <c r="S77" s="138" t="s">
        <v>250</v>
      </c>
      <c r="T77" s="138">
        <v>353</v>
      </c>
      <c r="U77" s="138">
        <f t="shared" si="39"/>
        <v>1</v>
      </c>
      <c r="V77" s="329">
        <f t="shared" si="1"/>
        <v>1</v>
      </c>
      <c r="W77" s="138">
        <f t="shared" ca="1" si="2"/>
        <v>11</v>
      </c>
      <c r="X77" s="138" t="str">
        <f t="shared" ref="X77:Y77" ca="1" si="59">IFERROR(W77+MATCH(1,OFFSET($C77,0,W77+1,1,15-W77),0),"")</f>
        <v/>
      </c>
      <c r="Y77" s="138" t="str">
        <f t="shared" ca="1" si="59"/>
        <v/>
      </c>
      <c r="Z77" s="138" t="str">
        <f t="shared" ca="1" si="4"/>
        <v>Decorative/Display&amp;PortableLightingForOffice</v>
      </c>
      <c r="AA77" s="138" t="str">
        <f t="shared" ca="1" si="12"/>
        <v/>
      </c>
      <c r="AB77" s="138" t="str">
        <f t="shared" ca="1" si="13"/>
        <v/>
      </c>
      <c r="AC77" s="116" t="str">
        <f t="shared" ca="1" si="7"/>
        <v xml:space="preserve">1,    IntLtgSys:IntLtgSpecMthd,   1,    0   ; AreaCategoryMethod
1,    IntLtgSys:ParentSpcFunc,  353,    0   ; Office Area (&gt;250 square feet)
2,              0,    "- none specified -"
2,              11,    "Decorative/Display&amp;PortableLightingForOffice"
</v>
      </c>
    </row>
    <row r="78" spans="2:29" x14ac:dyDescent="0.25">
      <c r="C78" s="138" t="s">
        <v>962</v>
      </c>
      <c r="D78" s="331">
        <v>0</v>
      </c>
      <c r="E78" s="331">
        <v>0</v>
      </c>
      <c r="F78" s="332">
        <v>0</v>
      </c>
      <c r="G78" s="331">
        <v>0</v>
      </c>
      <c r="H78" s="331">
        <v>0</v>
      </c>
      <c r="I78" s="331">
        <v>0</v>
      </c>
      <c r="J78" s="331">
        <v>0</v>
      </c>
      <c r="K78" s="331">
        <v>0</v>
      </c>
      <c r="L78" s="331">
        <v>0</v>
      </c>
      <c r="M78" s="331">
        <v>0</v>
      </c>
      <c r="N78" s="331">
        <v>1</v>
      </c>
      <c r="O78" s="331">
        <v>0</v>
      </c>
      <c r="P78" s="331">
        <v>0</v>
      </c>
      <c r="Q78" s="331">
        <v>0</v>
      </c>
      <c r="R78" s="331">
        <v>0</v>
      </c>
      <c r="S78" s="138" t="s">
        <v>250</v>
      </c>
      <c r="T78" s="138">
        <v>354</v>
      </c>
      <c r="U78" s="138">
        <f t="shared" si="39"/>
        <v>1</v>
      </c>
      <c r="V78" s="329">
        <f t="shared" si="1"/>
        <v>1</v>
      </c>
      <c r="W78" s="138">
        <f t="shared" ca="1" si="2"/>
        <v>11</v>
      </c>
      <c r="X78" s="138" t="str">
        <f t="shared" ref="X78:Y78" ca="1" si="60">IFERROR(W78+MATCH(1,OFFSET($C78,0,W78+1,1,15-W78),0),"")</f>
        <v/>
      </c>
      <c r="Y78" s="138" t="str">
        <f t="shared" ca="1" si="60"/>
        <v/>
      </c>
      <c r="Z78" s="138" t="str">
        <f t="shared" ca="1" si="4"/>
        <v>Decorative/Display&amp;PortableLightingForOffice</v>
      </c>
      <c r="AA78" s="138" t="str">
        <f t="shared" ca="1" si="12"/>
        <v/>
      </c>
      <c r="AB78" s="138" t="str">
        <f t="shared" ca="1" si="13"/>
        <v/>
      </c>
      <c r="AC78" s="116" t="str">
        <f t="shared" ca="1" si="7"/>
        <v xml:space="preserve">1,    IntLtgSys:IntLtgSpecMthd,   1,    0   ; AreaCategoryMethod
1,    IntLtgSys:ParentSpcFunc,  354,    0   ; Office Area (&lt;250 square feet)
2,              0,    "- none specified -"
2,              11,    "Decorative/Display&amp;PortableLightingForOffice"
</v>
      </c>
    </row>
    <row r="79" spans="2:29" x14ac:dyDescent="0.25">
      <c r="C79" s="138" t="s">
        <v>1070</v>
      </c>
      <c r="D79" s="331">
        <v>0</v>
      </c>
      <c r="E79" s="331">
        <v>0</v>
      </c>
      <c r="F79" s="332">
        <v>0</v>
      </c>
      <c r="G79" s="331">
        <v>0</v>
      </c>
      <c r="H79" s="331">
        <v>0</v>
      </c>
      <c r="I79" s="361">
        <v>0</v>
      </c>
      <c r="J79" s="361">
        <v>0</v>
      </c>
      <c r="K79" s="361">
        <v>0</v>
      </c>
      <c r="L79" s="331">
        <v>0</v>
      </c>
      <c r="M79" s="331">
        <v>1</v>
      </c>
      <c r="N79" s="331">
        <v>0</v>
      </c>
      <c r="O79" s="331">
        <v>0</v>
      </c>
      <c r="P79" s="331">
        <v>0</v>
      </c>
      <c r="Q79" s="331">
        <v>0</v>
      </c>
      <c r="R79" s="331">
        <v>0</v>
      </c>
      <c r="S79" s="138" t="s">
        <v>250</v>
      </c>
      <c r="T79" s="138">
        <v>355</v>
      </c>
      <c r="U79" s="138">
        <f t="shared" si="39"/>
        <v>1</v>
      </c>
      <c r="V79" s="329">
        <f t="shared" si="1"/>
        <v>1</v>
      </c>
      <c r="W79" s="138">
        <f t="shared" ca="1" si="2"/>
        <v>10</v>
      </c>
      <c r="X79" s="138" t="str">
        <f t="shared" ref="X79:Y79" ca="1" si="61">IFERROR(W79+MATCH(1,OFFSET($C79,0,W79+1,1,15-W79),0),"")</f>
        <v/>
      </c>
      <c r="Y79" s="138" t="str">
        <f t="shared" ca="1" si="61"/>
        <v/>
      </c>
      <c r="Z79" s="138" t="str">
        <f t="shared" ca="1" si="4"/>
        <v>ParkingGarageATMLighting</v>
      </c>
      <c r="AA79" s="138" t="str">
        <f t="shared" ca="1" si="12"/>
        <v/>
      </c>
      <c r="AB79" s="138" t="str">
        <f t="shared" ca="1" si="13"/>
        <v/>
      </c>
      <c r="AC79" s="116" t="str">
        <f t="shared" ca="1" si="7"/>
        <v xml:space="preserve">1,    IntLtgSys:IntLtgSpecMthd,   1,    0   ; AreaCategoryMethod
1,    IntLtgSys:ParentSpcFunc,  355,    0   ; Parking Garage Area (Parking Zone and Ramps)
2,              0,    "- none specified -"
2,              10,    "ParkingGarageATMLighting"
</v>
      </c>
    </row>
    <row r="80" spans="2:29" x14ac:dyDescent="0.25">
      <c r="B80" s="329"/>
      <c r="C80" s="138" t="s">
        <v>965</v>
      </c>
      <c r="D80" s="331">
        <v>0</v>
      </c>
      <c r="E80" s="331">
        <v>0</v>
      </c>
      <c r="F80" s="332">
        <v>0</v>
      </c>
      <c r="G80" s="331">
        <v>0</v>
      </c>
      <c r="H80" s="331">
        <v>0</v>
      </c>
      <c r="I80" s="331">
        <v>0</v>
      </c>
      <c r="J80" s="331">
        <v>0</v>
      </c>
      <c r="K80" s="331">
        <v>0</v>
      </c>
      <c r="L80" s="331">
        <v>0</v>
      </c>
      <c r="M80" s="331">
        <v>0</v>
      </c>
      <c r="N80" s="331">
        <v>0</v>
      </c>
      <c r="O80" s="331">
        <v>0</v>
      </c>
      <c r="P80" s="331">
        <v>0</v>
      </c>
      <c r="Q80" s="331">
        <v>0</v>
      </c>
      <c r="R80" s="331">
        <v>0</v>
      </c>
      <c r="S80" s="138" t="s">
        <v>250</v>
      </c>
      <c r="T80" s="138">
        <v>356</v>
      </c>
      <c r="U80" s="138">
        <f t="shared" si="39"/>
        <v>0</v>
      </c>
      <c r="V80" s="329">
        <f t="shared" si="1"/>
        <v>0</v>
      </c>
      <c r="W80" s="138" t="e">
        <f t="shared" ca="1" si="2"/>
        <v>#N/A</v>
      </c>
      <c r="X80" s="138" t="str">
        <f t="shared" ref="X80:Y80" ca="1" si="62">IFERROR(W80+MATCH(1,OFFSET($C80,0,W80+1,1,15-W80),0),"")</f>
        <v/>
      </c>
      <c r="Y80" s="138" t="str">
        <f t="shared" ca="1" si="62"/>
        <v/>
      </c>
      <c r="Z80" s="138" t="e">
        <f t="shared" ca="1" si="4"/>
        <v>#N/A</v>
      </c>
      <c r="AA80" s="138" t="str">
        <f t="shared" ca="1" si="12"/>
        <v/>
      </c>
      <c r="AB80" s="138" t="str">
        <f t="shared" ca="1" si="13"/>
        <v/>
      </c>
      <c r="AC80" s="116" t="str">
        <f t="shared" si="7"/>
        <v/>
      </c>
    </row>
    <row r="81" spans="2:29" x14ac:dyDescent="0.25">
      <c r="B81" s="329"/>
      <c r="C81" s="138" t="s">
        <v>968</v>
      </c>
      <c r="D81" s="331">
        <v>0</v>
      </c>
      <c r="E81" s="331">
        <v>1</v>
      </c>
      <c r="F81" s="332">
        <v>0</v>
      </c>
      <c r="G81" s="331">
        <v>0</v>
      </c>
      <c r="H81" s="331">
        <v>0</v>
      </c>
      <c r="I81" s="331">
        <v>0</v>
      </c>
      <c r="J81" s="331">
        <v>0</v>
      </c>
      <c r="K81" s="331">
        <v>0</v>
      </c>
      <c r="L81" s="331">
        <v>0</v>
      </c>
      <c r="M81" s="331">
        <v>0</v>
      </c>
      <c r="N81" s="331">
        <v>0</v>
      </c>
      <c r="O81" s="331">
        <v>0</v>
      </c>
      <c r="P81" s="331">
        <v>0</v>
      </c>
      <c r="Q81" s="331">
        <v>0</v>
      </c>
      <c r="R81" s="331">
        <v>0</v>
      </c>
      <c r="S81" s="138" t="s">
        <v>250</v>
      </c>
      <c r="T81" s="138">
        <v>357</v>
      </c>
      <c r="U81" s="138">
        <f t="shared" si="39"/>
        <v>1</v>
      </c>
      <c r="V81" s="329">
        <f t="shared" si="1"/>
        <v>1</v>
      </c>
      <c r="W81" s="138">
        <f t="shared" ca="1" si="2"/>
        <v>2</v>
      </c>
      <c r="X81" s="138" t="str">
        <f t="shared" ref="X81:Y81" ca="1" si="63">IFERROR(W81+MATCH(1,OFFSET($C81,0,W81+1,1,15-W81),0),"")</f>
        <v/>
      </c>
      <c r="Y81" s="138" t="str">
        <f t="shared" ca="1" si="63"/>
        <v/>
      </c>
      <c r="Z81" s="138" t="str">
        <f t="shared" ca="1" si="4"/>
        <v>SpecializedTaskWork</v>
      </c>
      <c r="AA81" s="138" t="str">
        <f t="shared" ca="1" si="12"/>
        <v/>
      </c>
      <c r="AB81" s="138" t="str">
        <f t="shared" ca="1" si="13"/>
        <v/>
      </c>
      <c r="AC81" s="116" t="str">
        <f t="shared" ca="1" si="7"/>
        <v xml:space="preserve">1,    IntLtgSys:IntLtgSpecMthd,   1,    0   ; AreaCategoryMethod
1,    IntLtgSys:ParentSpcFunc,  357,    0   ; Pharmacy Area
2,              0,    "- none specified -"
2,              2,    "SpecializedTaskWork"
</v>
      </c>
    </row>
    <row r="82" spans="2:29" x14ac:dyDescent="0.25">
      <c r="B82" s="329"/>
      <c r="C82" s="138" t="s">
        <v>970</v>
      </c>
      <c r="D82" s="331">
        <v>0</v>
      </c>
      <c r="E82" s="331">
        <v>0</v>
      </c>
      <c r="F82" s="332">
        <v>1</v>
      </c>
      <c r="G82" s="331">
        <v>0</v>
      </c>
      <c r="H82" s="331">
        <v>0</v>
      </c>
      <c r="I82" s="331">
        <v>0</v>
      </c>
      <c r="J82" s="331">
        <v>0</v>
      </c>
      <c r="K82" s="331">
        <v>0</v>
      </c>
      <c r="L82" s="331">
        <v>0</v>
      </c>
      <c r="M82" s="331">
        <v>0</v>
      </c>
      <c r="N82" s="331">
        <v>0</v>
      </c>
      <c r="O82" s="331">
        <v>0</v>
      </c>
      <c r="P82" s="331">
        <v>0</v>
      </c>
      <c r="Q82" s="331">
        <v>0</v>
      </c>
      <c r="R82" s="331">
        <v>0</v>
      </c>
      <c r="S82" s="138" t="s">
        <v>250</v>
      </c>
      <c r="T82" s="138">
        <v>358</v>
      </c>
      <c r="U82" s="138">
        <f t="shared" si="39"/>
        <v>1</v>
      </c>
      <c r="V82" s="329">
        <f t="shared" si="1"/>
        <v>1</v>
      </c>
      <c r="W82" s="138">
        <f t="shared" ca="1" si="2"/>
        <v>3</v>
      </c>
      <c r="X82" s="138" t="str">
        <f t="shared" ref="X82:Y82" ca="1" si="64">IFERROR(W82+MATCH(1,OFFSET($C82,0,W82+1,1,15-W82),0),"")</f>
        <v/>
      </c>
      <c r="Y82" s="138" t="str">
        <f t="shared" ca="1" si="64"/>
        <v/>
      </c>
      <c r="Z82" s="138" t="str">
        <f t="shared" ca="1" si="4"/>
        <v>Decorative/Display</v>
      </c>
      <c r="AA82" s="138" t="str">
        <f t="shared" ca="1" si="12"/>
        <v/>
      </c>
      <c r="AB82" s="138" t="str">
        <f t="shared" ca="1" si="13"/>
        <v/>
      </c>
      <c r="AC82" s="116" t="str">
        <f t="shared" ca="1" si="7"/>
        <v xml:space="preserve">1,    IntLtgSys:IntLtgSpecMthd,   1,    0   ; AreaCategoryMethod
1,    IntLtgSys:ParentSpcFunc,  358,    0   ; Retail Sales Area (Grocery Sales)
2,              0,    "- none specified -"
2,              3,    "Decorative/Display"
</v>
      </c>
    </row>
    <row r="83" spans="2:29" x14ac:dyDescent="0.25">
      <c r="C83" s="138" t="s">
        <v>971</v>
      </c>
      <c r="D83" s="331">
        <v>0</v>
      </c>
      <c r="E83" s="331">
        <v>0</v>
      </c>
      <c r="F83" s="332">
        <v>1</v>
      </c>
      <c r="G83" s="331">
        <v>0</v>
      </c>
      <c r="H83" s="331">
        <v>0</v>
      </c>
      <c r="I83" s="331">
        <v>0</v>
      </c>
      <c r="J83" s="331">
        <v>0</v>
      </c>
      <c r="K83" s="331">
        <v>0</v>
      </c>
      <c r="L83" s="331">
        <v>0</v>
      </c>
      <c r="M83" s="331">
        <v>0</v>
      </c>
      <c r="N83" s="331">
        <v>0</v>
      </c>
      <c r="O83" s="331">
        <v>0</v>
      </c>
      <c r="P83" s="331">
        <v>0</v>
      </c>
      <c r="Q83" s="331">
        <v>0</v>
      </c>
      <c r="R83" s="331">
        <v>0</v>
      </c>
      <c r="S83" s="138" t="s">
        <v>250</v>
      </c>
      <c r="T83" s="138">
        <v>359</v>
      </c>
      <c r="U83" s="138">
        <f t="shared" si="39"/>
        <v>1</v>
      </c>
      <c r="V83" s="329">
        <f t="shared" si="1"/>
        <v>1</v>
      </c>
      <c r="W83" s="138">
        <f t="shared" ca="1" si="2"/>
        <v>3</v>
      </c>
      <c r="X83" s="138" t="str">
        <f t="shared" ref="X83:Y83" ca="1" si="65">IFERROR(W83+MATCH(1,OFFSET($C83,0,W83+1,1,15-W83),0),"")</f>
        <v/>
      </c>
      <c r="Y83" s="138" t="str">
        <f t="shared" ca="1" si="65"/>
        <v/>
      </c>
      <c r="Z83" s="138" t="str">
        <f t="shared" ca="1" si="4"/>
        <v>Decorative/Display</v>
      </c>
      <c r="AA83" s="138" t="str">
        <f t="shared" ca="1" si="12"/>
        <v/>
      </c>
      <c r="AB83" s="138" t="str">
        <f t="shared" ca="1" si="13"/>
        <v/>
      </c>
      <c r="AC83" s="116" t="str">
        <f t="shared" ca="1" si="7"/>
        <v xml:space="preserve">1,    IntLtgSys:IntLtgSpecMthd,   1,    0   ; AreaCategoryMethod
1,    IntLtgSys:ParentSpcFunc,  359,    0   ; Retail Sales Area (Retail Merchandise Sales)
2,              0,    "- none specified -"
2,              3,    "Decorative/Display"
</v>
      </c>
    </row>
    <row r="84" spans="2:29" x14ac:dyDescent="0.25">
      <c r="C84" s="138" t="s">
        <v>969</v>
      </c>
      <c r="D84" s="331">
        <v>0</v>
      </c>
      <c r="E84" s="331">
        <v>0</v>
      </c>
      <c r="F84" s="332">
        <v>0</v>
      </c>
      <c r="G84" s="331">
        <v>0</v>
      </c>
      <c r="H84" s="331">
        <v>0</v>
      </c>
      <c r="I84" s="331">
        <v>0</v>
      </c>
      <c r="J84" s="331">
        <v>0</v>
      </c>
      <c r="K84" s="331">
        <v>0</v>
      </c>
      <c r="L84" s="331">
        <v>0</v>
      </c>
      <c r="M84" s="331">
        <v>0</v>
      </c>
      <c r="N84" s="331">
        <v>0</v>
      </c>
      <c r="O84" s="331">
        <v>1</v>
      </c>
      <c r="P84" s="331">
        <v>1</v>
      </c>
      <c r="Q84" s="331">
        <v>0</v>
      </c>
      <c r="R84" s="331">
        <v>0</v>
      </c>
      <c r="S84" s="138" t="s">
        <v>250</v>
      </c>
      <c r="T84" s="138">
        <v>360</v>
      </c>
      <c r="U84" s="138">
        <f t="shared" si="39"/>
        <v>1</v>
      </c>
      <c r="V84" s="329">
        <f t="shared" si="1"/>
        <v>2</v>
      </c>
      <c r="W84" s="138">
        <f t="shared" ca="1" si="2"/>
        <v>12</v>
      </c>
      <c r="X84" s="138">
        <f t="shared" ref="X84:Y84" ca="1" si="66">IFERROR(W84+MATCH(1,OFFSET($C84,0,W84+1,1,15-W84),0),"")</f>
        <v>13</v>
      </c>
      <c r="Y84" s="138" t="str">
        <f t="shared" ca="1" si="66"/>
        <v/>
      </c>
      <c r="Z84" s="138" t="str">
        <f t="shared" ca="1" si="4"/>
        <v>ExternalIlluminatedMirror</v>
      </c>
      <c r="AA84" s="138" t="str">
        <f t="shared" ca="1" si="12"/>
        <v>InternalIlluminatedMirror</v>
      </c>
      <c r="AB84" s="138" t="str">
        <f t="shared" ca="1" si="13"/>
        <v/>
      </c>
      <c r="AC84" s="116" t="str">
        <f t="shared" ca="1" si="7"/>
        <v>1,    IntLtgSys:IntLtgSpecMthd,   1,    0   ; AreaCategoryMethod
1,    IntLtgSys:ParentSpcFunc,  360,    0   ; Retail Sales Area (Fitting Room)
2,              0,    "- none specified -"
2,              12,    "ExternalIlluminatedMirror"
2,              13,    "InternalIlluminatedMirror"</v>
      </c>
    </row>
    <row r="85" spans="2:29" x14ac:dyDescent="0.25">
      <c r="B85" s="329"/>
      <c r="C85" s="138" t="s">
        <v>537</v>
      </c>
      <c r="D85" s="331">
        <v>0</v>
      </c>
      <c r="E85" s="331">
        <v>0</v>
      </c>
      <c r="F85" s="332">
        <v>1</v>
      </c>
      <c r="G85" s="331">
        <v>0</v>
      </c>
      <c r="H85" s="331">
        <v>0</v>
      </c>
      <c r="I85" s="331">
        <v>0</v>
      </c>
      <c r="J85" s="331">
        <v>0</v>
      </c>
      <c r="K85" s="331">
        <v>0</v>
      </c>
      <c r="L85" s="331">
        <v>0</v>
      </c>
      <c r="M85" s="331">
        <v>0</v>
      </c>
      <c r="N85" s="331">
        <v>0</v>
      </c>
      <c r="O85" s="331">
        <v>0</v>
      </c>
      <c r="P85" s="331">
        <v>0</v>
      </c>
      <c r="Q85" s="331">
        <v>0</v>
      </c>
      <c r="R85" s="331">
        <v>0</v>
      </c>
      <c r="S85" s="138" t="s">
        <v>250</v>
      </c>
      <c r="T85" s="138">
        <v>361</v>
      </c>
      <c r="U85" s="138">
        <f t="shared" si="39"/>
        <v>1</v>
      </c>
      <c r="V85" s="329">
        <f t="shared" si="1"/>
        <v>1</v>
      </c>
      <c r="W85" s="138">
        <f t="shared" ca="1" si="2"/>
        <v>3</v>
      </c>
      <c r="X85" s="138" t="str">
        <f t="shared" ref="X85:Y85" ca="1" si="67">IFERROR(W85+MATCH(1,OFFSET($C85,0,W85+1,1,15-W85),0),"")</f>
        <v/>
      </c>
      <c r="Y85" s="138" t="str">
        <f t="shared" ca="1" si="67"/>
        <v/>
      </c>
      <c r="Z85" s="138" t="str">
        <f t="shared" ca="1" si="4"/>
        <v>Decorative/Display</v>
      </c>
      <c r="AA85" s="138" t="str">
        <f t="shared" ca="1" si="12"/>
        <v/>
      </c>
      <c r="AB85" s="138" t="str">
        <f t="shared" ca="1" si="13"/>
        <v/>
      </c>
      <c r="AC85" s="116" t="str">
        <f t="shared" ca="1" si="7"/>
        <v xml:space="preserve">1,    IntLtgSys:IntLtgSpecMthd,   1,    0   ; AreaCategoryMethod
1,    IntLtgSys:ParentSpcFunc,  361,    0   ; Religious Worship Area
2,              0,    "- none specified -"
2,              3,    "Decorative/Display"
</v>
      </c>
    </row>
    <row r="86" spans="2:29" x14ac:dyDescent="0.25">
      <c r="B86" s="329"/>
      <c r="C86" s="138" t="s">
        <v>834</v>
      </c>
      <c r="D86" s="331">
        <v>0</v>
      </c>
      <c r="E86" s="331">
        <v>0</v>
      </c>
      <c r="F86" s="332">
        <v>1</v>
      </c>
      <c r="G86" s="331">
        <v>0</v>
      </c>
      <c r="H86" s="331">
        <v>0</v>
      </c>
      <c r="I86" s="331">
        <v>0</v>
      </c>
      <c r="J86" s="331">
        <v>0</v>
      </c>
      <c r="K86" s="331">
        <v>0</v>
      </c>
      <c r="L86" s="331">
        <v>0</v>
      </c>
      <c r="M86" s="331">
        <v>0</v>
      </c>
      <c r="N86" s="331">
        <v>0</v>
      </c>
      <c r="O86" s="331">
        <v>0</v>
      </c>
      <c r="P86" s="331">
        <v>0</v>
      </c>
      <c r="Q86" s="331">
        <v>0</v>
      </c>
      <c r="R86" s="331">
        <v>0</v>
      </c>
      <c r="S86" s="138" t="s">
        <v>250</v>
      </c>
      <c r="T86" s="138">
        <v>362</v>
      </c>
      <c r="U86" s="138">
        <f t="shared" si="39"/>
        <v>1</v>
      </c>
      <c r="V86" s="329">
        <f t="shared" si="1"/>
        <v>1</v>
      </c>
      <c r="W86" s="138">
        <f t="shared" ca="1" si="2"/>
        <v>3</v>
      </c>
      <c r="X86" s="138" t="str">
        <f t="shared" ref="X86:Y86" ca="1" si="68">IFERROR(W86+MATCH(1,OFFSET($C86,0,W86+1,1,15-W86),0),"")</f>
        <v/>
      </c>
      <c r="Y86" s="138" t="str">
        <f t="shared" ca="1" si="68"/>
        <v/>
      </c>
      <c r="Z86" s="138" t="str">
        <f t="shared" ca="1" si="4"/>
        <v>Decorative/Display</v>
      </c>
      <c r="AA86" s="138" t="str">
        <f t="shared" ca="1" si="12"/>
        <v/>
      </c>
      <c r="AB86" s="138" t="str">
        <f t="shared" ca="1" si="13"/>
        <v/>
      </c>
      <c r="AC86" s="116" t="str">
        <f t="shared" ca="1" si="7"/>
        <v xml:space="preserve">1,    IntLtgSys:IntLtgSpecMthd,   1,    0   ; AreaCategoryMethod
1,    IntLtgSys:ParentSpcFunc,  362,    0   ; Restrooms
2,              0,    "- none specified -"
2,              3,    "Decorative/Display"
</v>
      </c>
    </row>
    <row r="87" spans="2:29" x14ac:dyDescent="0.25">
      <c r="B87" s="329"/>
      <c r="C87" s="138" t="s">
        <v>973</v>
      </c>
      <c r="D87" s="331">
        <v>0</v>
      </c>
      <c r="E87" s="331">
        <v>0</v>
      </c>
      <c r="F87" s="332">
        <v>1</v>
      </c>
      <c r="G87" s="331">
        <v>0</v>
      </c>
      <c r="H87" s="331">
        <v>0</v>
      </c>
      <c r="I87" s="331">
        <v>0</v>
      </c>
      <c r="J87" s="331">
        <v>0</v>
      </c>
      <c r="K87" s="331">
        <v>0</v>
      </c>
      <c r="L87" s="331">
        <v>0</v>
      </c>
      <c r="M87" s="331">
        <v>0</v>
      </c>
      <c r="N87" s="331">
        <v>0</v>
      </c>
      <c r="O87" s="331">
        <v>0</v>
      </c>
      <c r="P87" s="331">
        <v>0</v>
      </c>
      <c r="Q87" s="331">
        <v>0</v>
      </c>
      <c r="R87" s="331">
        <v>0</v>
      </c>
      <c r="S87" s="138" t="s">
        <v>250</v>
      </c>
      <c r="T87" s="138">
        <v>363</v>
      </c>
      <c r="U87" s="138">
        <f t="shared" si="39"/>
        <v>1</v>
      </c>
      <c r="V87" s="329">
        <f t="shared" si="1"/>
        <v>1</v>
      </c>
      <c r="W87" s="138">
        <f t="shared" ca="1" si="2"/>
        <v>3</v>
      </c>
      <c r="X87" s="138" t="str">
        <f t="shared" ref="X87:Y87" ca="1" si="69">IFERROR(W87+MATCH(1,OFFSET($C87,0,W87+1,1,15-W87),0),"")</f>
        <v/>
      </c>
      <c r="Y87" s="138" t="str">
        <f t="shared" ca="1" si="69"/>
        <v/>
      </c>
      <c r="Z87" s="138" t="str">
        <f t="shared" ca="1" si="4"/>
        <v>Decorative/Display</v>
      </c>
      <c r="AA87" s="138" t="str">
        <f t="shared" ca="1" si="12"/>
        <v/>
      </c>
      <c r="AB87" s="138" t="str">
        <f t="shared" ca="1" si="13"/>
        <v/>
      </c>
      <c r="AC87" s="116" t="str">
        <f t="shared" ca="1" si="7"/>
        <v xml:space="preserve">1,    IntLtgSys:IntLtgSpecMthd,   1,    0   ; AreaCategoryMethod
1,    IntLtgSys:ParentSpcFunc,  363,    0   ; Stairwell
2,              0,    "- none specified -"
2,              3,    "Decorative/Display"
</v>
      </c>
    </row>
    <row r="88" spans="2:29" x14ac:dyDescent="0.25">
      <c r="C88" s="138" t="s">
        <v>1071</v>
      </c>
      <c r="D88" s="331">
        <v>0</v>
      </c>
      <c r="E88" s="331">
        <v>0</v>
      </c>
      <c r="F88" s="332">
        <v>0</v>
      </c>
      <c r="G88" s="331">
        <v>0</v>
      </c>
      <c r="H88" s="331">
        <v>0</v>
      </c>
      <c r="I88" s="331">
        <v>0</v>
      </c>
      <c r="J88" s="331">
        <v>0</v>
      </c>
      <c r="K88" s="331">
        <v>0</v>
      </c>
      <c r="L88" s="331">
        <v>0</v>
      </c>
      <c r="M88" s="331">
        <v>0</v>
      </c>
      <c r="N88" s="331">
        <v>0</v>
      </c>
      <c r="O88" s="331">
        <v>0</v>
      </c>
      <c r="P88" s="331">
        <v>0</v>
      </c>
      <c r="Q88" s="331">
        <v>0</v>
      </c>
      <c r="R88" s="331">
        <v>0</v>
      </c>
      <c r="S88" s="138" t="s">
        <v>250</v>
      </c>
      <c r="T88" s="138">
        <v>364</v>
      </c>
      <c r="U88" s="138">
        <f t="shared" si="39"/>
        <v>0</v>
      </c>
      <c r="V88" s="329">
        <f t="shared" si="1"/>
        <v>0</v>
      </c>
      <c r="W88" s="138" t="e">
        <f t="shared" ca="1" si="2"/>
        <v>#N/A</v>
      </c>
      <c r="X88" s="138" t="str">
        <f t="shared" ref="X88:Y88" ca="1" si="70">IFERROR(W88+MATCH(1,OFFSET($C88,0,W88+1,1,15-W88),0),"")</f>
        <v/>
      </c>
      <c r="Y88" s="138" t="str">
        <f t="shared" ca="1" si="70"/>
        <v/>
      </c>
      <c r="Z88" s="138" t="e">
        <f t="shared" ca="1" si="4"/>
        <v>#N/A</v>
      </c>
      <c r="AA88" s="138" t="str">
        <f t="shared" ca="1" si="12"/>
        <v/>
      </c>
      <c r="AB88" s="138" t="str">
        <f t="shared" ca="1" si="13"/>
        <v/>
      </c>
      <c r="AC88" s="116" t="str">
        <f t="shared" si="7"/>
        <v/>
      </c>
    </row>
    <row r="89" spans="2:29" x14ac:dyDescent="0.25">
      <c r="B89" s="329"/>
      <c r="C89" s="138" t="s">
        <v>1072</v>
      </c>
      <c r="D89" s="331">
        <v>0</v>
      </c>
      <c r="E89" s="331">
        <v>0</v>
      </c>
      <c r="F89" s="332">
        <v>0</v>
      </c>
      <c r="G89" s="331">
        <v>0</v>
      </c>
      <c r="H89" s="331">
        <v>0</v>
      </c>
      <c r="I89" s="331">
        <v>0</v>
      </c>
      <c r="J89" s="331">
        <v>0</v>
      </c>
      <c r="K89" s="331">
        <v>0</v>
      </c>
      <c r="L89" s="331">
        <v>0</v>
      </c>
      <c r="M89" s="331">
        <v>0</v>
      </c>
      <c r="N89" s="331">
        <v>0</v>
      </c>
      <c r="O89" s="331">
        <v>0</v>
      </c>
      <c r="P89" s="331">
        <v>0</v>
      </c>
      <c r="Q89" s="331">
        <v>0</v>
      </c>
      <c r="R89" s="331">
        <v>0</v>
      </c>
      <c r="S89" s="138" t="s">
        <v>250</v>
      </c>
      <c r="T89" s="138">
        <v>365</v>
      </c>
      <c r="U89" s="138">
        <f t="shared" si="39"/>
        <v>0</v>
      </c>
      <c r="V89" s="329">
        <f t="shared" si="1"/>
        <v>0</v>
      </c>
      <c r="W89" s="138" t="e">
        <f t="shared" ca="1" si="2"/>
        <v>#N/A</v>
      </c>
      <c r="X89" s="138" t="str">
        <f t="shared" ref="X89:Y89" ca="1" si="71">IFERROR(W89+MATCH(1,OFFSET($C89,0,W89+1,1,15-W89),0),"")</f>
        <v/>
      </c>
      <c r="Y89" s="138" t="str">
        <f t="shared" ca="1" si="71"/>
        <v/>
      </c>
      <c r="Z89" s="138" t="e">
        <f t="shared" ca="1" si="4"/>
        <v>#N/A</v>
      </c>
      <c r="AA89" s="138" t="str">
        <f t="shared" ca="1" si="12"/>
        <v/>
      </c>
      <c r="AB89" s="138" t="str">
        <f t="shared" ca="1" si="13"/>
        <v/>
      </c>
      <c r="AC89" s="116" t="str">
        <f t="shared" si="7"/>
        <v/>
      </c>
    </row>
    <row r="90" spans="2:29" x14ac:dyDescent="0.25">
      <c r="B90" s="329"/>
      <c r="C90" s="138" t="s">
        <v>1073</v>
      </c>
      <c r="D90" s="331">
        <v>0</v>
      </c>
      <c r="E90" s="331">
        <v>0</v>
      </c>
      <c r="F90" s="332">
        <v>0</v>
      </c>
      <c r="G90" s="331">
        <v>0</v>
      </c>
      <c r="H90" s="331">
        <v>0</v>
      </c>
      <c r="I90" s="331">
        <v>0</v>
      </c>
      <c r="J90" s="331">
        <v>0</v>
      </c>
      <c r="K90" s="331">
        <v>0</v>
      </c>
      <c r="L90" s="331">
        <v>0</v>
      </c>
      <c r="M90" s="331">
        <v>0</v>
      </c>
      <c r="N90" s="331">
        <v>0</v>
      </c>
      <c r="O90" s="331">
        <v>0</v>
      </c>
      <c r="P90" s="331">
        <v>0</v>
      </c>
      <c r="Q90" s="331">
        <v>0</v>
      </c>
      <c r="R90" s="331">
        <v>0</v>
      </c>
      <c r="S90" s="138" t="s">
        <v>250</v>
      </c>
      <c r="T90" s="138">
        <v>366</v>
      </c>
      <c r="U90" s="138">
        <f t="shared" si="39"/>
        <v>0</v>
      </c>
      <c r="V90" s="329">
        <f t="shared" si="1"/>
        <v>0</v>
      </c>
      <c r="W90" s="138" t="e">
        <f t="shared" ca="1" si="2"/>
        <v>#N/A</v>
      </c>
      <c r="X90" s="138" t="str">
        <f t="shared" ref="X90:Y90" ca="1" si="72">IFERROR(W90+MATCH(1,OFFSET($C90,0,W90+1,1,15-W90),0),"")</f>
        <v/>
      </c>
      <c r="Y90" s="138" t="str">
        <f t="shared" ca="1" si="72"/>
        <v/>
      </c>
      <c r="Z90" s="138" t="e">
        <f t="shared" ca="1" si="4"/>
        <v>#N/A</v>
      </c>
      <c r="AA90" s="138" t="str">
        <f t="shared" ca="1" si="12"/>
        <v/>
      </c>
      <c r="AB90" s="138" t="str">
        <f t="shared" ca="1" si="13"/>
        <v/>
      </c>
      <c r="AC90" s="116" t="str">
        <f t="shared" si="7"/>
        <v/>
      </c>
    </row>
    <row r="91" spans="2:29" x14ac:dyDescent="0.25">
      <c r="B91" s="329"/>
      <c r="C91" s="138" t="s">
        <v>1012</v>
      </c>
      <c r="D91" s="331">
        <v>0</v>
      </c>
      <c r="E91" s="331">
        <v>0</v>
      </c>
      <c r="F91" s="332">
        <v>0</v>
      </c>
      <c r="G91" s="331">
        <v>0</v>
      </c>
      <c r="H91" s="331">
        <v>0</v>
      </c>
      <c r="I91" s="331">
        <v>0</v>
      </c>
      <c r="J91" s="331">
        <v>0</v>
      </c>
      <c r="K91" s="331">
        <v>0</v>
      </c>
      <c r="L91" s="331">
        <v>0</v>
      </c>
      <c r="M91" s="331">
        <v>0</v>
      </c>
      <c r="N91" s="331">
        <v>0</v>
      </c>
      <c r="O91" s="331">
        <v>0</v>
      </c>
      <c r="P91" s="331">
        <v>0</v>
      </c>
      <c r="Q91" s="331">
        <v>0</v>
      </c>
      <c r="R91" s="331">
        <v>0</v>
      </c>
      <c r="S91" s="138" t="s">
        <v>250</v>
      </c>
      <c r="T91" s="138">
        <v>367</v>
      </c>
      <c r="U91" s="138">
        <f t="shared" si="39"/>
        <v>0</v>
      </c>
      <c r="V91" s="329">
        <f t="shared" ref="V91:V105" si="73">SUM(D91:R91)</f>
        <v>0</v>
      </c>
      <c r="W91" s="138" t="e">
        <f t="shared" ref="W91:W105" ca="1" si="74">MATCH(1,OFFSET($C91,0,1,1,15),0)</f>
        <v>#N/A</v>
      </c>
      <c r="X91" s="138" t="str">
        <f t="shared" ref="X91:Y91" ca="1" si="75">IFERROR(W91+MATCH(1,OFFSET($C91,0,W91+1,1,15-W91),0),"")</f>
        <v/>
      </c>
      <c r="Y91" s="138" t="str">
        <f t="shared" ca="1" si="75"/>
        <v/>
      </c>
      <c r="Z91" s="138" t="e">
        <f t="shared" ca="1" si="4"/>
        <v>#N/A</v>
      </c>
      <c r="AA91" s="138" t="str">
        <f t="shared" ca="1" si="12"/>
        <v/>
      </c>
      <c r="AB91" s="138" t="str">
        <f t="shared" ca="1" si="13"/>
        <v/>
      </c>
      <c r="AC91" s="116" t="str">
        <f t="shared" ref="AC91:AC105" si="76">IF($V91=1,$AC$14&amp;$AF$14&amp;$AC$15&amp;TEXT($T91,0)&amp;$AD$15&amp;$C91&amp;$AF$15&amp;$AC$16&amp;$AF$16&amp;$AC$17&amp;TEXT($W91,0)&amp;$AD$17&amp;$Z91&amp;$AE$17&amp;$AF$17,
IF($V91=2,$AC$14&amp;$AF$14&amp;$AC$15&amp;TEXT($T91,0)&amp;$AD$15&amp;$C91&amp;$AF$15&amp;$AC$16&amp;$AF$16&amp;$AC$17&amp;TEXT($W91,0)&amp;$AD$17&amp;$Z91&amp;$AE$17&amp;$AF$17&amp;$AC$18&amp;TEXT($X91,0)&amp;$AD$18&amp;$AA91&amp;$AE$18&amp;$AF$18,
IF($V91=3,$AC$14&amp;$AF$14&amp;$AC$15&amp;TEXT($T91,0)&amp;$AD$15&amp;$C91&amp;$AF$15&amp;$AC$16&amp;$AF$16&amp;$AC$17&amp;TEXT($W91,0)&amp;$AD$17&amp;$Z91&amp;$AE$17&amp;$AF$17&amp;$AC$18&amp;TEXT($X91,0)&amp;$AD$18&amp;$AA91&amp;$AE$18&amp;$AF$18&amp;$AC$19&amp;TEXT($Y91,0)&amp;$AD$19&amp;$AB91&amp;$AE$19&amp;$AF$19,"")))</f>
        <v/>
      </c>
    </row>
    <row r="92" spans="2:29" x14ac:dyDescent="0.25">
      <c r="B92" s="329"/>
      <c r="C92" s="138" t="s">
        <v>1013</v>
      </c>
      <c r="D92" s="331">
        <v>0</v>
      </c>
      <c r="E92" s="331">
        <v>0</v>
      </c>
      <c r="F92" s="332">
        <v>0</v>
      </c>
      <c r="G92" s="331">
        <v>0</v>
      </c>
      <c r="H92" s="331">
        <v>0</v>
      </c>
      <c r="I92" s="331">
        <v>0</v>
      </c>
      <c r="J92" s="331">
        <v>0</v>
      </c>
      <c r="K92" s="331">
        <v>0</v>
      </c>
      <c r="L92" s="331">
        <v>0</v>
      </c>
      <c r="M92" s="331">
        <v>0</v>
      </c>
      <c r="N92" s="331">
        <v>0</v>
      </c>
      <c r="O92" s="331">
        <v>0</v>
      </c>
      <c r="P92" s="331">
        <v>0</v>
      </c>
      <c r="Q92" s="331">
        <v>0</v>
      </c>
      <c r="R92" s="331">
        <v>0</v>
      </c>
      <c r="S92" s="138" t="s">
        <v>250</v>
      </c>
      <c r="T92" s="138">
        <v>368</v>
      </c>
      <c r="U92" s="138">
        <f t="shared" si="39"/>
        <v>0</v>
      </c>
      <c r="V92" s="329">
        <f t="shared" si="73"/>
        <v>0</v>
      </c>
      <c r="W92" s="138" t="e">
        <f t="shared" ca="1" si="74"/>
        <v>#N/A</v>
      </c>
      <c r="X92" s="138" t="str">
        <f t="shared" ref="X92:Y92" ca="1" si="77">IFERROR(W92+MATCH(1,OFFSET($C92,0,W92+1,1,15-W92),0),"")</f>
        <v/>
      </c>
      <c r="Y92" s="138" t="str">
        <f t="shared" ca="1" si="77"/>
        <v/>
      </c>
      <c r="Z92" s="138" t="e">
        <f t="shared" ca="1" si="4"/>
        <v>#N/A</v>
      </c>
      <c r="AA92" s="138" t="str">
        <f t="shared" ca="1" si="12"/>
        <v/>
      </c>
      <c r="AB92" s="138" t="str">
        <f t="shared" ca="1" si="13"/>
        <v/>
      </c>
      <c r="AC92" s="116" t="str">
        <f t="shared" si="76"/>
        <v/>
      </c>
    </row>
    <row r="93" spans="2:29" x14ac:dyDescent="0.25">
      <c r="C93" s="138" t="s">
        <v>1014</v>
      </c>
      <c r="D93" s="331">
        <v>0</v>
      </c>
      <c r="E93" s="331">
        <v>0</v>
      </c>
      <c r="F93" s="331">
        <v>0</v>
      </c>
      <c r="G93" s="331">
        <v>0</v>
      </c>
      <c r="H93" s="331">
        <v>0</v>
      </c>
      <c r="I93" s="331">
        <v>0</v>
      </c>
      <c r="J93" s="331">
        <v>0</v>
      </c>
      <c r="K93" s="331">
        <v>0</v>
      </c>
      <c r="L93" s="331">
        <v>0</v>
      </c>
      <c r="M93" s="331">
        <v>0</v>
      </c>
      <c r="N93" s="331">
        <v>0</v>
      </c>
      <c r="O93" s="331">
        <v>0</v>
      </c>
      <c r="P93" s="331">
        <v>0</v>
      </c>
      <c r="Q93" s="331">
        <v>0</v>
      </c>
      <c r="R93" s="331">
        <v>0</v>
      </c>
      <c r="S93" s="138" t="s">
        <v>250</v>
      </c>
      <c r="T93" s="138">
        <v>369</v>
      </c>
      <c r="U93" s="138">
        <f t="shared" si="39"/>
        <v>0</v>
      </c>
      <c r="V93" s="329">
        <f t="shared" si="73"/>
        <v>0</v>
      </c>
      <c r="W93" s="138" t="e">
        <f t="shared" ca="1" si="74"/>
        <v>#N/A</v>
      </c>
      <c r="X93" s="138" t="str">
        <f t="shared" ref="X93:Y93" ca="1" si="78">IFERROR(W93+MATCH(1,OFFSET($C93,0,W93+1,1,15-W93),0),"")</f>
        <v/>
      </c>
      <c r="Y93" s="138" t="str">
        <f t="shared" ca="1" si="78"/>
        <v/>
      </c>
      <c r="Z93" s="138" t="e">
        <f t="shared" ca="1" si="4"/>
        <v>#N/A</v>
      </c>
      <c r="AA93" s="138" t="str">
        <f t="shared" ca="1" si="12"/>
        <v/>
      </c>
      <c r="AB93" s="138" t="str">
        <f t="shared" ca="1" si="13"/>
        <v/>
      </c>
      <c r="AC93" s="116" t="str">
        <f t="shared" si="76"/>
        <v/>
      </c>
    </row>
    <row r="94" spans="2:29" x14ac:dyDescent="0.25">
      <c r="C94" s="138" t="s">
        <v>1015</v>
      </c>
      <c r="D94" s="331">
        <v>0</v>
      </c>
      <c r="E94" s="331">
        <v>0</v>
      </c>
      <c r="F94" s="331">
        <v>0</v>
      </c>
      <c r="G94" s="331">
        <v>0</v>
      </c>
      <c r="H94" s="331">
        <v>0</v>
      </c>
      <c r="I94" s="331">
        <v>0</v>
      </c>
      <c r="J94" s="331">
        <v>0</v>
      </c>
      <c r="K94" s="331">
        <v>0</v>
      </c>
      <c r="L94" s="331">
        <v>0</v>
      </c>
      <c r="M94" s="331">
        <v>0</v>
      </c>
      <c r="N94" s="331">
        <v>0</v>
      </c>
      <c r="O94" s="331">
        <v>0</v>
      </c>
      <c r="P94" s="331">
        <v>0</v>
      </c>
      <c r="Q94" s="331">
        <v>0</v>
      </c>
      <c r="R94" s="331">
        <v>0</v>
      </c>
      <c r="S94" s="138" t="s">
        <v>250</v>
      </c>
      <c r="T94" s="138">
        <v>370</v>
      </c>
      <c r="U94" s="138">
        <f t="shared" si="39"/>
        <v>0</v>
      </c>
      <c r="V94" s="329">
        <f t="shared" si="73"/>
        <v>0</v>
      </c>
      <c r="W94" s="138" t="e">
        <f t="shared" ca="1" si="74"/>
        <v>#N/A</v>
      </c>
      <c r="X94" s="138" t="str">
        <f t="shared" ref="X94:Y94" ca="1" si="79">IFERROR(W94+MATCH(1,OFFSET($C94,0,W94+1,1,15-W94),0),"")</f>
        <v/>
      </c>
      <c r="Y94" s="138" t="str">
        <f t="shared" ca="1" si="79"/>
        <v/>
      </c>
      <c r="Z94" s="138" t="e">
        <f t="shared" ca="1" si="4"/>
        <v>#N/A</v>
      </c>
      <c r="AA94" s="138" t="str">
        <f t="shared" ca="1" si="12"/>
        <v/>
      </c>
      <c r="AB94" s="138" t="str">
        <f t="shared" ca="1" si="13"/>
        <v/>
      </c>
      <c r="AC94" s="116" t="str">
        <f t="shared" si="76"/>
        <v/>
      </c>
    </row>
    <row r="95" spans="2:29" x14ac:dyDescent="0.25">
      <c r="C95" s="138" t="s">
        <v>974</v>
      </c>
      <c r="D95" s="331">
        <v>0</v>
      </c>
      <c r="E95" s="331">
        <v>0</v>
      </c>
      <c r="F95" s="331">
        <v>1</v>
      </c>
      <c r="G95" s="331">
        <v>0</v>
      </c>
      <c r="H95" s="331">
        <v>0</v>
      </c>
      <c r="I95" s="331">
        <v>0</v>
      </c>
      <c r="J95" s="331">
        <v>0</v>
      </c>
      <c r="K95" s="331">
        <v>0</v>
      </c>
      <c r="L95" s="331">
        <v>0</v>
      </c>
      <c r="M95" s="331">
        <v>0</v>
      </c>
      <c r="N95" s="331">
        <v>0</v>
      </c>
      <c r="O95" s="331">
        <v>0</v>
      </c>
      <c r="P95" s="331">
        <v>0</v>
      </c>
      <c r="Q95" s="331">
        <v>0</v>
      </c>
      <c r="R95" s="331">
        <v>0</v>
      </c>
      <c r="S95" s="138" t="s">
        <v>250</v>
      </c>
      <c r="T95" s="138">
        <v>371</v>
      </c>
      <c r="U95" s="138">
        <f t="shared" si="39"/>
        <v>1</v>
      </c>
      <c r="V95" s="329">
        <f t="shared" si="73"/>
        <v>1</v>
      </c>
      <c r="W95" s="138">
        <f t="shared" ca="1" si="74"/>
        <v>3</v>
      </c>
      <c r="X95" s="138" t="str">
        <f t="shared" ref="X95:Y95" ca="1" si="80">IFERROR(W95+MATCH(1,OFFSET($C95,0,W95+1,1,15-W95),0),"")</f>
        <v/>
      </c>
      <c r="Y95" s="138" t="str">
        <f t="shared" ca="1" si="80"/>
        <v/>
      </c>
      <c r="Z95" s="138" t="str">
        <f t="shared" ca="1" si="4"/>
        <v>Decorative/Display</v>
      </c>
      <c r="AA95" s="138" t="str">
        <f t="shared" ca="1" si="12"/>
        <v/>
      </c>
      <c r="AB95" s="138" t="str">
        <f t="shared" ca="1" si="13"/>
        <v/>
      </c>
      <c r="AC95" s="116" t="str">
        <f t="shared" ca="1" si="76"/>
        <v xml:space="preserve">1,    IntLtgSys:IntLtgSpecMthd,   1,    0   ; AreaCategoryMethod
1,    IntLtgSys:ParentSpcFunc,  371,    0   ; Theater Area (Motion Picture)
2,              0,    "- none specified -"
2,              3,    "Decorative/Display"
</v>
      </c>
    </row>
    <row r="96" spans="2:29" x14ac:dyDescent="0.25">
      <c r="C96" s="138" t="s">
        <v>975</v>
      </c>
      <c r="D96" s="331">
        <v>0</v>
      </c>
      <c r="E96" s="331">
        <v>0</v>
      </c>
      <c r="F96" s="331">
        <v>1</v>
      </c>
      <c r="G96" s="331">
        <v>0</v>
      </c>
      <c r="H96" s="331">
        <v>0</v>
      </c>
      <c r="I96" s="331">
        <v>0</v>
      </c>
      <c r="J96" s="331">
        <v>0</v>
      </c>
      <c r="K96" s="331">
        <v>0</v>
      </c>
      <c r="L96" s="331">
        <v>0</v>
      </c>
      <c r="M96" s="331">
        <v>0</v>
      </c>
      <c r="N96" s="331">
        <v>0</v>
      </c>
      <c r="O96" s="331">
        <v>0</v>
      </c>
      <c r="P96" s="331">
        <v>0</v>
      </c>
      <c r="Q96" s="331">
        <v>0</v>
      </c>
      <c r="R96" s="331">
        <v>0</v>
      </c>
      <c r="S96" s="138" t="s">
        <v>250</v>
      </c>
      <c r="T96" s="138">
        <v>372</v>
      </c>
      <c r="U96" s="138">
        <f t="shared" si="39"/>
        <v>1</v>
      </c>
      <c r="V96" s="329">
        <f t="shared" si="73"/>
        <v>1</v>
      </c>
      <c r="W96" s="138">
        <f t="shared" ca="1" si="74"/>
        <v>3</v>
      </c>
      <c r="X96" s="138" t="str">
        <f t="shared" ref="X96:Y96" ca="1" si="81">IFERROR(W96+MATCH(1,OFFSET($C96,0,W96+1,1,15-W96),0),"")</f>
        <v/>
      </c>
      <c r="Y96" s="138" t="str">
        <f t="shared" ca="1" si="81"/>
        <v/>
      </c>
      <c r="Z96" s="138" t="str">
        <f t="shared" ca="1" si="4"/>
        <v>Decorative/Display</v>
      </c>
      <c r="AA96" s="138" t="str">
        <f t="shared" ref="AA96:AA105" ca="1" si="82">IF(X96&lt;&gt;"",OFFSET($C$9,15,X96),"")</f>
        <v/>
      </c>
      <c r="AB96" s="138" t="str">
        <f t="shared" ref="AB96:AB105" ca="1" si="83">IF(Y96&lt;&gt;"",OFFSET($C$9,15,Y96),"")</f>
        <v/>
      </c>
      <c r="AC96" s="116" t="str">
        <f t="shared" ca="1" si="76"/>
        <v xml:space="preserve">1,    IntLtgSys:IntLtgSpecMthd,   1,    0   ; AreaCategoryMethod
1,    IntLtgSys:ParentSpcFunc,  372,    0   ; Theater Area (Performance)
2,              0,    "- none specified -"
2,              3,    "Decorative/Display"
</v>
      </c>
    </row>
    <row r="97" spans="2:29" x14ac:dyDescent="0.25">
      <c r="B97" s="329"/>
      <c r="C97" s="149" t="s">
        <v>976</v>
      </c>
      <c r="D97" s="331">
        <v>0</v>
      </c>
      <c r="E97" s="331">
        <v>0</v>
      </c>
      <c r="F97" s="331">
        <v>0</v>
      </c>
      <c r="G97" s="331">
        <v>0</v>
      </c>
      <c r="H97" s="331">
        <v>0</v>
      </c>
      <c r="I97" s="331">
        <v>0</v>
      </c>
      <c r="J97" s="331">
        <v>0</v>
      </c>
      <c r="K97" s="331">
        <v>0</v>
      </c>
      <c r="L97" s="331">
        <v>0</v>
      </c>
      <c r="M97" s="331">
        <v>0</v>
      </c>
      <c r="N97" s="331">
        <v>0</v>
      </c>
      <c r="O97" s="331">
        <v>0</v>
      </c>
      <c r="P97" s="331">
        <v>0</v>
      </c>
      <c r="Q97" s="331">
        <v>0</v>
      </c>
      <c r="R97" s="331">
        <v>0</v>
      </c>
      <c r="S97" s="138" t="s">
        <v>250</v>
      </c>
      <c r="T97" s="139">
        <v>373</v>
      </c>
      <c r="U97" s="139">
        <v>1</v>
      </c>
      <c r="V97" s="329">
        <f t="shared" si="73"/>
        <v>0</v>
      </c>
      <c r="W97" s="138" t="e">
        <f t="shared" ca="1" si="74"/>
        <v>#N/A</v>
      </c>
      <c r="X97" s="138" t="str">
        <f t="shared" ref="X97:Y97" ca="1" si="84">IFERROR(W97+MATCH(1,OFFSET($C97,0,W97+1,1,15-W97),0),"")</f>
        <v/>
      </c>
      <c r="Y97" s="138" t="str">
        <f t="shared" ca="1" si="84"/>
        <v/>
      </c>
      <c r="Z97" s="138" t="e">
        <f ca="1">OFFSET($C$9,15,MATCH(1,$D97:$R97,0))</f>
        <v>#N/A</v>
      </c>
      <c r="AA97" s="138" t="str">
        <f t="shared" ca="1" si="82"/>
        <v/>
      </c>
      <c r="AB97" s="138" t="str">
        <f t="shared" ca="1" si="83"/>
        <v/>
      </c>
      <c r="AC97" s="116" t="str">
        <f t="shared" si="76"/>
        <v/>
      </c>
    </row>
    <row r="98" spans="2:29" x14ac:dyDescent="0.25">
      <c r="B98" s="329"/>
      <c r="C98" s="149" t="s">
        <v>977</v>
      </c>
      <c r="D98" s="331">
        <v>0</v>
      </c>
      <c r="E98" s="331">
        <v>0</v>
      </c>
      <c r="F98" s="331">
        <v>1</v>
      </c>
      <c r="G98" s="331">
        <v>0</v>
      </c>
      <c r="H98" s="331">
        <v>0</v>
      </c>
      <c r="I98" s="331">
        <v>0</v>
      </c>
      <c r="J98" s="331">
        <v>0</v>
      </c>
      <c r="K98" s="331">
        <v>0</v>
      </c>
      <c r="L98" s="331">
        <v>0</v>
      </c>
      <c r="M98" s="331">
        <v>0</v>
      </c>
      <c r="N98" s="331">
        <v>0</v>
      </c>
      <c r="O98" s="331">
        <v>0</v>
      </c>
      <c r="P98" s="331">
        <v>0</v>
      </c>
      <c r="Q98" s="331">
        <v>0</v>
      </c>
      <c r="R98" s="331">
        <v>0</v>
      </c>
      <c r="S98" s="138" t="s">
        <v>250</v>
      </c>
      <c r="T98" s="139">
        <v>374</v>
      </c>
      <c r="U98" s="139">
        <v>1</v>
      </c>
      <c r="V98" s="329">
        <f t="shared" si="73"/>
        <v>1</v>
      </c>
      <c r="W98" s="138">
        <f t="shared" ca="1" si="74"/>
        <v>3</v>
      </c>
      <c r="X98" s="138" t="str">
        <f t="shared" ref="X98:Y98" ca="1" si="85">IFERROR(W98+MATCH(1,OFFSET($C98,0,W98+1,1,15-W98),0),"")</f>
        <v/>
      </c>
      <c r="Y98" s="138" t="str">
        <f t="shared" ca="1" si="85"/>
        <v/>
      </c>
      <c r="Z98" s="138" t="str">
        <f t="shared" ref="Z98:Z105" ca="1" si="86">OFFSET($C$9,15,MATCH(1,$D98:$R98,0))</f>
        <v>Decorative/Display</v>
      </c>
      <c r="AA98" s="138" t="str">
        <f t="shared" ca="1" si="82"/>
        <v/>
      </c>
      <c r="AB98" s="138" t="str">
        <f t="shared" ca="1" si="83"/>
        <v/>
      </c>
      <c r="AC98" s="116" t="str">
        <f t="shared" ca="1" si="76"/>
        <v xml:space="preserve">1,    IntLtgSys:IntLtgSpecMthd,   1,    0   ; AreaCategoryMethod
1,    IntLtgSys:ParentSpcFunc,  374,    0   ; Transportation Function (Ticketing Area)
2,              0,    "- none specified -"
2,              3,    "Decorative/Display"
</v>
      </c>
    </row>
    <row r="99" spans="2:29" x14ac:dyDescent="0.25">
      <c r="B99" s="329"/>
      <c r="C99" s="149" t="s">
        <v>935</v>
      </c>
      <c r="D99" s="331">
        <v>0</v>
      </c>
      <c r="E99" s="331">
        <v>0</v>
      </c>
      <c r="F99" s="331">
        <v>0</v>
      </c>
      <c r="G99" s="331">
        <v>0</v>
      </c>
      <c r="H99" s="331">
        <v>0</v>
      </c>
      <c r="I99" s="331">
        <v>0</v>
      </c>
      <c r="J99" s="331">
        <v>0</v>
      </c>
      <c r="K99" s="331">
        <v>0</v>
      </c>
      <c r="L99" s="331">
        <v>0</v>
      </c>
      <c r="M99" s="331">
        <v>0</v>
      </c>
      <c r="N99" s="331">
        <v>0</v>
      </c>
      <c r="O99" s="331">
        <v>0</v>
      </c>
      <c r="P99" s="331">
        <v>0</v>
      </c>
      <c r="Q99" s="331">
        <v>0</v>
      </c>
      <c r="R99" s="331">
        <v>0</v>
      </c>
      <c r="S99" s="138" t="s">
        <v>250</v>
      </c>
      <c r="T99" s="139">
        <v>375</v>
      </c>
      <c r="U99" s="139">
        <v>1</v>
      </c>
      <c r="V99" s="329">
        <f t="shared" si="73"/>
        <v>0</v>
      </c>
      <c r="W99" s="138" t="e">
        <f t="shared" ca="1" si="74"/>
        <v>#N/A</v>
      </c>
      <c r="X99" s="138" t="str">
        <f t="shared" ref="X99:Y99" ca="1" si="87">IFERROR(W99+MATCH(1,OFFSET($C99,0,W99+1,1,15-W99),0),"")</f>
        <v/>
      </c>
      <c r="Y99" s="138" t="str">
        <f t="shared" ca="1" si="87"/>
        <v/>
      </c>
      <c r="Z99" s="138" t="e">
        <f t="shared" ca="1" si="86"/>
        <v>#N/A</v>
      </c>
      <c r="AA99" s="138" t="str">
        <f t="shared" ca="1" si="82"/>
        <v/>
      </c>
      <c r="AB99" s="138" t="str">
        <f t="shared" ca="1" si="83"/>
        <v/>
      </c>
      <c r="AC99" s="116" t="str">
        <f t="shared" si="76"/>
        <v/>
      </c>
    </row>
    <row r="100" spans="2:29" x14ac:dyDescent="0.25">
      <c r="B100" s="329"/>
      <c r="C100" s="149" t="s">
        <v>666</v>
      </c>
      <c r="D100" s="331">
        <v>0</v>
      </c>
      <c r="E100" s="331">
        <v>0</v>
      </c>
      <c r="F100" s="331">
        <v>0</v>
      </c>
      <c r="G100" s="331">
        <v>0</v>
      </c>
      <c r="H100" s="331">
        <v>0</v>
      </c>
      <c r="I100" s="331">
        <v>0</v>
      </c>
      <c r="J100" s="331">
        <v>0</v>
      </c>
      <c r="K100" s="331">
        <v>0</v>
      </c>
      <c r="L100" s="331">
        <v>0</v>
      </c>
      <c r="M100" s="331">
        <v>0</v>
      </c>
      <c r="N100" s="331">
        <v>0</v>
      </c>
      <c r="O100" s="331">
        <v>0</v>
      </c>
      <c r="P100" s="331">
        <v>0</v>
      </c>
      <c r="Q100" s="331">
        <v>0</v>
      </c>
      <c r="R100" s="331">
        <v>0</v>
      </c>
      <c r="S100" s="138" t="s">
        <v>250</v>
      </c>
      <c r="T100" s="139">
        <v>376</v>
      </c>
      <c r="U100" s="139">
        <v>1</v>
      </c>
      <c r="V100" s="329">
        <f t="shared" si="73"/>
        <v>0</v>
      </c>
      <c r="W100" s="138" t="e">
        <f t="shared" ca="1" si="74"/>
        <v>#N/A</v>
      </c>
      <c r="X100" s="138" t="str">
        <f t="shared" ref="X100:Y100" ca="1" si="88">IFERROR(W100+MATCH(1,OFFSET($C100,0,W100+1,1,15-W100),0),"")</f>
        <v/>
      </c>
      <c r="Y100" s="138" t="str">
        <f t="shared" ca="1" si="88"/>
        <v/>
      </c>
      <c r="Z100" s="138" t="e">
        <f t="shared" ca="1" si="86"/>
        <v>#N/A</v>
      </c>
      <c r="AA100" s="138" t="str">
        <f t="shared" ca="1" si="82"/>
        <v/>
      </c>
      <c r="AB100" s="138" t="str">
        <f t="shared" ca="1" si="83"/>
        <v/>
      </c>
      <c r="AC100" s="116" t="str">
        <f t="shared" si="76"/>
        <v/>
      </c>
    </row>
    <row r="101" spans="2:29" x14ac:dyDescent="0.25">
      <c r="B101" s="329"/>
      <c r="C101" s="149" t="s">
        <v>667</v>
      </c>
      <c r="D101" s="331">
        <v>0</v>
      </c>
      <c r="E101" s="331">
        <v>0</v>
      </c>
      <c r="F101" s="331">
        <v>0</v>
      </c>
      <c r="G101" s="331">
        <v>0</v>
      </c>
      <c r="H101" s="331">
        <v>0</v>
      </c>
      <c r="I101" s="331">
        <v>0</v>
      </c>
      <c r="J101" s="331">
        <v>0</v>
      </c>
      <c r="K101" s="331">
        <v>0</v>
      </c>
      <c r="L101" s="331">
        <v>0</v>
      </c>
      <c r="M101" s="331">
        <v>0</v>
      </c>
      <c r="N101" s="331">
        <v>0</v>
      </c>
      <c r="O101" s="331">
        <v>0</v>
      </c>
      <c r="P101" s="331">
        <v>0</v>
      </c>
      <c r="Q101" s="331">
        <v>0</v>
      </c>
      <c r="R101" s="331">
        <v>0</v>
      </c>
      <c r="S101" s="138" t="s">
        <v>250</v>
      </c>
      <c r="T101" s="139">
        <v>377</v>
      </c>
      <c r="U101" s="139">
        <v>1</v>
      </c>
      <c r="V101" s="329">
        <f t="shared" si="73"/>
        <v>0</v>
      </c>
      <c r="W101" s="138" t="e">
        <f t="shared" ca="1" si="74"/>
        <v>#N/A</v>
      </c>
      <c r="X101" s="138" t="str">
        <f t="shared" ref="X101:Y101" ca="1" si="89">IFERROR(W101+MATCH(1,OFFSET($C101,0,W101+1,1,15-W101),0),"")</f>
        <v/>
      </c>
      <c r="Y101" s="138" t="str">
        <f t="shared" ca="1" si="89"/>
        <v/>
      </c>
      <c r="Z101" s="138" t="e">
        <f t="shared" ca="1" si="86"/>
        <v>#N/A</v>
      </c>
      <c r="AA101" s="138" t="str">
        <f t="shared" ca="1" si="82"/>
        <v/>
      </c>
      <c r="AB101" s="138" t="str">
        <f t="shared" ca="1" si="83"/>
        <v/>
      </c>
      <c r="AC101" s="116" t="str">
        <f t="shared" si="76"/>
        <v/>
      </c>
    </row>
    <row r="102" spans="2:29" x14ac:dyDescent="0.25">
      <c r="C102" s="149" t="s">
        <v>668</v>
      </c>
      <c r="D102" s="331">
        <v>0</v>
      </c>
      <c r="E102" s="331">
        <v>0</v>
      </c>
      <c r="F102" s="331">
        <v>0</v>
      </c>
      <c r="G102" s="331">
        <v>0</v>
      </c>
      <c r="H102" s="331">
        <v>0</v>
      </c>
      <c r="I102" s="331">
        <v>0</v>
      </c>
      <c r="J102" s="331">
        <v>0</v>
      </c>
      <c r="K102" s="331">
        <v>0</v>
      </c>
      <c r="L102" s="331">
        <v>1</v>
      </c>
      <c r="M102" s="331">
        <v>0</v>
      </c>
      <c r="N102" s="331">
        <v>0</v>
      </c>
      <c r="O102" s="331">
        <v>0</v>
      </c>
      <c r="P102" s="331">
        <v>0</v>
      </c>
      <c r="Q102" s="331">
        <v>0</v>
      </c>
      <c r="R102" s="331">
        <v>0</v>
      </c>
      <c r="S102" s="138" t="s">
        <v>250</v>
      </c>
      <c r="T102" s="139">
        <v>378</v>
      </c>
      <c r="U102" s="139">
        <v>1</v>
      </c>
      <c r="V102" s="329">
        <f t="shared" si="73"/>
        <v>1</v>
      </c>
      <c r="W102" s="138">
        <f t="shared" ca="1" si="74"/>
        <v>9</v>
      </c>
      <c r="X102" s="138" t="str">
        <f t="shared" ref="X102:Y102" ca="1" si="90">IFERROR(W102+MATCH(1,OFFSET($C102,0,W102+1,1,15-W102),0),"")</f>
        <v/>
      </c>
      <c r="Y102" s="138" t="str">
        <f t="shared" ca="1" si="90"/>
        <v/>
      </c>
      <c r="Z102" s="138" t="str">
        <f t="shared" ca="1" si="86"/>
        <v>VideoconferencingStudioLighting</v>
      </c>
      <c r="AA102" s="138" t="str">
        <f t="shared" ca="1" si="82"/>
        <v/>
      </c>
      <c r="AB102" s="138" t="str">
        <f t="shared" ca="1" si="83"/>
        <v/>
      </c>
      <c r="AC102" s="116" t="str">
        <f t="shared" ca="1" si="76"/>
        <v xml:space="preserve">1,    IntLtgSys:IntLtgSpecMthd,   1,    0   ; AreaCategoryMethod
1,    IntLtgSys:ParentSpcFunc,  378,    0   ; Videoconferencing Studio
2,              0,    "- none specified -"
2,              9,    "VideoconferencingStudioLighting"
</v>
      </c>
    </row>
    <row r="103" spans="2:29" x14ac:dyDescent="0.25">
      <c r="C103" s="149" t="s">
        <v>936</v>
      </c>
      <c r="D103" s="331">
        <v>0</v>
      </c>
      <c r="E103" s="331">
        <v>0</v>
      </c>
      <c r="F103" s="331">
        <v>0</v>
      </c>
      <c r="G103" s="331">
        <v>0</v>
      </c>
      <c r="H103" s="331">
        <v>0</v>
      </c>
      <c r="I103" s="331">
        <v>0</v>
      </c>
      <c r="J103" s="331">
        <v>0</v>
      </c>
      <c r="K103" s="331">
        <v>0</v>
      </c>
      <c r="L103" s="331">
        <v>0</v>
      </c>
      <c r="M103" s="331">
        <v>0</v>
      </c>
      <c r="N103" s="331">
        <v>0</v>
      </c>
      <c r="O103" s="331">
        <v>0</v>
      </c>
      <c r="P103" s="331">
        <v>0</v>
      </c>
      <c r="Q103" s="331">
        <v>0</v>
      </c>
      <c r="R103" s="331">
        <v>0</v>
      </c>
      <c r="S103" s="138" t="s">
        <v>250</v>
      </c>
      <c r="T103" s="139">
        <v>301</v>
      </c>
      <c r="U103" s="139">
        <v>1</v>
      </c>
      <c r="V103" s="329">
        <f t="shared" si="73"/>
        <v>0</v>
      </c>
      <c r="W103" s="138" t="e">
        <f t="shared" ca="1" si="74"/>
        <v>#N/A</v>
      </c>
      <c r="X103" s="138" t="str">
        <f t="shared" ref="X103:Y103" ca="1" si="91">IFERROR(W103+MATCH(1,OFFSET($C103,0,W103+1,1,15-W103),0),"")</f>
        <v/>
      </c>
      <c r="Y103" s="138" t="str">
        <f t="shared" ca="1" si="91"/>
        <v/>
      </c>
      <c r="Z103" s="138" t="e">
        <f t="shared" ca="1" si="86"/>
        <v>#N/A</v>
      </c>
      <c r="AA103" s="138" t="str">
        <f t="shared" ca="1" si="82"/>
        <v/>
      </c>
      <c r="AB103" s="138" t="str">
        <f t="shared" ca="1" si="83"/>
        <v/>
      </c>
      <c r="AC103" s="116" t="str">
        <f t="shared" si="76"/>
        <v/>
      </c>
    </row>
    <row r="104" spans="2:29" x14ac:dyDescent="0.25">
      <c r="C104" s="149" t="s">
        <v>1074</v>
      </c>
      <c r="D104" s="331">
        <v>0</v>
      </c>
      <c r="E104" s="331">
        <v>0</v>
      </c>
      <c r="F104" s="331">
        <v>0</v>
      </c>
      <c r="G104" s="331">
        <v>0</v>
      </c>
      <c r="H104" s="331">
        <v>0</v>
      </c>
      <c r="I104" s="331">
        <v>0</v>
      </c>
      <c r="J104" s="331">
        <v>0</v>
      </c>
      <c r="K104" s="331">
        <v>0</v>
      </c>
      <c r="L104" s="331">
        <v>0</v>
      </c>
      <c r="M104" s="331">
        <v>0</v>
      </c>
      <c r="N104" s="331">
        <v>0</v>
      </c>
      <c r="O104" s="331">
        <v>0</v>
      </c>
      <c r="P104" s="331">
        <v>0</v>
      </c>
      <c r="Q104" s="331">
        <v>0</v>
      </c>
      <c r="R104" s="331">
        <v>0</v>
      </c>
      <c r="S104" s="138" t="s">
        <v>250</v>
      </c>
      <c r="T104" s="139">
        <v>379</v>
      </c>
      <c r="U104" s="139">
        <v>0</v>
      </c>
      <c r="V104" s="329">
        <f t="shared" si="73"/>
        <v>0</v>
      </c>
      <c r="W104" s="138" t="e">
        <f t="shared" ca="1" si="74"/>
        <v>#N/A</v>
      </c>
      <c r="X104" s="138" t="str">
        <f t="shared" ref="X104:Y104" ca="1" si="92">IFERROR(W104+MATCH(1,OFFSET($C104,0,W104+1,1,15-W104),0),"")</f>
        <v/>
      </c>
      <c r="Y104" s="138" t="str">
        <f t="shared" ca="1" si="92"/>
        <v/>
      </c>
      <c r="Z104" s="138" t="e">
        <f t="shared" ca="1" si="86"/>
        <v>#N/A</v>
      </c>
      <c r="AA104" s="138" t="str">
        <f t="shared" ca="1" si="82"/>
        <v/>
      </c>
      <c r="AB104" s="138" t="str">
        <f t="shared" ca="1" si="83"/>
        <v/>
      </c>
      <c r="AC104" s="116" t="str">
        <f t="shared" si="76"/>
        <v/>
      </c>
    </row>
    <row r="105" spans="2:29" x14ac:dyDescent="0.25">
      <c r="B105" s="329"/>
      <c r="C105" s="138" t="s">
        <v>1075</v>
      </c>
      <c r="D105" s="331">
        <v>0</v>
      </c>
      <c r="E105" s="331">
        <v>0</v>
      </c>
      <c r="F105" s="332">
        <v>0</v>
      </c>
      <c r="G105" s="331">
        <v>0</v>
      </c>
      <c r="H105" s="331">
        <v>0</v>
      </c>
      <c r="I105" s="331">
        <v>0</v>
      </c>
      <c r="J105" s="331">
        <v>0</v>
      </c>
      <c r="K105" s="331">
        <v>0</v>
      </c>
      <c r="L105" s="331">
        <v>0</v>
      </c>
      <c r="M105" s="331">
        <v>0</v>
      </c>
      <c r="N105" s="331">
        <v>0</v>
      </c>
      <c r="O105" s="331">
        <v>0</v>
      </c>
      <c r="P105" s="331">
        <v>0</v>
      </c>
      <c r="Q105" s="331">
        <v>0</v>
      </c>
      <c r="R105" s="331">
        <v>0</v>
      </c>
      <c r="S105" s="138" t="s">
        <v>250</v>
      </c>
      <c r="T105" s="138">
        <v>380</v>
      </c>
      <c r="U105" s="138">
        <f>IF(SUM(D105:P105)&gt;0,1,0)</f>
        <v>0</v>
      </c>
      <c r="V105" s="329">
        <f t="shared" si="73"/>
        <v>0</v>
      </c>
      <c r="W105" s="138" t="e">
        <f t="shared" ca="1" si="74"/>
        <v>#N/A</v>
      </c>
      <c r="X105" s="138" t="str">
        <f t="shared" ref="X105:Y105" ca="1" si="93">IFERROR(W105+MATCH(1,OFFSET($C105,0,W105+1,1,15-W105),0),"")</f>
        <v/>
      </c>
      <c r="Y105" s="138" t="str">
        <f t="shared" ca="1" si="93"/>
        <v/>
      </c>
      <c r="Z105" s="138" t="e">
        <f t="shared" ca="1" si="86"/>
        <v>#N/A</v>
      </c>
      <c r="AA105" s="138" t="str">
        <f t="shared" ca="1" si="82"/>
        <v/>
      </c>
      <c r="AB105" s="138" t="str">
        <f t="shared" ca="1" si="83"/>
        <v/>
      </c>
      <c r="AC105" s="116" t="str">
        <f t="shared" si="76"/>
        <v/>
      </c>
    </row>
    <row r="106" spans="2:29" x14ac:dyDescent="0.25">
      <c r="B106" s="138" t="s">
        <v>245</v>
      </c>
      <c r="V106" s="329"/>
      <c r="AC106" s="116"/>
    </row>
    <row r="107" spans="2:29" x14ac:dyDescent="0.25">
      <c r="C107" s="149"/>
      <c r="D107" s="331"/>
      <c r="E107" s="331"/>
      <c r="F107" s="331"/>
      <c r="G107" s="331"/>
      <c r="H107" s="331"/>
      <c r="I107" s="331"/>
      <c r="J107" s="331"/>
      <c r="K107" s="331"/>
      <c r="L107" s="331"/>
      <c r="M107" s="331"/>
      <c r="N107" s="331"/>
      <c r="O107" s="331"/>
      <c r="P107" s="331"/>
      <c r="Q107" s="331"/>
      <c r="R107" s="331"/>
      <c r="V107" s="329"/>
      <c r="AC107" s="116"/>
    </row>
    <row r="108" spans="2:29" x14ac:dyDescent="0.25">
      <c r="C108" s="149"/>
      <c r="D108" s="331"/>
      <c r="E108" s="331"/>
      <c r="F108" s="331"/>
      <c r="G108" s="331"/>
      <c r="H108" s="331"/>
      <c r="I108" s="331"/>
      <c r="J108" s="331"/>
      <c r="K108" s="331"/>
      <c r="L108" s="331"/>
      <c r="M108" s="331"/>
      <c r="N108" s="331"/>
      <c r="O108" s="331"/>
      <c r="P108" s="331"/>
      <c r="Q108" s="331"/>
      <c r="R108" s="331"/>
      <c r="T108" s="139"/>
      <c r="U108" s="139"/>
      <c r="V108" s="139"/>
      <c r="AC108" s="116"/>
    </row>
    <row r="109" spans="2:29" x14ac:dyDescent="0.25">
      <c r="C109" s="149"/>
      <c r="D109" s="331"/>
      <c r="E109" s="331"/>
      <c r="F109" s="331"/>
      <c r="G109" s="331"/>
      <c r="H109" s="331"/>
      <c r="I109" s="331"/>
      <c r="J109" s="331"/>
      <c r="K109" s="331"/>
      <c r="L109" s="331"/>
      <c r="M109" s="331"/>
      <c r="N109" s="331"/>
      <c r="O109" s="331"/>
      <c r="P109" s="331"/>
      <c r="Q109" s="331"/>
      <c r="R109" s="331"/>
      <c r="T109" s="139"/>
      <c r="U109" s="139"/>
      <c r="V109" s="139"/>
      <c r="AC109" s="116"/>
    </row>
    <row r="110" spans="2:29" x14ac:dyDescent="0.25">
      <c r="C110" s="149"/>
      <c r="D110" s="331"/>
      <c r="E110" s="331"/>
      <c r="F110" s="331"/>
      <c r="G110" s="331"/>
      <c r="H110" s="331"/>
      <c r="I110" s="331"/>
      <c r="J110" s="331"/>
      <c r="K110" s="331"/>
      <c r="L110" s="331"/>
      <c r="M110" s="331"/>
      <c r="N110" s="331"/>
      <c r="O110" s="331"/>
      <c r="P110" s="331"/>
      <c r="Q110" s="331"/>
      <c r="R110" s="331"/>
      <c r="T110" s="139"/>
      <c r="U110" s="139"/>
      <c r="V110" s="139"/>
      <c r="AC110" s="116"/>
    </row>
    <row r="111" spans="2:29" x14ac:dyDescent="0.25">
      <c r="C111" s="149"/>
      <c r="D111" s="331"/>
      <c r="E111" s="331"/>
      <c r="F111" s="331"/>
      <c r="G111" s="331"/>
      <c r="H111" s="331"/>
      <c r="I111" s="331"/>
      <c r="J111" s="331"/>
      <c r="K111" s="331"/>
      <c r="L111" s="331"/>
      <c r="M111" s="331"/>
      <c r="N111" s="331"/>
      <c r="O111" s="331"/>
      <c r="P111" s="331"/>
      <c r="Q111" s="331"/>
      <c r="R111" s="331"/>
      <c r="T111" s="139"/>
      <c r="U111" s="139"/>
      <c r="V111" s="139"/>
      <c r="AC111" s="116"/>
    </row>
    <row r="112" spans="2:29" x14ac:dyDescent="0.25">
      <c r="C112" s="149"/>
      <c r="D112" s="331"/>
      <c r="E112" s="331"/>
      <c r="F112" s="331"/>
      <c r="G112" s="331"/>
      <c r="H112" s="331"/>
      <c r="I112" s="331"/>
      <c r="J112" s="331"/>
      <c r="K112" s="331"/>
      <c r="L112" s="331"/>
      <c r="M112" s="331"/>
      <c r="N112" s="331"/>
      <c r="O112" s="331"/>
      <c r="P112" s="331"/>
      <c r="Q112" s="331"/>
      <c r="R112" s="331"/>
      <c r="T112" s="139"/>
      <c r="U112" s="139"/>
      <c r="V112" s="139"/>
      <c r="AC112" s="116"/>
    </row>
    <row r="113" spans="3:29" x14ac:dyDescent="0.25">
      <c r="C113" s="149"/>
      <c r="D113" s="331"/>
      <c r="E113" s="331"/>
      <c r="F113" s="331"/>
      <c r="G113" s="331"/>
      <c r="H113" s="331"/>
      <c r="I113" s="331"/>
      <c r="J113" s="331"/>
      <c r="K113" s="331"/>
      <c r="L113" s="331"/>
      <c r="M113" s="331"/>
      <c r="N113" s="331"/>
      <c r="O113" s="331"/>
      <c r="P113" s="331"/>
      <c r="Q113" s="331"/>
      <c r="R113" s="331"/>
      <c r="T113" s="139"/>
      <c r="U113" s="139"/>
      <c r="V113" s="139"/>
      <c r="AC113" s="116"/>
    </row>
    <row r="114" spans="3:29" x14ac:dyDescent="0.25">
      <c r="C114" s="149"/>
      <c r="D114" s="331"/>
      <c r="E114" s="331"/>
      <c r="F114" s="331"/>
      <c r="G114" s="331"/>
      <c r="H114" s="331"/>
      <c r="I114" s="331"/>
      <c r="J114" s="331"/>
      <c r="K114" s="331"/>
      <c r="L114" s="331"/>
      <c r="M114" s="331"/>
      <c r="N114" s="331"/>
      <c r="O114" s="331"/>
      <c r="P114" s="331"/>
      <c r="Q114" s="331"/>
      <c r="R114" s="331"/>
      <c r="T114" s="139"/>
      <c r="U114" s="139"/>
      <c r="V114" s="139"/>
      <c r="W114" s="139"/>
      <c r="X114" s="139"/>
      <c r="Y114" s="139"/>
      <c r="AC114" s="116"/>
    </row>
    <row r="115" spans="3:29" x14ac:dyDescent="0.25">
      <c r="D115" s="331"/>
      <c r="E115" s="331"/>
      <c r="F115" s="332"/>
      <c r="G115" s="331"/>
      <c r="H115" s="331"/>
      <c r="I115" s="331"/>
      <c r="J115" s="331"/>
      <c r="K115" s="331"/>
      <c r="L115" s="331"/>
      <c r="M115" s="331"/>
      <c r="N115" s="331"/>
      <c r="O115" s="331"/>
      <c r="P115" s="331"/>
      <c r="Q115" s="331"/>
      <c r="R115" s="331"/>
      <c r="AC115" s="116"/>
    </row>
  </sheetData>
  <autoFilter ref="A25:V106" xr:uid="{48B3A7D7-CEBA-4AA5-A817-AEA9D94D14BF}"/>
  <conditionalFormatting sqref="T59 D26:N96 P26:R96 T50">
    <cfRule type="expression" dxfId="30" priority="12">
      <formula>D26&gt;0</formula>
    </cfRule>
  </conditionalFormatting>
  <conditionalFormatting sqref="O26:O96">
    <cfRule type="expression" dxfId="29" priority="11">
      <formula>O26&gt;0</formula>
    </cfRule>
  </conditionalFormatting>
  <conditionalFormatting sqref="K26:R33">
    <cfRule type="expression" dxfId="28" priority="10">
      <formula>K26&gt;0</formula>
    </cfRule>
  </conditionalFormatting>
  <conditionalFormatting sqref="D26:J33">
    <cfRule type="expression" dxfId="27" priority="9">
      <formula>D26&gt;0</formula>
    </cfRule>
  </conditionalFormatting>
  <conditionalFormatting sqref="D115:N115 P115:R115">
    <cfRule type="expression" dxfId="26" priority="8">
      <formula>D115&gt;0</formula>
    </cfRule>
  </conditionalFormatting>
  <conditionalFormatting sqref="O115">
    <cfRule type="expression" dxfId="25" priority="7">
      <formula>O115&gt;0</formula>
    </cfRule>
  </conditionalFormatting>
  <conditionalFormatting sqref="K107:R114">
    <cfRule type="expression" dxfId="24" priority="6">
      <formula>K107&gt;0</formula>
    </cfRule>
  </conditionalFormatting>
  <conditionalFormatting sqref="D107:J114">
    <cfRule type="expression" dxfId="23" priority="5">
      <formula>D107&gt;0</formula>
    </cfRule>
  </conditionalFormatting>
  <conditionalFormatting sqref="D105:N105 P105:R105">
    <cfRule type="expression" dxfId="22" priority="4">
      <formula>D105&gt;0</formula>
    </cfRule>
  </conditionalFormatting>
  <conditionalFormatting sqref="O105">
    <cfRule type="expression" dxfId="21" priority="3">
      <formula>O105&gt;0</formula>
    </cfRule>
  </conditionalFormatting>
  <conditionalFormatting sqref="K97:R104">
    <cfRule type="expression" dxfId="20" priority="2">
      <formula>K97&gt;0</formula>
    </cfRule>
  </conditionalFormatting>
  <conditionalFormatting sqref="D97:J104">
    <cfRule type="expression" dxfId="19" priority="1">
      <formula>D97&gt;0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4" name="Button 1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142875</xdr:rowOff>
                  </from>
                  <to>
                    <xdr:col>4</xdr:col>
                    <xdr:colOff>523875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9C17B-AC97-4997-B970-E57A9C176A99}">
  <dimension ref="A1:Y750"/>
  <sheetViews>
    <sheetView showGridLines="0" zoomScaleNormal="100" workbookViewId="0">
      <pane xSplit="1" ySplit="7" topLeftCell="B8" activePane="bottomRight" state="frozen"/>
      <selection pane="topRight" activeCell="B1" sqref="B1"/>
      <selection pane="bottomLeft" activeCell="A3" sqref="A3"/>
      <selection pane="bottomRight" activeCell="E21" sqref="E21"/>
    </sheetView>
  </sheetViews>
  <sheetFormatPr defaultColWidth="9.140625" defaultRowHeight="12.75" x14ac:dyDescent="0.25"/>
  <cols>
    <col min="1" max="1" width="56.5703125" style="374" customWidth="1"/>
    <col min="2" max="2" width="30.140625" style="374" customWidth="1"/>
    <col min="3" max="5" width="17.28515625" style="374" customWidth="1"/>
    <col min="6" max="6" width="38" style="374" customWidth="1"/>
    <col min="7" max="11" width="9.140625" style="374"/>
    <col min="12" max="12" width="28.7109375" style="374" customWidth="1"/>
    <col min="13" max="16384" width="9.140625" style="374"/>
  </cols>
  <sheetData>
    <row r="1" spans="1:14" x14ac:dyDescent="0.2">
      <c r="F1" s="375" t="s">
        <v>986</v>
      </c>
      <c r="G1" s="376"/>
      <c r="H1" s="376"/>
      <c r="I1" s="376"/>
    </row>
    <row r="2" spans="1:14" x14ac:dyDescent="0.2">
      <c r="F2" s="376"/>
      <c r="G2" s="376"/>
      <c r="H2" s="376"/>
      <c r="I2" s="376"/>
    </row>
    <row r="3" spans="1:14" x14ac:dyDescent="0.2">
      <c r="B3" s="377"/>
      <c r="F3" s="378" t="s">
        <v>1080</v>
      </c>
      <c r="G3" s="378" t="s">
        <v>1081</v>
      </c>
      <c r="H3" s="378" t="s">
        <v>1082</v>
      </c>
      <c r="I3" s="378" t="str">
        <f>CHAR(10)</f>
        <v xml:space="preserve">
</v>
      </c>
    </row>
    <row r="4" spans="1:14" x14ac:dyDescent="0.2">
      <c r="F4" s="379" t="s">
        <v>988</v>
      </c>
      <c r="G4" s="379" t="s">
        <v>1083</v>
      </c>
      <c r="H4" s="378" t="s">
        <v>1084</v>
      </c>
      <c r="I4" s="378"/>
    </row>
    <row r="5" spans="1:14" x14ac:dyDescent="0.2">
      <c r="F5" s="379" t="s">
        <v>991</v>
      </c>
      <c r="G5" s="379" t="s">
        <v>1085</v>
      </c>
      <c r="H5" s="379"/>
      <c r="I5" s="378"/>
    </row>
    <row r="6" spans="1:14" x14ac:dyDescent="0.2">
      <c r="A6" s="380" t="s">
        <v>1086</v>
      </c>
      <c r="B6" s="380" t="s">
        <v>1087</v>
      </c>
      <c r="C6" s="374" t="s">
        <v>1088</v>
      </c>
      <c r="D6" s="374" t="s">
        <v>1089</v>
      </c>
      <c r="F6" s="381"/>
      <c r="G6" s="381"/>
      <c r="H6" s="381"/>
      <c r="I6" s="381"/>
    </row>
    <row r="7" spans="1:14" x14ac:dyDescent="0.2">
      <c r="A7" s="374" t="s">
        <v>1090</v>
      </c>
      <c r="B7" s="374" t="s">
        <v>1091</v>
      </c>
      <c r="F7" s="376" t="s">
        <v>1092</v>
      </c>
      <c r="G7" s="376"/>
      <c r="H7" s="376"/>
      <c r="I7" s="376"/>
    </row>
    <row r="8" spans="1:14" x14ac:dyDescent="0.2">
      <c r="A8" s="374" t="s">
        <v>1018</v>
      </c>
      <c r="B8" s="382" t="s">
        <v>1093</v>
      </c>
      <c r="C8" s="374">
        <f>INDEX('[2]For CSV - 2022 SpcFuncData'!$AN$5:$AN$89,MATCH($A8,'[2]For CSV - 2022 SpcFuncData'!$B$5:$B$89,0))</f>
        <v>302</v>
      </c>
      <c r="D8" s="374">
        <f t="shared" ref="D8:D71" si="0">VLOOKUP(B8,$L$8:$M$23,2,0)</f>
        <v>0</v>
      </c>
      <c r="E8" s="374">
        <f>IF(A8&lt;&gt;A7,1,IF(A8&lt;&gt;A6,2,3))</f>
        <v>1</v>
      </c>
      <c r="F8" s="376" t="str">
        <f>IF(E8=1,$F$3&amp;$G$3&amp;$D8&amp;$H$3,IF(E8=2,$F$4&amp;$C8&amp;$G$4&amp;$D8&amp;$H$4&amp;TEXT($A8,0),$F$5&amp;$D8&amp;$G$5&amp;$H$5&amp;$B8&amp;""""))</f>
        <v>1,    IntLtgSys:IntLtgSpecMthd,   1,    0   ; AreaCategoryMethod</v>
      </c>
      <c r="G8" s="376"/>
      <c r="H8" s="376"/>
      <c r="I8" s="376"/>
      <c r="L8" s="374" t="str">
        <f>"- none specified -"</f>
        <v>- none specified -</v>
      </c>
      <c r="M8" s="374">
        <v>0</v>
      </c>
      <c r="N8" s="374" t="s">
        <v>1196</v>
      </c>
    </row>
    <row r="9" spans="1:14" x14ac:dyDescent="0.2">
      <c r="A9" s="374" t="s">
        <v>1018</v>
      </c>
      <c r="B9" s="382" t="s">
        <v>1093</v>
      </c>
      <c r="C9" s="374">
        <f>INDEX('[2]For CSV - 2022 SpcFuncData'!$AN$5:$AN$89,MATCH($A9,'[2]For CSV - 2022 SpcFuncData'!$B$5:$B$89,0))</f>
        <v>302</v>
      </c>
      <c r="D9" s="374">
        <f t="shared" si="0"/>
        <v>0</v>
      </c>
      <c r="E9" s="374">
        <f t="shared" ref="E9:E72" si="1">IF(A9&lt;&gt;A8,1,IF(A9&lt;&gt;A7,2,3))</f>
        <v>2</v>
      </c>
      <c r="F9" s="376" t="str">
        <f t="shared" ref="F9:F72" si="2">IF(E9=1,$F$3&amp;$G$3&amp;$D9&amp;$H$3,IF(E9=2,$F$4&amp;$C9&amp;$G$4&amp;$D9&amp;$H$4&amp;TEXT($A9,0),$F$5&amp;$D9&amp;$G$5&amp;$H$5&amp;$B9&amp;""""))</f>
        <v>1,    IntLtgSys:ParentSpcFunc,  302,    0   ; Aging Eye/Low-vision (Corridor Area)</v>
      </c>
      <c r="L9" s="376" t="s">
        <v>983</v>
      </c>
      <c r="M9" s="374">
        <v>1</v>
      </c>
      <c r="N9" s="374">
        <f>COUNTIF($B$8:$B$329,L9)</f>
        <v>7</v>
      </c>
    </row>
    <row r="10" spans="1:14" x14ac:dyDescent="0.2">
      <c r="A10" s="374" t="s">
        <v>1018</v>
      </c>
      <c r="B10" s="382" t="s">
        <v>1093</v>
      </c>
      <c r="C10" s="374">
        <f>INDEX('[2]For CSV - 2022 SpcFuncData'!$AN$5:$AN$89,MATCH($A10,'[2]For CSV - 2022 SpcFuncData'!$B$5:$B$89,0))</f>
        <v>302</v>
      </c>
      <c r="D10" s="374">
        <f t="shared" si="0"/>
        <v>0</v>
      </c>
      <c r="E10" s="374">
        <f t="shared" si="1"/>
        <v>3</v>
      </c>
      <c r="F10" s="376" t="str">
        <f t="shared" si="2"/>
        <v>2,              0,     "- none specified -"</v>
      </c>
      <c r="L10" s="376" t="s">
        <v>429</v>
      </c>
      <c r="M10" s="374">
        <f>M9+1</f>
        <v>2</v>
      </c>
      <c r="N10" s="374">
        <f t="shared" ref="N10:N23" si="3">COUNTIF($B$8:$B$329,L10)</f>
        <v>2</v>
      </c>
    </row>
    <row r="11" spans="1:14" x14ac:dyDescent="0.2">
      <c r="A11" s="374" t="s">
        <v>1018</v>
      </c>
      <c r="B11" s="382" t="str">
        <f>'[2]For CSV - 2022 SpcFuncData'!L5</f>
        <v>Decorative/Display</v>
      </c>
      <c r="C11" s="374">
        <f>INDEX('[2]For CSV - 2022 SpcFuncData'!$AN$5:$AN$89,MATCH($A11,'[2]For CSV - 2022 SpcFuncData'!$B$5:$B$89,0))</f>
        <v>302</v>
      </c>
      <c r="D11" s="374">
        <f t="shared" si="0"/>
        <v>3</v>
      </c>
      <c r="E11" s="374">
        <f t="shared" si="1"/>
        <v>3</v>
      </c>
      <c r="F11" s="376" t="str">
        <f t="shared" si="2"/>
        <v>2,              3,     "Decorative/Display"</v>
      </c>
      <c r="L11" s="376" t="s">
        <v>1076</v>
      </c>
      <c r="M11" s="374">
        <f t="shared" ref="M11:M23" si="4">M10+1</f>
        <v>3</v>
      </c>
      <c r="N11" s="374">
        <f t="shared" si="3"/>
        <v>34</v>
      </c>
    </row>
    <row r="12" spans="1:14" x14ac:dyDescent="0.2">
      <c r="A12" s="374" t="s">
        <v>1019</v>
      </c>
      <c r="B12" s="382" t="s">
        <v>1093</v>
      </c>
      <c r="C12" s="374">
        <f>INDEX('[2]For CSV - 2022 SpcFuncData'!$AN$5:$AN$89,MATCH($A12,'[2]For CSV - 2022 SpcFuncData'!$B$5:$B$89,0))</f>
        <v>303</v>
      </c>
      <c r="D12" s="374">
        <f t="shared" si="0"/>
        <v>0</v>
      </c>
      <c r="E12" s="374">
        <f t="shared" si="1"/>
        <v>1</v>
      </c>
      <c r="F12" s="376" t="str">
        <f t="shared" si="2"/>
        <v>1,    IntLtgSys:IntLtgSpecMthd,   1,    0   ; AreaCategoryMethod</v>
      </c>
      <c r="L12" s="376" t="s">
        <v>996</v>
      </c>
      <c r="M12" s="374">
        <f t="shared" si="4"/>
        <v>4</v>
      </c>
      <c r="N12" s="374">
        <f t="shared" si="3"/>
        <v>1</v>
      </c>
    </row>
    <row r="13" spans="1:14" x14ac:dyDescent="0.2">
      <c r="A13" s="374" t="s">
        <v>1019</v>
      </c>
      <c r="B13" s="382" t="s">
        <v>1093</v>
      </c>
      <c r="C13" s="374">
        <f>INDEX('[2]For CSV - 2022 SpcFuncData'!$AN$5:$AN$89,MATCH($A13,'[2]For CSV - 2022 SpcFuncData'!$B$5:$B$89,0))</f>
        <v>303</v>
      </c>
      <c r="D13" s="374">
        <f t="shared" si="0"/>
        <v>0</v>
      </c>
      <c r="E13" s="374">
        <f t="shared" si="1"/>
        <v>2</v>
      </c>
      <c r="F13" s="376" t="str">
        <f t="shared" si="2"/>
        <v>1,    IntLtgSys:ParentSpcFunc,  303,    0   ; Aging Eye/Low-vision (Dining)</v>
      </c>
      <c r="L13" s="376" t="s">
        <v>424</v>
      </c>
      <c r="M13" s="374">
        <f t="shared" si="4"/>
        <v>5</v>
      </c>
      <c r="N13" s="374">
        <f t="shared" si="3"/>
        <v>1</v>
      </c>
    </row>
    <row r="14" spans="1:14" x14ac:dyDescent="0.2">
      <c r="A14" s="374" t="s">
        <v>1019</v>
      </c>
      <c r="B14" s="382" t="s">
        <v>1093</v>
      </c>
      <c r="C14" s="374">
        <f>INDEX('[2]For CSV - 2022 SpcFuncData'!$AN$5:$AN$89,MATCH($A14,'[2]For CSV - 2022 SpcFuncData'!$B$5:$B$89,0))</f>
        <v>303</v>
      </c>
      <c r="D14" s="374">
        <f t="shared" si="0"/>
        <v>0</v>
      </c>
      <c r="E14" s="374">
        <f t="shared" si="1"/>
        <v>3</v>
      </c>
      <c r="F14" s="376" t="str">
        <f t="shared" si="2"/>
        <v>2,              0,     "- none specified -"</v>
      </c>
      <c r="L14" s="376" t="s">
        <v>425</v>
      </c>
      <c r="M14" s="374">
        <f t="shared" si="4"/>
        <v>6</v>
      </c>
      <c r="N14" s="374">
        <f t="shared" si="3"/>
        <v>0</v>
      </c>
    </row>
    <row r="15" spans="1:14" x14ac:dyDescent="0.2">
      <c r="A15" s="374" t="s">
        <v>1019</v>
      </c>
      <c r="B15" s="382" t="s">
        <v>1076</v>
      </c>
      <c r="C15" s="374">
        <f>INDEX('[2]For CSV - 2022 SpcFuncData'!$AN$5:$AN$89,MATCH($A15,'[2]For CSV - 2022 SpcFuncData'!$B$5:$B$89,0))</f>
        <v>303</v>
      </c>
      <c r="D15" s="374">
        <f t="shared" si="0"/>
        <v>3</v>
      </c>
      <c r="E15" s="374">
        <f t="shared" si="1"/>
        <v>3</v>
      </c>
      <c r="F15" s="376" t="str">
        <f t="shared" si="2"/>
        <v>2,              3,     "Decorative/Display"</v>
      </c>
      <c r="L15" s="376" t="s">
        <v>1046</v>
      </c>
      <c r="M15" s="374">
        <f t="shared" si="4"/>
        <v>7</v>
      </c>
      <c r="N15" s="374">
        <f t="shared" si="3"/>
        <v>0</v>
      </c>
    </row>
    <row r="16" spans="1:14" x14ac:dyDescent="0.2">
      <c r="A16" s="374" t="s">
        <v>1019</v>
      </c>
      <c r="B16" s="382" t="s">
        <v>1017</v>
      </c>
      <c r="C16" s="374">
        <f>INDEX('[2]For CSV - 2022 SpcFuncData'!$AN$5:$AN$89,MATCH($A16,'[2]For CSV - 2022 SpcFuncData'!$B$5:$B$89,0))</f>
        <v>303</v>
      </c>
      <c r="D16" s="374">
        <f t="shared" si="0"/>
        <v>15</v>
      </c>
      <c r="E16" s="374">
        <f t="shared" si="1"/>
        <v>3</v>
      </c>
      <c r="F16" s="376" t="str">
        <f t="shared" si="2"/>
        <v>2,              15,     "TunableWhiteOrDimToWarm"</v>
      </c>
      <c r="L16" s="376" t="s">
        <v>1077</v>
      </c>
      <c r="M16" s="374">
        <f t="shared" si="4"/>
        <v>8</v>
      </c>
      <c r="N16" s="374">
        <f t="shared" si="3"/>
        <v>0</v>
      </c>
    </row>
    <row r="17" spans="1:14" x14ac:dyDescent="0.2">
      <c r="A17" s="374" t="s">
        <v>1065</v>
      </c>
      <c r="B17" s="382" t="s">
        <v>1093</v>
      </c>
      <c r="C17" s="374">
        <f>INDEX('[2]For CSV - 2022 SpcFuncData'!$AN$5:$AN$89,MATCH($A17,'[2]For CSV - 2022 SpcFuncData'!$B$5:$B$89,0))</f>
        <v>304</v>
      </c>
      <c r="D17" s="374">
        <f t="shared" si="0"/>
        <v>0</v>
      </c>
      <c r="E17" s="374">
        <f t="shared" si="1"/>
        <v>1</v>
      </c>
      <c r="F17" s="376" t="str">
        <f t="shared" si="2"/>
        <v>1,    IntLtgSys:IntLtgSpecMthd,   1,    0   ; AreaCategoryMethod</v>
      </c>
      <c r="L17" s="376" t="s">
        <v>432</v>
      </c>
      <c r="M17" s="374">
        <f t="shared" si="4"/>
        <v>9</v>
      </c>
      <c r="N17" s="374">
        <f t="shared" si="3"/>
        <v>1</v>
      </c>
    </row>
    <row r="18" spans="1:14" x14ac:dyDescent="0.2">
      <c r="A18" s="374" t="s">
        <v>1065</v>
      </c>
      <c r="B18" s="382" t="s">
        <v>1093</v>
      </c>
      <c r="C18" s="374">
        <f>INDEX('[2]For CSV - 2022 SpcFuncData'!$AN$5:$AN$89,MATCH($A18,'[2]For CSV - 2022 SpcFuncData'!$B$5:$B$89,0))</f>
        <v>304</v>
      </c>
      <c r="D18" s="374">
        <f t="shared" si="0"/>
        <v>0</v>
      </c>
      <c r="E18" s="374">
        <f t="shared" si="1"/>
        <v>2</v>
      </c>
      <c r="F18" s="376" t="str">
        <f t="shared" si="2"/>
        <v>1,    IntLtgSys:ParentSpcFunc,  304,    0   ; Aging Eye/Low-vision (Lobby, Main Entry)</v>
      </c>
      <c r="L18" s="376" t="s">
        <v>1197</v>
      </c>
      <c r="M18" s="374">
        <f t="shared" si="4"/>
        <v>10</v>
      </c>
      <c r="N18" s="374">
        <f t="shared" si="3"/>
        <v>1</v>
      </c>
    </row>
    <row r="19" spans="1:14" x14ac:dyDescent="0.2">
      <c r="A19" s="374" t="s">
        <v>1065</v>
      </c>
      <c r="B19" s="382" t="s">
        <v>1093</v>
      </c>
      <c r="C19" s="374">
        <f>INDEX('[2]For CSV - 2022 SpcFuncData'!$AN$5:$AN$89,MATCH($A19,'[2]For CSV - 2022 SpcFuncData'!$B$5:$B$89,0))</f>
        <v>304</v>
      </c>
      <c r="D19" s="374">
        <f t="shared" si="0"/>
        <v>0</v>
      </c>
      <c r="E19" s="374">
        <f t="shared" si="1"/>
        <v>3</v>
      </c>
      <c r="F19" s="376" t="str">
        <f t="shared" si="2"/>
        <v>2,              0,     "- none specified -"</v>
      </c>
      <c r="L19" s="376" t="s">
        <v>1195</v>
      </c>
      <c r="M19" s="374">
        <f t="shared" si="4"/>
        <v>11</v>
      </c>
      <c r="N19" s="374">
        <f t="shared" si="3"/>
        <v>2</v>
      </c>
    </row>
    <row r="20" spans="1:14" x14ac:dyDescent="0.2">
      <c r="A20" s="374" t="s">
        <v>1065</v>
      </c>
      <c r="B20" s="382" t="s">
        <v>1076</v>
      </c>
      <c r="C20" s="374">
        <f>INDEX('[2]For CSV - 2022 SpcFuncData'!$AN$5:$AN$89,MATCH($A20,'[2]For CSV - 2022 SpcFuncData'!$B$5:$B$89,0))</f>
        <v>304</v>
      </c>
      <c r="D20" s="374">
        <f t="shared" si="0"/>
        <v>3</v>
      </c>
      <c r="E20" s="374">
        <f t="shared" si="1"/>
        <v>3</v>
      </c>
      <c r="F20" s="376" t="str">
        <f t="shared" si="2"/>
        <v>2,              3,     "Decorative/Display"</v>
      </c>
      <c r="L20" s="376" t="s">
        <v>1010</v>
      </c>
      <c r="M20" s="374">
        <f t="shared" si="4"/>
        <v>12</v>
      </c>
      <c r="N20" s="374">
        <f t="shared" si="3"/>
        <v>1</v>
      </c>
    </row>
    <row r="21" spans="1:14" x14ac:dyDescent="0.2">
      <c r="A21" s="374" t="s">
        <v>1065</v>
      </c>
      <c r="B21" s="382" t="s">
        <v>1016</v>
      </c>
      <c r="C21" s="374">
        <f>INDEX('[2]For CSV - 2022 SpcFuncData'!$AN$5:$AN$89,MATCH($A21,'[2]For CSV - 2022 SpcFuncData'!$B$5:$B$89,0))</f>
        <v>304</v>
      </c>
      <c r="D21" s="374">
        <f t="shared" si="0"/>
        <v>14</v>
      </c>
      <c r="E21" s="374">
        <f t="shared" si="1"/>
        <v>3</v>
      </c>
      <c r="F21" s="376" t="str">
        <f t="shared" si="2"/>
        <v>2,              14,     "TransitionLightingOffAtNight"</v>
      </c>
      <c r="L21" s="376" t="s">
        <v>1011</v>
      </c>
      <c r="M21" s="374">
        <f t="shared" si="4"/>
        <v>13</v>
      </c>
      <c r="N21" s="374">
        <f t="shared" si="3"/>
        <v>1</v>
      </c>
    </row>
    <row r="22" spans="1:14" x14ac:dyDescent="0.2">
      <c r="A22" s="374" t="s">
        <v>1065</v>
      </c>
      <c r="B22" s="382" t="s">
        <v>1017</v>
      </c>
      <c r="C22" s="374">
        <f>INDEX('[2]For CSV - 2022 SpcFuncData'!$AN$5:$AN$89,MATCH($A22,'[2]For CSV - 2022 SpcFuncData'!$B$5:$B$89,0))</f>
        <v>304</v>
      </c>
      <c r="D22" s="374">
        <f t="shared" si="0"/>
        <v>15</v>
      </c>
      <c r="E22" s="374">
        <f t="shared" si="1"/>
        <v>3</v>
      </c>
      <c r="F22" s="376" t="str">
        <f t="shared" si="2"/>
        <v>2,              15,     "TunableWhiteOrDimToWarm"</v>
      </c>
      <c r="L22" s="376" t="s">
        <v>1016</v>
      </c>
      <c r="M22" s="374">
        <f t="shared" si="4"/>
        <v>14</v>
      </c>
      <c r="N22" s="374">
        <f t="shared" si="3"/>
        <v>1</v>
      </c>
    </row>
    <row r="23" spans="1:14" x14ac:dyDescent="0.2">
      <c r="A23" s="374" t="s">
        <v>1020</v>
      </c>
      <c r="B23" s="382" t="s">
        <v>1093</v>
      </c>
      <c r="C23" s="374">
        <f>INDEX('[2]For CSV - 2022 SpcFuncData'!$AN$5:$AN$89,MATCH($A23,'[2]For CSV - 2022 SpcFuncData'!$B$5:$B$89,0))</f>
        <v>305</v>
      </c>
      <c r="D23" s="374">
        <f t="shared" si="0"/>
        <v>0</v>
      </c>
      <c r="E23" s="374">
        <f t="shared" si="1"/>
        <v>1</v>
      </c>
      <c r="F23" s="376" t="str">
        <f t="shared" si="2"/>
        <v>1,    IntLtgSys:IntLtgSpecMthd,   1,    0   ; AreaCategoryMethod</v>
      </c>
      <c r="L23" s="376" t="s">
        <v>1017</v>
      </c>
      <c r="M23" s="374">
        <f t="shared" si="4"/>
        <v>15</v>
      </c>
      <c r="N23" s="374">
        <f t="shared" si="3"/>
        <v>10</v>
      </c>
    </row>
    <row r="24" spans="1:14" x14ac:dyDescent="0.2">
      <c r="A24" s="374" t="s">
        <v>1020</v>
      </c>
      <c r="B24" s="382" t="s">
        <v>1093</v>
      </c>
      <c r="C24" s="374">
        <f>INDEX('[2]For CSV - 2022 SpcFuncData'!$AN$5:$AN$89,MATCH($A24,'[2]For CSV - 2022 SpcFuncData'!$B$5:$B$89,0))</f>
        <v>305</v>
      </c>
      <c r="D24" s="374">
        <f t="shared" si="0"/>
        <v>0</v>
      </c>
      <c r="E24" s="374">
        <f t="shared" si="1"/>
        <v>2</v>
      </c>
      <c r="F24" s="376" t="str">
        <f t="shared" si="2"/>
        <v>1,    IntLtgSys:ParentSpcFunc,  305,    0   ; Aging Eye/Low-vision (Lounge/Waiting Area)</v>
      </c>
    </row>
    <row r="25" spans="1:14" x14ac:dyDescent="0.2">
      <c r="A25" s="374" t="s">
        <v>1020</v>
      </c>
      <c r="B25" s="382" t="s">
        <v>1093</v>
      </c>
      <c r="C25" s="374">
        <f>INDEX('[2]For CSV - 2022 SpcFuncData'!$AN$5:$AN$89,MATCH($A25,'[2]For CSV - 2022 SpcFuncData'!$B$5:$B$89,0))</f>
        <v>305</v>
      </c>
      <c r="D25" s="374">
        <f t="shared" si="0"/>
        <v>0</v>
      </c>
      <c r="E25" s="374">
        <f t="shared" si="1"/>
        <v>3</v>
      </c>
      <c r="F25" s="376" t="str">
        <f t="shared" si="2"/>
        <v>2,              0,     "- none specified -"</v>
      </c>
    </row>
    <row r="26" spans="1:14" x14ac:dyDescent="0.2">
      <c r="A26" s="374" t="s">
        <v>1020</v>
      </c>
      <c r="B26" s="382" t="s">
        <v>1076</v>
      </c>
      <c r="C26" s="374">
        <f>INDEX('[2]For CSV - 2022 SpcFuncData'!$AN$5:$AN$89,MATCH($A26,'[2]For CSV - 2022 SpcFuncData'!$B$5:$B$89,0))</f>
        <v>305</v>
      </c>
      <c r="D26" s="374">
        <f t="shared" si="0"/>
        <v>3</v>
      </c>
      <c r="E26" s="374">
        <f t="shared" si="1"/>
        <v>3</v>
      </c>
      <c r="F26" s="376" t="str">
        <f t="shared" si="2"/>
        <v>2,              3,     "Decorative/Display"</v>
      </c>
    </row>
    <row r="27" spans="1:14" x14ac:dyDescent="0.2">
      <c r="A27" s="374" t="s">
        <v>1020</v>
      </c>
      <c r="B27" s="382" t="s">
        <v>1017</v>
      </c>
      <c r="C27" s="374">
        <f>INDEX('[2]For CSV - 2022 SpcFuncData'!$AN$5:$AN$89,MATCH($A27,'[2]For CSV - 2022 SpcFuncData'!$B$5:$B$89,0))</f>
        <v>305</v>
      </c>
      <c r="D27" s="374">
        <f t="shared" si="0"/>
        <v>15</v>
      </c>
      <c r="E27" s="374">
        <f t="shared" si="1"/>
        <v>3</v>
      </c>
      <c r="F27" s="376" t="str">
        <f t="shared" si="2"/>
        <v>2,              15,     "TunableWhiteOrDimToWarm"</v>
      </c>
    </row>
    <row r="28" spans="1:14" x14ac:dyDescent="0.2">
      <c r="A28" s="374" t="s">
        <v>1022</v>
      </c>
      <c r="B28" s="382" t="s">
        <v>1093</v>
      </c>
      <c r="C28" s="374">
        <f>INDEX('[2]For CSV - 2022 SpcFuncData'!$AN$5:$AN$89,MATCH($A28,'[2]For CSV - 2022 SpcFuncData'!$B$5:$B$89,0))</f>
        <v>306</v>
      </c>
      <c r="D28" s="374">
        <f t="shared" si="0"/>
        <v>0</v>
      </c>
      <c r="E28" s="374">
        <f t="shared" si="1"/>
        <v>1</v>
      </c>
      <c r="F28" s="376" t="str">
        <f t="shared" si="2"/>
        <v>1,    IntLtgSys:IntLtgSpecMthd,   1,    0   ; AreaCategoryMethod</v>
      </c>
    </row>
    <row r="29" spans="1:14" x14ac:dyDescent="0.2">
      <c r="A29" s="374" t="s">
        <v>1022</v>
      </c>
      <c r="B29" s="382" t="s">
        <v>1093</v>
      </c>
      <c r="C29" s="374">
        <f>INDEX('[2]For CSV - 2022 SpcFuncData'!$AN$5:$AN$89,MATCH($A29,'[2]For CSV - 2022 SpcFuncData'!$B$5:$B$89,0))</f>
        <v>306</v>
      </c>
      <c r="D29" s="374">
        <f t="shared" si="0"/>
        <v>0</v>
      </c>
      <c r="E29" s="374">
        <f t="shared" si="1"/>
        <v>2</v>
      </c>
      <c r="F29" s="376" t="str">
        <f t="shared" si="2"/>
        <v>1,    IntLtgSys:ParentSpcFunc,  306,    0   ; Aging Eye/Low-vision (Multipurpose Room)</v>
      </c>
    </row>
    <row r="30" spans="1:14" x14ac:dyDescent="0.2">
      <c r="A30" s="374" t="s">
        <v>1022</v>
      </c>
      <c r="B30" s="382" t="s">
        <v>1093</v>
      </c>
      <c r="C30" s="374">
        <f>INDEX('[2]For CSV - 2022 SpcFuncData'!$AN$5:$AN$89,MATCH($A30,'[2]For CSV - 2022 SpcFuncData'!$B$5:$B$89,0))</f>
        <v>306</v>
      </c>
      <c r="D30" s="374">
        <f t="shared" si="0"/>
        <v>0</v>
      </c>
      <c r="E30" s="374">
        <f t="shared" si="1"/>
        <v>3</v>
      </c>
      <c r="F30" s="376" t="str">
        <f t="shared" si="2"/>
        <v>2,              0,     "- none specified -"</v>
      </c>
    </row>
    <row r="31" spans="1:14" x14ac:dyDescent="0.2">
      <c r="A31" s="374" t="s">
        <v>1022</v>
      </c>
      <c r="B31" s="382" t="s">
        <v>1076</v>
      </c>
      <c r="C31" s="374">
        <f>INDEX('[2]For CSV - 2022 SpcFuncData'!$AN$5:$AN$89,MATCH($A31,'[2]For CSV - 2022 SpcFuncData'!$B$5:$B$89,0))</f>
        <v>306</v>
      </c>
      <c r="D31" s="374">
        <f t="shared" si="0"/>
        <v>3</v>
      </c>
      <c r="E31" s="374">
        <f t="shared" si="1"/>
        <v>3</v>
      </c>
      <c r="F31" s="376" t="str">
        <f t="shared" si="2"/>
        <v>2,              3,     "Decorative/Display"</v>
      </c>
    </row>
    <row r="32" spans="1:14" x14ac:dyDescent="0.2">
      <c r="A32" s="374" t="s">
        <v>1022</v>
      </c>
      <c r="B32" s="382" t="s">
        <v>1017</v>
      </c>
      <c r="C32" s="374">
        <f>INDEX('[2]For CSV - 2022 SpcFuncData'!$AN$5:$AN$89,MATCH($A32,'[2]For CSV - 2022 SpcFuncData'!$B$5:$B$89,0))</f>
        <v>306</v>
      </c>
      <c r="D32" s="374">
        <f t="shared" si="0"/>
        <v>15</v>
      </c>
      <c r="E32" s="374">
        <f t="shared" si="1"/>
        <v>3</v>
      </c>
      <c r="F32" s="376" t="str">
        <f t="shared" si="2"/>
        <v>2,              15,     "TunableWhiteOrDimToWarm"</v>
      </c>
    </row>
    <row r="33" spans="1:6" x14ac:dyDescent="0.2">
      <c r="A33" s="374" t="s">
        <v>1023</v>
      </c>
      <c r="B33" s="382" t="s">
        <v>1093</v>
      </c>
      <c r="C33" s="374">
        <f>INDEX('[2]For CSV - 2022 SpcFuncData'!$AN$5:$AN$89,MATCH($A33,'[2]For CSV - 2022 SpcFuncData'!$B$5:$B$89,0))</f>
        <v>307</v>
      </c>
      <c r="D33" s="374">
        <f t="shared" si="0"/>
        <v>0</v>
      </c>
      <c r="E33" s="374">
        <f t="shared" si="1"/>
        <v>1</v>
      </c>
      <c r="F33" s="376" t="str">
        <f t="shared" si="2"/>
        <v>1,    IntLtgSys:IntLtgSpecMthd,   1,    0   ; AreaCategoryMethod</v>
      </c>
    </row>
    <row r="34" spans="1:6" x14ac:dyDescent="0.2">
      <c r="A34" s="374" t="s">
        <v>1023</v>
      </c>
      <c r="B34" s="382" t="s">
        <v>1093</v>
      </c>
      <c r="C34" s="374">
        <f>INDEX('[2]For CSV - 2022 SpcFuncData'!$AN$5:$AN$89,MATCH($A34,'[2]For CSV - 2022 SpcFuncData'!$B$5:$B$89,0))</f>
        <v>307</v>
      </c>
      <c r="D34" s="374">
        <f t="shared" si="0"/>
        <v>0</v>
      </c>
      <c r="E34" s="374">
        <f t="shared" si="1"/>
        <v>2</v>
      </c>
      <c r="F34" s="376" t="str">
        <f t="shared" si="2"/>
        <v>1,    IntLtgSys:ParentSpcFunc,  307,    0   ; Aging Eye/Low-vision (Religious Worship Area)</v>
      </c>
    </row>
    <row r="35" spans="1:6" x14ac:dyDescent="0.2">
      <c r="A35" s="374" t="s">
        <v>1023</v>
      </c>
      <c r="B35" s="382" t="s">
        <v>1093</v>
      </c>
      <c r="C35" s="374">
        <f>INDEX('[2]For CSV - 2022 SpcFuncData'!$AN$5:$AN$89,MATCH($A35,'[2]For CSV - 2022 SpcFuncData'!$B$5:$B$89,0))</f>
        <v>307</v>
      </c>
      <c r="D35" s="374">
        <f t="shared" si="0"/>
        <v>0</v>
      </c>
      <c r="E35" s="374">
        <f t="shared" si="1"/>
        <v>3</v>
      </c>
      <c r="F35" s="376" t="str">
        <f t="shared" si="2"/>
        <v>2,              0,     "- none specified -"</v>
      </c>
    </row>
    <row r="36" spans="1:6" x14ac:dyDescent="0.2">
      <c r="A36" s="374" t="s">
        <v>1023</v>
      </c>
      <c r="B36" s="382" t="s">
        <v>1076</v>
      </c>
      <c r="C36" s="374">
        <f>INDEX('[2]For CSV - 2022 SpcFuncData'!$AN$5:$AN$89,MATCH($A36,'[2]For CSV - 2022 SpcFuncData'!$B$5:$B$89,0))</f>
        <v>307</v>
      </c>
      <c r="D36" s="374">
        <f t="shared" si="0"/>
        <v>3</v>
      </c>
      <c r="E36" s="374">
        <f t="shared" si="1"/>
        <v>3</v>
      </c>
      <c r="F36" s="376" t="str">
        <f t="shared" si="2"/>
        <v>2,              3,     "Decorative/Display"</v>
      </c>
    </row>
    <row r="37" spans="1:6" x14ac:dyDescent="0.2">
      <c r="A37" s="374" t="s">
        <v>1023</v>
      </c>
      <c r="B37" s="382" t="s">
        <v>1017</v>
      </c>
      <c r="C37" s="374">
        <f>INDEX('[2]For CSV - 2022 SpcFuncData'!$AN$5:$AN$89,MATCH($A37,'[2]For CSV - 2022 SpcFuncData'!$B$5:$B$89,0))</f>
        <v>307</v>
      </c>
      <c r="D37" s="374">
        <f t="shared" si="0"/>
        <v>15</v>
      </c>
      <c r="E37" s="374">
        <f t="shared" si="1"/>
        <v>3</v>
      </c>
      <c r="F37" s="376" t="str">
        <f t="shared" si="2"/>
        <v>2,              15,     "TunableWhiteOrDimToWarm"</v>
      </c>
    </row>
    <row r="38" spans="1:6" x14ac:dyDescent="0.2">
      <c r="A38" s="374" t="s">
        <v>1024</v>
      </c>
      <c r="B38" s="382" t="s">
        <v>1093</v>
      </c>
      <c r="C38" s="374">
        <f>INDEX('[2]For CSV - 2022 SpcFuncData'!$AN$5:$AN$89,MATCH($A38,'[2]For CSV - 2022 SpcFuncData'!$B$5:$B$89,0))</f>
        <v>308</v>
      </c>
      <c r="D38" s="374">
        <f t="shared" si="0"/>
        <v>0</v>
      </c>
      <c r="E38" s="374">
        <f t="shared" si="1"/>
        <v>1</v>
      </c>
      <c r="F38" s="376" t="str">
        <f t="shared" si="2"/>
        <v>1,    IntLtgSys:IntLtgSpecMthd,   1,    0   ; AreaCategoryMethod</v>
      </c>
    </row>
    <row r="39" spans="1:6" x14ac:dyDescent="0.2">
      <c r="A39" s="374" t="s">
        <v>1024</v>
      </c>
      <c r="B39" s="382" t="s">
        <v>1093</v>
      </c>
      <c r="C39" s="374">
        <f>INDEX('[2]For CSV - 2022 SpcFuncData'!$AN$5:$AN$89,MATCH($A39,'[2]For CSV - 2022 SpcFuncData'!$B$5:$B$89,0))</f>
        <v>308</v>
      </c>
      <c r="D39" s="374">
        <f t="shared" si="0"/>
        <v>0</v>
      </c>
      <c r="E39" s="374">
        <f t="shared" si="1"/>
        <v>2</v>
      </c>
      <c r="F39" s="376" t="str">
        <f t="shared" si="2"/>
        <v>1,    IntLtgSys:ParentSpcFunc,  308,    0   ; Aging Eye/Low-vision (Restroom)</v>
      </c>
    </row>
    <row r="40" spans="1:6" x14ac:dyDescent="0.2">
      <c r="A40" s="374" t="s">
        <v>1024</v>
      </c>
      <c r="B40" s="382" t="s">
        <v>1093</v>
      </c>
      <c r="C40" s="374">
        <f>INDEX('[2]For CSV - 2022 SpcFuncData'!$AN$5:$AN$89,MATCH($A40,'[2]For CSV - 2022 SpcFuncData'!$B$5:$B$89,0))</f>
        <v>308</v>
      </c>
      <c r="D40" s="374">
        <f t="shared" si="0"/>
        <v>0</v>
      </c>
      <c r="E40" s="374">
        <f t="shared" si="1"/>
        <v>3</v>
      </c>
      <c r="F40" s="376" t="str">
        <f t="shared" si="2"/>
        <v>2,              0,     "- none specified -"</v>
      </c>
    </row>
    <row r="41" spans="1:6" x14ac:dyDescent="0.2">
      <c r="A41" s="374" t="s">
        <v>1024</v>
      </c>
      <c r="B41" s="382" t="s">
        <v>1076</v>
      </c>
      <c r="C41" s="374">
        <f>INDEX('[2]For CSV - 2022 SpcFuncData'!$AN$5:$AN$89,MATCH($A41,'[2]For CSV - 2022 SpcFuncData'!$B$5:$B$89,0))</f>
        <v>308</v>
      </c>
      <c r="D41" s="374">
        <f t="shared" si="0"/>
        <v>3</v>
      </c>
      <c r="E41" s="374">
        <f t="shared" si="1"/>
        <v>3</v>
      </c>
      <c r="F41" s="376" t="str">
        <f t="shared" si="2"/>
        <v>2,              3,     "Decorative/Display"</v>
      </c>
    </row>
    <row r="42" spans="1:6" x14ac:dyDescent="0.2">
      <c r="A42" s="374" t="s">
        <v>1025</v>
      </c>
      <c r="B42" s="382" t="s">
        <v>1093</v>
      </c>
      <c r="C42" s="374">
        <f>INDEX('[2]For CSV - 2022 SpcFuncData'!$AN$5:$AN$89,MATCH($A42,'[2]For CSV - 2022 SpcFuncData'!$B$5:$B$89,0))</f>
        <v>309</v>
      </c>
      <c r="D42" s="374">
        <f t="shared" si="0"/>
        <v>0</v>
      </c>
      <c r="E42" s="374">
        <f t="shared" si="1"/>
        <v>1</v>
      </c>
      <c r="F42" s="376" t="str">
        <f t="shared" si="2"/>
        <v>1,    IntLtgSys:IntLtgSpecMthd,   1,    0   ; AreaCategoryMethod</v>
      </c>
    </row>
    <row r="43" spans="1:6" x14ac:dyDescent="0.2">
      <c r="A43" s="374" t="s">
        <v>1025</v>
      </c>
      <c r="B43" s="382" t="s">
        <v>1093</v>
      </c>
      <c r="C43" s="374">
        <f>INDEX('[2]For CSV - 2022 SpcFuncData'!$AN$5:$AN$89,MATCH($A43,'[2]For CSV - 2022 SpcFuncData'!$B$5:$B$89,0))</f>
        <v>309</v>
      </c>
      <c r="D43" s="374">
        <f t="shared" si="0"/>
        <v>0</v>
      </c>
      <c r="E43" s="374">
        <f t="shared" si="1"/>
        <v>2</v>
      </c>
      <c r="F43" s="376" t="str">
        <f t="shared" si="2"/>
        <v>1,    IntLtgSys:ParentSpcFunc,  309,    0   ; Aging Eye/Low-vision (Stairwell)</v>
      </c>
    </row>
    <row r="44" spans="1:6" x14ac:dyDescent="0.2">
      <c r="A44" s="374" t="s">
        <v>1025</v>
      </c>
      <c r="B44" s="382" t="s">
        <v>1093</v>
      </c>
      <c r="C44" s="374">
        <f>INDEX('[2]For CSV - 2022 SpcFuncData'!$AN$5:$AN$89,MATCH($A44,'[2]For CSV - 2022 SpcFuncData'!$B$5:$B$89,0))</f>
        <v>309</v>
      </c>
      <c r="D44" s="374">
        <f t="shared" si="0"/>
        <v>0</v>
      </c>
      <c r="E44" s="374">
        <f t="shared" si="1"/>
        <v>3</v>
      </c>
      <c r="F44" s="376" t="str">
        <f t="shared" si="2"/>
        <v>2,              0,     "- none specified -"</v>
      </c>
    </row>
    <row r="45" spans="1:6" x14ac:dyDescent="0.2">
      <c r="A45" s="374" t="s">
        <v>1025</v>
      </c>
      <c r="B45" s="382" t="s">
        <v>1076</v>
      </c>
      <c r="C45" s="374">
        <f>INDEX('[2]For CSV - 2022 SpcFuncData'!$AN$5:$AN$89,MATCH($A45,'[2]For CSV - 2022 SpcFuncData'!$B$5:$B$89,0))</f>
        <v>309</v>
      </c>
      <c r="D45" s="374">
        <f t="shared" si="0"/>
        <v>3</v>
      </c>
      <c r="E45" s="374">
        <f t="shared" si="1"/>
        <v>3</v>
      </c>
      <c r="F45" s="376" t="str">
        <f t="shared" si="2"/>
        <v>2,              3,     "Decorative/Display"</v>
      </c>
    </row>
    <row r="46" spans="1:6" x14ac:dyDescent="0.2">
      <c r="A46" s="374" t="s">
        <v>937</v>
      </c>
      <c r="B46" s="382" t="s">
        <v>1093</v>
      </c>
      <c r="C46" s="374">
        <f>INDEX('[2]For CSV - 2022 SpcFuncData'!$AN$5:$AN$89,MATCH($A46,'[2]For CSV - 2022 SpcFuncData'!$B$5:$B$89,0))</f>
        <v>310</v>
      </c>
      <c r="D46" s="374">
        <f t="shared" si="0"/>
        <v>0</v>
      </c>
      <c r="E46" s="374">
        <f t="shared" si="1"/>
        <v>1</v>
      </c>
      <c r="F46" s="376" t="str">
        <f t="shared" si="2"/>
        <v>1,    IntLtgSys:IntLtgSpecMthd,   1,    0   ; AreaCategoryMethod</v>
      </c>
    </row>
    <row r="47" spans="1:6" x14ac:dyDescent="0.2">
      <c r="A47" s="374" t="s">
        <v>937</v>
      </c>
      <c r="B47" s="382" t="s">
        <v>1093</v>
      </c>
      <c r="C47" s="374">
        <f>INDEX('[2]For CSV - 2022 SpcFuncData'!$AN$5:$AN$89,MATCH($A47,'[2]For CSV - 2022 SpcFuncData'!$B$5:$B$89,0))</f>
        <v>310</v>
      </c>
      <c r="D47" s="374">
        <f t="shared" si="0"/>
        <v>0</v>
      </c>
      <c r="E47" s="374">
        <f t="shared" si="1"/>
        <v>2</v>
      </c>
      <c r="F47" s="376" t="str">
        <f t="shared" si="2"/>
        <v>1,    IntLtgSys:ParentSpcFunc,  310,    0   ; Audience Seating Area</v>
      </c>
    </row>
    <row r="48" spans="1:6" x14ac:dyDescent="0.2">
      <c r="A48" s="374" t="s">
        <v>937</v>
      </c>
      <c r="B48" s="382" t="s">
        <v>1093</v>
      </c>
      <c r="C48" s="374">
        <f>INDEX('[2]For CSV - 2022 SpcFuncData'!$AN$5:$AN$89,MATCH($A48,'[2]For CSV - 2022 SpcFuncData'!$B$5:$B$89,0))</f>
        <v>310</v>
      </c>
      <c r="D48" s="374">
        <f t="shared" si="0"/>
        <v>0</v>
      </c>
      <c r="E48" s="374">
        <f t="shared" si="1"/>
        <v>3</v>
      </c>
      <c r="F48" s="376" t="str">
        <f t="shared" si="2"/>
        <v>2,              0,     "- none specified -"</v>
      </c>
    </row>
    <row r="49" spans="1:6" x14ac:dyDescent="0.2">
      <c r="A49" s="374" t="s">
        <v>937</v>
      </c>
      <c r="B49" s="382" t="s">
        <v>1076</v>
      </c>
      <c r="C49" s="374">
        <f>INDEX('[2]For CSV - 2022 SpcFuncData'!$AN$5:$AN$89,MATCH($A49,'[2]For CSV - 2022 SpcFuncData'!$B$5:$B$89,0))</f>
        <v>310</v>
      </c>
      <c r="D49" s="374">
        <f t="shared" si="0"/>
        <v>3</v>
      </c>
      <c r="E49" s="374">
        <f t="shared" si="1"/>
        <v>3</v>
      </c>
      <c r="F49" s="376" t="str">
        <f t="shared" si="2"/>
        <v>2,              3,     "Decorative/Display"</v>
      </c>
    </row>
    <row r="50" spans="1:6" x14ac:dyDescent="0.2">
      <c r="A50" s="374" t="s">
        <v>525</v>
      </c>
      <c r="B50" s="382" t="s">
        <v>1093</v>
      </c>
      <c r="C50" s="374">
        <f>INDEX('[2]For CSV - 2022 SpcFuncData'!$AN$5:$AN$89,MATCH($A50,'[2]For CSV - 2022 SpcFuncData'!$B$5:$B$89,0))</f>
        <v>311</v>
      </c>
      <c r="D50" s="374">
        <f t="shared" si="0"/>
        <v>0</v>
      </c>
      <c r="E50" s="374">
        <f t="shared" si="1"/>
        <v>1</v>
      </c>
      <c r="F50" s="376" t="str">
        <f t="shared" si="2"/>
        <v>1,    IntLtgSys:IntLtgSpecMthd,   1,    0   ; AreaCategoryMethod</v>
      </c>
    </row>
    <row r="51" spans="1:6" x14ac:dyDescent="0.2">
      <c r="A51" s="374" t="s">
        <v>525</v>
      </c>
      <c r="B51" s="382" t="s">
        <v>1093</v>
      </c>
      <c r="C51" s="374">
        <f>INDEX('[2]For CSV - 2022 SpcFuncData'!$AN$5:$AN$89,MATCH($A51,'[2]For CSV - 2022 SpcFuncData'!$B$5:$B$89,0))</f>
        <v>311</v>
      </c>
      <c r="D51" s="374">
        <f t="shared" si="0"/>
        <v>0</v>
      </c>
      <c r="E51" s="374">
        <f t="shared" si="1"/>
        <v>2</v>
      </c>
      <c r="F51" s="376" t="str">
        <f t="shared" si="2"/>
        <v>1,    IntLtgSys:ParentSpcFunc,  311,    0   ; Auditorium Area</v>
      </c>
    </row>
    <row r="52" spans="1:6" x14ac:dyDescent="0.2">
      <c r="A52" s="374" t="s">
        <v>525</v>
      </c>
      <c r="B52" s="382" t="s">
        <v>1093</v>
      </c>
      <c r="C52" s="374">
        <f>INDEX('[2]For CSV - 2022 SpcFuncData'!$AN$5:$AN$89,MATCH($A52,'[2]For CSV - 2022 SpcFuncData'!$B$5:$B$89,0))</f>
        <v>311</v>
      </c>
      <c r="D52" s="374">
        <f t="shared" si="0"/>
        <v>0</v>
      </c>
      <c r="E52" s="374">
        <f t="shared" si="1"/>
        <v>3</v>
      </c>
      <c r="F52" s="376" t="str">
        <f t="shared" si="2"/>
        <v>2,              0,     "- none specified -"</v>
      </c>
    </row>
    <row r="53" spans="1:6" x14ac:dyDescent="0.2">
      <c r="A53" s="374" t="s">
        <v>525</v>
      </c>
      <c r="B53" s="382" t="s">
        <v>1076</v>
      </c>
      <c r="C53" s="374">
        <f>INDEX('[2]For CSV - 2022 SpcFuncData'!$AN$5:$AN$89,MATCH($A53,'[2]For CSV - 2022 SpcFuncData'!$B$5:$B$89,0))</f>
        <v>311</v>
      </c>
      <c r="D53" s="374">
        <f t="shared" si="0"/>
        <v>3</v>
      </c>
      <c r="E53" s="374">
        <f t="shared" si="1"/>
        <v>3</v>
      </c>
      <c r="F53" s="376" t="str">
        <f t="shared" si="2"/>
        <v>2,              3,     "Decorative/Display"</v>
      </c>
    </row>
    <row r="54" spans="1:6" x14ac:dyDescent="0.2">
      <c r="A54" s="374" t="s">
        <v>938</v>
      </c>
      <c r="B54" s="382" t="s">
        <v>1093</v>
      </c>
      <c r="C54" s="374">
        <f>INDEX('[2]For CSV - 2022 SpcFuncData'!$AN$5:$AN$89,MATCH($A54,'[2]For CSV - 2022 SpcFuncData'!$B$5:$B$89,0))</f>
        <v>312</v>
      </c>
      <c r="D54" s="374">
        <f t="shared" si="0"/>
        <v>0</v>
      </c>
      <c r="E54" s="374">
        <f t="shared" si="1"/>
        <v>1</v>
      </c>
      <c r="F54" s="376" t="str">
        <f t="shared" si="2"/>
        <v>1,    IntLtgSys:IntLtgSpecMthd,   1,    0   ; AreaCategoryMethod</v>
      </c>
    </row>
    <row r="55" spans="1:6" x14ac:dyDescent="0.2">
      <c r="A55" s="374" t="s">
        <v>938</v>
      </c>
      <c r="B55" s="382" t="s">
        <v>1093</v>
      </c>
      <c r="C55" s="374">
        <f>INDEX('[2]For CSV - 2022 SpcFuncData'!$AN$5:$AN$89,MATCH($A55,'[2]For CSV - 2022 SpcFuncData'!$B$5:$B$89,0))</f>
        <v>312</v>
      </c>
      <c r="D55" s="374">
        <f t="shared" si="0"/>
        <v>0</v>
      </c>
      <c r="E55" s="374">
        <f t="shared" si="1"/>
        <v>2</v>
      </c>
      <c r="F55" s="376" t="str">
        <f t="shared" si="2"/>
        <v>1,    IntLtgSys:ParentSpcFunc,  312,    0   ; Auto Repair / Maintenance Area</v>
      </c>
    </row>
    <row r="56" spans="1:6" x14ac:dyDescent="0.2">
      <c r="A56" s="374" t="s">
        <v>938</v>
      </c>
      <c r="B56" s="382" t="s">
        <v>1093</v>
      </c>
      <c r="C56" s="374">
        <f>INDEX('[2]For CSV - 2022 SpcFuncData'!$AN$5:$AN$89,MATCH($A56,'[2]For CSV - 2022 SpcFuncData'!$B$5:$B$89,0))</f>
        <v>312</v>
      </c>
      <c r="D56" s="374">
        <f t="shared" si="0"/>
        <v>0</v>
      </c>
      <c r="E56" s="374">
        <f t="shared" si="1"/>
        <v>3</v>
      </c>
      <c r="F56" s="376" t="str">
        <f t="shared" si="2"/>
        <v>2,              0,     "- none specified -"</v>
      </c>
    </row>
    <row r="57" spans="1:6" x14ac:dyDescent="0.2">
      <c r="A57" s="374" t="s">
        <v>938</v>
      </c>
      <c r="B57" s="382" t="s">
        <v>983</v>
      </c>
      <c r="C57" s="374">
        <f>INDEX('[2]For CSV - 2022 SpcFuncData'!$AN$5:$AN$89,MATCH($A57,'[2]For CSV - 2022 SpcFuncData'!$B$5:$B$89,0))</f>
        <v>312</v>
      </c>
      <c r="D57" s="374">
        <f t="shared" si="0"/>
        <v>1</v>
      </c>
      <c r="E57" s="374">
        <f t="shared" si="1"/>
        <v>3</v>
      </c>
      <c r="F57" s="376" t="str">
        <f t="shared" si="2"/>
        <v>2,              1,     "DetailedTaskWork"</v>
      </c>
    </row>
    <row r="58" spans="1:6" x14ac:dyDescent="0.2">
      <c r="A58" s="374" t="s">
        <v>1066</v>
      </c>
      <c r="B58" s="382" t="s">
        <v>1093</v>
      </c>
      <c r="C58" s="374">
        <f>INDEX('[2]For CSV - 2022 SpcFuncData'!$AN$5:$AN$89,MATCH($A58,'[2]For CSV - 2022 SpcFuncData'!$B$5:$B$89,0))</f>
        <v>313</v>
      </c>
      <c r="D58" s="374">
        <f t="shared" si="0"/>
        <v>0</v>
      </c>
      <c r="E58" s="374">
        <f t="shared" si="1"/>
        <v>1</v>
      </c>
      <c r="F58" s="376" t="str">
        <f t="shared" si="2"/>
        <v>1,    IntLtgSys:IntLtgSpecMthd,   1,    0   ; AreaCategoryMethod</v>
      </c>
    </row>
    <row r="59" spans="1:6" x14ac:dyDescent="0.2">
      <c r="A59" s="374" t="s">
        <v>1066</v>
      </c>
      <c r="B59" s="382" t="s">
        <v>1093</v>
      </c>
      <c r="C59" s="374">
        <f>INDEX('[2]For CSV - 2022 SpcFuncData'!$AN$5:$AN$89,MATCH($A59,'[2]For CSV - 2022 SpcFuncData'!$B$5:$B$89,0))</f>
        <v>313</v>
      </c>
      <c r="D59" s="374">
        <f t="shared" si="0"/>
        <v>0</v>
      </c>
      <c r="E59" s="374">
        <f t="shared" si="1"/>
        <v>2</v>
      </c>
      <c r="F59" s="376" t="str">
        <f t="shared" si="2"/>
        <v>1,    IntLtgSys:ParentSpcFunc,  313,    0   ; Barber, Beauty Salon, Spa Area</v>
      </c>
    </row>
    <row r="60" spans="1:6" x14ac:dyDescent="0.2">
      <c r="A60" s="374" t="s">
        <v>1066</v>
      </c>
      <c r="B60" s="382" t="s">
        <v>1093</v>
      </c>
      <c r="C60" s="374">
        <f>INDEX('[2]For CSV - 2022 SpcFuncData'!$AN$5:$AN$89,MATCH($A60,'[2]For CSV - 2022 SpcFuncData'!$B$5:$B$89,0))</f>
        <v>313</v>
      </c>
      <c r="D60" s="374">
        <f t="shared" si="0"/>
        <v>0</v>
      </c>
      <c r="E60" s="374">
        <f t="shared" si="1"/>
        <v>3</v>
      </c>
      <c r="F60" s="376" t="str">
        <f t="shared" si="2"/>
        <v>2,              0,     "- none specified -"</v>
      </c>
    </row>
    <row r="61" spans="1:6" x14ac:dyDescent="0.2">
      <c r="A61" s="374" t="s">
        <v>1066</v>
      </c>
      <c r="B61" s="382" t="s">
        <v>983</v>
      </c>
      <c r="C61" s="374">
        <f>INDEX('[2]For CSV - 2022 SpcFuncData'!$AN$5:$AN$89,MATCH($A61,'[2]For CSV - 2022 SpcFuncData'!$B$5:$B$89,0))</f>
        <v>313</v>
      </c>
      <c r="D61" s="374">
        <f t="shared" si="0"/>
        <v>1</v>
      </c>
      <c r="E61" s="374">
        <f t="shared" si="1"/>
        <v>3</v>
      </c>
      <c r="F61" s="376" t="str">
        <f t="shared" si="2"/>
        <v>2,              1,     "DetailedTaskWork"</v>
      </c>
    </row>
    <row r="62" spans="1:6" x14ac:dyDescent="0.2">
      <c r="A62" s="374" t="s">
        <v>1066</v>
      </c>
      <c r="B62" s="382" t="s">
        <v>1076</v>
      </c>
      <c r="C62" s="374">
        <f>INDEX('[2]For CSV - 2022 SpcFuncData'!$AN$5:$AN$89,MATCH($A62,'[2]For CSV - 2022 SpcFuncData'!$B$5:$B$89,0))</f>
        <v>313</v>
      </c>
      <c r="D62" s="374">
        <f t="shared" si="0"/>
        <v>3</v>
      </c>
      <c r="E62" s="374">
        <f t="shared" si="1"/>
        <v>3</v>
      </c>
      <c r="F62" s="376" t="str">
        <f t="shared" si="2"/>
        <v>2,              3,     "Decorative/Display"</v>
      </c>
    </row>
    <row r="63" spans="1:6" x14ac:dyDescent="0.2">
      <c r="A63" s="374" t="s">
        <v>526</v>
      </c>
      <c r="B63" s="382" t="s">
        <v>1093</v>
      </c>
      <c r="C63" s="374">
        <f>INDEX('[2]For CSV - 2022 SpcFuncData'!$AN$5:$AN$89,MATCH($A63,'[2]For CSV - 2022 SpcFuncData'!$B$5:$B$89,0))</f>
        <v>314</v>
      </c>
      <c r="D63" s="374">
        <f t="shared" si="0"/>
        <v>0</v>
      </c>
      <c r="E63" s="374">
        <f t="shared" si="1"/>
        <v>1</v>
      </c>
      <c r="F63" s="376" t="str">
        <f t="shared" si="2"/>
        <v>1,    IntLtgSys:IntLtgSpecMthd,   1,    0   ; AreaCategoryMethod</v>
      </c>
    </row>
    <row r="64" spans="1:6" x14ac:dyDescent="0.2">
      <c r="A64" s="374" t="s">
        <v>526</v>
      </c>
      <c r="B64" s="382" t="s">
        <v>1093</v>
      </c>
      <c r="C64" s="374">
        <f>INDEX('[2]For CSV - 2022 SpcFuncData'!$AN$5:$AN$89,MATCH($A64,'[2]For CSV - 2022 SpcFuncData'!$B$5:$B$89,0))</f>
        <v>314</v>
      </c>
      <c r="D64" s="374">
        <f t="shared" si="0"/>
        <v>0</v>
      </c>
      <c r="E64" s="374">
        <f t="shared" si="1"/>
        <v>2</v>
      </c>
      <c r="F64" s="376" t="str">
        <f t="shared" si="2"/>
        <v>1,    IntLtgSys:ParentSpcFunc,  314,    0   ; Civic Meeting Place Area</v>
      </c>
    </row>
    <row r="65" spans="1:6" x14ac:dyDescent="0.2">
      <c r="A65" s="374" t="s">
        <v>526</v>
      </c>
      <c r="B65" s="382" t="s">
        <v>1093</v>
      </c>
      <c r="C65" s="374">
        <f>INDEX('[2]For CSV - 2022 SpcFuncData'!$AN$5:$AN$89,MATCH($A65,'[2]For CSV - 2022 SpcFuncData'!$B$5:$B$89,0))</f>
        <v>314</v>
      </c>
      <c r="D65" s="374">
        <f t="shared" si="0"/>
        <v>0</v>
      </c>
      <c r="E65" s="374">
        <f t="shared" si="1"/>
        <v>3</v>
      </c>
      <c r="F65" s="376" t="str">
        <f t="shared" si="2"/>
        <v>2,              0,     "- none specified -"</v>
      </c>
    </row>
    <row r="66" spans="1:6" x14ac:dyDescent="0.2">
      <c r="A66" s="374" t="s">
        <v>526</v>
      </c>
      <c r="B66" s="382" t="s">
        <v>1076</v>
      </c>
      <c r="C66" s="374">
        <f>INDEX('[2]For CSV - 2022 SpcFuncData'!$AN$5:$AN$89,MATCH($A66,'[2]For CSV - 2022 SpcFuncData'!$B$5:$B$89,0))</f>
        <v>314</v>
      </c>
      <c r="D66" s="374">
        <f t="shared" si="0"/>
        <v>3</v>
      </c>
      <c r="E66" s="374">
        <f t="shared" si="1"/>
        <v>3</v>
      </c>
      <c r="F66" s="376" t="str">
        <f t="shared" si="2"/>
        <v>2,              3,     "Decorative/Display"</v>
      </c>
    </row>
    <row r="67" spans="1:6" x14ac:dyDescent="0.2">
      <c r="A67" s="374" t="s">
        <v>939</v>
      </c>
      <c r="B67" s="382" t="s">
        <v>1093</v>
      </c>
      <c r="C67" s="374">
        <f>INDEX('[2]For CSV - 2022 SpcFuncData'!$AN$5:$AN$89,MATCH($A67,'[2]For CSV - 2022 SpcFuncData'!$B$5:$B$89,0))</f>
        <v>315</v>
      </c>
      <c r="D67" s="374">
        <f t="shared" si="0"/>
        <v>0</v>
      </c>
      <c r="E67" s="374">
        <f t="shared" si="1"/>
        <v>1</v>
      </c>
      <c r="F67" s="376" t="str">
        <f t="shared" si="2"/>
        <v>1,    IntLtgSys:IntLtgSpecMthd,   1,    0   ; AreaCategoryMethod</v>
      </c>
    </row>
    <row r="68" spans="1:6" x14ac:dyDescent="0.2">
      <c r="A68" s="374" t="s">
        <v>939</v>
      </c>
      <c r="B68" s="382" t="s">
        <v>1093</v>
      </c>
      <c r="C68" s="374">
        <f>INDEX('[2]For CSV - 2022 SpcFuncData'!$AN$5:$AN$89,MATCH($A68,'[2]For CSV - 2022 SpcFuncData'!$B$5:$B$89,0))</f>
        <v>315</v>
      </c>
      <c r="D68" s="374">
        <f t="shared" si="0"/>
        <v>0</v>
      </c>
      <c r="E68" s="374">
        <f t="shared" si="1"/>
        <v>2</v>
      </c>
      <c r="F68" s="376" t="str">
        <f t="shared" si="2"/>
        <v>1,    IntLtgSys:ParentSpcFunc,  315,    0   ; Classroom, Lecture, Training, Vocational Areas</v>
      </c>
    </row>
    <row r="69" spans="1:6" x14ac:dyDescent="0.2">
      <c r="A69" s="374" t="s">
        <v>939</v>
      </c>
      <c r="B69" s="382" t="s">
        <v>1093</v>
      </c>
      <c r="C69" s="374">
        <f>INDEX('[2]For CSV - 2022 SpcFuncData'!$AN$5:$AN$89,MATCH($A69,'[2]For CSV - 2022 SpcFuncData'!$B$5:$B$89,0))</f>
        <v>315</v>
      </c>
      <c r="D69" s="374">
        <f t="shared" si="0"/>
        <v>0</v>
      </c>
      <c r="E69" s="374">
        <f t="shared" si="1"/>
        <v>3</v>
      </c>
      <c r="F69" s="376" t="str">
        <f t="shared" si="2"/>
        <v>2,              0,     "- none specified -"</v>
      </c>
    </row>
    <row r="70" spans="1:6" x14ac:dyDescent="0.2">
      <c r="A70" s="374" t="s">
        <v>939</v>
      </c>
      <c r="B70" s="382" t="s">
        <v>424</v>
      </c>
      <c r="C70" s="374">
        <f>INDEX('[2]For CSV - 2022 SpcFuncData'!$AN$5:$AN$89,MATCH($A70,'[2]For CSV - 2022 SpcFuncData'!$B$5:$B$89,0))</f>
        <v>315</v>
      </c>
      <c r="D70" s="374">
        <f t="shared" si="0"/>
        <v>5</v>
      </c>
      <c r="E70" s="374">
        <f t="shared" si="1"/>
        <v>3</v>
      </c>
      <c r="F70" s="376" t="str">
        <f t="shared" si="2"/>
        <v>2,              5,     "WhiteOrChalkBoard"</v>
      </c>
    </row>
    <row r="71" spans="1:6" x14ac:dyDescent="0.2">
      <c r="A71" s="374" t="s">
        <v>943</v>
      </c>
      <c r="B71" s="382" t="s">
        <v>1093</v>
      </c>
      <c r="C71" s="374">
        <f>INDEX('[2]For CSV - 2022 SpcFuncData'!$AN$5:$AN$89,MATCH($A71,'[2]For CSV - 2022 SpcFuncData'!$B$5:$B$89,0))</f>
        <v>317</v>
      </c>
      <c r="D71" s="374">
        <f t="shared" si="0"/>
        <v>0</v>
      </c>
      <c r="E71" s="374">
        <f t="shared" si="1"/>
        <v>1</v>
      </c>
      <c r="F71" s="376" t="str">
        <f t="shared" si="2"/>
        <v>1,    IntLtgSys:IntLtgSpecMthd,   1,    0   ; AreaCategoryMethod</v>
      </c>
    </row>
    <row r="72" spans="1:6" x14ac:dyDescent="0.2">
      <c r="A72" s="374" t="s">
        <v>943</v>
      </c>
      <c r="B72" s="382" t="s">
        <v>1093</v>
      </c>
      <c r="C72" s="374">
        <f>INDEX('[2]For CSV - 2022 SpcFuncData'!$AN$5:$AN$89,MATCH($A72,'[2]For CSV - 2022 SpcFuncData'!$B$5:$B$89,0))</f>
        <v>317</v>
      </c>
      <c r="D72" s="374">
        <f t="shared" ref="D72:D135" si="5">VLOOKUP(B72,$L$8:$M$23,2,0)</f>
        <v>0</v>
      </c>
      <c r="E72" s="374">
        <f t="shared" si="1"/>
        <v>2</v>
      </c>
      <c r="F72" s="376" t="str">
        <f t="shared" si="2"/>
        <v>1,    IntLtgSys:ParentSpcFunc,  317,    0   ; Concourse and Atria Area</v>
      </c>
    </row>
    <row r="73" spans="1:6" x14ac:dyDescent="0.2">
      <c r="A73" s="374" t="s">
        <v>943</v>
      </c>
      <c r="B73" s="382" t="s">
        <v>1093</v>
      </c>
      <c r="C73" s="374">
        <f>INDEX('[2]For CSV - 2022 SpcFuncData'!$AN$5:$AN$89,MATCH($A73,'[2]For CSV - 2022 SpcFuncData'!$B$5:$B$89,0))</f>
        <v>317</v>
      </c>
      <c r="D73" s="374">
        <f t="shared" si="5"/>
        <v>0</v>
      </c>
      <c r="E73" s="374">
        <f t="shared" ref="E73:E136" si="6">IF(A73&lt;&gt;A72,1,IF(A73&lt;&gt;A71,2,3))</f>
        <v>3</v>
      </c>
      <c r="F73" s="376" t="str">
        <f t="shared" ref="F73:F136" si="7">IF(E73=1,$F$3&amp;$G$3&amp;$D73&amp;$H$3,IF(E73=2,$F$4&amp;$C73&amp;$G$4&amp;$D73&amp;$H$4&amp;TEXT($A73,0),$F$5&amp;$D73&amp;$G$5&amp;$H$5&amp;$B73&amp;""""))</f>
        <v>2,              0,     "- none specified -"</v>
      </c>
    </row>
    <row r="74" spans="1:6" x14ac:dyDescent="0.2">
      <c r="A74" s="374" t="s">
        <v>943</v>
      </c>
      <c r="B74" s="382" t="s">
        <v>1076</v>
      </c>
      <c r="C74" s="374">
        <f>INDEX('[2]For CSV - 2022 SpcFuncData'!$AN$5:$AN$89,MATCH($A74,'[2]For CSV - 2022 SpcFuncData'!$B$5:$B$89,0))</f>
        <v>317</v>
      </c>
      <c r="D74" s="374">
        <f t="shared" si="5"/>
        <v>3</v>
      </c>
      <c r="E74" s="374">
        <f t="shared" si="6"/>
        <v>3</v>
      </c>
      <c r="F74" s="376" t="str">
        <f t="shared" si="7"/>
        <v>2,              3,     "Decorative/Display"</v>
      </c>
    </row>
    <row r="75" spans="1:6" x14ac:dyDescent="0.2">
      <c r="A75" s="374" t="s">
        <v>944</v>
      </c>
      <c r="B75" s="382" t="s">
        <v>1093</v>
      </c>
      <c r="C75" s="374">
        <f>INDEX('[2]For CSV - 2022 SpcFuncData'!$AN$5:$AN$89,MATCH($A75,'[2]For CSV - 2022 SpcFuncData'!$B$5:$B$89,0))</f>
        <v>318</v>
      </c>
      <c r="D75" s="374">
        <f t="shared" si="5"/>
        <v>0</v>
      </c>
      <c r="E75" s="374">
        <f t="shared" si="6"/>
        <v>1</v>
      </c>
      <c r="F75" s="376" t="str">
        <f t="shared" si="7"/>
        <v>1,    IntLtgSys:IntLtgSpecMthd,   1,    0   ; AreaCategoryMethod</v>
      </c>
    </row>
    <row r="76" spans="1:6" x14ac:dyDescent="0.2">
      <c r="A76" s="374" t="s">
        <v>944</v>
      </c>
      <c r="B76" s="382" t="s">
        <v>1093</v>
      </c>
      <c r="C76" s="374">
        <f>INDEX('[2]For CSV - 2022 SpcFuncData'!$AN$5:$AN$89,MATCH($A76,'[2]For CSV - 2022 SpcFuncData'!$B$5:$B$89,0))</f>
        <v>318</v>
      </c>
      <c r="D76" s="374">
        <f t="shared" si="5"/>
        <v>0</v>
      </c>
      <c r="E76" s="374">
        <f t="shared" si="6"/>
        <v>2</v>
      </c>
      <c r="F76" s="376" t="str">
        <f t="shared" si="7"/>
        <v>1,    IntLtgSys:ParentSpcFunc,  318,    0   ; Convention, Conference, Multipurpose and Meeting Area</v>
      </c>
    </row>
    <row r="77" spans="1:6" x14ac:dyDescent="0.2">
      <c r="A77" s="374" t="s">
        <v>944</v>
      </c>
      <c r="B77" s="382" t="s">
        <v>1093</v>
      </c>
      <c r="C77" s="374">
        <f>INDEX('[2]For CSV - 2022 SpcFuncData'!$AN$5:$AN$89,MATCH($A77,'[2]For CSV - 2022 SpcFuncData'!$B$5:$B$89,0))</f>
        <v>318</v>
      </c>
      <c r="D77" s="374">
        <f t="shared" si="5"/>
        <v>0</v>
      </c>
      <c r="E77" s="374">
        <f t="shared" si="6"/>
        <v>3</v>
      </c>
      <c r="F77" s="376" t="str">
        <f t="shared" si="7"/>
        <v>2,              0,     "- none specified -"</v>
      </c>
    </row>
    <row r="78" spans="1:6" x14ac:dyDescent="0.2">
      <c r="A78" s="374" t="s">
        <v>944</v>
      </c>
      <c r="B78" s="382" t="s">
        <v>1076</v>
      </c>
      <c r="C78" s="374">
        <f>INDEX('[2]For CSV - 2022 SpcFuncData'!$AN$5:$AN$89,MATCH($A78,'[2]For CSV - 2022 SpcFuncData'!$B$5:$B$89,0))</f>
        <v>318</v>
      </c>
      <c r="D78" s="374">
        <f t="shared" si="5"/>
        <v>3</v>
      </c>
      <c r="E78" s="374">
        <f t="shared" si="6"/>
        <v>3</v>
      </c>
      <c r="F78" s="376" t="str">
        <f t="shared" si="7"/>
        <v>2,              3,     "Decorative/Display"</v>
      </c>
    </row>
    <row r="79" spans="1:6" x14ac:dyDescent="0.2">
      <c r="A79" s="374" t="s">
        <v>945</v>
      </c>
      <c r="B79" s="382" t="s">
        <v>1093</v>
      </c>
      <c r="C79" s="374">
        <f>INDEX('[2]For CSV - 2022 SpcFuncData'!$AN$5:$AN$89,MATCH($A79,'[2]For CSV - 2022 SpcFuncData'!$B$5:$B$89,0))</f>
        <v>320</v>
      </c>
      <c r="D79" s="374">
        <f t="shared" si="5"/>
        <v>0</v>
      </c>
      <c r="E79" s="374">
        <f t="shared" si="6"/>
        <v>1</v>
      </c>
      <c r="F79" s="376" t="str">
        <f t="shared" si="7"/>
        <v>1,    IntLtgSys:IntLtgSpecMthd,   1,    0   ; AreaCategoryMethod</v>
      </c>
    </row>
    <row r="80" spans="1:6" x14ac:dyDescent="0.2">
      <c r="A80" s="374" t="s">
        <v>945</v>
      </c>
      <c r="B80" s="382" t="s">
        <v>1093</v>
      </c>
      <c r="C80" s="374">
        <f>INDEX('[2]For CSV - 2022 SpcFuncData'!$AN$5:$AN$89,MATCH($A80,'[2]For CSV - 2022 SpcFuncData'!$B$5:$B$89,0))</f>
        <v>320</v>
      </c>
      <c r="D80" s="374">
        <f t="shared" si="5"/>
        <v>0</v>
      </c>
      <c r="E80" s="374">
        <f t="shared" si="6"/>
        <v>2</v>
      </c>
      <c r="F80" s="376" t="str">
        <f t="shared" si="7"/>
        <v>1,    IntLtgSys:ParentSpcFunc,  320,    0   ; Corridor Area</v>
      </c>
    </row>
    <row r="81" spans="1:6" x14ac:dyDescent="0.2">
      <c r="A81" s="374" t="s">
        <v>945</v>
      </c>
      <c r="B81" s="382" t="s">
        <v>1093</v>
      </c>
      <c r="C81" s="374">
        <f>INDEX('[2]For CSV - 2022 SpcFuncData'!$AN$5:$AN$89,MATCH($A81,'[2]For CSV - 2022 SpcFuncData'!$B$5:$B$89,0))</f>
        <v>320</v>
      </c>
      <c r="D81" s="374">
        <f t="shared" si="5"/>
        <v>0</v>
      </c>
      <c r="E81" s="374">
        <f t="shared" si="6"/>
        <v>3</v>
      </c>
      <c r="F81" s="376" t="str">
        <f t="shared" si="7"/>
        <v>2,              0,     "- none specified -"</v>
      </c>
    </row>
    <row r="82" spans="1:6" x14ac:dyDescent="0.2">
      <c r="A82" s="374" t="s">
        <v>945</v>
      </c>
      <c r="B82" s="382" t="s">
        <v>1076</v>
      </c>
      <c r="C82" s="374">
        <f>INDEX('[2]For CSV - 2022 SpcFuncData'!$AN$5:$AN$89,MATCH($A82,'[2]For CSV - 2022 SpcFuncData'!$B$5:$B$89,0))</f>
        <v>320</v>
      </c>
      <c r="D82" s="374">
        <f t="shared" si="5"/>
        <v>3</v>
      </c>
      <c r="E82" s="374">
        <f t="shared" si="6"/>
        <v>3</v>
      </c>
      <c r="F82" s="376" t="str">
        <f t="shared" si="7"/>
        <v>2,              3,     "Decorative/Display"</v>
      </c>
    </row>
    <row r="83" spans="1:6" x14ac:dyDescent="0.2">
      <c r="A83" s="374" t="s">
        <v>946</v>
      </c>
      <c r="B83" s="382" t="s">
        <v>1093</v>
      </c>
      <c r="C83" s="374">
        <f>INDEX('[2]For CSV - 2022 SpcFuncData'!$AN$5:$AN$89,MATCH($A83,'[2]For CSV - 2022 SpcFuncData'!$B$5:$B$89,0))</f>
        <v>321</v>
      </c>
      <c r="D83" s="374">
        <f t="shared" si="5"/>
        <v>0</v>
      </c>
      <c r="E83" s="374">
        <f t="shared" si="6"/>
        <v>1</v>
      </c>
      <c r="F83" s="376" t="str">
        <f t="shared" si="7"/>
        <v>1,    IntLtgSys:IntLtgSpecMthd,   1,    0   ; AreaCategoryMethod</v>
      </c>
    </row>
    <row r="84" spans="1:6" x14ac:dyDescent="0.2">
      <c r="A84" s="374" t="s">
        <v>946</v>
      </c>
      <c r="B84" s="382" t="s">
        <v>1093</v>
      </c>
      <c r="C84" s="374">
        <f>INDEX('[2]For CSV - 2022 SpcFuncData'!$AN$5:$AN$89,MATCH($A84,'[2]For CSV - 2022 SpcFuncData'!$B$5:$B$89,0))</f>
        <v>321</v>
      </c>
      <c r="D84" s="374">
        <f t="shared" si="5"/>
        <v>0</v>
      </c>
      <c r="E84" s="374">
        <f t="shared" si="6"/>
        <v>2</v>
      </c>
      <c r="F84" s="376" t="str">
        <f t="shared" si="7"/>
        <v>1,    IntLtgSys:ParentSpcFunc,  321,    0   ; Dining Area (Bar/Lounge and Fine Dining)</v>
      </c>
    </row>
    <row r="85" spans="1:6" x14ac:dyDescent="0.2">
      <c r="A85" s="374" t="s">
        <v>946</v>
      </c>
      <c r="B85" s="382" t="s">
        <v>1093</v>
      </c>
      <c r="C85" s="374">
        <f>INDEX('[2]For CSV - 2022 SpcFuncData'!$AN$5:$AN$89,MATCH($A85,'[2]For CSV - 2022 SpcFuncData'!$B$5:$B$89,0))</f>
        <v>321</v>
      </c>
      <c r="D85" s="374">
        <f t="shared" si="5"/>
        <v>0</v>
      </c>
      <c r="E85" s="374">
        <f t="shared" si="6"/>
        <v>3</v>
      </c>
      <c r="F85" s="376" t="str">
        <f t="shared" si="7"/>
        <v>2,              0,     "- none specified -"</v>
      </c>
    </row>
    <row r="86" spans="1:6" x14ac:dyDescent="0.2">
      <c r="A86" s="374" t="s">
        <v>946</v>
      </c>
      <c r="B86" s="382" t="s">
        <v>1076</v>
      </c>
      <c r="C86" s="374">
        <f>INDEX('[2]For CSV - 2022 SpcFuncData'!$AN$5:$AN$89,MATCH($A86,'[2]For CSV - 2022 SpcFuncData'!$B$5:$B$89,0))</f>
        <v>321</v>
      </c>
      <c r="D86" s="374">
        <f t="shared" si="5"/>
        <v>3</v>
      </c>
      <c r="E86" s="374">
        <f t="shared" si="6"/>
        <v>3</v>
      </c>
      <c r="F86" s="376" t="str">
        <f t="shared" si="7"/>
        <v>2,              3,     "Decorative/Display"</v>
      </c>
    </row>
    <row r="87" spans="1:6" x14ac:dyDescent="0.2">
      <c r="A87" s="374" t="s">
        <v>947</v>
      </c>
      <c r="B87" s="382" t="s">
        <v>1093</v>
      </c>
      <c r="C87" s="374">
        <f>INDEX('[2]For CSV - 2022 SpcFuncData'!$AN$5:$AN$89,MATCH($A87,'[2]For CSV - 2022 SpcFuncData'!$B$5:$B$89,0))</f>
        <v>322</v>
      </c>
      <c r="D87" s="374">
        <f t="shared" si="5"/>
        <v>0</v>
      </c>
      <c r="E87" s="374">
        <f t="shared" si="6"/>
        <v>1</v>
      </c>
      <c r="F87" s="376" t="str">
        <f t="shared" si="7"/>
        <v>1,    IntLtgSys:IntLtgSpecMthd,   1,    0   ; AreaCategoryMethod</v>
      </c>
    </row>
    <row r="88" spans="1:6" x14ac:dyDescent="0.2">
      <c r="A88" s="374" t="s">
        <v>947</v>
      </c>
      <c r="B88" s="382" t="s">
        <v>1093</v>
      </c>
      <c r="C88" s="374">
        <f>INDEX('[2]For CSV - 2022 SpcFuncData'!$AN$5:$AN$89,MATCH($A88,'[2]For CSV - 2022 SpcFuncData'!$B$5:$B$89,0))</f>
        <v>322</v>
      </c>
      <c r="D88" s="374">
        <f t="shared" si="5"/>
        <v>0</v>
      </c>
      <c r="E88" s="374">
        <f t="shared" si="6"/>
        <v>2</v>
      </c>
      <c r="F88" s="376" t="str">
        <f t="shared" si="7"/>
        <v>1,    IntLtgSys:ParentSpcFunc,  322,    0   ; Dining Area (Cafetaria/Fast Food)</v>
      </c>
    </row>
    <row r="89" spans="1:6" x14ac:dyDescent="0.2">
      <c r="A89" s="374" t="s">
        <v>947</v>
      </c>
      <c r="B89" s="382" t="s">
        <v>1093</v>
      </c>
      <c r="C89" s="374">
        <f>INDEX('[2]For CSV - 2022 SpcFuncData'!$AN$5:$AN$89,MATCH($A89,'[2]For CSV - 2022 SpcFuncData'!$B$5:$B$89,0))</f>
        <v>322</v>
      </c>
      <c r="D89" s="374">
        <f t="shared" si="5"/>
        <v>0</v>
      </c>
      <c r="E89" s="374">
        <f t="shared" si="6"/>
        <v>3</v>
      </c>
      <c r="F89" s="376" t="str">
        <f t="shared" si="7"/>
        <v>2,              0,     "- none specified -"</v>
      </c>
    </row>
    <row r="90" spans="1:6" x14ac:dyDescent="0.2">
      <c r="A90" s="374" t="s">
        <v>947</v>
      </c>
      <c r="B90" s="382" t="s">
        <v>1076</v>
      </c>
      <c r="C90" s="374">
        <f>INDEX('[2]For CSV - 2022 SpcFuncData'!$AN$5:$AN$89,MATCH($A90,'[2]For CSV - 2022 SpcFuncData'!$B$5:$B$89,0))</f>
        <v>322</v>
      </c>
      <c r="D90" s="374">
        <f t="shared" si="5"/>
        <v>3</v>
      </c>
      <c r="E90" s="374">
        <f t="shared" si="6"/>
        <v>3</v>
      </c>
      <c r="F90" s="376" t="str">
        <f t="shared" si="7"/>
        <v>2,              3,     "Decorative/Display"</v>
      </c>
    </row>
    <row r="91" spans="1:6" x14ac:dyDescent="0.2">
      <c r="A91" s="374" t="s">
        <v>948</v>
      </c>
      <c r="B91" s="382" t="s">
        <v>1093</v>
      </c>
      <c r="C91" s="374">
        <f>INDEX('[2]For CSV - 2022 SpcFuncData'!$AN$5:$AN$89,MATCH($A91,'[2]For CSV - 2022 SpcFuncData'!$B$5:$B$89,0))</f>
        <v>323</v>
      </c>
      <c r="D91" s="374">
        <f t="shared" si="5"/>
        <v>0</v>
      </c>
      <c r="E91" s="374">
        <f t="shared" si="6"/>
        <v>1</v>
      </c>
      <c r="F91" s="376" t="str">
        <f t="shared" si="7"/>
        <v>1,    IntLtgSys:IntLtgSpecMthd,   1,    0   ; AreaCategoryMethod</v>
      </c>
    </row>
    <row r="92" spans="1:6" x14ac:dyDescent="0.2">
      <c r="A92" s="374" t="s">
        <v>948</v>
      </c>
      <c r="B92" s="382" t="s">
        <v>1093</v>
      </c>
      <c r="C92" s="374">
        <f>INDEX('[2]For CSV - 2022 SpcFuncData'!$AN$5:$AN$89,MATCH($A92,'[2]For CSV - 2022 SpcFuncData'!$B$5:$B$89,0))</f>
        <v>323</v>
      </c>
      <c r="D92" s="374">
        <f t="shared" si="5"/>
        <v>0</v>
      </c>
      <c r="E92" s="374">
        <f t="shared" si="6"/>
        <v>2</v>
      </c>
      <c r="F92" s="376" t="str">
        <f t="shared" si="7"/>
        <v>1,    IntLtgSys:ParentSpcFunc,  323,    0   ; Dining Area (Family and Leisure)</v>
      </c>
    </row>
    <row r="93" spans="1:6" x14ac:dyDescent="0.2">
      <c r="A93" s="374" t="s">
        <v>948</v>
      </c>
      <c r="B93" s="382" t="s">
        <v>1093</v>
      </c>
      <c r="C93" s="374">
        <f>INDEX('[2]For CSV - 2022 SpcFuncData'!$AN$5:$AN$89,MATCH($A93,'[2]For CSV - 2022 SpcFuncData'!$B$5:$B$89,0))</f>
        <v>323</v>
      </c>
      <c r="D93" s="374">
        <f t="shared" si="5"/>
        <v>0</v>
      </c>
      <c r="E93" s="374">
        <f t="shared" si="6"/>
        <v>3</v>
      </c>
      <c r="F93" s="376" t="str">
        <f t="shared" si="7"/>
        <v>2,              0,     "- none specified -"</v>
      </c>
    </row>
    <row r="94" spans="1:6" x14ac:dyDescent="0.2">
      <c r="A94" s="374" t="s">
        <v>948</v>
      </c>
      <c r="B94" s="382" t="s">
        <v>1076</v>
      </c>
      <c r="C94" s="374">
        <f>INDEX('[2]For CSV - 2022 SpcFuncData'!$AN$5:$AN$89,MATCH($A94,'[2]For CSV - 2022 SpcFuncData'!$B$5:$B$89,0))</f>
        <v>323</v>
      </c>
      <c r="D94" s="374">
        <f t="shared" si="5"/>
        <v>3</v>
      </c>
      <c r="E94" s="374">
        <f t="shared" si="6"/>
        <v>3</v>
      </c>
      <c r="F94" s="376" t="str">
        <f t="shared" si="7"/>
        <v>2,              3,     "Decorative/Display"</v>
      </c>
    </row>
    <row r="95" spans="1:6" x14ac:dyDescent="0.2">
      <c r="A95" s="374" t="s">
        <v>643</v>
      </c>
      <c r="B95" s="382" t="s">
        <v>1093</v>
      </c>
      <c r="C95" s="374">
        <f>INDEX('[2]For CSV - 2022 SpcFuncData'!$AN$5:$AN$89,MATCH($A95,'[2]For CSV - 2022 SpcFuncData'!$B$5:$B$89,0))</f>
        <v>324</v>
      </c>
      <c r="D95" s="374">
        <f t="shared" si="5"/>
        <v>0</v>
      </c>
      <c r="E95" s="374">
        <f t="shared" si="6"/>
        <v>1</v>
      </c>
      <c r="F95" s="376" t="str">
        <f t="shared" si="7"/>
        <v>1,    IntLtgSys:IntLtgSpecMthd,   1,    0   ; AreaCategoryMethod</v>
      </c>
    </row>
    <row r="96" spans="1:6" x14ac:dyDescent="0.2">
      <c r="A96" s="374" t="s">
        <v>643</v>
      </c>
      <c r="B96" s="382" t="s">
        <v>1093</v>
      </c>
      <c r="C96" s="374">
        <f>INDEX('[2]For CSV - 2022 SpcFuncData'!$AN$5:$AN$89,MATCH($A96,'[2]For CSV - 2022 SpcFuncData'!$B$5:$B$89,0))</f>
        <v>324</v>
      </c>
      <c r="D96" s="374">
        <f t="shared" si="5"/>
        <v>0</v>
      </c>
      <c r="E96" s="374">
        <f t="shared" si="6"/>
        <v>2</v>
      </c>
      <c r="F96" s="376" t="str">
        <f t="shared" si="7"/>
        <v>1,    IntLtgSys:ParentSpcFunc,  324,    0   ; Electrical, Mechanical, Telephone Rooms</v>
      </c>
    </row>
    <row r="97" spans="1:6" x14ac:dyDescent="0.2">
      <c r="A97" s="374" t="s">
        <v>643</v>
      </c>
      <c r="B97" s="382" t="s">
        <v>1093</v>
      </c>
      <c r="C97" s="374">
        <f>INDEX('[2]For CSV - 2022 SpcFuncData'!$AN$5:$AN$89,MATCH($A97,'[2]For CSV - 2022 SpcFuncData'!$B$5:$B$89,0))</f>
        <v>324</v>
      </c>
      <c r="D97" s="374">
        <f t="shared" si="5"/>
        <v>0</v>
      </c>
      <c r="E97" s="374">
        <f t="shared" si="6"/>
        <v>3</v>
      </c>
      <c r="F97" s="376" t="str">
        <f t="shared" si="7"/>
        <v>2,              0,     "- none specified -"</v>
      </c>
    </row>
    <row r="98" spans="1:6" x14ac:dyDescent="0.2">
      <c r="A98" s="374" t="s">
        <v>643</v>
      </c>
      <c r="B98" s="382" t="s">
        <v>983</v>
      </c>
      <c r="C98" s="374">
        <f>INDEX('[2]For CSV - 2022 SpcFuncData'!$AN$5:$AN$89,MATCH($A98,'[2]For CSV - 2022 SpcFuncData'!$B$5:$B$89,0))</f>
        <v>324</v>
      </c>
      <c r="D98" s="374">
        <f t="shared" si="5"/>
        <v>1</v>
      </c>
      <c r="E98" s="374">
        <f t="shared" si="6"/>
        <v>3</v>
      </c>
      <c r="F98" s="376" t="str">
        <f t="shared" si="7"/>
        <v>2,              1,     "DetailedTaskWork"</v>
      </c>
    </row>
    <row r="99" spans="1:6" x14ac:dyDescent="0.2">
      <c r="A99" s="374" t="s">
        <v>530</v>
      </c>
      <c r="B99" s="382" t="s">
        <v>1093</v>
      </c>
      <c r="C99" s="374">
        <f>INDEX('[2]For CSV - 2022 SpcFuncData'!$AN$5:$AN$89,MATCH($A99,'[2]For CSV - 2022 SpcFuncData'!$B$5:$B$89,0))</f>
        <v>326</v>
      </c>
      <c r="D99" s="374">
        <f t="shared" si="5"/>
        <v>0</v>
      </c>
      <c r="E99" s="374">
        <f t="shared" si="6"/>
        <v>1</v>
      </c>
      <c r="F99" s="376" t="str">
        <f t="shared" si="7"/>
        <v>1,    IntLtgSys:IntLtgSpecMthd,   1,    0   ; AreaCategoryMethod</v>
      </c>
    </row>
    <row r="100" spans="1:6" x14ac:dyDescent="0.2">
      <c r="A100" s="374" t="s">
        <v>530</v>
      </c>
      <c r="B100" s="382" t="s">
        <v>1093</v>
      </c>
      <c r="C100" s="374">
        <f>INDEX('[2]For CSV - 2022 SpcFuncData'!$AN$5:$AN$89,MATCH($A100,'[2]For CSV - 2022 SpcFuncData'!$B$5:$B$89,0))</f>
        <v>326</v>
      </c>
      <c r="D100" s="374">
        <f t="shared" si="5"/>
        <v>0</v>
      </c>
      <c r="E100" s="374">
        <f t="shared" si="6"/>
        <v>2</v>
      </c>
      <c r="F100" s="376" t="str">
        <f t="shared" si="7"/>
        <v>1,    IntLtgSys:ParentSpcFunc,  326,    0   ; Financial Transaction Area</v>
      </c>
    </row>
    <row r="101" spans="1:6" x14ac:dyDescent="0.2">
      <c r="A101" s="374" t="s">
        <v>530</v>
      </c>
      <c r="B101" s="382" t="s">
        <v>1093</v>
      </c>
      <c r="C101" s="374">
        <f>INDEX('[2]For CSV - 2022 SpcFuncData'!$AN$5:$AN$89,MATCH($A101,'[2]For CSV - 2022 SpcFuncData'!$B$5:$B$89,0))</f>
        <v>326</v>
      </c>
      <c r="D101" s="374">
        <f t="shared" si="5"/>
        <v>0</v>
      </c>
      <c r="E101" s="374">
        <f t="shared" si="6"/>
        <v>3</v>
      </c>
      <c r="F101" s="376" t="str">
        <f t="shared" si="7"/>
        <v>2,              0,     "- none specified -"</v>
      </c>
    </row>
    <row r="102" spans="1:6" x14ac:dyDescent="0.2">
      <c r="A102" s="374" t="s">
        <v>530</v>
      </c>
      <c r="B102" s="382" t="s">
        <v>1076</v>
      </c>
      <c r="C102" s="374">
        <f>INDEX('[2]For CSV - 2022 SpcFuncData'!$AN$5:$AN$89,MATCH($A102,'[2]For CSV - 2022 SpcFuncData'!$B$5:$B$89,0))</f>
        <v>326</v>
      </c>
      <c r="D102" s="374">
        <f t="shared" si="5"/>
        <v>3</v>
      </c>
      <c r="E102" s="374">
        <f t="shared" si="6"/>
        <v>3</v>
      </c>
      <c r="F102" s="376" t="str">
        <f t="shared" si="7"/>
        <v>2,              3,     "Decorative/Display"</v>
      </c>
    </row>
    <row r="103" spans="1:6" x14ac:dyDescent="0.2">
      <c r="A103" s="374" t="s">
        <v>1026</v>
      </c>
      <c r="B103" s="382" t="s">
        <v>1093</v>
      </c>
      <c r="C103" s="374">
        <f>INDEX('[2]For CSV - 2022 SpcFuncData'!$AN$5:$AN$89,MATCH($A103,'[2]For CSV - 2022 SpcFuncData'!$B$5:$B$89,0))</f>
        <v>328</v>
      </c>
      <c r="D103" s="374">
        <f t="shared" si="5"/>
        <v>0</v>
      </c>
      <c r="E103" s="374">
        <f t="shared" si="6"/>
        <v>1</v>
      </c>
      <c r="F103" s="376" t="str">
        <f t="shared" si="7"/>
        <v>1,    IntLtgSys:IntLtgSpecMthd,   1,    0   ; AreaCategoryMethod</v>
      </c>
    </row>
    <row r="104" spans="1:6" x14ac:dyDescent="0.2">
      <c r="A104" s="374" t="s">
        <v>1026</v>
      </c>
      <c r="B104" s="382" t="s">
        <v>1093</v>
      </c>
      <c r="C104" s="374">
        <f>INDEX('[2]For CSV - 2022 SpcFuncData'!$AN$5:$AN$89,MATCH($A104,'[2]For CSV - 2022 SpcFuncData'!$B$5:$B$89,0))</f>
        <v>328</v>
      </c>
      <c r="D104" s="374">
        <f t="shared" si="5"/>
        <v>0</v>
      </c>
      <c r="E104" s="374">
        <f t="shared" si="6"/>
        <v>2</v>
      </c>
      <c r="F104" s="376" t="str">
        <f t="shared" si="7"/>
        <v>1,    IntLtgSys:ParentSpcFunc,  328,    0   ; Healthcare Facility and Hospitals (Imaging Room)</v>
      </c>
    </row>
    <row r="105" spans="1:6" x14ac:dyDescent="0.2">
      <c r="A105" s="374" t="s">
        <v>1026</v>
      </c>
      <c r="B105" s="382" t="s">
        <v>1093</v>
      </c>
      <c r="C105" s="374">
        <f>INDEX('[2]For CSV - 2022 SpcFuncData'!$AN$5:$AN$89,MATCH($A105,'[2]For CSV - 2022 SpcFuncData'!$B$5:$B$89,0))</f>
        <v>328</v>
      </c>
      <c r="D105" s="374">
        <f t="shared" si="5"/>
        <v>0</v>
      </c>
      <c r="E105" s="374">
        <f t="shared" si="6"/>
        <v>3</v>
      </c>
      <c r="F105" s="376" t="str">
        <f t="shared" si="7"/>
        <v>2,              0,     "- none specified -"</v>
      </c>
    </row>
    <row r="106" spans="1:6" x14ac:dyDescent="0.2">
      <c r="A106" s="374" t="s">
        <v>1026</v>
      </c>
      <c r="B106" s="382" t="s">
        <v>1076</v>
      </c>
      <c r="C106" s="374">
        <f>INDEX('[2]For CSV - 2022 SpcFuncData'!$AN$5:$AN$89,MATCH($A106,'[2]For CSV - 2022 SpcFuncData'!$B$5:$B$89,0))</f>
        <v>328</v>
      </c>
      <c r="D106" s="374">
        <f t="shared" si="5"/>
        <v>3</v>
      </c>
      <c r="E106" s="374">
        <f t="shared" si="6"/>
        <v>3</v>
      </c>
      <c r="F106" s="376" t="str">
        <f t="shared" si="7"/>
        <v>2,              3,     "Decorative/Display"</v>
      </c>
    </row>
    <row r="107" spans="1:6" x14ac:dyDescent="0.2">
      <c r="A107" s="374" t="s">
        <v>1026</v>
      </c>
      <c r="B107" s="382" t="s">
        <v>1017</v>
      </c>
      <c r="C107" s="374">
        <f>INDEX('[2]For CSV - 2022 SpcFuncData'!$AN$5:$AN$89,MATCH($A107,'[2]For CSV - 2022 SpcFuncData'!$B$5:$B$89,0))</f>
        <v>328</v>
      </c>
      <c r="D107" s="374">
        <f t="shared" si="5"/>
        <v>15</v>
      </c>
      <c r="E107" s="374">
        <f t="shared" si="6"/>
        <v>3</v>
      </c>
      <c r="F107" s="376" t="str">
        <f t="shared" si="7"/>
        <v>2,              15,     "TunableWhiteOrDimToWarm"</v>
      </c>
    </row>
    <row r="108" spans="1:6" x14ac:dyDescent="0.2">
      <c r="A108" s="374" t="s">
        <v>1028</v>
      </c>
      <c r="B108" s="382" t="s">
        <v>1093</v>
      </c>
      <c r="C108" s="374">
        <f>INDEX('[2]For CSV - 2022 SpcFuncData'!$AN$5:$AN$89,MATCH($A108,'[2]For CSV - 2022 SpcFuncData'!$B$5:$B$89,0))</f>
        <v>330</v>
      </c>
      <c r="D108" s="374">
        <f t="shared" si="5"/>
        <v>0</v>
      </c>
      <c r="E108" s="374">
        <f t="shared" si="6"/>
        <v>1</v>
      </c>
      <c r="F108" s="376" t="str">
        <f t="shared" si="7"/>
        <v>1,    IntLtgSys:IntLtgSpecMthd,   1,    0   ; AreaCategoryMethod</v>
      </c>
    </row>
    <row r="109" spans="1:6" x14ac:dyDescent="0.2">
      <c r="A109" s="374" t="s">
        <v>1028</v>
      </c>
      <c r="B109" s="382" t="s">
        <v>1093</v>
      </c>
      <c r="C109" s="374">
        <f>INDEX('[2]For CSV - 2022 SpcFuncData'!$AN$5:$AN$89,MATCH($A109,'[2]For CSV - 2022 SpcFuncData'!$B$5:$B$89,0))</f>
        <v>330</v>
      </c>
      <c r="D109" s="374">
        <f t="shared" si="5"/>
        <v>0</v>
      </c>
      <c r="E109" s="374">
        <f t="shared" si="6"/>
        <v>2</v>
      </c>
      <c r="F109" s="376" t="str">
        <f t="shared" si="7"/>
        <v>1,    IntLtgSys:ParentSpcFunc,  330,    0   ; Healthcare Facility and Hospitals (Nursery)</v>
      </c>
    </row>
    <row r="110" spans="1:6" x14ac:dyDescent="0.2">
      <c r="A110" s="374" t="s">
        <v>1028</v>
      </c>
      <c r="B110" s="382" t="s">
        <v>1093</v>
      </c>
      <c r="C110" s="374">
        <f>INDEX('[2]For CSV - 2022 SpcFuncData'!$AN$5:$AN$89,MATCH($A110,'[2]For CSV - 2022 SpcFuncData'!$B$5:$B$89,0))</f>
        <v>330</v>
      </c>
      <c r="D110" s="374">
        <f t="shared" si="5"/>
        <v>0</v>
      </c>
      <c r="E110" s="374">
        <f t="shared" si="6"/>
        <v>3</v>
      </c>
      <c r="F110" s="376" t="str">
        <f t="shared" si="7"/>
        <v>2,              0,     "- none specified -"</v>
      </c>
    </row>
    <row r="111" spans="1:6" x14ac:dyDescent="0.2">
      <c r="A111" s="374" t="s">
        <v>1028</v>
      </c>
      <c r="B111" s="382" t="s">
        <v>1017</v>
      </c>
      <c r="C111" s="374">
        <f>INDEX('[2]For CSV - 2022 SpcFuncData'!$AN$5:$AN$89,MATCH($A111,'[2]For CSV - 2022 SpcFuncData'!$B$5:$B$89,0))</f>
        <v>330</v>
      </c>
      <c r="D111" s="374">
        <f t="shared" si="5"/>
        <v>15</v>
      </c>
      <c r="E111" s="374">
        <f t="shared" si="6"/>
        <v>3</v>
      </c>
      <c r="F111" s="376" t="str">
        <f t="shared" si="7"/>
        <v>2,              15,     "TunableWhiteOrDimToWarm"</v>
      </c>
    </row>
    <row r="112" spans="1:6" x14ac:dyDescent="0.2">
      <c r="A112" s="374" t="s">
        <v>1029</v>
      </c>
      <c r="B112" s="382" t="s">
        <v>1093</v>
      </c>
      <c r="C112" s="374">
        <f>INDEX('[2]For CSV - 2022 SpcFuncData'!$AN$5:$AN$89,MATCH($A112,'[2]For CSV - 2022 SpcFuncData'!$B$5:$B$89,0))</f>
        <v>331</v>
      </c>
      <c r="D112" s="374">
        <f t="shared" si="5"/>
        <v>0</v>
      </c>
      <c r="E112" s="374">
        <f t="shared" si="6"/>
        <v>1</v>
      </c>
      <c r="F112" s="376" t="str">
        <f t="shared" si="7"/>
        <v>1,    IntLtgSys:IntLtgSpecMthd,   1,    0   ; AreaCategoryMethod</v>
      </c>
    </row>
    <row r="113" spans="1:6" x14ac:dyDescent="0.2">
      <c r="A113" s="374" t="s">
        <v>1029</v>
      </c>
      <c r="B113" s="382" t="s">
        <v>1093</v>
      </c>
      <c r="C113" s="374">
        <f>INDEX('[2]For CSV - 2022 SpcFuncData'!$AN$5:$AN$89,MATCH($A113,'[2]For CSV - 2022 SpcFuncData'!$B$5:$B$89,0))</f>
        <v>331</v>
      </c>
      <c r="D113" s="374">
        <f t="shared" si="5"/>
        <v>0</v>
      </c>
      <c r="E113" s="374">
        <f t="shared" si="6"/>
        <v>2</v>
      </c>
      <c r="F113" s="376" t="str">
        <f t="shared" si="7"/>
        <v>1,    IntLtgSys:ParentSpcFunc,  331,    0   ; Healthcare Facility and Hospitals (Nurse's Station)</v>
      </c>
    </row>
    <row r="114" spans="1:6" x14ac:dyDescent="0.2">
      <c r="A114" s="374" t="s">
        <v>1029</v>
      </c>
      <c r="B114" s="382" t="s">
        <v>1093</v>
      </c>
      <c r="C114" s="374">
        <f>INDEX('[2]For CSV - 2022 SpcFuncData'!$AN$5:$AN$89,MATCH($A114,'[2]For CSV - 2022 SpcFuncData'!$B$5:$B$89,0))</f>
        <v>331</v>
      </c>
      <c r="D114" s="374">
        <f t="shared" si="5"/>
        <v>0</v>
      </c>
      <c r="E114" s="374">
        <f t="shared" si="6"/>
        <v>3</v>
      </c>
      <c r="F114" s="376" t="str">
        <f t="shared" si="7"/>
        <v>2,              0,     "- none specified -"</v>
      </c>
    </row>
    <row r="115" spans="1:6" x14ac:dyDescent="0.2">
      <c r="A115" s="374" t="s">
        <v>1029</v>
      </c>
      <c r="B115" s="382" t="s">
        <v>1017</v>
      </c>
      <c r="C115" s="374">
        <f>INDEX('[2]For CSV - 2022 SpcFuncData'!$AN$5:$AN$89,MATCH($A115,'[2]For CSV - 2022 SpcFuncData'!$B$5:$B$89,0))</f>
        <v>331</v>
      </c>
      <c r="D115" s="374">
        <f t="shared" si="5"/>
        <v>15</v>
      </c>
      <c r="E115" s="374">
        <f t="shared" si="6"/>
        <v>3</v>
      </c>
      <c r="F115" s="376" t="str">
        <f t="shared" si="7"/>
        <v>2,              15,     "TunableWhiteOrDimToWarm"</v>
      </c>
    </row>
    <row r="116" spans="1:6" x14ac:dyDescent="0.2">
      <c r="A116" s="374" t="s">
        <v>1029</v>
      </c>
      <c r="B116" s="382" t="s">
        <v>983</v>
      </c>
      <c r="C116" s="374">
        <f>INDEX('[2]For CSV - 2022 SpcFuncData'!$AN$5:$AN$89,MATCH($A116,'[2]For CSV - 2022 SpcFuncData'!$B$5:$B$89,0))</f>
        <v>331</v>
      </c>
      <c r="D116" s="374">
        <f t="shared" si="5"/>
        <v>1</v>
      </c>
      <c r="E116" s="374">
        <f t="shared" si="6"/>
        <v>3</v>
      </c>
      <c r="F116" s="376" t="str">
        <f t="shared" si="7"/>
        <v>2,              1,     "DetailedTaskWork"</v>
      </c>
    </row>
    <row r="117" spans="1:6" x14ac:dyDescent="0.2">
      <c r="A117" s="374" t="s">
        <v>1031</v>
      </c>
      <c r="B117" s="382" t="s">
        <v>1093</v>
      </c>
      <c r="C117" s="374">
        <f>INDEX('[2]For CSV - 2022 SpcFuncData'!$AN$5:$AN$89,MATCH($A117,'[2]For CSV - 2022 SpcFuncData'!$B$5:$B$89,0))</f>
        <v>333</v>
      </c>
      <c r="D117" s="374">
        <f t="shared" si="5"/>
        <v>0</v>
      </c>
      <c r="E117" s="374">
        <f t="shared" si="6"/>
        <v>1</v>
      </c>
      <c r="F117" s="376" t="str">
        <f t="shared" si="7"/>
        <v>1,    IntLtgSys:IntLtgSpecMthd,   1,    0   ; AreaCategoryMethod</v>
      </c>
    </row>
    <row r="118" spans="1:6" x14ac:dyDescent="0.2">
      <c r="A118" s="374" t="s">
        <v>1031</v>
      </c>
      <c r="B118" s="382" t="s">
        <v>1093</v>
      </c>
      <c r="C118" s="374">
        <f>INDEX('[2]For CSV - 2022 SpcFuncData'!$AN$5:$AN$89,MATCH($A118,'[2]For CSV - 2022 SpcFuncData'!$B$5:$B$89,0))</f>
        <v>333</v>
      </c>
      <c r="D118" s="374">
        <f t="shared" si="5"/>
        <v>0</v>
      </c>
      <c r="E118" s="374">
        <f t="shared" si="6"/>
        <v>2</v>
      </c>
      <c r="F118" s="376" t="str">
        <f t="shared" si="7"/>
        <v>1,    IntLtgSys:ParentSpcFunc,  333,    0   ; Healthcare Facility and Hospitals (Patient Room)</v>
      </c>
    </row>
    <row r="119" spans="1:6" x14ac:dyDescent="0.2">
      <c r="A119" s="374" t="s">
        <v>1031</v>
      </c>
      <c r="B119" s="382" t="s">
        <v>1093</v>
      </c>
      <c r="C119" s="374">
        <f>INDEX('[2]For CSV - 2022 SpcFuncData'!$AN$5:$AN$89,MATCH($A119,'[2]For CSV - 2022 SpcFuncData'!$B$5:$B$89,0))</f>
        <v>333</v>
      </c>
      <c r="D119" s="374">
        <f t="shared" si="5"/>
        <v>0</v>
      </c>
      <c r="E119" s="374">
        <f t="shared" si="6"/>
        <v>3</v>
      </c>
      <c r="F119" s="376" t="str">
        <f t="shared" si="7"/>
        <v>2,              0,     "- none specified -"</v>
      </c>
    </row>
    <row r="120" spans="1:6" x14ac:dyDescent="0.2">
      <c r="A120" s="374" t="s">
        <v>1031</v>
      </c>
      <c r="B120" s="382" t="s">
        <v>1076</v>
      </c>
      <c r="C120" s="374">
        <f>INDEX('[2]For CSV - 2022 SpcFuncData'!$AN$5:$AN$89,MATCH($A120,'[2]For CSV - 2022 SpcFuncData'!$B$5:$B$89,0))</f>
        <v>333</v>
      </c>
      <c r="D120" s="374">
        <f t="shared" si="5"/>
        <v>3</v>
      </c>
      <c r="E120" s="374">
        <f t="shared" si="6"/>
        <v>3</v>
      </c>
      <c r="F120" s="376" t="str">
        <f t="shared" si="7"/>
        <v>2,              3,     "Decorative/Display"</v>
      </c>
    </row>
    <row r="121" spans="1:6" x14ac:dyDescent="0.2">
      <c r="A121" s="374" t="s">
        <v>1032</v>
      </c>
      <c r="B121" s="382" t="s">
        <v>1093</v>
      </c>
      <c r="C121" s="374">
        <f>INDEX('[2]For CSV - 2022 SpcFuncData'!$AN$5:$AN$89,MATCH($A121,'[2]For CSV - 2022 SpcFuncData'!$B$5:$B$89,0))</f>
        <v>334</v>
      </c>
      <c r="D121" s="374">
        <f t="shared" si="5"/>
        <v>0</v>
      </c>
      <c r="E121" s="374">
        <f t="shared" si="6"/>
        <v>1</v>
      </c>
      <c r="F121" s="376" t="str">
        <f t="shared" si="7"/>
        <v>1,    IntLtgSys:IntLtgSpecMthd,   1,    0   ; AreaCategoryMethod</v>
      </c>
    </row>
    <row r="122" spans="1:6" x14ac:dyDescent="0.2">
      <c r="A122" s="374" t="s">
        <v>1032</v>
      </c>
      <c r="B122" s="382" t="s">
        <v>1093</v>
      </c>
      <c r="C122" s="374">
        <f>INDEX('[2]For CSV - 2022 SpcFuncData'!$AN$5:$AN$89,MATCH($A122,'[2]For CSV - 2022 SpcFuncData'!$B$5:$B$89,0))</f>
        <v>334</v>
      </c>
      <c r="D122" s="374">
        <f t="shared" si="5"/>
        <v>0</v>
      </c>
      <c r="E122" s="374">
        <f t="shared" si="6"/>
        <v>2</v>
      </c>
      <c r="F122" s="376" t="str">
        <f t="shared" si="7"/>
        <v>1,    IntLtgSys:ParentSpcFunc,  334,    0   ; Healthcare Facility and Hospitals (Physical Therapy Room)</v>
      </c>
    </row>
    <row r="123" spans="1:6" x14ac:dyDescent="0.2">
      <c r="A123" s="374" t="s">
        <v>1032</v>
      </c>
      <c r="B123" s="382" t="s">
        <v>1093</v>
      </c>
      <c r="C123" s="374">
        <f>INDEX('[2]For CSV - 2022 SpcFuncData'!$AN$5:$AN$89,MATCH($A123,'[2]For CSV - 2022 SpcFuncData'!$B$5:$B$89,0))</f>
        <v>334</v>
      </c>
      <c r="D123" s="374">
        <f t="shared" si="5"/>
        <v>0</v>
      </c>
      <c r="E123" s="374">
        <f t="shared" si="6"/>
        <v>3</v>
      </c>
      <c r="F123" s="376" t="str">
        <f t="shared" si="7"/>
        <v>2,              0,     "- none specified -"</v>
      </c>
    </row>
    <row r="124" spans="1:6" x14ac:dyDescent="0.2">
      <c r="A124" s="374" t="s">
        <v>1032</v>
      </c>
      <c r="B124" s="382" t="s">
        <v>1017</v>
      </c>
      <c r="C124" s="374">
        <f>INDEX('[2]For CSV - 2022 SpcFuncData'!$AN$5:$AN$89,MATCH($A124,'[2]For CSV - 2022 SpcFuncData'!$B$5:$B$89,0))</f>
        <v>334</v>
      </c>
      <c r="D124" s="374">
        <f t="shared" si="5"/>
        <v>15</v>
      </c>
      <c r="E124" s="374">
        <f t="shared" si="6"/>
        <v>3</v>
      </c>
      <c r="F124" s="376" t="str">
        <f t="shared" si="7"/>
        <v>2,              15,     "TunableWhiteOrDimToWarm"</v>
      </c>
    </row>
    <row r="125" spans="1:6" x14ac:dyDescent="0.2">
      <c r="A125" s="374" t="s">
        <v>1033</v>
      </c>
      <c r="B125" s="382" t="s">
        <v>1093</v>
      </c>
      <c r="C125" s="374">
        <f>INDEX('[2]For CSV - 2022 SpcFuncData'!$AN$5:$AN$89,MATCH($A125,'[2]For CSV - 2022 SpcFuncData'!$B$5:$B$89,0))</f>
        <v>335</v>
      </c>
      <c r="D125" s="374">
        <f t="shared" si="5"/>
        <v>0</v>
      </c>
      <c r="E125" s="374">
        <f t="shared" si="6"/>
        <v>1</v>
      </c>
      <c r="F125" s="376" t="str">
        <f t="shared" si="7"/>
        <v>1,    IntLtgSys:IntLtgSpecMthd,   1,    0   ; AreaCategoryMethod</v>
      </c>
    </row>
    <row r="126" spans="1:6" x14ac:dyDescent="0.2">
      <c r="A126" s="374" t="s">
        <v>1033</v>
      </c>
      <c r="B126" s="382" t="s">
        <v>1093</v>
      </c>
      <c r="C126" s="374">
        <f>INDEX('[2]For CSV - 2022 SpcFuncData'!$AN$5:$AN$89,MATCH($A126,'[2]For CSV - 2022 SpcFuncData'!$B$5:$B$89,0))</f>
        <v>335</v>
      </c>
      <c r="D126" s="374">
        <f t="shared" si="5"/>
        <v>0</v>
      </c>
      <c r="E126" s="374">
        <f t="shared" si="6"/>
        <v>2</v>
      </c>
      <c r="F126" s="376" t="str">
        <f t="shared" si="7"/>
        <v>1,    IntLtgSys:ParentSpcFunc,  335,    0   ; Healthcare Facility and Hospitals (Recovery Room)</v>
      </c>
    </row>
    <row r="127" spans="1:6" x14ac:dyDescent="0.2">
      <c r="A127" s="374" t="s">
        <v>1033</v>
      </c>
      <c r="B127" s="382" t="s">
        <v>1093</v>
      </c>
      <c r="C127" s="374">
        <f>INDEX('[2]For CSV - 2022 SpcFuncData'!$AN$5:$AN$89,MATCH($A127,'[2]For CSV - 2022 SpcFuncData'!$B$5:$B$89,0))</f>
        <v>335</v>
      </c>
      <c r="D127" s="374">
        <f t="shared" si="5"/>
        <v>0</v>
      </c>
      <c r="E127" s="374">
        <f t="shared" si="6"/>
        <v>3</v>
      </c>
      <c r="F127" s="376" t="str">
        <f t="shared" si="7"/>
        <v>2,              0,     "- none specified -"</v>
      </c>
    </row>
    <row r="128" spans="1:6" x14ac:dyDescent="0.2">
      <c r="A128" s="374" t="s">
        <v>1033</v>
      </c>
      <c r="B128" s="382" t="s">
        <v>1017</v>
      </c>
      <c r="C128" s="374">
        <f>INDEX('[2]For CSV - 2022 SpcFuncData'!$AN$5:$AN$89,MATCH($A128,'[2]For CSV - 2022 SpcFuncData'!$B$5:$B$89,0))</f>
        <v>335</v>
      </c>
      <c r="D128" s="374">
        <f t="shared" si="5"/>
        <v>15</v>
      </c>
      <c r="E128" s="374">
        <f t="shared" si="6"/>
        <v>3</v>
      </c>
      <c r="F128" s="376" t="str">
        <f t="shared" si="7"/>
        <v>2,              15,     "TunableWhiteOrDimToWarm"</v>
      </c>
    </row>
    <row r="129" spans="1:6" x14ac:dyDescent="0.2">
      <c r="A129" s="374" t="s">
        <v>532</v>
      </c>
      <c r="B129" s="382" t="s">
        <v>1093</v>
      </c>
      <c r="C129" s="374">
        <f>INDEX('[2]For CSV - 2022 SpcFuncData'!$AN$5:$AN$89,MATCH($A129,'[2]For CSV - 2022 SpcFuncData'!$B$5:$B$89,0))</f>
        <v>337</v>
      </c>
      <c r="D129" s="374">
        <f t="shared" si="5"/>
        <v>0</v>
      </c>
      <c r="E129" s="374">
        <f t="shared" si="6"/>
        <v>1</v>
      </c>
      <c r="F129" s="376" t="str">
        <f t="shared" si="7"/>
        <v>1,    IntLtgSys:IntLtgSpecMthd,   1,    0   ; AreaCategoryMethod</v>
      </c>
    </row>
    <row r="130" spans="1:6" x14ac:dyDescent="0.2">
      <c r="A130" s="374" t="s">
        <v>532</v>
      </c>
      <c r="B130" s="382" t="s">
        <v>1093</v>
      </c>
      <c r="C130" s="374">
        <f>INDEX('[2]For CSV - 2022 SpcFuncData'!$AN$5:$AN$89,MATCH($A130,'[2]For CSV - 2022 SpcFuncData'!$B$5:$B$89,0))</f>
        <v>337</v>
      </c>
      <c r="D130" s="374">
        <f t="shared" si="5"/>
        <v>0</v>
      </c>
      <c r="E130" s="374">
        <f t="shared" si="6"/>
        <v>2</v>
      </c>
      <c r="F130" s="376" t="str">
        <f t="shared" si="7"/>
        <v>1,    IntLtgSys:ParentSpcFunc,  337,    0   ; Hotel Function Area</v>
      </c>
    </row>
    <row r="131" spans="1:6" x14ac:dyDescent="0.2">
      <c r="A131" s="374" t="s">
        <v>532</v>
      </c>
      <c r="B131" s="382" t="s">
        <v>1093</v>
      </c>
      <c r="C131" s="374">
        <f>INDEX('[2]For CSV - 2022 SpcFuncData'!$AN$5:$AN$89,MATCH($A131,'[2]For CSV - 2022 SpcFuncData'!$B$5:$B$89,0))</f>
        <v>337</v>
      </c>
      <c r="D131" s="374">
        <f t="shared" si="5"/>
        <v>0</v>
      </c>
      <c r="E131" s="374">
        <f t="shared" si="6"/>
        <v>3</v>
      </c>
      <c r="F131" s="376" t="str">
        <f t="shared" si="7"/>
        <v>2,              0,     "- none specified -"</v>
      </c>
    </row>
    <row r="132" spans="1:6" x14ac:dyDescent="0.2">
      <c r="A132" s="374" t="s">
        <v>532</v>
      </c>
      <c r="B132" s="382" t="s">
        <v>1076</v>
      </c>
      <c r="C132" s="374">
        <f>INDEX('[2]For CSV - 2022 SpcFuncData'!$AN$5:$AN$89,MATCH($A132,'[2]For CSV - 2022 SpcFuncData'!$B$5:$B$89,0))</f>
        <v>337</v>
      </c>
      <c r="D132" s="374">
        <f t="shared" si="5"/>
        <v>3</v>
      </c>
      <c r="E132" s="374">
        <f t="shared" si="6"/>
        <v>3</v>
      </c>
      <c r="F132" s="376" t="str">
        <f t="shared" si="7"/>
        <v>2,              3,     "Decorative/Display"</v>
      </c>
    </row>
    <row r="133" spans="1:6" x14ac:dyDescent="0.2">
      <c r="A133" s="374" t="s">
        <v>653</v>
      </c>
      <c r="B133" s="382" t="s">
        <v>1093</v>
      </c>
      <c r="C133" s="374">
        <f>INDEX('[2]For CSV - 2022 SpcFuncData'!$AN$5:$AN$89,MATCH($A133,'[2]For CSV - 2022 SpcFuncData'!$B$5:$B$89,0))</f>
        <v>341</v>
      </c>
      <c r="D133" s="374">
        <f t="shared" si="5"/>
        <v>0</v>
      </c>
      <c r="E133" s="374">
        <f t="shared" si="6"/>
        <v>1</v>
      </c>
      <c r="F133" s="376" t="str">
        <f t="shared" si="7"/>
        <v>1,    IntLtgSys:IntLtgSpecMthd,   1,    0   ; AreaCategoryMethod</v>
      </c>
    </row>
    <row r="134" spans="1:6" x14ac:dyDescent="0.2">
      <c r="A134" s="374" t="s">
        <v>653</v>
      </c>
      <c r="B134" s="382" t="s">
        <v>1093</v>
      </c>
      <c r="C134" s="374">
        <f>INDEX('[2]For CSV - 2022 SpcFuncData'!$AN$5:$AN$89,MATCH($A134,'[2]For CSV - 2022 SpcFuncData'!$B$5:$B$89,0))</f>
        <v>341</v>
      </c>
      <c r="D134" s="374">
        <f t="shared" si="5"/>
        <v>0</v>
      </c>
      <c r="E134" s="374">
        <f t="shared" si="6"/>
        <v>2</v>
      </c>
      <c r="F134" s="376" t="str">
        <f t="shared" si="7"/>
        <v>1,    IntLtgSys:ParentSpcFunc,  341,    0   ; Laboratory, Scientific</v>
      </c>
    </row>
    <row r="135" spans="1:6" x14ac:dyDescent="0.2">
      <c r="A135" s="374" t="s">
        <v>653</v>
      </c>
      <c r="B135" s="382" t="s">
        <v>1093</v>
      </c>
      <c r="C135" s="374">
        <f>INDEX('[2]For CSV - 2022 SpcFuncData'!$AN$5:$AN$89,MATCH($A135,'[2]For CSV - 2022 SpcFuncData'!$B$5:$B$89,0))</f>
        <v>341</v>
      </c>
      <c r="D135" s="374">
        <f t="shared" si="5"/>
        <v>0</v>
      </c>
      <c r="E135" s="374">
        <f t="shared" si="6"/>
        <v>3</v>
      </c>
      <c r="F135" s="376" t="str">
        <f t="shared" si="7"/>
        <v>2,              0,     "- none specified -"</v>
      </c>
    </row>
    <row r="136" spans="1:6" x14ac:dyDescent="0.2">
      <c r="A136" s="374" t="s">
        <v>653</v>
      </c>
      <c r="B136" s="382" t="s">
        <v>429</v>
      </c>
      <c r="C136" s="374">
        <f>INDEX('[2]For CSV - 2022 SpcFuncData'!$AN$5:$AN$89,MATCH($A136,'[2]For CSV - 2022 SpcFuncData'!$B$5:$B$89,0))</f>
        <v>341</v>
      </c>
      <c r="D136" s="374">
        <f t="shared" ref="D136:D199" si="8">VLOOKUP(B136,$L$8:$M$23,2,0)</f>
        <v>2</v>
      </c>
      <c r="E136" s="374">
        <f t="shared" si="6"/>
        <v>3</v>
      </c>
      <c r="F136" s="376" t="str">
        <f t="shared" si="7"/>
        <v>2,              2,     "SpecializedTaskWork"</v>
      </c>
    </row>
    <row r="137" spans="1:6" x14ac:dyDescent="0.2">
      <c r="A137" s="374" t="s">
        <v>956</v>
      </c>
      <c r="B137" s="382" t="s">
        <v>1093</v>
      </c>
      <c r="C137" s="374">
        <f>INDEX('[2]For CSV - 2022 SpcFuncData'!$AN$5:$AN$89,MATCH($A137,'[2]For CSV - 2022 SpcFuncData'!$B$5:$B$89,0))</f>
        <v>343</v>
      </c>
      <c r="D137" s="374">
        <f t="shared" si="8"/>
        <v>0</v>
      </c>
      <c r="E137" s="374">
        <f t="shared" ref="E137:E200" si="9">IF(A137&lt;&gt;A136,1,IF(A137&lt;&gt;A135,2,3))</f>
        <v>1</v>
      </c>
      <c r="F137" s="376" t="str">
        <f t="shared" ref="F137:F200" si="10">IF(E137=1,$F$3&amp;$G$3&amp;$D137&amp;$H$3,IF(E137=2,$F$4&amp;$C137&amp;$G$4&amp;$D137&amp;$H$4&amp;TEXT($A137,0),$F$5&amp;$D137&amp;$G$5&amp;$H$5&amp;$B137&amp;""""))</f>
        <v>1,    IntLtgSys:IntLtgSpecMthd,   1,    0   ; AreaCategoryMethod</v>
      </c>
    </row>
    <row r="138" spans="1:6" x14ac:dyDescent="0.2">
      <c r="A138" s="374" t="s">
        <v>956</v>
      </c>
      <c r="B138" s="382" t="s">
        <v>1093</v>
      </c>
      <c r="C138" s="374">
        <f>INDEX('[2]For CSV - 2022 SpcFuncData'!$AN$5:$AN$89,MATCH($A138,'[2]For CSV - 2022 SpcFuncData'!$B$5:$B$89,0))</f>
        <v>343</v>
      </c>
      <c r="D138" s="374">
        <f t="shared" si="8"/>
        <v>0</v>
      </c>
      <c r="E138" s="374">
        <f t="shared" si="9"/>
        <v>2</v>
      </c>
      <c r="F138" s="376" t="str">
        <f t="shared" si="10"/>
        <v>1,    IntLtgSys:ParentSpcFunc,  343,    0   ; Library (Reading Area)</v>
      </c>
    </row>
    <row r="139" spans="1:6" x14ac:dyDescent="0.2">
      <c r="A139" s="374" t="s">
        <v>956</v>
      </c>
      <c r="B139" s="382" t="s">
        <v>1093</v>
      </c>
      <c r="C139" s="374">
        <f>INDEX('[2]For CSV - 2022 SpcFuncData'!$AN$5:$AN$89,MATCH($A139,'[2]For CSV - 2022 SpcFuncData'!$B$5:$B$89,0))</f>
        <v>343</v>
      </c>
      <c r="D139" s="374">
        <f t="shared" si="8"/>
        <v>0</v>
      </c>
      <c r="E139" s="374">
        <f t="shared" si="9"/>
        <v>3</v>
      </c>
      <c r="F139" s="376" t="str">
        <f t="shared" si="10"/>
        <v>2,              0,     "- none specified -"</v>
      </c>
    </row>
    <row r="140" spans="1:6" x14ac:dyDescent="0.2">
      <c r="A140" s="374" t="s">
        <v>956</v>
      </c>
      <c r="B140" s="382" t="s">
        <v>1076</v>
      </c>
      <c r="C140" s="374">
        <f>INDEX('[2]For CSV - 2022 SpcFuncData'!$AN$5:$AN$89,MATCH($A140,'[2]For CSV - 2022 SpcFuncData'!$B$5:$B$89,0))</f>
        <v>343</v>
      </c>
      <c r="D140" s="374">
        <f t="shared" si="8"/>
        <v>3</v>
      </c>
      <c r="E140" s="374">
        <f t="shared" si="9"/>
        <v>3</v>
      </c>
      <c r="F140" s="376" t="str">
        <f t="shared" si="10"/>
        <v>2,              3,     "Decorative/Display"</v>
      </c>
    </row>
    <row r="141" spans="1:6" x14ac:dyDescent="0.2">
      <c r="A141" s="374" t="s">
        <v>534</v>
      </c>
      <c r="B141" s="382" t="s">
        <v>1093</v>
      </c>
      <c r="C141" s="374">
        <f>INDEX('[2]For CSV - 2022 SpcFuncData'!$AN$5:$AN$89,MATCH($A141,'[2]For CSV - 2022 SpcFuncData'!$B$5:$B$89,0))</f>
        <v>345</v>
      </c>
      <c r="D141" s="374">
        <f t="shared" si="8"/>
        <v>0</v>
      </c>
      <c r="E141" s="374">
        <f t="shared" si="9"/>
        <v>1</v>
      </c>
      <c r="F141" s="376" t="str">
        <f t="shared" si="10"/>
        <v>1,    IntLtgSys:IntLtgSpecMthd,   1,    0   ; AreaCategoryMethod</v>
      </c>
    </row>
    <row r="142" spans="1:6" x14ac:dyDescent="0.2">
      <c r="A142" s="374" t="s">
        <v>534</v>
      </c>
      <c r="B142" s="382" t="s">
        <v>1093</v>
      </c>
      <c r="C142" s="374">
        <f>INDEX('[2]For CSV - 2022 SpcFuncData'!$AN$5:$AN$89,MATCH($A142,'[2]For CSV - 2022 SpcFuncData'!$B$5:$B$89,0))</f>
        <v>345</v>
      </c>
      <c r="D142" s="374">
        <f t="shared" si="8"/>
        <v>0</v>
      </c>
      <c r="E142" s="374">
        <f t="shared" si="9"/>
        <v>2</v>
      </c>
      <c r="F142" s="376" t="str">
        <f t="shared" si="10"/>
        <v>1,    IntLtgSys:ParentSpcFunc,  345,    0   ; Lobby, Main Entry</v>
      </c>
    </row>
    <row r="143" spans="1:6" x14ac:dyDescent="0.2">
      <c r="A143" s="374" t="s">
        <v>534</v>
      </c>
      <c r="B143" s="382" t="s">
        <v>1093</v>
      </c>
      <c r="C143" s="374">
        <f>INDEX('[2]For CSV - 2022 SpcFuncData'!$AN$5:$AN$89,MATCH($A143,'[2]For CSV - 2022 SpcFuncData'!$B$5:$B$89,0))</f>
        <v>345</v>
      </c>
      <c r="D143" s="374">
        <f t="shared" si="8"/>
        <v>0</v>
      </c>
      <c r="E143" s="374">
        <f t="shared" si="9"/>
        <v>3</v>
      </c>
      <c r="F143" s="376" t="str">
        <f t="shared" si="10"/>
        <v>2,              0,     "- none specified -"</v>
      </c>
    </row>
    <row r="144" spans="1:6" x14ac:dyDescent="0.2">
      <c r="A144" s="374" t="s">
        <v>534</v>
      </c>
      <c r="B144" s="382" t="s">
        <v>1076</v>
      </c>
      <c r="C144" s="374">
        <f>INDEX('[2]For CSV - 2022 SpcFuncData'!$AN$5:$AN$89,MATCH($A144,'[2]For CSV - 2022 SpcFuncData'!$B$5:$B$89,0))</f>
        <v>345</v>
      </c>
      <c r="D144" s="374">
        <f t="shared" si="8"/>
        <v>3</v>
      </c>
      <c r="E144" s="374">
        <f t="shared" si="9"/>
        <v>3</v>
      </c>
      <c r="F144" s="376" t="str">
        <f t="shared" si="10"/>
        <v>2,              3,     "Decorative/Display"</v>
      </c>
    </row>
    <row r="145" spans="1:6" x14ac:dyDescent="0.2">
      <c r="A145" s="374" t="s">
        <v>958</v>
      </c>
      <c r="B145" s="382" t="s">
        <v>1093</v>
      </c>
      <c r="C145" s="374">
        <f>INDEX('[2]For CSV - 2022 SpcFuncData'!$AN$5:$AN$89,MATCH($A145,'[2]For CSV - 2022 SpcFuncData'!$B$5:$B$89,0))</f>
        <v>347</v>
      </c>
      <c r="D145" s="374">
        <f t="shared" si="8"/>
        <v>0</v>
      </c>
      <c r="E145" s="374">
        <f t="shared" si="9"/>
        <v>1</v>
      </c>
      <c r="F145" s="376" t="str">
        <f t="shared" si="10"/>
        <v>1,    IntLtgSys:IntLtgSpecMthd,   1,    0   ; AreaCategoryMethod</v>
      </c>
    </row>
    <row r="146" spans="1:6" x14ac:dyDescent="0.2">
      <c r="A146" s="374" t="s">
        <v>958</v>
      </c>
      <c r="B146" s="382" t="s">
        <v>1093</v>
      </c>
      <c r="C146" s="374">
        <f>INDEX('[2]For CSV - 2022 SpcFuncData'!$AN$5:$AN$89,MATCH($A146,'[2]For CSV - 2022 SpcFuncData'!$B$5:$B$89,0))</f>
        <v>347</v>
      </c>
      <c r="D146" s="374">
        <f t="shared" si="8"/>
        <v>0</v>
      </c>
      <c r="E146" s="374">
        <f t="shared" si="9"/>
        <v>2</v>
      </c>
      <c r="F146" s="376" t="str">
        <f t="shared" si="10"/>
        <v>1,    IntLtgSys:ParentSpcFunc,  347,    0   ; Lounge, Breakroom, or Waiting Area</v>
      </c>
    </row>
    <row r="147" spans="1:6" x14ac:dyDescent="0.2">
      <c r="A147" s="374" t="s">
        <v>958</v>
      </c>
      <c r="B147" s="382" t="s">
        <v>1093</v>
      </c>
      <c r="C147" s="374">
        <f>INDEX('[2]For CSV - 2022 SpcFuncData'!$AN$5:$AN$89,MATCH($A147,'[2]For CSV - 2022 SpcFuncData'!$B$5:$B$89,0))</f>
        <v>347</v>
      </c>
      <c r="D147" s="374">
        <f t="shared" si="8"/>
        <v>0</v>
      </c>
      <c r="E147" s="374">
        <f t="shared" si="9"/>
        <v>3</v>
      </c>
      <c r="F147" s="376" t="str">
        <f t="shared" si="10"/>
        <v>2,              0,     "- none specified -"</v>
      </c>
    </row>
    <row r="148" spans="1:6" x14ac:dyDescent="0.2">
      <c r="A148" s="374" t="s">
        <v>958</v>
      </c>
      <c r="B148" s="382" t="s">
        <v>1076</v>
      </c>
      <c r="C148" s="374">
        <f>INDEX('[2]For CSV - 2022 SpcFuncData'!$AN$5:$AN$89,MATCH($A148,'[2]For CSV - 2022 SpcFuncData'!$B$5:$B$89,0))</f>
        <v>347</v>
      </c>
      <c r="D148" s="374">
        <f t="shared" si="8"/>
        <v>3</v>
      </c>
      <c r="E148" s="374">
        <f t="shared" si="9"/>
        <v>3</v>
      </c>
      <c r="F148" s="376" t="str">
        <f t="shared" si="10"/>
        <v>2,              3,     "Decorative/Display"</v>
      </c>
    </row>
    <row r="149" spans="1:6" x14ac:dyDescent="0.2">
      <c r="A149" s="374" t="s">
        <v>1067</v>
      </c>
      <c r="B149" s="382" t="s">
        <v>1093</v>
      </c>
      <c r="C149" s="374">
        <f>INDEX('[2]For CSV - 2022 SpcFuncData'!$AN$5:$AN$89,MATCH($A149,'[2]For CSV - 2022 SpcFuncData'!$B$5:$B$89,0))</f>
        <v>348</v>
      </c>
      <c r="D149" s="374">
        <f t="shared" si="8"/>
        <v>0</v>
      </c>
      <c r="E149" s="374">
        <f t="shared" si="9"/>
        <v>1</v>
      </c>
      <c r="F149" s="376" t="str">
        <f t="shared" si="10"/>
        <v>1,    IntLtgSys:IntLtgSpecMthd,   1,    0   ; AreaCategoryMethod</v>
      </c>
    </row>
    <row r="150" spans="1:6" x14ac:dyDescent="0.2">
      <c r="A150" s="374" t="s">
        <v>1067</v>
      </c>
      <c r="B150" s="382" t="s">
        <v>1093</v>
      </c>
      <c r="C150" s="374">
        <f>INDEX('[2]For CSV - 2022 SpcFuncData'!$AN$5:$AN$89,MATCH($A150,'[2]For CSV - 2022 SpcFuncData'!$B$5:$B$89,0))</f>
        <v>348</v>
      </c>
      <c r="D150" s="374">
        <f t="shared" si="8"/>
        <v>0</v>
      </c>
      <c r="E150" s="374">
        <f t="shared" si="9"/>
        <v>2</v>
      </c>
      <c r="F150" s="376" t="str">
        <f t="shared" si="10"/>
        <v>1,    IntLtgSys:ParentSpcFunc,  348,    0   ; Manufacturing, Commercial &amp; Industrial Work Area (Low Bay)</v>
      </c>
    </row>
    <row r="151" spans="1:6" x14ac:dyDescent="0.2">
      <c r="A151" s="374" t="s">
        <v>1067</v>
      </c>
      <c r="B151" s="382" t="s">
        <v>1093</v>
      </c>
      <c r="C151" s="374">
        <f>INDEX('[2]For CSV - 2022 SpcFuncData'!$AN$5:$AN$89,MATCH($A151,'[2]For CSV - 2022 SpcFuncData'!$B$5:$B$89,0))</f>
        <v>348</v>
      </c>
      <c r="D151" s="374">
        <f t="shared" si="8"/>
        <v>0</v>
      </c>
      <c r="E151" s="374">
        <f t="shared" si="9"/>
        <v>3</v>
      </c>
      <c r="F151" s="376" t="str">
        <f t="shared" si="10"/>
        <v>2,              0,     "- none specified -"</v>
      </c>
    </row>
    <row r="152" spans="1:6" x14ac:dyDescent="0.2">
      <c r="A152" s="374" t="s">
        <v>1067</v>
      </c>
      <c r="B152" s="382" t="s">
        <v>983</v>
      </c>
      <c r="C152" s="374">
        <f>INDEX('[2]For CSV - 2022 SpcFuncData'!$AN$5:$AN$89,MATCH($A152,'[2]For CSV - 2022 SpcFuncData'!$B$5:$B$89,0))</f>
        <v>348</v>
      </c>
      <c r="D152" s="374">
        <f t="shared" si="8"/>
        <v>1</v>
      </c>
      <c r="E152" s="374">
        <f t="shared" si="9"/>
        <v>3</v>
      </c>
      <c r="F152" s="376" t="str">
        <f t="shared" si="10"/>
        <v>2,              1,     "DetailedTaskWork"</v>
      </c>
    </row>
    <row r="153" spans="1:6" x14ac:dyDescent="0.2">
      <c r="A153" s="374" t="s">
        <v>1068</v>
      </c>
      <c r="B153" s="382" t="s">
        <v>1093</v>
      </c>
      <c r="C153" s="374">
        <f>INDEX('[2]For CSV - 2022 SpcFuncData'!$AN$5:$AN$89,MATCH($A153,'[2]For CSV - 2022 SpcFuncData'!$B$5:$B$89,0))</f>
        <v>349</v>
      </c>
      <c r="D153" s="374">
        <f t="shared" si="8"/>
        <v>0</v>
      </c>
      <c r="E153" s="374">
        <f t="shared" si="9"/>
        <v>1</v>
      </c>
      <c r="F153" s="376" t="str">
        <f t="shared" si="10"/>
        <v>1,    IntLtgSys:IntLtgSpecMthd,   1,    0   ; AreaCategoryMethod</v>
      </c>
    </row>
    <row r="154" spans="1:6" x14ac:dyDescent="0.2">
      <c r="A154" s="374" t="s">
        <v>1068</v>
      </c>
      <c r="B154" s="382" t="s">
        <v>1093</v>
      </c>
      <c r="C154" s="374">
        <f>INDEX('[2]For CSV - 2022 SpcFuncData'!$AN$5:$AN$89,MATCH($A154,'[2]For CSV - 2022 SpcFuncData'!$B$5:$B$89,0))</f>
        <v>349</v>
      </c>
      <c r="D154" s="374">
        <f t="shared" si="8"/>
        <v>0</v>
      </c>
      <c r="E154" s="374">
        <f t="shared" si="9"/>
        <v>2</v>
      </c>
      <c r="F154" s="376" t="str">
        <f t="shared" si="10"/>
        <v>1,    IntLtgSys:ParentSpcFunc,  349,    0   ; Manufacturing, Commercial &amp; Industrial Work Area (High Bay)</v>
      </c>
    </row>
    <row r="155" spans="1:6" x14ac:dyDescent="0.2">
      <c r="A155" s="374" t="s">
        <v>1068</v>
      </c>
      <c r="B155" s="382" t="s">
        <v>1093</v>
      </c>
      <c r="C155" s="374">
        <f>INDEX('[2]For CSV - 2022 SpcFuncData'!$AN$5:$AN$89,MATCH($A155,'[2]For CSV - 2022 SpcFuncData'!$B$5:$B$89,0))</f>
        <v>349</v>
      </c>
      <c r="D155" s="374">
        <f t="shared" si="8"/>
        <v>0</v>
      </c>
      <c r="E155" s="374">
        <f t="shared" si="9"/>
        <v>3</v>
      </c>
      <c r="F155" s="376" t="str">
        <f t="shared" si="10"/>
        <v>2,              0,     "- none specified -"</v>
      </c>
    </row>
    <row r="156" spans="1:6" x14ac:dyDescent="0.2">
      <c r="A156" s="374" t="s">
        <v>1068</v>
      </c>
      <c r="B156" s="382" t="s">
        <v>983</v>
      </c>
      <c r="C156" s="374">
        <f>INDEX('[2]For CSV - 2022 SpcFuncData'!$AN$5:$AN$89,MATCH($A156,'[2]For CSV - 2022 SpcFuncData'!$B$5:$B$89,0))</f>
        <v>349</v>
      </c>
      <c r="D156" s="374">
        <f t="shared" si="8"/>
        <v>1</v>
      </c>
      <c r="E156" s="374">
        <f t="shared" si="9"/>
        <v>3</v>
      </c>
      <c r="F156" s="376" t="str">
        <f t="shared" si="10"/>
        <v>2,              1,     "DetailedTaskWork"</v>
      </c>
    </row>
    <row r="157" spans="1:6" x14ac:dyDescent="0.2">
      <c r="A157" s="374" t="s">
        <v>1069</v>
      </c>
      <c r="B157" s="382" t="s">
        <v>1093</v>
      </c>
      <c r="C157" s="374">
        <f>INDEX('[2]For CSV - 2022 SpcFuncData'!$AN$5:$AN$89,MATCH($A157,'[2]For CSV - 2022 SpcFuncData'!$B$5:$B$89,0))</f>
        <v>350</v>
      </c>
      <c r="D157" s="374">
        <f t="shared" si="8"/>
        <v>0</v>
      </c>
      <c r="E157" s="374">
        <f t="shared" si="9"/>
        <v>1</v>
      </c>
      <c r="F157" s="376" t="str">
        <f t="shared" si="10"/>
        <v>1,    IntLtgSys:IntLtgSpecMthd,   1,    0   ; AreaCategoryMethod</v>
      </c>
    </row>
    <row r="158" spans="1:6" x14ac:dyDescent="0.2">
      <c r="A158" s="374" t="s">
        <v>1069</v>
      </c>
      <c r="B158" s="382" t="s">
        <v>1093</v>
      </c>
      <c r="C158" s="374">
        <f>INDEX('[2]For CSV - 2022 SpcFuncData'!$AN$5:$AN$89,MATCH($A158,'[2]For CSV - 2022 SpcFuncData'!$B$5:$B$89,0))</f>
        <v>350</v>
      </c>
      <c r="D158" s="374">
        <f t="shared" si="8"/>
        <v>0</v>
      </c>
      <c r="E158" s="374">
        <f t="shared" si="9"/>
        <v>2</v>
      </c>
      <c r="F158" s="376" t="str">
        <f t="shared" si="10"/>
        <v>1,    IntLtgSys:ParentSpcFunc,  350,    0   ; Manufacturing, Commercial &amp; Industrial Work Area (Precision)</v>
      </c>
    </row>
    <row r="159" spans="1:6" x14ac:dyDescent="0.2">
      <c r="A159" s="374" t="s">
        <v>1069</v>
      </c>
      <c r="B159" s="382" t="s">
        <v>1093</v>
      </c>
      <c r="C159" s="374">
        <f>INDEX('[2]For CSV - 2022 SpcFuncData'!$AN$5:$AN$89,MATCH($A159,'[2]For CSV - 2022 SpcFuncData'!$B$5:$B$89,0))</f>
        <v>350</v>
      </c>
      <c r="D159" s="374">
        <f t="shared" si="8"/>
        <v>0</v>
      </c>
      <c r="E159" s="374">
        <f t="shared" si="9"/>
        <v>3</v>
      </c>
      <c r="F159" s="376" t="str">
        <f t="shared" si="10"/>
        <v>2,              0,     "- none specified -"</v>
      </c>
    </row>
    <row r="160" spans="1:6" x14ac:dyDescent="0.2">
      <c r="A160" s="374" t="s">
        <v>1069</v>
      </c>
      <c r="B160" s="382" t="s">
        <v>996</v>
      </c>
      <c r="C160" s="374">
        <f>INDEX('[2]For CSV - 2022 SpcFuncData'!$AN$5:$AN$89,MATCH($A160,'[2]For CSV - 2022 SpcFuncData'!$B$5:$B$89,0))</f>
        <v>350</v>
      </c>
      <c r="D160" s="374">
        <f t="shared" si="8"/>
        <v>4</v>
      </c>
      <c r="E160" s="374">
        <f t="shared" si="9"/>
        <v>3</v>
      </c>
      <c r="F160" s="376" t="str">
        <f t="shared" si="10"/>
        <v>2,              4,     "PrecisionWork"</v>
      </c>
    </row>
    <row r="161" spans="1:6" x14ac:dyDescent="0.2">
      <c r="A161" s="374" t="s">
        <v>960</v>
      </c>
      <c r="B161" s="382" t="s">
        <v>1093</v>
      </c>
      <c r="C161" s="374">
        <f>INDEX('[2]For CSV - 2022 SpcFuncData'!$AN$5:$AN$89,MATCH($A161,'[2]For CSV - 2022 SpcFuncData'!$B$5:$B$89,0))</f>
        <v>351</v>
      </c>
      <c r="D161" s="374">
        <f t="shared" si="8"/>
        <v>0</v>
      </c>
      <c r="E161" s="374">
        <f t="shared" si="9"/>
        <v>1</v>
      </c>
      <c r="F161" s="376" t="str">
        <f t="shared" si="10"/>
        <v>1,    IntLtgSys:IntLtgSpecMthd,   1,    0   ; AreaCategoryMethod</v>
      </c>
    </row>
    <row r="162" spans="1:6" x14ac:dyDescent="0.2">
      <c r="A162" s="374" t="s">
        <v>960</v>
      </c>
      <c r="B162" s="382" t="s">
        <v>1093</v>
      </c>
      <c r="C162" s="374">
        <f>INDEX('[2]For CSV - 2022 SpcFuncData'!$AN$5:$AN$89,MATCH($A162,'[2]For CSV - 2022 SpcFuncData'!$B$5:$B$89,0))</f>
        <v>351</v>
      </c>
      <c r="D162" s="374">
        <f t="shared" si="8"/>
        <v>0</v>
      </c>
      <c r="E162" s="374">
        <f t="shared" si="9"/>
        <v>2</v>
      </c>
      <c r="F162" s="376" t="str">
        <f t="shared" si="10"/>
        <v>1,    IntLtgSys:ParentSpcFunc,  351,    0   ; Museum Area (Exhibition/Display)</v>
      </c>
    </row>
    <row r="163" spans="1:6" x14ac:dyDescent="0.2">
      <c r="A163" s="374" t="s">
        <v>960</v>
      </c>
      <c r="B163" s="382" t="s">
        <v>1093</v>
      </c>
      <c r="C163" s="374">
        <f>INDEX('[2]For CSV - 2022 SpcFuncData'!$AN$5:$AN$89,MATCH($A163,'[2]For CSV - 2022 SpcFuncData'!$B$5:$B$89,0))</f>
        <v>351</v>
      </c>
      <c r="D163" s="374">
        <f t="shared" si="8"/>
        <v>0</v>
      </c>
      <c r="E163" s="374">
        <f t="shared" si="9"/>
        <v>3</v>
      </c>
      <c r="F163" s="376" t="str">
        <f t="shared" si="10"/>
        <v>2,              0,     "- none specified -"</v>
      </c>
    </row>
    <row r="164" spans="1:6" x14ac:dyDescent="0.2">
      <c r="A164" s="374" t="s">
        <v>960</v>
      </c>
      <c r="B164" s="382" t="s">
        <v>1076</v>
      </c>
      <c r="C164" s="374">
        <f>INDEX('[2]For CSV - 2022 SpcFuncData'!$AN$5:$AN$89,MATCH($A164,'[2]For CSV - 2022 SpcFuncData'!$B$5:$B$89,0))</f>
        <v>351</v>
      </c>
      <c r="D164" s="374">
        <f t="shared" si="8"/>
        <v>3</v>
      </c>
      <c r="E164" s="374">
        <f t="shared" si="9"/>
        <v>3</v>
      </c>
      <c r="F164" s="376" t="str">
        <f t="shared" si="10"/>
        <v>2,              3,     "Decorative/Display"</v>
      </c>
    </row>
    <row r="165" spans="1:6" x14ac:dyDescent="0.2">
      <c r="A165" s="374" t="s">
        <v>961</v>
      </c>
      <c r="B165" s="382" t="s">
        <v>1093</v>
      </c>
      <c r="C165" s="374">
        <f>INDEX('[2]For CSV - 2022 SpcFuncData'!$AN$5:$AN$89,MATCH($A165,'[2]For CSV - 2022 SpcFuncData'!$B$5:$B$89,0))</f>
        <v>352</v>
      </c>
      <c r="D165" s="374">
        <f t="shared" si="8"/>
        <v>0</v>
      </c>
      <c r="E165" s="374">
        <f t="shared" si="9"/>
        <v>1</v>
      </c>
      <c r="F165" s="376" t="str">
        <f t="shared" si="10"/>
        <v>1,    IntLtgSys:IntLtgSpecMthd,   1,    0   ; AreaCategoryMethod</v>
      </c>
    </row>
    <row r="166" spans="1:6" x14ac:dyDescent="0.2">
      <c r="A166" s="374" t="s">
        <v>961</v>
      </c>
      <c r="B166" s="382" t="s">
        <v>1093</v>
      </c>
      <c r="C166" s="374">
        <f>INDEX('[2]For CSV - 2022 SpcFuncData'!$AN$5:$AN$89,MATCH($A166,'[2]For CSV - 2022 SpcFuncData'!$B$5:$B$89,0))</f>
        <v>352</v>
      </c>
      <c r="D166" s="374">
        <f t="shared" si="8"/>
        <v>0</v>
      </c>
      <c r="E166" s="374">
        <f t="shared" si="9"/>
        <v>2</v>
      </c>
      <c r="F166" s="376" t="str">
        <f t="shared" si="10"/>
        <v>1,    IntLtgSys:ParentSpcFunc,  352,    0   ; Museum Area (Restoration Room)</v>
      </c>
    </row>
    <row r="167" spans="1:6" x14ac:dyDescent="0.2">
      <c r="A167" s="374" t="s">
        <v>961</v>
      </c>
      <c r="B167" s="382" t="s">
        <v>1093</v>
      </c>
      <c r="C167" s="374">
        <f>INDEX('[2]For CSV - 2022 SpcFuncData'!$AN$5:$AN$89,MATCH($A167,'[2]For CSV - 2022 SpcFuncData'!$B$5:$B$89,0))</f>
        <v>352</v>
      </c>
      <c r="D167" s="374">
        <f t="shared" si="8"/>
        <v>0</v>
      </c>
      <c r="E167" s="374">
        <f t="shared" si="9"/>
        <v>3</v>
      </c>
      <c r="F167" s="376" t="str">
        <f t="shared" si="10"/>
        <v>2,              0,     "- none specified -"</v>
      </c>
    </row>
    <row r="168" spans="1:6" x14ac:dyDescent="0.2">
      <c r="A168" s="374" t="s">
        <v>961</v>
      </c>
      <c r="B168" s="382" t="s">
        <v>983</v>
      </c>
      <c r="C168" s="374">
        <f>INDEX('[2]For CSV - 2022 SpcFuncData'!$AN$5:$AN$89,MATCH($A168,'[2]For CSV - 2022 SpcFuncData'!$B$5:$B$89,0))</f>
        <v>352</v>
      </c>
      <c r="D168" s="374">
        <f t="shared" si="8"/>
        <v>1</v>
      </c>
      <c r="E168" s="374">
        <f t="shared" si="9"/>
        <v>3</v>
      </c>
      <c r="F168" s="376" t="str">
        <f t="shared" si="10"/>
        <v>2,              1,     "DetailedTaskWork"</v>
      </c>
    </row>
    <row r="169" spans="1:6" x14ac:dyDescent="0.2">
      <c r="A169" s="374" t="s">
        <v>963</v>
      </c>
      <c r="B169" s="382" t="s">
        <v>1093</v>
      </c>
      <c r="C169" s="374">
        <f>INDEX('[2]For CSV - 2022 SpcFuncData'!$AN$5:$AN$89,MATCH($A169,'[2]For CSV - 2022 SpcFuncData'!$B$5:$B$89,0))</f>
        <v>353</v>
      </c>
      <c r="D169" s="374">
        <f t="shared" si="8"/>
        <v>0</v>
      </c>
      <c r="E169" s="374">
        <f t="shared" si="9"/>
        <v>1</v>
      </c>
      <c r="F169" s="376" t="str">
        <f t="shared" si="10"/>
        <v>1,    IntLtgSys:IntLtgSpecMthd,   1,    0   ; AreaCategoryMethod</v>
      </c>
    </row>
    <row r="170" spans="1:6" x14ac:dyDescent="0.2">
      <c r="A170" s="374" t="s">
        <v>963</v>
      </c>
      <c r="B170" s="382" t="s">
        <v>1093</v>
      </c>
      <c r="C170" s="374">
        <f>INDEX('[2]For CSV - 2022 SpcFuncData'!$AN$5:$AN$89,MATCH($A170,'[2]For CSV - 2022 SpcFuncData'!$B$5:$B$89,0))</f>
        <v>353</v>
      </c>
      <c r="D170" s="374">
        <f t="shared" si="8"/>
        <v>0</v>
      </c>
      <c r="E170" s="374">
        <f t="shared" si="9"/>
        <v>2</v>
      </c>
      <c r="F170" s="376" t="str">
        <f t="shared" si="10"/>
        <v>1,    IntLtgSys:ParentSpcFunc,  353,    0   ; Office Area (&gt;250 square feet)</v>
      </c>
    </row>
    <row r="171" spans="1:6" x14ac:dyDescent="0.2">
      <c r="A171" s="374" t="s">
        <v>963</v>
      </c>
      <c r="B171" s="382" t="s">
        <v>1093</v>
      </c>
      <c r="C171" s="374">
        <f>INDEX('[2]For CSV - 2022 SpcFuncData'!$AN$5:$AN$89,MATCH($A171,'[2]For CSV - 2022 SpcFuncData'!$B$5:$B$89,0))</f>
        <v>353</v>
      </c>
      <c r="D171" s="374">
        <f t="shared" si="8"/>
        <v>0</v>
      </c>
      <c r="E171" s="374">
        <f t="shared" si="9"/>
        <v>3</v>
      </c>
      <c r="F171" s="376" t="str">
        <f t="shared" si="10"/>
        <v>2,              0,     "- none specified -"</v>
      </c>
    </row>
    <row r="172" spans="1:6" x14ac:dyDescent="0.2">
      <c r="A172" s="374" t="s">
        <v>963</v>
      </c>
      <c r="B172" s="382" t="s">
        <v>1195</v>
      </c>
      <c r="C172" s="374">
        <f>INDEX('[2]For CSV - 2022 SpcFuncData'!$AN$5:$AN$89,MATCH($A172,'[2]For CSV - 2022 SpcFuncData'!$B$5:$B$89,0))</f>
        <v>353</v>
      </c>
      <c r="D172" s="374">
        <f t="shared" si="8"/>
        <v>11</v>
      </c>
      <c r="E172" s="374">
        <f t="shared" si="9"/>
        <v>3</v>
      </c>
      <c r="F172" s="376" t="str">
        <f t="shared" si="10"/>
        <v>2,              11,     "Decorative/Display&amp;PortableLightingForOffice"</v>
      </c>
    </row>
    <row r="173" spans="1:6" x14ac:dyDescent="0.2">
      <c r="A173" s="374" t="s">
        <v>962</v>
      </c>
      <c r="B173" s="382" t="s">
        <v>1093</v>
      </c>
      <c r="C173" s="374">
        <f>INDEX('[2]For CSV - 2022 SpcFuncData'!$AN$5:$AN$89,MATCH($A173,'[2]For CSV - 2022 SpcFuncData'!$B$5:$B$89,0))</f>
        <v>354</v>
      </c>
      <c r="D173" s="374">
        <f t="shared" si="8"/>
        <v>0</v>
      </c>
      <c r="E173" s="374">
        <f t="shared" si="9"/>
        <v>1</v>
      </c>
      <c r="F173" s="376" t="str">
        <f t="shared" si="10"/>
        <v>1,    IntLtgSys:IntLtgSpecMthd,   1,    0   ; AreaCategoryMethod</v>
      </c>
    </row>
    <row r="174" spans="1:6" x14ac:dyDescent="0.2">
      <c r="A174" s="374" t="s">
        <v>962</v>
      </c>
      <c r="B174" s="382" t="s">
        <v>1093</v>
      </c>
      <c r="C174" s="374">
        <f>INDEX('[2]For CSV - 2022 SpcFuncData'!$AN$5:$AN$89,MATCH($A174,'[2]For CSV - 2022 SpcFuncData'!$B$5:$B$89,0))</f>
        <v>354</v>
      </c>
      <c r="D174" s="374">
        <f t="shared" si="8"/>
        <v>0</v>
      </c>
      <c r="E174" s="374">
        <f t="shared" si="9"/>
        <v>2</v>
      </c>
      <c r="F174" s="376" t="str">
        <f t="shared" si="10"/>
        <v>1,    IntLtgSys:ParentSpcFunc,  354,    0   ; Office Area (&lt;250 square feet)</v>
      </c>
    </row>
    <row r="175" spans="1:6" x14ac:dyDescent="0.2">
      <c r="A175" s="374" t="s">
        <v>962</v>
      </c>
      <c r="B175" s="382" t="s">
        <v>1093</v>
      </c>
      <c r="C175" s="374">
        <f>INDEX('[2]For CSV - 2022 SpcFuncData'!$AN$5:$AN$89,MATCH($A175,'[2]For CSV - 2022 SpcFuncData'!$B$5:$B$89,0))</f>
        <v>354</v>
      </c>
      <c r="D175" s="374">
        <f t="shared" si="8"/>
        <v>0</v>
      </c>
      <c r="E175" s="374">
        <f t="shared" si="9"/>
        <v>3</v>
      </c>
      <c r="F175" s="376" t="str">
        <f t="shared" si="10"/>
        <v>2,              0,     "- none specified -"</v>
      </c>
    </row>
    <row r="176" spans="1:6" x14ac:dyDescent="0.2">
      <c r="A176" s="374" t="s">
        <v>962</v>
      </c>
      <c r="B176" s="382" t="s">
        <v>1195</v>
      </c>
      <c r="C176" s="374">
        <f>INDEX('[2]For CSV - 2022 SpcFuncData'!$AN$5:$AN$89,MATCH($A176,'[2]For CSV - 2022 SpcFuncData'!$B$5:$B$89,0))</f>
        <v>354</v>
      </c>
      <c r="D176" s="374">
        <f t="shared" si="8"/>
        <v>11</v>
      </c>
      <c r="E176" s="374">
        <f t="shared" si="9"/>
        <v>3</v>
      </c>
      <c r="F176" s="376" t="str">
        <f t="shared" si="10"/>
        <v>2,              11,     "Decorative/Display&amp;PortableLightingForOffice"</v>
      </c>
    </row>
    <row r="177" spans="1:6" x14ac:dyDescent="0.2">
      <c r="A177" s="374" t="s">
        <v>1070</v>
      </c>
      <c r="B177" s="382" t="s">
        <v>1093</v>
      </c>
      <c r="C177" s="374">
        <f>INDEX('[2]For CSV - 2022 SpcFuncData'!$AN$5:$AN$89,MATCH($A177,'[2]For CSV - 2022 SpcFuncData'!$B$5:$B$89,0))</f>
        <v>355</v>
      </c>
      <c r="D177" s="374">
        <f t="shared" si="8"/>
        <v>0</v>
      </c>
      <c r="E177" s="374">
        <f t="shared" si="9"/>
        <v>1</v>
      </c>
      <c r="F177" s="376" t="str">
        <f t="shared" si="10"/>
        <v>1,    IntLtgSys:IntLtgSpecMthd,   1,    0   ; AreaCategoryMethod</v>
      </c>
    </row>
    <row r="178" spans="1:6" x14ac:dyDescent="0.2">
      <c r="A178" s="374" t="s">
        <v>1070</v>
      </c>
      <c r="B178" s="382" t="s">
        <v>1093</v>
      </c>
      <c r="C178" s="374">
        <f>INDEX('[2]For CSV - 2022 SpcFuncData'!$AN$5:$AN$89,MATCH($A178,'[2]For CSV - 2022 SpcFuncData'!$B$5:$B$89,0))</f>
        <v>355</v>
      </c>
      <c r="D178" s="374">
        <f t="shared" si="8"/>
        <v>0</v>
      </c>
      <c r="E178" s="374">
        <f t="shared" si="9"/>
        <v>2</v>
      </c>
      <c r="F178" s="376" t="str">
        <f t="shared" si="10"/>
        <v>1,    IntLtgSys:ParentSpcFunc,  355,    0   ; Parking Garage Area (Parking Zone and Ramps)</v>
      </c>
    </row>
    <row r="179" spans="1:6" x14ac:dyDescent="0.2">
      <c r="A179" s="374" t="s">
        <v>1070</v>
      </c>
      <c r="B179" s="382" t="s">
        <v>1093</v>
      </c>
      <c r="C179" s="374">
        <f>INDEX('[2]For CSV - 2022 SpcFuncData'!$AN$5:$AN$89,MATCH($A179,'[2]For CSV - 2022 SpcFuncData'!$B$5:$B$89,0))</f>
        <v>355</v>
      </c>
      <c r="D179" s="374">
        <f t="shared" si="8"/>
        <v>0</v>
      </c>
      <c r="E179" s="374">
        <f t="shared" si="9"/>
        <v>3</v>
      </c>
      <c r="F179" s="376" t="str">
        <f t="shared" si="10"/>
        <v>2,              0,     "- none specified -"</v>
      </c>
    </row>
    <row r="180" spans="1:6" x14ac:dyDescent="0.2">
      <c r="A180" s="374" t="s">
        <v>1070</v>
      </c>
      <c r="B180" s="382" t="s">
        <v>1197</v>
      </c>
      <c r="C180" s="374">
        <f>INDEX('[2]For CSV - 2022 SpcFuncData'!$AN$5:$AN$89,MATCH($A180,'[2]For CSV - 2022 SpcFuncData'!$B$5:$B$89,0))</f>
        <v>355</v>
      </c>
      <c r="D180" s="374">
        <f t="shared" si="8"/>
        <v>10</v>
      </c>
      <c r="E180" s="374">
        <f t="shared" si="9"/>
        <v>3</v>
      </c>
      <c r="F180" s="376" t="str">
        <f t="shared" si="10"/>
        <v>2,              10,     "ParkingGarageATM/TicketMachine"</v>
      </c>
    </row>
    <row r="181" spans="1:6" x14ac:dyDescent="0.2">
      <c r="A181" s="374" t="s">
        <v>968</v>
      </c>
      <c r="B181" s="382" t="s">
        <v>1093</v>
      </c>
      <c r="C181" s="374">
        <f>INDEX('[2]For CSV - 2022 SpcFuncData'!$AN$5:$AN$89,MATCH($A181,'[2]For CSV - 2022 SpcFuncData'!$B$5:$B$89,0))</f>
        <v>357</v>
      </c>
      <c r="D181" s="374">
        <f t="shared" si="8"/>
        <v>0</v>
      </c>
      <c r="E181" s="374">
        <f t="shared" si="9"/>
        <v>1</v>
      </c>
      <c r="F181" s="376" t="str">
        <f t="shared" si="10"/>
        <v>1,    IntLtgSys:IntLtgSpecMthd,   1,    0   ; AreaCategoryMethod</v>
      </c>
    </row>
    <row r="182" spans="1:6" x14ac:dyDescent="0.2">
      <c r="A182" s="374" t="s">
        <v>968</v>
      </c>
      <c r="B182" s="382" t="s">
        <v>1093</v>
      </c>
      <c r="C182" s="374">
        <f>INDEX('[2]For CSV - 2022 SpcFuncData'!$AN$5:$AN$89,MATCH($A182,'[2]For CSV - 2022 SpcFuncData'!$B$5:$B$89,0))</f>
        <v>357</v>
      </c>
      <c r="D182" s="374">
        <f t="shared" si="8"/>
        <v>0</v>
      </c>
      <c r="E182" s="374">
        <f t="shared" si="9"/>
        <v>2</v>
      </c>
      <c r="F182" s="376" t="str">
        <f t="shared" si="10"/>
        <v>1,    IntLtgSys:ParentSpcFunc,  357,    0   ; Pharmacy Area</v>
      </c>
    </row>
    <row r="183" spans="1:6" x14ac:dyDescent="0.2">
      <c r="A183" s="374" t="s">
        <v>968</v>
      </c>
      <c r="B183" s="382" t="s">
        <v>1093</v>
      </c>
      <c r="C183" s="374">
        <f>INDEX('[2]For CSV - 2022 SpcFuncData'!$AN$5:$AN$89,MATCH($A183,'[2]For CSV - 2022 SpcFuncData'!$B$5:$B$89,0))</f>
        <v>357</v>
      </c>
      <c r="D183" s="374">
        <f t="shared" si="8"/>
        <v>0</v>
      </c>
      <c r="E183" s="374">
        <f t="shared" si="9"/>
        <v>3</v>
      </c>
      <c r="F183" s="376" t="str">
        <f t="shared" si="10"/>
        <v>2,              0,     "- none specified -"</v>
      </c>
    </row>
    <row r="184" spans="1:6" x14ac:dyDescent="0.2">
      <c r="A184" s="374" t="s">
        <v>968</v>
      </c>
      <c r="B184" s="382" t="s">
        <v>429</v>
      </c>
      <c r="C184" s="374">
        <f>INDEX('[2]For CSV - 2022 SpcFuncData'!$AN$5:$AN$89,MATCH($A184,'[2]For CSV - 2022 SpcFuncData'!$B$5:$B$89,0))</f>
        <v>357</v>
      </c>
      <c r="D184" s="374">
        <f t="shared" si="8"/>
        <v>2</v>
      </c>
      <c r="E184" s="374">
        <f t="shared" si="9"/>
        <v>3</v>
      </c>
      <c r="F184" s="376" t="str">
        <f t="shared" si="10"/>
        <v>2,              2,     "SpecializedTaskWork"</v>
      </c>
    </row>
    <row r="185" spans="1:6" x14ac:dyDescent="0.2">
      <c r="A185" s="374" t="s">
        <v>970</v>
      </c>
      <c r="B185" s="382" t="s">
        <v>1093</v>
      </c>
      <c r="C185" s="374">
        <f>INDEX('[2]For CSV - 2022 SpcFuncData'!$AN$5:$AN$89,MATCH($A185,'[2]For CSV - 2022 SpcFuncData'!$B$5:$B$89,0))</f>
        <v>358</v>
      </c>
      <c r="D185" s="374">
        <f t="shared" si="8"/>
        <v>0</v>
      </c>
      <c r="E185" s="374">
        <f t="shared" si="9"/>
        <v>1</v>
      </c>
      <c r="F185" s="376" t="str">
        <f t="shared" si="10"/>
        <v>1,    IntLtgSys:IntLtgSpecMthd,   1,    0   ; AreaCategoryMethod</v>
      </c>
    </row>
    <row r="186" spans="1:6" x14ac:dyDescent="0.2">
      <c r="A186" s="374" t="s">
        <v>970</v>
      </c>
      <c r="B186" s="382" t="s">
        <v>1093</v>
      </c>
      <c r="C186" s="374">
        <f>INDEX('[2]For CSV - 2022 SpcFuncData'!$AN$5:$AN$89,MATCH($A186,'[2]For CSV - 2022 SpcFuncData'!$B$5:$B$89,0))</f>
        <v>358</v>
      </c>
      <c r="D186" s="374">
        <f t="shared" si="8"/>
        <v>0</v>
      </c>
      <c r="E186" s="374">
        <f t="shared" si="9"/>
        <v>2</v>
      </c>
      <c r="F186" s="376" t="str">
        <f t="shared" si="10"/>
        <v>1,    IntLtgSys:ParentSpcFunc,  358,    0   ; Retail Sales Area (Grocery Sales)</v>
      </c>
    </row>
    <row r="187" spans="1:6" x14ac:dyDescent="0.2">
      <c r="A187" s="374" t="s">
        <v>970</v>
      </c>
      <c r="B187" s="382" t="s">
        <v>1093</v>
      </c>
      <c r="C187" s="374">
        <f>INDEX('[2]For CSV - 2022 SpcFuncData'!$AN$5:$AN$89,MATCH($A187,'[2]For CSV - 2022 SpcFuncData'!$B$5:$B$89,0))</f>
        <v>358</v>
      </c>
      <c r="D187" s="374">
        <f t="shared" si="8"/>
        <v>0</v>
      </c>
      <c r="E187" s="374">
        <f t="shared" si="9"/>
        <v>3</v>
      </c>
      <c r="F187" s="376" t="str">
        <f t="shared" si="10"/>
        <v>2,              0,     "- none specified -"</v>
      </c>
    </row>
    <row r="188" spans="1:6" x14ac:dyDescent="0.2">
      <c r="A188" s="374" t="s">
        <v>970</v>
      </c>
      <c r="B188" s="382" t="s">
        <v>1076</v>
      </c>
      <c r="C188" s="374">
        <f>INDEX('[2]For CSV - 2022 SpcFuncData'!$AN$5:$AN$89,MATCH($A188,'[2]For CSV - 2022 SpcFuncData'!$B$5:$B$89,0))</f>
        <v>358</v>
      </c>
      <c r="D188" s="374">
        <f t="shared" si="8"/>
        <v>3</v>
      </c>
      <c r="E188" s="374">
        <f t="shared" si="9"/>
        <v>3</v>
      </c>
      <c r="F188" s="376" t="str">
        <f t="shared" si="10"/>
        <v>2,              3,     "Decorative/Display"</v>
      </c>
    </row>
    <row r="189" spans="1:6" x14ac:dyDescent="0.2">
      <c r="A189" s="374" t="s">
        <v>971</v>
      </c>
      <c r="B189" s="382" t="s">
        <v>1093</v>
      </c>
      <c r="C189" s="374">
        <f>INDEX('[2]For CSV - 2022 SpcFuncData'!$AN$5:$AN$89,MATCH($A189,'[2]For CSV - 2022 SpcFuncData'!$B$5:$B$89,0))</f>
        <v>359</v>
      </c>
      <c r="D189" s="374">
        <f t="shared" si="8"/>
        <v>0</v>
      </c>
      <c r="E189" s="374">
        <f t="shared" si="9"/>
        <v>1</v>
      </c>
      <c r="F189" s="376" t="str">
        <f t="shared" si="10"/>
        <v>1,    IntLtgSys:IntLtgSpecMthd,   1,    0   ; AreaCategoryMethod</v>
      </c>
    </row>
    <row r="190" spans="1:6" x14ac:dyDescent="0.2">
      <c r="A190" s="374" t="s">
        <v>971</v>
      </c>
      <c r="B190" s="382" t="s">
        <v>1093</v>
      </c>
      <c r="C190" s="374">
        <f>INDEX('[2]For CSV - 2022 SpcFuncData'!$AN$5:$AN$89,MATCH($A190,'[2]For CSV - 2022 SpcFuncData'!$B$5:$B$89,0))</f>
        <v>359</v>
      </c>
      <c r="D190" s="374">
        <f t="shared" si="8"/>
        <v>0</v>
      </c>
      <c r="E190" s="374">
        <f t="shared" si="9"/>
        <v>2</v>
      </c>
      <c r="F190" s="376" t="str">
        <f t="shared" si="10"/>
        <v>1,    IntLtgSys:ParentSpcFunc,  359,    0   ; Retail Sales Area (Retail Merchandise Sales)</v>
      </c>
    </row>
    <row r="191" spans="1:6" x14ac:dyDescent="0.2">
      <c r="A191" s="374" t="s">
        <v>971</v>
      </c>
      <c r="B191" s="382" t="s">
        <v>1093</v>
      </c>
      <c r="C191" s="374">
        <f>INDEX('[2]For CSV - 2022 SpcFuncData'!$AN$5:$AN$89,MATCH($A191,'[2]For CSV - 2022 SpcFuncData'!$B$5:$B$89,0))</f>
        <v>359</v>
      </c>
      <c r="D191" s="374">
        <f t="shared" si="8"/>
        <v>0</v>
      </c>
      <c r="E191" s="374">
        <f t="shared" si="9"/>
        <v>3</v>
      </c>
      <c r="F191" s="376" t="str">
        <f t="shared" si="10"/>
        <v>2,              0,     "- none specified -"</v>
      </c>
    </row>
    <row r="192" spans="1:6" x14ac:dyDescent="0.2">
      <c r="A192" s="374" t="s">
        <v>971</v>
      </c>
      <c r="B192" s="382" t="s">
        <v>1076</v>
      </c>
      <c r="C192" s="374">
        <f>INDEX('[2]For CSV - 2022 SpcFuncData'!$AN$5:$AN$89,MATCH($A192,'[2]For CSV - 2022 SpcFuncData'!$B$5:$B$89,0))</f>
        <v>359</v>
      </c>
      <c r="D192" s="374">
        <f t="shared" si="8"/>
        <v>3</v>
      </c>
      <c r="E192" s="374">
        <f t="shared" si="9"/>
        <v>3</v>
      </c>
      <c r="F192" s="376" t="str">
        <f t="shared" si="10"/>
        <v>2,              3,     "Decorative/Display"</v>
      </c>
    </row>
    <row r="193" spans="1:6" x14ac:dyDescent="0.2">
      <c r="A193" s="374" t="s">
        <v>969</v>
      </c>
      <c r="B193" s="382" t="s">
        <v>1093</v>
      </c>
      <c r="C193" s="374">
        <f>INDEX('[2]For CSV - 2022 SpcFuncData'!$AN$5:$AN$89,MATCH($A193,'[2]For CSV - 2022 SpcFuncData'!$B$5:$B$89,0))</f>
        <v>360</v>
      </c>
      <c r="D193" s="374">
        <f t="shared" si="8"/>
        <v>0</v>
      </c>
      <c r="E193" s="374">
        <f t="shared" si="9"/>
        <v>1</v>
      </c>
      <c r="F193" s="376" t="str">
        <f t="shared" si="10"/>
        <v>1,    IntLtgSys:IntLtgSpecMthd,   1,    0   ; AreaCategoryMethod</v>
      </c>
    </row>
    <row r="194" spans="1:6" x14ac:dyDescent="0.2">
      <c r="A194" s="374" t="s">
        <v>969</v>
      </c>
      <c r="B194" s="382" t="s">
        <v>1093</v>
      </c>
      <c r="C194" s="374">
        <f>INDEX('[2]For CSV - 2022 SpcFuncData'!$AN$5:$AN$89,MATCH($A194,'[2]For CSV - 2022 SpcFuncData'!$B$5:$B$89,0))</f>
        <v>360</v>
      </c>
      <c r="D194" s="374">
        <f t="shared" si="8"/>
        <v>0</v>
      </c>
      <c r="E194" s="374">
        <f t="shared" si="9"/>
        <v>2</v>
      </c>
      <c r="F194" s="376" t="str">
        <f t="shared" si="10"/>
        <v>1,    IntLtgSys:ParentSpcFunc,  360,    0   ; Retail Sales Area (Fitting Room)</v>
      </c>
    </row>
    <row r="195" spans="1:6" x14ac:dyDescent="0.2">
      <c r="A195" s="374" t="s">
        <v>969</v>
      </c>
      <c r="B195" s="382" t="s">
        <v>1093</v>
      </c>
      <c r="C195" s="374">
        <f>INDEX('[2]For CSV - 2022 SpcFuncData'!$AN$5:$AN$89,MATCH($A195,'[2]For CSV - 2022 SpcFuncData'!$B$5:$B$89,0))</f>
        <v>360</v>
      </c>
      <c r="D195" s="374">
        <f t="shared" si="8"/>
        <v>0</v>
      </c>
      <c r="E195" s="374">
        <f t="shared" si="9"/>
        <v>3</v>
      </c>
      <c r="F195" s="376" t="str">
        <f t="shared" si="10"/>
        <v>2,              0,     "- none specified -"</v>
      </c>
    </row>
    <row r="196" spans="1:6" x14ac:dyDescent="0.2">
      <c r="A196" s="374" t="s">
        <v>969</v>
      </c>
      <c r="B196" s="382" t="s">
        <v>1010</v>
      </c>
      <c r="C196" s="374">
        <f>INDEX('[2]For CSV - 2022 SpcFuncData'!$AN$5:$AN$89,MATCH($A196,'[2]For CSV - 2022 SpcFuncData'!$B$5:$B$89,0))</f>
        <v>360</v>
      </c>
      <c r="D196" s="374">
        <f t="shared" si="8"/>
        <v>12</v>
      </c>
      <c r="E196" s="374">
        <f t="shared" si="9"/>
        <v>3</v>
      </c>
      <c r="F196" s="376" t="str">
        <f t="shared" si="10"/>
        <v>2,              12,     "ExternalIlluminatedMirror"</v>
      </c>
    </row>
    <row r="197" spans="1:6" x14ac:dyDescent="0.2">
      <c r="A197" s="374" t="s">
        <v>969</v>
      </c>
      <c r="B197" s="382" t="s">
        <v>1011</v>
      </c>
      <c r="C197" s="374">
        <f>INDEX('[2]For CSV - 2022 SpcFuncData'!$AN$5:$AN$89,MATCH($A197,'[2]For CSV - 2022 SpcFuncData'!$B$5:$B$89,0))</f>
        <v>360</v>
      </c>
      <c r="D197" s="374">
        <f t="shared" si="8"/>
        <v>13</v>
      </c>
      <c r="E197" s="374">
        <f t="shared" si="9"/>
        <v>3</v>
      </c>
      <c r="F197" s="376" t="str">
        <f t="shared" si="10"/>
        <v>2,              13,     "InternalIlluminatedMirror"</v>
      </c>
    </row>
    <row r="198" spans="1:6" x14ac:dyDescent="0.2">
      <c r="A198" s="374" t="s">
        <v>537</v>
      </c>
      <c r="B198" s="382" t="s">
        <v>1093</v>
      </c>
      <c r="C198" s="374">
        <f>INDEX('[2]For CSV - 2022 SpcFuncData'!$AN$5:$AN$89,MATCH($A198,'[2]For CSV - 2022 SpcFuncData'!$B$5:$B$89,0))</f>
        <v>361</v>
      </c>
      <c r="D198" s="374">
        <f t="shared" si="8"/>
        <v>0</v>
      </c>
      <c r="E198" s="374">
        <f t="shared" si="9"/>
        <v>1</v>
      </c>
      <c r="F198" s="376" t="str">
        <f t="shared" si="10"/>
        <v>1,    IntLtgSys:IntLtgSpecMthd,   1,    0   ; AreaCategoryMethod</v>
      </c>
    </row>
    <row r="199" spans="1:6" x14ac:dyDescent="0.2">
      <c r="A199" s="374" t="s">
        <v>537</v>
      </c>
      <c r="B199" s="382" t="s">
        <v>1093</v>
      </c>
      <c r="C199" s="374">
        <f>INDEX('[2]For CSV - 2022 SpcFuncData'!$AN$5:$AN$89,MATCH($A199,'[2]For CSV - 2022 SpcFuncData'!$B$5:$B$89,0))</f>
        <v>361</v>
      </c>
      <c r="D199" s="374">
        <f t="shared" si="8"/>
        <v>0</v>
      </c>
      <c r="E199" s="374">
        <f t="shared" si="9"/>
        <v>2</v>
      </c>
      <c r="F199" s="376" t="str">
        <f t="shared" si="10"/>
        <v>1,    IntLtgSys:ParentSpcFunc,  361,    0   ; Religious Worship Area</v>
      </c>
    </row>
    <row r="200" spans="1:6" x14ac:dyDescent="0.2">
      <c r="A200" s="374" t="s">
        <v>537</v>
      </c>
      <c r="B200" s="382" t="s">
        <v>1093</v>
      </c>
      <c r="C200" s="374">
        <f>INDEX('[2]For CSV - 2022 SpcFuncData'!$AN$5:$AN$89,MATCH($A200,'[2]For CSV - 2022 SpcFuncData'!$B$5:$B$89,0))</f>
        <v>361</v>
      </c>
      <c r="D200" s="374">
        <f t="shared" ref="D200:D263" si="11">VLOOKUP(B200,$L$8:$M$23,2,0)</f>
        <v>0</v>
      </c>
      <c r="E200" s="374">
        <f t="shared" si="9"/>
        <v>3</v>
      </c>
      <c r="F200" s="376" t="str">
        <f t="shared" si="10"/>
        <v>2,              0,     "- none specified -"</v>
      </c>
    </row>
    <row r="201" spans="1:6" x14ac:dyDescent="0.2">
      <c r="A201" s="374" t="s">
        <v>537</v>
      </c>
      <c r="B201" s="382" t="s">
        <v>1076</v>
      </c>
      <c r="C201" s="374">
        <f>INDEX('[2]For CSV - 2022 SpcFuncData'!$AN$5:$AN$89,MATCH($A201,'[2]For CSV - 2022 SpcFuncData'!$B$5:$B$89,0))</f>
        <v>361</v>
      </c>
      <c r="D201" s="374">
        <f t="shared" si="11"/>
        <v>3</v>
      </c>
      <c r="E201" s="374">
        <f t="shared" ref="E201:E264" si="12">IF(A201&lt;&gt;A200,1,IF(A201&lt;&gt;A199,2,3))</f>
        <v>3</v>
      </c>
      <c r="F201" s="376" t="str">
        <f t="shared" ref="F201:F264" si="13">IF(E201=1,$F$3&amp;$G$3&amp;$D201&amp;$H$3,IF(E201=2,$F$4&amp;$C201&amp;$G$4&amp;$D201&amp;$H$4&amp;TEXT($A201,0),$F$5&amp;$D201&amp;$G$5&amp;$H$5&amp;$B201&amp;""""))</f>
        <v>2,              3,     "Decorative/Display"</v>
      </c>
    </row>
    <row r="202" spans="1:6" x14ac:dyDescent="0.2">
      <c r="A202" s="374" t="s">
        <v>834</v>
      </c>
      <c r="B202" s="382" t="s">
        <v>1093</v>
      </c>
      <c r="C202" s="374">
        <f>INDEX('[2]For CSV - 2022 SpcFuncData'!$AN$5:$AN$89,MATCH($A202,'[2]For CSV - 2022 SpcFuncData'!$B$5:$B$89,0))</f>
        <v>362</v>
      </c>
      <c r="D202" s="374">
        <f t="shared" si="11"/>
        <v>0</v>
      </c>
      <c r="E202" s="374">
        <f t="shared" si="12"/>
        <v>1</v>
      </c>
      <c r="F202" s="376" t="str">
        <f t="shared" si="13"/>
        <v>1,    IntLtgSys:IntLtgSpecMthd,   1,    0   ; AreaCategoryMethod</v>
      </c>
    </row>
    <row r="203" spans="1:6" x14ac:dyDescent="0.2">
      <c r="A203" s="374" t="s">
        <v>834</v>
      </c>
      <c r="B203" s="382" t="s">
        <v>1093</v>
      </c>
      <c r="C203" s="374">
        <f>INDEX('[2]For CSV - 2022 SpcFuncData'!$AN$5:$AN$89,MATCH($A203,'[2]For CSV - 2022 SpcFuncData'!$B$5:$B$89,0))</f>
        <v>362</v>
      </c>
      <c r="D203" s="374">
        <f t="shared" si="11"/>
        <v>0</v>
      </c>
      <c r="E203" s="374">
        <f t="shared" si="12"/>
        <v>2</v>
      </c>
      <c r="F203" s="376" t="str">
        <f t="shared" si="13"/>
        <v>1,    IntLtgSys:ParentSpcFunc,  362,    0   ; Restrooms</v>
      </c>
    </row>
    <row r="204" spans="1:6" x14ac:dyDescent="0.2">
      <c r="A204" s="374" t="s">
        <v>834</v>
      </c>
      <c r="B204" s="382" t="s">
        <v>1093</v>
      </c>
      <c r="C204" s="374">
        <f>INDEX('[2]For CSV - 2022 SpcFuncData'!$AN$5:$AN$89,MATCH($A204,'[2]For CSV - 2022 SpcFuncData'!$B$5:$B$89,0))</f>
        <v>362</v>
      </c>
      <c r="D204" s="374">
        <f t="shared" si="11"/>
        <v>0</v>
      </c>
      <c r="E204" s="374">
        <f t="shared" si="12"/>
        <v>3</v>
      </c>
      <c r="F204" s="376" t="str">
        <f t="shared" si="13"/>
        <v>2,              0,     "- none specified -"</v>
      </c>
    </row>
    <row r="205" spans="1:6" x14ac:dyDescent="0.2">
      <c r="A205" s="374" t="s">
        <v>834</v>
      </c>
      <c r="B205" s="382" t="s">
        <v>1076</v>
      </c>
      <c r="C205" s="374">
        <f>INDEX('[2]For CSV - 2022 SpcFuncData'!$AN$5:$AN$89,MATCH($A205,'[2]For CSV - 2022 SpcFuncData'!$B$5:$B$89,0))</f>
        <v>362</v>
      </c>
      <c r="D205" s="374">
        <f t="shared" si="11"/>
        <v>3</v>
      </c>
      <c r="E205" s="374">
        <f t="shared" si="12"/>
        <v>3</v>
      </c>
      <c r="F205" s="376" t="str">
        <f t="shared" si="13"/>
        <v>2,              3,     "Decorative/Display"</v>
      </c>
    </row>
    <row r="206" spans="1:6" x14ac:dyDescent="0.2">
      <c r="A206" s="374" t="s">
        <v>973</v>
      </c>
      <c r="B206" s="382" t="s">
        <v>1093</v>
      </c>
      <c r="C206" s="374">
        <f>INDEX('[2]For CSV - 2022 SpcFuncData'!$AN$5:$AN$89,MATCH($A206,'[2]For CSV - 2022 SpcFuncData'!$B$5:$B$89,0))</f>
        <v>363</v>
      </c>
      <c r="D206" s="374">
        <f t="shared" si="11"/>
        <v>0</v>
      </c>
      <c r="E206" s="374">
        <f t="shared" si="12"/>
        <v>1</v>
      </c>
      <c r="F206" s="376" t="str">
        <f t="shared" si="13"/>
        <v>1,    IntLtgSys:IntLtgSpecMthd,   1,    0   ; AreaCategoryMethod</v>
      </c>
    </row>
    <row r="207" spans="1:6" x14ac:dyDescent="0.2">
      <c r="A207" s="374" t="s">
        <v>973</v>
      </c>
      <c r="B207" s="382" t="s">
        <v>1093</v>
      </c>
      <c r="C207" s="374">
        <f>INDEX('[2]For CSV - 2022 SpcFuncData'!$AN$5:$AN$89,MATCH($A207,'[2]For CSV - 2022 SpcFuncData'!$B$5:$B$89,0))</f>
        <v>363</v>
      </c>
      <c r="D207" s="374">
        <f t="shared" si="11"/>
        <v>0</v>
      </c>
      <c r="E207" s="374">
        <f t="shared" si="12"/>
        <v>2</v>
      </c>
      <c r="F207" s="376" t="str">
        <f t="shared" si="13"/>
        <v>1,    IntLtgSys:ParentSpcFunc,  363,    0   ; Stairwell</v>
      </c>
    </row>
    <row r="208" spans="1:6" x14ac:dyDescent="0.2">
      <c r="A208" s="374" t="s">
        <v>973</v>
      </c>
      <c r="B208" s="382" t="s">
        <v>1093</v>
      </c>
      <c r="C208" s="374">
        <f>INDEX('[2]For CSV - 2022 SpcFuncData'!$AN$5:$AN$89,MATCH($A208,'[2]For CSV - 2022 SpcFuncData'!$B$5:$B$89,0))</f>
        <v>363</v>
      </c>
      <c r="D208" s="374">
        <f t="shared" si="11"/>
        <v>0</v>
      </c>
      <c r="E208" s="374">
        <f t="shared" si="12"/>
        <v>3</v>
      </c>
      <c r="F208" s="376" t="str">
        <f t="shared" si="13"/>
        <v>2,              0,     "- none specified -"</v>
      </c>
    </row>
    <row r="209" spans="1:6" x14ac:dyDescent="0.2">
      <c r="A209" s="374" t="s">
        <v>973</v>
      </c>
      <c r="B209" s="382" t="s">
        <v>1076</v>
      </c>
      <c r="C209" s="374">
        <f>INDEX('[2]For CSV - 2022 SpcFuncData'!$AN$5:$AN$89,MATCH($A209,'[2]For CSV - 2022 SpcFuncData'!$B$5:$B$89,0))</f>
        <v>363</v>
      </c>
      <c r="D209" s="374">
        <f t="shared" si="11"/>
        <v>3</v>
      </c>
      <c r="E209" s="374">
        <f t="shared" si="12"/>
        <v>3</v>
      </c>
      <c r="F209" s="376" t="str">
        <f t="shared" si="13"/>
        <v>2,              3,     "Decorative/Display"</v>
      </c>
    </row>
    <row r="210" spans="1:6" x14ac:dyDescent="0.2">
      <c r="A210" s="374" t="s">
        <v>974</v>
      </c>
      <c r="B210" s="382" t="s">
        <v>1093</v>
      </c>
      <c r="C210" s="374">
        <f>INDEX('[2]For CSV - 2022 SpcFuncData'!$AN$5:$AN$89,MATCH($A210,'[2]For CSV - 2022 SpcFuncData'!$B$5:$B$89,0))</f>
        <v>371</v>
      </c>
      <c r="D210" s="374">
        <f t="shared" si="11"/>
        <v>0</v>
      </c>
      <c r="E210" s="374">
        <f t="shared" si="12"/>
        <v>1</v>
      </c>
      <c r="F210" s="376" t="str">
        <f t="shared" si="13"/>
        <v>1,    IntLtgSys:IntLtgSpecMthd,   1,    0   ; AreaCategoryMethod</v>
      </c>
    </row>
    <row r="211" spans="1:6" x14ac:dyDescent="0.2">
      <c r="A211" s="374" t="s">
        <v>974</v>
      </c>
      <c r="B211" s="382" t="s">
        <v>1093</v>
      </c>
      <c r="C211" s="374">
        <f>INDEX('[2]For CSV - 2022 SpcFuncData'!$AN$5:$AN$89,MATCH($A211,'[2]For CSV - 2022 SpcFuncData'!$B$5:$B$89,0))</f>
        <v>371</v>
      </c>
      <c r="D211" s="374">
        <f t="shared" si="11"/>
        <v>0</v>
      </c>
      <c r="E211" s="374">
        <f t="shared" si="12"/>
        <v>2</v>
      </c>
      <c r="F211" s="376" t="str">
        <f t="shared" si="13"/>
        <v>1,    IntLtgSys:ParentSpcFunc,  371,    0   ; Theater Area (Motion Picture)</v>
      </c>
    </row>
    <row r="212" spans="1:6" x14ac:dyDescent="0.2">
      <c r="A212" s="374" t="s">
        <v>974</v>
      </c>
      <c r="B212" s="382" t="s">
        <v>1093</v>
      </c>
      <c r="C212" s="374">
        <f>INDEX('[2]For CSV - 2022 SpcFuncData'!$AN$5:$AN$89,MATCH($A212,'[2]For CSV - 2022 SpcFuncData'!$B$5:$B$89,0))</f>
        <v>371</v>
      </c>
      <c r="D212" s="374">
        <f t="shared" si="11"/>
        <v>0</v>
      </c>
      <c r="E212" s="374">
        <f t="shared" si="12"/>
        <v>3</v>
      </c>
      <c r="F212" s="376" t="str">
        <f t="shared" si="13"/>
        <v>2,              0,     "- none specified -"</v>
      </c>
    </row>
    <row r="213" spans="1:6" x14ac:dyDescent="0.2">
      <c r="A213" s="374" t="s">
        <v>974</v>
      </c>
      <c r="B213" s="382" t="s">
        <v>1076</v>
      </c>
      <c r="C213" s="374">
        <f>INDEX('[2]For CSV - 2022 SpcFuncData'!$AN$5:$AN$89,MATCH($A213,'[2]For CSV - 2022 SpcFuncData'!$B$5:$B$89,0))</f>
        <v>371</v>
      </c>
      <c r="D213" s="374">
        <f t="shared" si="11"/>
        <v>3</v>
      </c>
      <c r="E213" s="374">
        <f t="shared" si="12"/>
        <v>3</v>
      </c>
      <c r="F213" s="376" t="str">
        <f t="shared" si="13"/>
        <v>2,              3,     "Decorative/Display"</v>
      </c>
    </row>
    <row r="214" spans="1:6" x14ac:dyDescent="0.2">
      <c r="A214" s="374" t="s">
        <v>975</v>
      </c>
      <c r="B214" s="382" t="s">
        <v>1093</v>
      </c>
      <c r="C214" s="374">
        <f>INDEX('[2]For CSV - 2022 SpcFuncData'!$AN$5:$AN$89,MATCH($A214,'[2]For CSV - 2022 SpcFuncData'!$B$5:$B$89,0))</f>
        <v>372</v>
      </c>
      <c r="D214" s="374">
        <f t="shared" si="11"/>
        <v>0</v>
      </c>
      <c r="E214" s="374">
        <f t="shared" si="12"/>
        <v>1</v>
      </c>
      <c r="F214" s="376" t="str">
        <f t="shared" si="13"/>
        <v>1,    IntLtgSys:IntLtgSpecMthd,   1,    0   ; AreaCategoryMethod</v>
      </c>
    </row>
    <row r="215" spans="1:6" x14ac:dyDescent="0.2">
      <c r="A215" s="374" t="s">
        <v>975</v>
      </c>
      <c r="B215" s="382" t="s">
        <v>1093</v>
      </c>
      <c r="C215" s="374">
        <f>INDEX('[2]For CSV - 2022 SpcFuncData'!$AN$5:$AN$89,MATCH($A215,'[2]For CSV - 2022 SpcFuncData'!$B$5:$B$89,0))</f>
        <v>372</v>
      </c>
      <c r="D215" s="374">
        <f t="shared" si="11"/>
        <v>0</v>
      </c>
      <c r="E215" s="374">
        <f t="shared" si="12"/>
        <v>2</v>
      </c>
      <c r="F215" s="376" t="str">
        <f t="shared" si="13"/>
        <v>1,    IntLtgSys:ParentSpcFunc,  372,    0   ; Theater Area (Performance)</v>
      </c>
    </row>
    <row r="216" spans="1:6" x14ac:dyDescent="0.2">
      <c r="A216" s="374" t="s">
        <v>975</v>
      </c>
      <c r="B216" s="382" t="s">
        <v>1093</v>
      </c>
      <c r="C216" s="374">
        <f>INDEX('[2]For CSV - 2022 SpcFuncData'!$AN$5:$AN$89,MATCH($A216,'[2]For CSV - 2022 SpcFuncData'!$B$5:$B$89,0))</f>
        <v>372</v>
      </c>
      <c r="D216" s="374">
        <f t="shared" si="11"/>
        <v>0</v>
      </c>
      <c r="E216" s="374">
        <f t="shared" si="12"/>
        <v>3</v>
      </c>
      <c r="F216" s="376" t="str">
        <f t="shared" si="13"/>
        <v>2,              0,     "- none specified -"</v>
      </c>
    </row>
    <row r="217" spans="1:6" x14ac:dyDescent="0.2">
      <c r="A217" s="374" t="s">
        <v>975</v>
      </c>
      <c r="B217" s="382" t="s">
        <v>1076</v>
      </c>
      <c r="C217" s="374">
        <f>INDEX('[2]For CSV - 2022 SpcFuncData'!$AN$5:$AN$89,MATCH($A217,'[2]For CSV - 2022 SpcFuncData'!$B$5:$B$89,0))</f>
        <v>372</v>
      </c>
      <c r="D217" s="374">
        <f t="shared" si="11"/>
        <v>3</v>
      </c>
      <c r="E217" s="374">
        <f t="shared" si="12"/>
        <v>3</v>
      </c>
      <c r="F217" s="376" t="str">
        <f t="shared" si="13"/>
        <v>2,              3,     "Decorative/Display"</v>
      </c>
    </row>
    <row r="218" spans="1:6" x14ac:dyDescent="0.2">
      <c r="A218" s="374" t="s">
        <v>977</v>
      </c>
      <c r="B218" s="382" t="s">
        <v>1093</v>
      </c>
      <c r="C218" s="374">
        <f>INDEX('[2]For CSV - 2022 SpcFuncData'!$AN$5:$AN$89,MATCH($A218,'[2]For CSV - 2022 SpcFuncData'!$B$5:$B$89,0))</f>
        <v>374</v>
      </c>
      <c r="D218" s="374">
        <f t="shared" si="11"/>
        <v>0</v>
      </c>
      <c r="E218" s="374">
        <f t="shared" si="12"/>
        <v>1</v>
      </c>
      <c r="F218" s="376" t="str">
        <f t="shared" si="13"/>
        <v>1,    IntLtgSys:IntLtgSpecMthd,   1,    0   ; AreaCategoryMethod</v>
      </c>
    </row>
    <row r="219" spans="1:6" x14ac:dyDescent="0.2">
      <c r="A219" s="374" t="s">
        <v>977</v>
      </c>
      <c r="B219" s="382" t="s">
        <v>1093</v>
      </c>
      <c r="C219" s="374">
        <f>INDEX('[2]For CSV - 2022 SpcFuncData'!$AN$5:$AN$89,MATCH($A219,'[2]For CSV - 2022 SpcFuncData'!$B$5:$B$89,0))</f>
        <v>374</v>
      </c>
      <c r="D219" s="374">
        <f t="shared" si="11"/>
        <v>0</v>
      </c>
      <c r="E219" s="374">
        <f t="shared" si="12"/>
        <v>2</v>
      </c>
      <c r="F219" s="376" t="str">
        <f t="shared" si="13"/>
        <v>1,    IntLtgSys:ParentSpcFunc,  374,    0   ; Transportation Function (Ticketing Area)</v>
      </c>
    </row>
    <row r="220" spans="1:6" x14ac:dyDescent="0.2">
      <c r="A220" s="374" t="s">
        <v>977</v>
      </c>
      <c r="B220" s="382" t="s">
        <v>1093</v>
      </c>
      <c r="C220" s="374">
        <f>INDEX('[2]For CSV - 2022 SpcFuncData'!$AN$5:$AN$89,MATCH($A220,'[2]For CSV - 2022 SpcFuncData'!$B$5:$B$89,0))</f>
        <v>374</v>
      </c>
      <c r="D220" s="374">
        <f t="shared" si="11"/>
        <v>0</v>
      </c>
      <c r="E220" s="374">
        <f t="shared" si="12"/>
        <v>3</v>
      </c>
      <c r="F220" s="376" t="str">
        <f t="shared" si="13"/>
        <v>2,              0,     "- none specified -"</v>
      </c>
    </row>
    <row r="221" spans="1:6" x14ac:dyDescent="0.2">
      <c r="A221" s="374" t="s">
        <v>977</v>
      </c>
      <c r="B221" s="382" t="s">
        <v>1076</v>
      </c>
      <c r="C221" s="374">
        <f>INDEX('[2]For CSV - 2022 SpcFuncData'!$AN$5:$AN$89,MATCH($A221,'[2]For CSV - 2022 SpcFuncData'!$B$5:$B$89,0))</f>
        <v>374</v>
      </c>
      <c r="D221" s="374">
        <f t="shared" si="11"/>
        <v>3</v>
      </c>
      <c r="E221" s="374">
        <f t="shared" si="12"/>
        <v>3</v>
      </c>
      <c r="F221" s="376" t="str">
        <f t="shared" si="13"/>
        <v>2,              3,     "Decorative/Display"</v>
      </c>
    </row>
    <row r="222" spans="1:6" x14ac:dyDescent="0.2">
      <c r="A222" s="374" t="s">
        <v>668</v>
      </c>
      <c r="B222" s="382" t="s">
        <v>1093</v>
      </c>
      <c r="C222" s="374">
        <f>INDEX('[2]For CSV - 2022 SpcFuncData'!$AN$5:$AN$89,MATCH($A222,'[2]For CSV - 2022 SpcFuncData'!$B$5:$B$89,0))</f>
        <v>378</v>
      </c>
      <c r="D222" s="374">
        <f t="shared" si="11"/>
        <v>0</v>
      </c>
      <c r="E222" s="374">
        <f t="shared" si="12"/>
        <v>1</v>
      </c>
      <c r="F222" s="376" t="str">
        <f t="shared" si="13"/>
        <v>1,    IntLtgSys:IntLtgSpecMthd,   1,    0   ; AreaCategoryMethod</v>
      </c>
    </row>
    <row r="223" spans="1:6" x14ac:dyDescent="0.2">
      <c r="A223" s="374" t="str">
        <f t="shared" ref="A223:A286" si="14">A222</f>
        <v>Videoconferencing Studio</v>
      </c>
      <c r="B223" s="382" t="s">
        <v>1093</v>
      </c>
      <c r="C223" s="374">
        <f>INDEX('[2]For CSV - 2022 SpcFuncData'!$AN$5:$AN$89,MATCH($A223,'[2]For CSV - 2022 SpcFuncData'!$B$5:$B$89,0))</f>
        <v>378</v>
      </c>
      <c r="D223" s="374">
        <f t="shared" si="11"/>
        <v>0</v>
      </c>
      <c r="E223" s="374">
        <f t="shared" si="12"/>
        <v>2</v>
      </c>
      <c r="F223" s="376" t="str">
        <f t="shared" si="13"/>
        <v>1,    IntLtgSys:ParentSpcFunc,  378,    0   ; Videoconferencing Studio</v>
      </c>
    </row>
    <row r="224" spans="1:6" x14ac:dyDescent="0.2">
      <c r="A224" s="374" t="str">
        <f t="shared" si="14"/>
        <v>Videoconferencing Studio</v>
      </c>
      <c r="B224" s="382" t="s">
        <v>1093</v>
      </c>
      <c r="C224" s="374">
        <f>INDEX('[2]For CSV - 2022 SpcFuncData'!$AN$5:$AN$89,MATCH($A224,'[2]For CSV - 2022 SpcFuncData'!$B$5:$B$89,0))</f>
        <v>378</v>
      </c>
      <c r="D224" s="374">
        <f t="shared" si="11"/>
        <v>0</v>
      </c>
      <c r="E224" s="374">
        <f t="shared" si="12"/>
        <v>3</v>
      </c>
      <c r="F224" s="376" t="str">
        <f t="shared" si="13"/>
        <v>2,              0,     "- none specified -"</v>
      </c>
    </row>
    <row r="225" spans="1:6" x14ac:dyDescent="0.2">
      <c r="A225" s="374" t="str">
        <f t="shared" si="14"/>
        <v>Videoconferencing Studio</v>
      </c>
      <c r="B225" s="382" t="s">
        <v>432</v>
      </c>
      <c r="C225" s="374">
        <f>INDEX('[2]For CSV - 2022 SpcFuncData'!$AN$5:$AN$89,MATCH($A225,'[2]For CSV - 2022 SpcFuncData'!$B$5:$B$89,0))</f>
        <v>378</v>
      </c>
      <c r="D225" s="374">
        <f t="shared" si="11"/>
        <v>9</v>
      </c>
      <c r="E225" s="374">
        <f t="shared" si="12"/>
        <v>3</v>
      </c>
      <c r="F225" s="376" t="str">
        <f t="shared" si="13"/>
        <v>2,              9,     "VideoconferencingStudioLighting"</v>
      </c>
    </row>
    <row r="226" spans="1:6" x14ac:dyDescent="0.2">
      <c r="A226" s="374" t="str">
        <f t="shared" si="14"/>
        <v>Videoconferencing Studio</v>
      </c>
      <c r="B226" s="382" t="s">
        <v>1093</v>
      </c>
      <c r="C226" s="374">
        <f>INDEX('[2]For CSV - 2022 SpcFuncData'!$AN$5:$AN$89,MATCH($A226,'[2]For CSV - 2022 SpcFuncData'!$B$5:$B$89,0))</f>
        <v>378</v>
      </c>
      <c r="D226" s="374">
        <f t="shared" si="11"/>
        <v>0</v>
      </c>
      <c r="E226" s="374">
        <f t="shared" si="12"/>
        <v>3</v>
      </c>
      <c r="F226" s="376" t="str">
        <f t="shared" si="13"/>
        <v>2,              0,     "- none specified -"</v>
      </c>
    </row>
    <row r="227" spans="1:6" x14ac:dyDescent="0.2">
      <c r="A227" s="374" t="str">
        <f t="shared" si="14"/>
        <v>Videoconferencing Studio</v>
      </c>
      <c r="B227" s="382" t="s">
        <v>1093</v>
      </c>
      <c r="C227" s="374">
        <f>INDEX('[2]For CSV - 2022 SpcFuncData'!$AN$5:$AN$89,MATCH($A227,'[2]For CSV - 2022 SpcFuncData'!$B$5:$B$89,0))</f>
        <v>378</v>
      </c>
      <c r="D227" s="374">
        <f t="shared" si="11"/>
        <v>0</v>
      </c>
      <c r="E227" s="374">
        <f t="shared" si="12"/>
        <v>3</v>
      </c>
      <c r="F227" s="376" t="str">
        <f t="shared" si="13"/>
        <v>2,              0,     "- none specified -"</v>
      </c>
    </row>
    <row r="228" spans="1:6" x14ac:dyDescent="0.2">
      <c r="A228" s="374" t="str">
        <f t="shared" si="14"/>
        <v>Videoconferencing Studio</v>
      </c>
      <c r="B228" s="382" t="s">
        <v>1093</v>
      </c>
      <c r="C228" s="374">
        <f>INDEX('[2]For CSV - 2022 SpcFuncData'!$AN$5:$AN$89,MATCH($A228,'[2]For CSV - 2022 SpcFuncData'!$B$5:$B$89,0))</f>
        <v>378</v>
      </c>
      <c r="D228" s="374">
        <f t="shared" si="11"/>
        <v>0</v>
      </c>
      <c r="E228" s="374">
        <f t="shared" si="12"/>
        <v>3</v>
      </c>
      <c r="F228" s="376" t="str">
        <f t="shared" si="13"/>
        <v>2,              0,     "- none specified -"</v>
      </c>
    </row>
    <row r="229" spans="1:6" x14ac:dyDescent="0.2">
      <c r="A229" s="374" t="str">
        <f t="shared" si="14"/>
        <v>Videoconferencing Studio</v>
      </c>
      <c r="B229" s="382" t="s">
        <v>1093</v>
      </c>
      <c r="C229" s="374">
        <f>INDEX('[2]For CSV - 2022 SpcFuncData'!$AN$5:$AN$89,MATCH($A229,'[2]For CSV - 2022 SpcFuncData'!$B$5:$B$89,0))</f>
        <v>378</v>
      </c>
      <c r="D229" s="374">
        <f t="shared" si="11"/>
        <v>0</v>
      </c>
      <c r="E229" s="374">
        <f t="shared" si="12"/>
        <v>3</v>
      </c>
      <c r="F229" s="376" t="str">
        <f t="shared" si="13"/>
        <v>2,              0,     "- none specified -"</v>
      </c>
    </row>
    <row r="230" spans="1:6" x14ac:dyDescent="0.2">
      <c r="A230" s="374" t="str">
        <f t="shared" si="14"/>
        <v>Videoconferencing Studio</v>
      </c>
      <c r="B230" s="382" t="s">
        <v>1093</v>
      </c>
      <c r="C230" s="374">
        <f>INDEX('[2]For CSV - 2022 SpcFuncData'!$AN$5:$AN$89,MATCH($A230,'[2]For CSV - 2022 SpcFuncData'!$B$5:$B$89,0))</f>
        <v>378</v>
      </c>
      <c r="D230" s="374">
        <f t="shared" si="11"/>
        <v>0</v>
      </c>
      <c r="E230" s="374">
        <f t="shared" si="12"/>
        <v>3</v>
      </c>
      <c r="F230" s="376" t="str">
        <f t="shared" si="13"/>
        <v>2,              0,     "- none specified -"</v>
      </c>
    </row>
    <row r="231" spans="1:6" x14ac:dyDescent="0.2">
      <c r="A231" s="374" t="str">
        <f t="shared" si="14"/>
        <v>Videoconferencing Studio</v>
      </c>
      <c r="B231" s="382" t="s">
        <v>1093</v>
      </c>
      <c r="C231" s="374">
        <f>INDEX('[2]For CSV - 2022 SpcFuncData'!$AN$5:$AN$89,MATCH($A231,'[2]For CSV - 2022 SpcFuncData'!$B$5:$B$89,0))</f>
        <v>378</v>
      </c>
      <c r="D231" s="374">
        <f t="shared" si="11"/>
        <v>0</v>
      </c>
      <c r="E231" s="374">
        <f t="shared" si="12"/>
        <v>3</v>
      </c>
      <c r="F231" s="376" t="str">
        <f t="shared" si="13"/>
        <v>2,              0,     "- none specified -"</v>
      </c>
    </row>
    <row r="232" spans="1:6" x14ac:dyDescent="0.2">
      <c r="A232" s="374" t="str">
        <f t="shared" si="14"/>
        <v>Videoconferencing Studio</v>
      </c>
      <c r="B232" s="382" t="s">
        <v>1093</v>
      </c>
      <c r="C232" s="374">
        <f>INDEX('[2]For CSV - 2022 SpcFuncData'!$AN$5:$AN$89,MATCH($A232,'[2]For CSV - 2022 SpcFuncData'!$B$5:$B$89,0))</f>
        <v>378</v>
      </c>
      <c r="D232" s="374">
        <f t="shared" si="11"/>
        <v>0</v>
      </c>
      <c r="E232" s="374">
        <f t="shared" si="12"/>
        <v>3</v>
      </c>
      <c r="F232" s="376" t="str">
        <f t="shared" si="13"/>
        <v>2,              0,     "- none specified -"</v>
      </c>
    </row>
    <row r="233" spans="1:6" x14ac:dyDescent="0.2">
      <c r="A233" s="374" t="str">
        <f t="shared" si="14"/>
        <v>Videoconferencing Studio</v>
      </c>
      <c r="B233" s="382" t="s">
        <v>1093</v>
      </c>
      <c r="C233" s="374">
        <f>INDEX('[2]For CSV - 2022 SpcFuncData'!$AN$5:$AN$89,MATCH($A233,'[2]For CSV - 2022 SpcFuncData'!$B$5:$B$89,0))</f>
        <v>378</v>
      </c>
      <c r="D233" s="374">
        <f t="shared" si="11"/>
        <v>0</v>
      </c>
      <c r="E233" s="374">
        <f t="shared" si="12"/>
        <v>3</v>
      </c>
      <c r="F233" s="376" t="str">
        <f t="shared" si="13"/>
        <v>2,              0,     "- none specified -"</v>
      </c>
    </row>
    <row r="234" spans="1:6" x14ac:dyDescent="0.2">
      <c r="A234" s="374" t="str">
        <f t="shared" si="14"/>
        <v>Videoconferencing Studio</v>
      </c>
      <c r="B234" s="382" t="s">
        <v>1093</v>
      </c>
      <c r="C234" s="374">
        <f>INDEX('[2]For CSV - 2022 SpcFuncData'!$AN$5:$AN$89,MATCH($A234,'[2]For CSV - 2022 SpcFuncData'!$B$5:$B$89,0))</f>
        <v>378</v>
      </c>
      <c r="D234" s="374">
        <f t="shared" si="11"/>
        <v>0</v>
      </c>
      <c r="E234" s="374">
        <f t="shared" si="12"/>
        <v>3</v>
      </c>
      <c r="F234" s="376" t="str">
        <f t="shared" si="13"/>
        <v>2,              0,     "- none specified -"</v>
      </c>
    </row>
    <row r="235" spans="1:6" x14ac:dyDescent="0.2">
      <c r="A235" s="374" t="str">
        <f t="shared" si="14"/>
        <v>Videoconferencing Studio</v>
      </c>
      <c r="B235" s="382" t="s">
        <v>1093</v>
      </c>
      <c r="C235" s="374">
        <f>INDEX('[2]For CSV - 2022 SpcFuncData'!$AN$5:$AN$89,MATCH($A235,'[2]For CSV - 2022 SpcFuncData'!$B$5:$B$89,0))</f>
        <v>378</v>
      </c>
      <c r="D235" s="374">
        <f t="shared" si="11"/>
        <v>0</v>
      </c>
      <c r="E235" s="374">
        <f t="shared" si="12"/>
        <v>3</v>
      </c>
      <c r="F235" s="376" t="str">
        <f t="shared" si="13"/>
        <v>2,              0,     "- none specified -"</v>
      </c>
    </row>
    <row r="236" spans="1:6" x14ac:dyDescent="0.2">
      <c r="A236" s="374" t="str">
        <f t="shared" si="14"/>
        <v>Videoconferencing Studio</v>
      </c>
      <c r="B236" s="382" t="s">
        <v>1093</v>
      </c>
      <c r="C236" s="374">
        <f>INDEX('[2]For CSV - 2022 SpcFuncData'!$AN$5:$AN$89,MATCH($A236,'[2]For CSV - 2022 SpcFuncData'!$B$5:$B$89,0))</f>
        <v>378</v>
      </c>
      <c r="D236" s="374">
        <f t="shared" si="11"/>
        <v>0</v>
      </c>
      <c r="E236" s="374">
        <f t="shared" si="12"/>
        <v>3</v>
      </c>
      <c r="F236" s="376" t="str">
        <f t="shared" si="13"/>
        <v>2,              0,     "- none specified -"</v>
      </c>
    </row>
    <row r="237" spans="1:6" x14ac:dyDescent="0.2">
      <c r="A237" s="374" t="str">
        <f t="shared" si="14"/>
        <v>Videoconferencing Studio</v>
      </c>
      <c r="B237" s="382" t="s">
        <v>1093</v>
      </c>
      <c r="C237" s="374">
        <f>INDEX('[2]For CSV - 2022 SpcFuncData'!$AN$5:$AN$89,MATCH($A237,'[2]For CSV - 2022 SpcFuncData'!$B$5:$B$89,0))</f>
        <v>378</v>
      </c>
      <c r="D237" s="374">
        <f t="shared" si="11"/>
        <v>0</v>
      </c>
      <c r="E237" s="374">
        <f t="shared" si="12"/>
        <v>3</v>
      </c>
      <c r="F237" s="376" t="str">
        <f t="shared" si="13"/>
        <v>2,              0,     "- none specified -"</v>
      </c>
    </row>
    <row r="238" spans="1:6" x14ac:dyDescent="0.2">
      <c r="A238" s="374" t="str">
        <f t="shared" si="14"/>
        <v>Videoconferencing Studio</v>
      </c>
      <c r="B238" s="382" t="s">
        <v>1093</v>
      </c>
      <c r="C238" s="374">
        <f>INDEX('[2]For CSV - 2022 SpcFuncData'!$AN$5:$AN$89,MATCH($A238,'[2]For CSV - 2022 SpcFuncData'!$B$5:$B$89,0))</f>
        <v>378</v>
      </c>
      <c r="D238" s="374">
        <f t="shared" si="11"/>
        <v>0</v>
      </c>
      <c r="E238" s="374">
        <f t="shared" si="12"/>
        <v>3</v>
      </c>
      <c r="F238" s="376" t="str">
        <f t="shared" si="13"/>
        <v>2,              0,     "- none specified -"</v>
      </c>
    </row>
    <row r="239" spans="1:6" x14ac:dyDescent="0.2">
      <c r="A239" s="374" t="str">
        <f t="shared" si="14"/>
        <v>Videoconferencing Studio</v>
      </c>
      <c r="B239" s="382" t="s">
        <v>1093</v>
      </c>
      <c r="C239" s="374">
        <f>INDEX('[2]For CSV - 2022 SpcFuncData'!$AN$5:$AN$89,MATCH($A239,'[2]For CSV - 2022 SpcFuncData'!$B$5:$B$89,0))</f>
        <v>378</v>
      </c>
      <c r="D239" s="374">
        <f t="shared" si="11"/>
        <v>0</v>
      </c>
      <c r="E239" s="374">
        <f t="shared" si="12"/>
        <v>3</v>
      </c>
      <c r="F239" s="376" t="str">
        <f t="shared" si="13"/>
        <v>2,              0,     "- none specified -"</v>
      </c>
    </row>
    <row r="240" spans="1:6" x14ac:dyDescent="0.2">
      <c r="A240" s="374" t="str">
        <f t="shared" si="14"/>
        <v>Videoconferencing Studio</v>
      </c>
      <c r="B240" s="382" t="s">
        <v>1093</v>
      </c>
      <c r="C240" s="374">
        <f>INDEX('[2]For CSV - 2022 SpcFuncData'!$AN$5:$AN$89,MATCH($A240,'[2]For CSV - 2022 SpcFuncData'!$B$5:$B$89,0))</f>
        <v>378</v>
      </c>
      <c r="D240" s="374">
        <f t="shared" si="11"/>
        <v>0</v>
      </c>
      <c r="E240" s="374">
        <f t="shared" si="12"/>
        <v>3</v>
      </c>
      <c r="F240" s="376" t="str">
        <f t="shared" si="13"/>
        <v>2,              0,     "- none specified -"</v>
      </c>
    </row>
    <row r="241" spans="1:6" x14ac:dyDescent="0.2">
      <c r="A241" s="374" t="str">
        <f t="shared" si="14"/>
        <v>Videoconferencing Studio</v>
      </c>
      <c r="B241" s="382" t="s">
        <v>1093</v>
      </c>
      <c r="C241" s="374">
        <f>INDEX('[2]For CSV - 2022 SpcFuncData'!$AN$5:$AN$89,MATCH($A241,'[2]For CSV - 2022 SpcFuncData'!$B$5:$B$89,0))</f>
        <v>378</v>
      </c>
      <c r="D241" s="374">
        <f t="shared" si="11"/>
        <v>0</v>
      </c>
      <c r="E241" s="374">
        <f t="shared" si="12"/>
        <v>3</v>
      </c>
      <c r="F241" s="376" t="str">
        <f t="shared" si="13"/>
        <v>2,              0,     "- none specified -"</v>
      </c>
    </row>
    <row r="242" spans="1:6" x14ac:dyDescent="0.2">
      <c r="A242" s="374" t="str">
        <f t="shared" si="14"/>
        <v>Videoconferencing Studio</v>
      </c>
      <c r="B242" s="382" t="s">
        <v>1093</v>
      </c>
      <c r="C242" s="374">
        <f>INDEX('[2]For CSV - 2022 SpcFuncData'!$AN$5:$AN$89,MATCH($A242,'[2]For CSV - 2022 SpcFuncData'!$B$5:$B$89,0))</f>
        <v>378</v>
      </c>
      <c r="D242" s="374">
        <f t="shared" si="11"/>
        <v>0</v>
      </c>
      <c r="E242" s="374">
        <f t="shared" si="12"/>
        <v>3</v>
      </c>
      <c r="F242" s="376" t="str">
        <f t="shared" si="13"/>
        <v>2,              0,     "- none specified -"</v>
      </c>
    </row>
    <row r="243" spans="1:6" x14ac:dyDescent="0.2">
      <c r="A243" s="374" t="str">
        <f t="shared" si="14"/>
        <v>Videoconferencing Studio</v>
      </c>
      <c r="B243" s="382" t="s">
        <v>1093</v>
      </c>
      <c r="C243" s="374">
        <f>INDEX('[2]For CSV - 2022 SpcFuncData'!$AN$5:$AN$89,MATCH($A243,'[2]For CSV - 2022 SpcFuncData'!$B$5:$B$89,0))</f>
        <v>378</v>
      </c>
      <c r="D243" s="374">
        <f t="shared" si="11"/>
        <v>0</v>
      </c>
      <c r="E243" s="374">
        <f t="shared" si="12"/>
        <v>3</v>
      </c>
      <c r="F243" s="376" t="str">
        <f t="shared" si="13"/>
        <v>2,              0,     "- none specified -"</v>
      </c>
    </row>
    <row r="244" spans="1:6" x14ac:dyDescent="0.2">
      <c r="A244" s="374" t="str">
        <f t="shared" si="14"/>
        <v>Videoconferencing Studio</v>
      </c>
      <c r="B244" s="382" t="s">
        <v>1093</v>
      </c>
      <c r="C244" s="374">
        <f>INDEX('[2]For CSV - 2022 SpcFuncData'!$AN$5:$AN$89,MATCH($A244,'[2]For CSV - 2022 SpcFuncData'!$B$5:$B$89,0))</f>
        <v>378</v>
      </c>
      <c r="D244" s="374">
        <f t="shared" si="11"/>
        <v>0</v>
      </c>
      <c r="E244" s="374">
        <f t="shared" si="12"/>
        <v>3</v>
      </c>
      <c r="F244" s="376" t="str">
        <f t="shared" si="13"/>
        <v>2,              0,     "- none specified -"</v>
      </c>
    </row>
    <row r="245" spans="1:6" x14ac:dyDescent="0.2">
      <c r="A245" s="374" t="str">
        <f t="shared" si="14"/>
        <v>Videoconferencing Studio</v>
      </c>
      <c r="B245" s="382" t="s">
        <v>1093</v>
      </c>
      <c r="C245" s="374">
        <f>INDEX('[2]For CSV - 2022 SpcFuncData'!$AN$5:$AN$89,MATCH($A245,'[2]For CSV - 2022 SpcFuncData'!$B$5:$B$89,0))</f>
        <v>378</v>
      </c>
      <c r="D245" s="374">
        <f t="shared" si="11"/>
        <v>0</v>
      </c>
      <c r="E245" s="374">
        <f t="shared" si="12"/>
        <v>3</v>
      </c>
      <c r="F245" s="376" t="str">
        <f t="shared" si="13"/>
        <v>2,              0,     "- none specified -"</v>
      </c>
    </row>
    <row r="246" spans="1:6" x14ac:dyDescent="0.2">
      <c r="A246" s="374" t="str">
        <f t="shared" si="14"/>
        <v>Videoconferencing Studio</v>
      </c>
      <c r="B246" s="382" t="s">
        <v>1093</v>
      </c>
      <c r="C246" s="374">
        <f>INDEX('[2]For CSV - 2022 SpcFuncData'!$AN$5:$AN$89,MATCH($A246,'[2]For CSV - 2022 SpcFuncData'!$B$5:$B$89,0))</f>
        <v>378</v>
      </c>
      <c r="D246" s="374">
        <f t="shared" si="11"/>
        <v>0</v>
      </c>
      <c r="E246" s="374">
        <f t="shared" si="12"/>
        <v>3</v>
      </c>
      <c r="F246" s="376" t="str">
        <f t="shared" si="13"/>
        <v>2,              0,     "- none specified -"</v>
      </c>
    </row>
    <row r="247" spans="1:6" x14ac:dyDescent="0.2">
      <c r="A247" s="374" t="str">
        <f t="shared" si="14"/>
        <v>Videoconferencing Studio</v>
      </c>
      <c r="B247" s="382" t="s">
        <v>1093</v>
      </c>
      <c r="C247" s="374">
        <f>INDEX('[2]For CSV - 2022 SpcFuncData'!$AN$5:$AN$89,MATCH($A247,'[2]For CSV - 2022 SpcFuncData'!$B$5:$B$89,0))</f>
        <v>378</v>
      </c>
      <c r="D247" s="374">
        <f t="shared" si="11"/>
        <v>0</v>
      </c>
      <c r="E247" s="374">
        <f t="shared" si="12"/>
        <v>3</v>
      </c>
      <c r="F247" s="376" t="str">
        <f t="shared" si="13"/>
        <v>2,              0,     "- none specified -"</v>
      </c>
    </row>
    <row r="248" spans="1:6" x14ac:dyDescent="0.2">
      <c r="A248" s="374" t="str">
        <f t="shared" si="14"/>
        <v>Videoconferencing Studio</v>
      </c>
      <c r="B248" s="382" t="s">
        <v>1093</v>
      </c>
      <c r="C248" s="374">
        <f>INDEX('[2]For CSV - 2022 SpcFuncData'!$AN$5:$AN$89,MATCH($A248,'[2]For CSV - 2022 SpcFuncData'!$B$5:$B$89,0))</f>
        <v>378</v>
      </c>
      <c r="D248" s="374">
        <f t="shared" si="11"/>
        <v>0</v>
      </c>
      <c r="E248" s="374">
        <f t="shared" si="12"/>
        <v>3</v>
      </c>
      <c r="F248" s="376" t="str">
        <f t="shared" si="13"/>
        <v>2,              0,     "- none specified -"</v>
      </c>
    </row>
    <row r="249" spans="1:6" x14ac:dyDescent="0.2">
      <c r="A249" s="374" t="str">
        <f t="shared" si="14"/>
        <v>Videoconferencing Studio</v>
      </c>
      <c r="B249" s="382" t="s">
        <v>1093</v>
      </c>
      <c r="C249" s="374">
        <f>INDEX('[2]For CSV - 2022 SpcFuncData'!$AN$5:$AN$89,MATCH($A249,'[2]For CSV - 2022 SpcFuncData'!$B$5:$B$89,0))</f>
        <v>378</v>
      </c>
      <c r="D249" s="374">
        <f t="shared" si="11"/>
        <v>0</v>
      </c>
      <c r="E249" s="374">
        <f t="shared" si="12"/>
        <v>3</v>
      </c>
      <c r="F249" s="376" t="str">
        <f t="shared" si="13"/>
        <v>2,              0,     "- none specified -"</v>
      </c>
    </row>
    <row r="250" spans="1:6" x14ac:dyDescent="0.2">
      <c r="A250" s="374" t="str">
        <f t="shared" si="14"/>
        <v>Videoconferencing Studio</v>
      </c>
      <c r="B250" s="382" t="s">
        <v>1093</v>
      </c>
      <c r="C250" s="374">
        <f>INDEX('[2]For CSV - 2022 SpcFuncData'!$AN$5:$AN$89,MATCH($A250,'[2]For CSV - 2022 SpcFuncData'!$B$5:$B$89,0))</f>
        <v>378</v>
      </c>
      <c r="D250" s="374">
        <f t="shared" si="11"/>
        <v>0</v>
      </c>
      <c r="E250" s="374">
        <f t="shared" si="12"/>
        <v>3</v>
      </c>
      <c r="F250" s="376" t="str">
        <f t="shared" si="13"/>
        <v>2,              0,     "- none specified -"</v>
      </c>
    </row>
    <row r="251" spans="1:6" x14ac:dyDescent="0.2">
      <c r="A251" s="374" t="str">
        <f t="shared" si="14"/>
        <v>Videoconferencing Studio</v>
      </c>
      <c r="B251" s="382" t="s">
        <v>1093</v>
      </c>
      <c r="C251" s="374">
        <f>INDEX('[2]For CSV - 2022 SpcFuncData'!$AN$5:$AN$89,MATCH($A251,'[2]For CSV - 2022 SpcFuncData'!$B$5:$B$89,0))</f>
        <v>378</v>
      </c>
      <c r="D251" s="374">
        <f t="shared" si="11"/>
        <v>0</v>
      </c>
      <c r="E251" s="374">
        <f t="shared" si="12"/>
        <v>3</v>
      </c>
      <c r="F251" s="376" t="str">
        <f t="shared" si="13"/>
        <v>2,              0,     "- none specified -"</v>
      </c>
    </row>
    <row r="252" spans="1:6" x14ac:dyDescent="0.2">
      <c r="A252" s="374" t="str">
        <f t="shared" si="14"/>
        <v>Videoconferencing Studio</v>
      </c>
      <c r="B252" s="382" t="s">
        <v>1093</v>
      </c>
      <c r="C252" s="374">
        <f>INDEX('[2]For CSV - 2022 SpcFuncData'!$AN$5:$AN$89,MATCH($A252,'[2]For CSV - 2022 SpcFuncData'!$B$5:$B$89,0))</f>
        <v>378</v>
      </c>
      <c r="D252" s="374">
        <f t="shared" si="11"/>
        <v>0</v>
      </c>
      <c r="E252" s="374">
        <f t="shared" si="12"/>
        <v>3</v>
      </c>
      <c r="F252" s="376" t="str">
        <f t="shared" si="13"/>
        <v>2,              0,     "- none specified -"</v>
      </c>
    </row>
    <row r="253" spans="1:6" x14ac:dyDescent="0.2">
      <c r="A253" s="374" t="str">
        <f t="shared" si="14"/>
        <v>Videoconferencing Studio</v>
      </c>
      <c r="B253" s="382" t="s">
        <v>1093</v>
      </c>
      <c r="C253" s="374">
        <f>INDEX('[2]For CSV - 2022 SpcFuncData'!$AN$5:$AN$89,MATCH($A253,'[2]For CSV - 2022 SpcFuncData'!$B$5:$B$89,0))</f>
        <v>378</v>
      </c>
      <c r="D253" s="374">
        <f t="shared" si="11"/>
        <v>0</v>
      </c>
      <c r="E253" s="374">
        <f t="shared" si="12"/>
        <v>3</v>
      </c>
      <c r="F253" s="376" t="str">
        <f t="shared" si="13"/>
        <v>2,              0,     "- none specified -"</v>
      </c>
    </row>
    <row r="254" spans="1:6" x14ac:dyDescent="0.2">
      <c r="A254" s="374" t="str">
        <f t="shared" si="14"/>
        <v>Videoconferencing Studio</v>
      </c>
      <c r="B254" s="382" t="s">
        <v>1093</v>
      </c>
      <c r="C254" s="374">
        <f>INDEX('[2]For CSV - 2022 SpcFuncData'!$AN$5:$AN$89,MATCH($A254,'[2]For CSV - 2022 SpcFuncData'!$B$5:$B$89,0))</f>
        <v>378</v>
      </c>
      <c r="D254" s="374">
        <f t="shared" si="11"/>
        <v>0</v>
      </c>
      <c r="E254" s="374">
        <f t="shared" si="12"/>
        <v>3</v>
      </c>
      <c r="F254" s="376" t="str">
        <f t="shared" si="13"/>
        <v>2,              0,     "- none specified -"</v>
      </c>
    </row>
    <row r="255" spans="1:6" x14ac:dyDescent="0.2">
      <c r="A255" s="374" t="str">
        <f t="shared" si="14"/>
        <v>Videoconferencing Studio</v>
      </c>
      <c r="B255" s="382" t="s">
        <v>1093</v>
      </c>
      <c r="C255" s="374">
        <f>INDEX('[2]For CSV - 2022 SpcFuncData'!$AN$5:$AN$89,MATCH($A255,'[2]For CSV - 2022 SpcFuncData'!$B$5:$B$89,0))</f>
        <v>378</v>
      </c>
      <c r="D255" s="374">
        <f t="shared" si="11"/>
        <v>0</v>
      </c>
      <c r="E255" s="374">
        <f t="shared" si="12"/>
        <v>3</v>
      </c>
      <c r="F255" s="376" t="str">
        <f t="shared" si="13"/>
        <v>2,              0,     "- none specified -"</v>
      </c>
    </row>
    <row r="256" spans="1:6" x14ac:dyDescent="0.2">
      <c r="A256" s="374" t="str">
        <f t="shared" si="14"/>
        <v>Videoconferencing Studio</v>
      </c>
      <c r="B256" s="382" t="s">
        <v>1093</v>
      </c>
      <c r="C256" s="374">
        <f>INDEX('[2]For CSV - 2022 SpcFuncData'!$AN$5:$AN$89,MATCH($A256,'[2]For CSV - 2022 SpcFuncData'!$B$5:$B$89,0))</f>
        <v>378</v>
      </c>
      <c r="D256" s="374">
        <f t="shared" si="11"/>
        <v>0</v>
      </c>
      <c r="E256" s="374">
        <f t="shared" si="12"/>
        <v>3</v>
      </c>
      <c r="F256" s="376" t="str">
        <f t="shared" si="13"/>
        <v>2,              0,     "- none specified -"</v>
      </c>
    </row>
    <row r="257" spans="1:6" x14ac:dyDescent="0.2">
      <c r="A257" s="374" t="str">
        <f t="shared" si="14"/>
        <v>Videoconferencing Studio</v>
      </c>
      <c r="B257" s="382" t="s">
        <v>1093</v>
      </c>
      <c r="C257" s="374">
        <f>INDEX('[2]For CSV - 2022 SpcFuncData'!$AN$5:$AN$89,MATCH($A257,'[2]For CSV - 2022 SpcFuncData'!$B$5:$B$89,0))</f>
        <v>378</v>
      </c>
      <c r="D257" s="374">
        <f t="shared" si="11"/>
        <v>0</v>
      </c>
      <c r="E257" s="374">
        <f t="shared" si="12"/>
        <v>3</v>
      </c>
      <c r="F257" s="376" t="str">
        <f t="shared" si="13"/>
        <v>2,              0,     "- none specified -"</v>
      </c>
    </row>
    <row r="258" spans="1:6" x14ac:dyDescent="0.2">
      <c r="A258" s="374" t="str">
        <f t="shared" si="14"/>
        <v>Videoconferencing Studio</v>
      </c>
      <c r="B258" s="382" t="s">
        <v>1093</v>
      </c>
      <c r="C258" s="374">
        <f>INDEX('[2]For CSV - 2022 SpcFuncData'!$AN$5:$AN$89,MATCH($A258,'[2]For CSV - 2022 SpcFuncData'!$B$5:$B$89,0))</f>
        <v>378</v>
      </c>
      <c r="D258" s="374">
        <f t="shared" si="11"/>
        <v>0</v>
      </c>
      <c r="E258" s="374">
        <f t="shared" si="12"/>
        <v>3</v>
      </c>
      <c r="F258" s="376" t="str">
        <f t="shared" si="13"/>
        <v>2,              0,     "- none specified -"</v>
      </c>
    </row>
    <row r="259" spans="1:6" x14ac:dyDescent="0.2">
      <c r="A259" s="374" t="str">
        <f t="shared" si="14"/>
        <v>Videoconferencing Studio</v>
      </c>
      <c r="B259" s="382" t="s">
        <v>1093</v>
      </c>
      <c r="C259" s="374">
        <f>INDEX('[2]For CSV - 2022 SpcFuncData'!$AN$5:$AN$89,MATCH($A259,'[2]For CSV - 2022 SpcFuncData'!$B$5:$B$89,0))</f>
        <v>378</v>
      </c>
      <c r="D259" s="374">
        <f t="shared" si="11"/>
        <v>0</v>
      </c>
      <c r="E259" s="374">
        <f t="shared" si="12"/>
        <v>3</v>
      </c>
      <c r="F259" s="376" t="str">
        <f t="shared" si="13"/>
        <v>2,              0,     "- none specified -"</v>
      </c>
    </row>
    <row r="260" spans="1:6" x14ac:dyDescent="0.2">
      <c r="A260" s="374" t="str">
        <f t="shared" si="14"/>
        <v>Videoconferencing Studio</v>
      </c>
      <c r="B260" s="382" t="s">
        <v>1093</v>
      </c>
      <c r="C260" s="374">
        <f>INDEX('[2]For CSV - 2022 SpcFuncData'!$AN$5:$AN$89,MATCH($A260,'[2]For CSV - 2022 SpcFuncData'!$B$5:$B$89,0))</f>
        <v>378</v>
      </c>
      <c r="D260" s="374">
        <f t="shared" si="11"/>
        <v>0</v>
      </c>
      <c r="E260" s="374">
        <f t="shared" si="12"/>
        <v>3</v>
      </c>
      <c r="F260" s="376" t="str">
        <f t="shared" si="13"/>
        <v>2,              0,     "- none specified -"</v>
      </c>
    </row>
    <row r="261" spans="1:6" x14ac:dyDescent="0.2">
      <c r="A261" s="374" t="str">
        <f t="shared" si="14"/>
        <v>Videoconferencing Studio</v>
      </c>
      <c r="B261" s="382" t="s">
        <v>1093</v>
      </c>
      <c r="C261" s="374">
        <f>INDEX('[2]For CSV - 2022 SpcFuncData'!$AN$5:$AN$89,MATCH($A261,'[2]For CSV - 2022 SpcFuncData'!$B$5:$B$89,0))</f>
        <v>378</v>
      </c>
      <c r="D261" s="374">
        <f t="shared" si="11"/>
        <v>0</v>
      </c>
      <c r="E261" s="374">
        <f t="shared" si="12"/>
        <v>3</v>
      </c>
      <c r="F261" s="376" t="str">
        <f t="shared" si="13"/>
        <v>2,              0,     "- none specified -"</v>
      </c>
    </row>
    <row r="262" spans="1:6" x14ac:dyDescent="0.2">
      <c r="A262" s="374" t="str">
        <f t="shared" si="14"/>
        <v>Videoconferencing Studio</v>
      </c>
      <c r="B262" s="382" t="s">
        <v>1093</v>
      </c>
      <c r="C262" s="374">
        <f>INDEX('[2]For CSV - 2022 SpcFuncData'!$AN$5:$AN$89,MATCH($A262,'[2]For CSV - 2022 SpcFuncData'!$B$5:$B$89,0))</f>
        <v>378</v>
      </c>
      <c r="D262" s="374">
        <f t="shared" si="11"/>
        <v>0</v>
      </c>
      <c r="E262" s="374">
        <f t="shared" si="12"/>
        <v>3</v>
      </c>
      <c r="F262" s="376" t="str">
        <f t="shared" si="13"/>
        <v>2,              0,     "- none specified -"</v>
      </c>
    </row>
    <row r="263" spans="1:6" x14ac:dyDescent="0.2">
      <c r="A263" s="374" t="str">
        <f t="shared" si="14"/>
        <v>Videoconferencing Studio</v>
      </c>
      <c r="B263" s="382" t="s">
        <v>1093</v>
      </c>
      <c r="C263" s="374">
        <f>INDEX('[2]For CSV - 2022 SpcFuncData'!$AN$5:$AN$89,MATCH($A263,'[2]For CSV - 2022 SpcFuncData'!$B$5:$B$89,0))</f>
        <v>378</v>
      </c>
      <c r="D263" s="374">
        <f t="shared" si="11"/>
        <v>0</v>
      </c>
      <c r="E263" s="374">
        <f t="shared" si="12"/>
        <v>3</v>
      </c>
      <c r="F263" s="376" t="str">
        <f t="shared" si="13"/>
        <v>2,              0,     "- none specified -"</v>
      </c>
    </row>
    <row r="264" spans="1:6" x14ac:dyDescent="0.2">
      <c r="A264" s="374" t="str">
        <f t="shared" si="14"/>
        <v>Videoconferencing Studio</v>
      </c>
      <c r="B264" s="382" t="s">
        <v>1093</v>
      </c>
      <c r="C264" s="374">
        <f>INDEX('[2]For CSV - 2022 SpcFuncData'!$AN$5:$AN$89,MATCH($A264,'[2]For CSV - 2022 SpcFuncData'!$B$5:$B$89,0))</f>
        <v>378</v>
      </c>
      <c r="D264" s="374">
        <f t="shared" ref="D264:D329" si="15">VLOOKUP(B264,$L$8:$M$23,2,0)</f>
        <v>0</v>
      </c>
      <c r="E264" s="374">
        <f t="shared" si="12"/>
        <v>3</v>
      </c>
      <c r="F264" s="376" t="str">
        <f t="shared" si="13"/>
        <v>2,              0,     "- none specified -"</v>
      </c>
    </row>
    <row r="265" spans="1:6" x14ac:dyDescent="0.2">
      <c r="A265" s="374" t="str">
        <f t="shared" si="14"/>
        <v>Videoconferencing Studio</v>
      </c>
      <c r="B265" s="382" t="s">
        <v>1093</v>
      </c>
      <c r="C265" s="374">
        <f>INDEX('[2]For CSV - 2022 SpcFuncData'!$AN$5:$AN$89,MATCH($A265,'[2]For CSV - 2022 SpcFuncData'!$B$5:$B$89,0))</f>
        <v>378</v>
      </c>
      <c r="D265" s="374">
        <f t="shared" si="15"/>
        <v>0</v>
      </c>
      <c r="E265" s="374">
        <f t="shared" ref="E265:E328" si="16">IF(A265&lt;&gt;A264,1,IF(A265&lt;&gt;A263,2,3))</f>
        <v>3</v>
      </c>
      <c r="F265" s="376" t="str">
        <f t="shared" ref="F265:F328" si="17">IF(E265=1,$F$3&amp;$G$3&amp;$D265&amp;$H$3,IF(E265=2,$F$4&amp;$C265&amp;$G$4&amp;$D265&amp;$H$4&amp;TEXT($A265,0),$F$5&amp;$D265&amp;$G$5&amp;$H$5&amp;$B265&amp;""""))</f>
        <v>2,              0,     "- none specified -"</v>
      </c>
    </row>
    <row r="266" spans="1:6" x14ac:dyDescent="0.2">
      <c r="A266" s="374" t="str">
        <f t="shared" si="14"/>
        <v>Videoconferencing Studio</v>
      </c>
      <c r="B266" s="382" t="s">
        <v>1093</v>
      </c>
      <c r="C266" s="374">
        <f>INDEX('[2]For CSV - 2022 SpcFuncData'!$AN$5:$AN$89,MATCH($A266,'[2]For CSV - 2022 SpcFuncData'!$B$5:$B$89,0))</f>
        <v>378</v>
      </c>
      <c r="D266" s="374">
        <f t="shared" si="15"/>
        <v>0</v>
      </c>
      <c r="E266" s="374">
        <f t="shared" si="16"/>
        <v>3</v>
      </c>
      <c r="F266" s="376" t="str">
        <f t="shared" si="17"/>
        <v>2,              0,     "- none specified -"</v>
      </c>
    </row>
    <row r="267" spans="1:6" x14ac:dyDescent="0.2">
      <c r="A267" s="374" t="str">
        <f t="shared" si="14"/>
        <v>Videoconferencing Studio</v>
      </c>
      <c r="B267" s="382" t="s">
        <v>1093</v>
      </c>
      <c r="C267" s="374">
        <f>INDEX('[2]For CSV - 2022 SpcFuncData'!$AN$5:$AN$89,MATCH($A267,'[2]For CSV - 2022 SpcFuncData'!$B$5:$B$89,0))</f>
        <v>378</v>
      </c>
      <c r="D267" s="374">
        <f t="shared" si="15"/>
        <v>0</v>
      </c>
      <c r="E267" s="374">
        <f t="shared" si="16"/>
        <v>3</v>
      </c>
      <c r="F267" s="376" t="str">
        <f t="shared" si="17"/>
        <v>2,              0,     "- none specified -"</v>
      </c>
    </row>
    <row r="268" spans="1:6" x14ac:dyDescent="0.2">
      <c r="A268" s="374" t="str">
        <f t="shared" si="14"/>
        <v>Videoconferencing Studio</v>
      </c>
      <c r="B268" s="382" t="s">
        <v>1093</v>
      </c>
      <c r="C268" s="374">
        <f>INDEX('[2]For CSV - 2022 SpcFuncData'!$AN$5:$AN$89,MATCH($A268,'[2]For CSV - 2022 SpcFuncData'!$B$5:$B$89,0))</f>
        <v>378</v>
      </c>
      <c r="D268" s="374">
        <f t="shared" si="15"/>
        <v>0</v>
      </c>
      <c r="E268" s="374">
        <f t="shared" si="16"/>
        <v>3</v>
      </c>
      <c r="F268" s="376" t="str">
        <f t="shared" si="17"/>
        <v>2,              0,     "- none specified -"</v>
      </c>
    </row>
    <row r="269" spans="1:6" x14ac:dyDescent="0.2">
      <c r="A269" s="374" t="str">
        <f t="shared" si="14"/>
        <v>Videoconferencing Studio</v>
      </c>
      <c r="B269" s="382" t="s">
        <v>1093</v>
      </c>
      <c r="C269" s="374">
        <f>INDEX('[2]For CSV - 2022 SpcFuncData'!$AN$5:$AN$89,MATCH($A269,'[2]For CSV - 2022 SpcFuncData'!$B$5:$B$89,0))</f>
        <v>378</v>
      </c>
      <c r="D269" s="374">
        <f t="shared" si="15"/>
        <v>0</v>
      </c>
      <c r="E269" s="374">
        <f t="shared" si="16"/>
        <v>3</v>
      </c>
      <c r="F269" s="376" t="str">
        <f t="shared" si="17"/>
        <v>2,              0,     "- none specified -"</v>
      </c>
    </row>
    <row r="270" spans="1:6" x14ac:dyDescent="0.2">
      <c r="A270" s="374" t="str">
        <f t="shared" si="14"/>
        <v>Videoconferencing Studio</v>
      </c>
      <c r="B270" s="382" t="s">
        <v>1093</v>
      </c>
      <c r="C270" s="374">
        <f>INDEX('[2]For CSV - 2022 SpcFuncData'!$AN$5:$AN$89,MATCH($A270,'[2]For CSV - 2022 SpcFuncData'!$B$5:$B$89,0))</f>
        <v>378</v>
      </c>
      <c r="D270" s="374">
        <f t="shared" si="15"/>
        <v>0</v>
      </c>
      <c r="E270" s="374">
        <f t="shared" si="16"/>
        <v>3</v>
      </c>
      <c r="F270" s="376" t="str">
        <f t="shared" si="17"/>
        <v>2,              0,     "- none specified -"</v>
      </c>
    </row>
    <row r="271" spans="1:6" x14ac:dyDescent="0.2">
      <c r="A271" s="374" t="str">
        <f t="shared" si="14"/>
        <v>Videoconferencing Studio</v>
      </c>
      <c r="B271" s="382" t="s">
        <v>1093</v>
      </c>
      <c r="C271" s="374">
        <f>INDEX('[2]For CSV - 2022 SpcFuncData'!$AN$5:$AN$89,MATCH($A271,'[2]For CSV - 2022 SpcFuncData'!$B$5:$B$89,0))</f>
        <v>378</v>
      </c>
      <c r="D271" s="374">
        <f t="shared" si="15"/>
        <v>0</v>
      </c>
      <c r="E271" s="374">
        <f t="shared" si="16"/>
        <v>3</v>
      </c>
      <c r="F271" s="376" t="str">
        <f t="shared" si="17"/>
        <v>2,              0,     "- none specified -"</v>
      </c>
    </row>
    <row r="272" spans="1:6" x14ac:dyDescent="0.2">
      <c r="A272" s="374" t="str">
        <f t="shared" si="14"/>
        <v>Videoconferencing Studio</v>
      </c>
      <c r="B272" s="382" t="s">
        <v>1093</v>
      </c>
      <c r="C272" s="374">
        <f>INDEX('[2]For CSV - 2022 SpcFuncData'!$AN$5:$AN$89,MATCH($A272,'[2]For CSV - 2022 SpcFuncData'!$B$5:$B$89,0))</f>
        <v>378</v>
      </c>
      <c r="D272" s="374">
        <f t="shared" si="15"/>
        <v>0</v>
      </c>
      <c r="E272" s="374">
        <f t="shared" si="16"/>
        <v>3</v>
      </c>
      <c r="F272" s="376" t="str">
        <f t="shared" si="17"/>
        <v>2,              0,     "- none specified -"</v>
      </c>
    </row>
    <row r="273" spans="1:6" x14ac:dyDescent="0.2">
      <c r="A273" s="374" t="str">
        <f t="shared" si="14"/>
        <v>Videoconferencing Studio</v>
      </c>
      <c r="B273" s="382" t="s">
        <v>1093</v>
      </c>
      <c r="C273" s="374">
        <f>INDEX('[2]For CSV - 2022 SpcFuncData'!$AN$5:$AN$89,MATCH($A273,'[2]For CSV - 2022 SpcFuncData'!$B$5:$B$89,0))</f>
        <v>378</v>
      </c>
      <c r="D273" s="374">
        <f t="shared" si="15"/>
        <v>0</v>
      </c>
      <c r="E273" s="374">
        <f t="shared" si="16"/>
        <v>3</v>
      </c>
      <c r="F273" s="376" t="str">
        <f t="shared" si="17"/>
        <v>2,              0,     "- none specified -"</v>
      </c>
    </row>
    <row r="274" spans="1:6" x14ac:dyDescent="0.2">
      <c r="A274" s="374" t="str">
        <f t="shared" si="14"/>
        <v>Videoconferencing Studio</v>
      </c>
      <c r="B274" s="382" t="s">
        <v>1093</v>
      </c>
      <c r="C274" s="374">
        <f>INDEX('[2]For CSV - 2022 SpcFuncData'!$AN$5:$AN$89,MATCH($A274,'[2]For CSV - 2022 SpcFuncData'!$B$5:$B$89,0))</f>
        <v>378</v>
      </c>
      <c r="D274" s="374">
        <f t="shared" si="15"/>
        <v>0</v>
      </c>
      <c r="E274" s="374">
        <f t="shared" si="16"/>
        <v>3</v>
      </c>
      <c r="F274" s="376" t="str">
        <f t="shared" si="17"/>
        <v>2,              0,     "- none specified -"</v>
      </c>
    </row>
    <row r="275" spans="1:6" x14ac:dyDescent="0.2">
      <c r="A275" s="374" t="str">
        <f t="shared" si="14"/>
        <v>Videoconferencing Studio</v>
      </c>
      <c r="B275" s="382" t="s">
        <v>1093</v>
      </c>
      <c r="C275" s="374">
        <f>INDEX('[2]For CSV - 2022 SpcFuncData'!$AN$5:$AN$89,MATCH($A275,'[2]For CSV - 2022 SpcFuncData'!$B$5:$B$89,0))</f>
        <v>378</v>
      </c>
      <c r="D275" s="374">
        <f t="shared" si="15"/>
        <v>0</v>
      </c>
      <c r="E275" s="374">
        <f t="shared" si="16"/>
        <v>3</v>
      </c>
      <c r="F275" s="376" t="str">
        <f t="shared" si="17"/>
        <v>2,              0,     "- none specified -"</v>
      </c>
    </row>
    <row r="276" spans="1:6" x14ac:dyDescent="0.2">
      <c r="A276" s="374" t="str">
        <f t="shared" si="14"/>
        <v>Videoconferencing Studio</v>
      </c>
      <c r="B276" s="382" t="s">
        <v>1093</v>
      </c>
      <c r="C276" s="374">
        <f>INDEX('[2]For CSV - 2022 SpcFuncData'!$AN$5:$AN$89,MATCH($A276,'[2]For CSV - 2022 SpcFuncData'!$B$5:$B$89,0))</f>
        <v>378</v>
      </c>
      <c r="D276" s="374">
        <f t="shared" si="15"/>
        <v>0</v>
      </c>
      <c r="E276" s="374">
        <f t="shared" si="16"/>
        <v>3</v>
      </c>
      <c r="F276" s="376" t="str">
        <f t="shared" si="17"/>
        <v>2,              0,     "- none specified -"</v>
      </c>
    </row>
    <row r="277" spans="1:6" x14ac:dyDescent="0.2">
      <c r="A277" s="374" t="str">
        <f t="shared" si="14"/>
        <v>Videoconferencing Studio</v>
      </c>
      <c r="B277" s="382" t="s">
        <v>1093</v>
      </c>
      <c r="C277" s="374">
        <f>INDEX('[2]For CSV - 2022 SpcFuncData'!$AN$5:$AN$89,MATCH($A277,'[2]For CSV - 2022 SpcFuncData'!$B$5:$B$89,0))</f>
        <v>378</v>
      </c>
      <c r="D277" s="374">
        <f t="shared" si="15"/>
        <v>0</v>
      </c>
      <c r="E277" s="374">
        <f t="shared" si="16"/>
        <v>3</v>
      </c>
      <c r="F277" s="376" t="str">
        <f t="shared" si="17"/>
        <v>2,              0,     "- none specified -"</v>
      </c>
    </row>
    <row r="278" spans="1:6" x14ac:dyDescent="0.2">
      <c r="A278" s="374" t="str">
        <f t="shared" si="14"/>
        <v>Videoconferencing Studio</v>
      </c>
      <c r="B278" s="382" t="s">
        <v>1093</v>
      </c>
      <c r="C278" s="374">
        <f>INDEX('[2]For CSV - 2022 SpcFuncData'!$AN$5:$AN$89,MATCH($A278,'[2]For CSV - 2022 SpcFuncData'!$B$5:$B$89,0))</f>
        <v>378</v>
      </c>
      <c r="D278" s="374">
        <f t="shared" si="15"/>
        <v>0</v>
      </c>
      <c r="E278" s="374">
        <f t="shared" si="16"/>
        <v>3</v>
      </c>
      <c r="F278" s="376" t="str">
        <f t="shared" si="17"/>
        <v>2,              0,     "- none specified -"</v>
      </c>
    </row>
    <row r="279" spans="1:6" x14ac:dyDescent="0.2">
      <c r="A279" s="374" t="str">
        <f t="shared" si="14"/>
        <v>Videoconferencing Studio</v>
      </c>
      <c r="B279" s="382" t="s">
        <v>1093</v>
      </c>
      <c r="C279" s="374">
        <f>INDEX('[2]For CSV - 2022 SpcFuncData'!$AN$5:$AN$89,MATCH($A279,'[2]For CSV - 2022 SpcFuncData'!$B$5:$B$89,0))</f>
        <v>378</v>
      </c>
      <c r="D279" s="374">
        <f t="shared" si="15"/>
        <v>0</v>
      </c>
      <c r="E279" s="374">
        <f t="shared" si="16"/>
        <v>3</v>
      </c>
      <c r="F279" s="376" t="str">
        <f t="shared" si="17"/>
        <v>2,              0,     "- none specified -"</v>
      </c>
    </row>
    <row r="280" spans="1:6" x14ac:dyDescent="0.2">
      <c r="A280" s="374" t="str">
        <f t="shared" si="14"/>
        <v>Videoconferencing Studio</v>
      </c>
      <c r="B280" s="382" t="s">
        <v>1093</v>
      </c>
      <c r="C280" s="374">
        <f>INDEX('[2]For CSV - 2022 SpcFuncData'!$AN$5:$AN$89,MATCH($A280,'[2]For CSV - 2022 SpcFuncData'!$B$5:$B$89,0))</f>
        <v>378</v>
      </c>
      <c r="D280" s="374">
        <f t="shared" si="15"/>
        <v>0</v>
      </c>
      <c r="E280" s="374">
        <f t="shared" si="16"/>
        <v>3</v>
      </c>
      <c r="F280" s="376" t="str">
        <f t="shared" si="17"/>
        <v>2,              0,     "- none specified -"</v>
      </c>
    </row>
    <row r="281" spans="1:6" x14ac:dyDescent="0.2">
      <c r="A281" s="374" t="str">
        <f t="shared" si="14"/>
        <v>Videoconferencing Studio</v>
      </c>
      <c r="B281" s="382" t="s">
        <v>1093</v>
      </c>
      <c r="C281" s="374">
        <f>INDEX('[2]For CSV - 2022 SpcFuncData'!$AN$5:$AN$89,MATCH($A281,'[2]For CSV - 2022 SpcFuncData'!$B$5:$B$89,0))</f>
        <v>378</v>
      </c>
      <c r="D281" s="374">
        <f t="shared" si="15"/>
        <v>0</v>
      </c>
      <c r="E281" s="374">
        <f t="shared" si="16"/>
        <v>3</v>
      </c>
      <c r="F281" s="376" t="str">
        <f t="shared" si="17"/>
        <v>2,              0,     "- none specified -"</v>
      </c>
    </row>
    <row r="282" spans="1:6" x14ac:dyDescent="0.2">
      <c r="A282" s="374" t="str">
        <f t="shared" si="14"/>
        <v>Videoconferencing Studio</v>
      </c>
      <c r="B282" s="382" t="s">
        <v>1093</v>
      </c>
      <c r="C282" s="374">
        <f>INDEX('[2]For CSV - 2022 SpcFuncData'!$AN$5:$AN$89,MATCH($A282,'[2]For CSV - 2022 SpcFuncData'!$B$5:$B$89,0))</f>
        <v>378</v>
      </c>
      <c r="D282" s="374">
        <f t="shared" si="15"/>
        <v>0</v>
      </c>
      <c r="E282" s="374">
        <f t="shared" si="16"/>
        <v>3</v>
      </c>
      <c r="F282" s="376" t="str">
        <f t="shared" si="17"/>
        <v>2,              0,     "- none specified -"</v>
      </c>
    </row>
    <row r="283" spans="1:6" x14ac:dyDescent="0.2">
      <c r="A283" s="374" t="str">
        <f t="shared" si="14"/>
        <v>Videoconferencing Studio</v>
      </c>
      <c r="B283" s="382" t="s">
        <v>1093</v>
      </c>
      <c r="C283" s="374">
        <f>INDEX('[2]For CSV - 2022 SpcFuncData'!$AN$5:$AN$89,MATCH($A283,'[2]For CSV - 2022 SpcFuncData'!$B$5:$B$89,0))</f>
        <v>378</v>
      </c>
      <c r="D283" s="374">
        <f t="shared" si="15"/>
        <v>0</v>
      </c>
      <c r="E283" s="374">
        <f t="shared" si="16"/>
        <v>3</v>
      </c>
      <c r="F283" s="376" t="str">
        <f t="shared" si="17"/>
        <v>2,              0,     "- none specified -"</v>
      </c>
    </row>
    <row r="284" spans="1:6" x14ac:dyDescent="0.2">
      <c r="A284" s="374" t="str">
        <f t="shared" si="14"/>
        <v>Videoconferencing Studio</v>
      </c>
      <c r="B284" s="382" t="s">
        <v>1093</v>
      </c>
      <c r="C284" s="374">
        <f>INDEX('[2]For CSV - 2022 SpcFuncData'!$AN$5:$AN$89,MATCH($A284,'[2]For CSV - 2022 SpcFuncData'!$B$5:$B$89,0))</f>
        <v>378</v>
      </c>
      <c r="D284" s="374">
        <f t="shared" si="15"/>
        <v>0</v>
      </c>
      <c r="E284" s="374">
        <f t="shared" si="16"/>
        <v>3</v>
      </c>
      <c r="F284" s="376" t="str">
        <f t="shared" si="17"/>
        <v>2,              0,     "- none specified -"</v>
      </c>
    </row>
    <row r="285" spans="1:6" x14ac:dyDescent="0.2">
      <c r="A285" s="374" t="str">
        <f t="shared" si="14"/>
        <v>Videoconferencing Studio</v>
      </c>
      <c r="B285" s="382" t="s">
        <v>1093</v>
      </c>
      <c r="C285" s="374">
        <f>INDEX('[2]For CSV - 2022 SpcFuncData'!$AN$5:$AN$89,MATCH($A285,'[2]For CSV - 2022 SpcFuncData'!$B$5:$B$89,0))</f>
        <v>378</v>
      </c>
      <c r="D285" s="374">
        <f t="shared" si="15"/>
        <v>0</v>
      </c>
      <c r="E285" s="374">
        <f t="shared" si="16"/>
        <v>3</v>
      </c>
      <c r="F285" s="376" t="str">
        <f t="shared" si="17"/>
        <v>2,              0,     "- none specified -"</v>
      </c>
    </row>
    <row r="286" spans="1:6" x14ac:dyDescent="0.2">
      <c r="A286" s="374" t="str">
        <f t="shared" si="14"/>
        <v>Videoconferencing Studio</v>
      </c>
      <c r="B286" s="382" t="s">
        <v>1093</v>
      </c>
      <c r="C286" s="374">
        <f>INDEX('[2]For CSV - 2022 SpcFuncData'!$AN$5:$AN$89,MATCH($A286,'[2]For CSV - 2022 SpcFuncData'!$B$5:$B$89,0))</f>
        <v>378</v>
      </c>
      <c r="D286" s="374">
        <f t="shared" si="15"/>
        <v>0</v>
      </c>
      <c r="E286" s="374">
        <f t="shared" si="16"/>
        <v>3</v>
      </c>
      <c r="F286" s="376" t="str">
        <f t="shared" si="17"/>
        <v>2,              0,     "- none specified -"</v>
      </c>
    </row>
    <row r="287" spans="1:6" x14ac:dyDescent="0.2">
      <c r="A287" s="374" t="str">
        <f t="shared" ref="A287:A329" si="18">A286</f>
        <v>Videoconferencing Studio</v>
      </c>
      <c r="B287" s="382" t="s">
        <v>1093</v>
      </c>
      <c r="C287" s="374">
        <f>INDEX('[2]For CSV - 2022 SpcFuncData'!$AN$5:$AN$89,MATCH($A287,'[2]For CSV - 2022 SpcFuncData'!$B$5:$B$89,0))</f>
        <v>378</v>
      </c>
      <c r="D287" s="374">
        <f t="shared" si="15"/>
        <v>0</v>
      </c>
      <c r="E287" s="374">
        <f t="shared" si="16"/>
        <v>3</v>
      </c>
      <c r="F287" s="376" t="str">
        <f t="shared" si="17"/>
        <v>2,              0,     "- none specified -"</v>
      </c>
    </row>
    <row r="288" spans="1:6" x14ac:dyDescent="0.2">
      <c r="A288" s="374" t="str">
        <f t="shared" si="18"/>
        <v>Videoconferencing Studio</v>
      </c>
      <c r="B288" s="382" t="s">
        <v>1093</v>
      </c>
      <c r="C288" s="374">
        <f>INDEX('[2]For CSV - 2022 SpcFuncData'!$AN$5:$AN$89,MATCH($A288,'[2]For CSV - 2022 SpcFuncData'!$B$5:$B$89,0))</f>
        <v>378</v>
      </c>
      <c r="D288" s="374">
        <f t="shared" si="15"/>
        <v>0</v>
      </c>
      <c r="E288" s="374">
        <f t="shared" si="16"/>
        <v>3</v>
      </c>
      <c r="F288" s="376" t="str">
        <f t="shared" si="17"/>
        <v>2,              0,     "- none specified -"</v>
      </c>
    </row>
    <row r="289" spans="1:6" x14ac:dyDescent="0.2">
      <c r="A289" s="374" t="str">
        <f t="shared" si="18"/>
        <v>Videoconferencing Studio</v>
      </c>
      <c r="B289" s="382" t="s">
        <v>1093</v>
      </c>
      <c r="C289" s="374">
        <f>INDEX('[2]For CSV - 2022 SpcFuncData'!$AN$5:$AN$89,MATCH($A289,'[2]For CSV - 2022 SpcFuncData'!$B$5:$B$89,0))</f>
        <v>378</v>
      </c>
      <c r="D289" s="374">
        <f t="shared" si="15"/>
        <v>0</v>
      </c>
      <c r="E289" s="374">
        <f t="shared" si="16"/>
        <v>3</v>
      </c>
      <c r="F289" s="376" t="str">
        <f t="shared" si="17"/>
        <v>2,              0,     "- none specified -"</v>
      </c>
    </row>
    <row r="290" spans="1:6" x14ac:dyDescent="0.2">
      <c r="A290" s="374" t="str">
        <f t="shared" si="18"/>
        <v>Videoconferencing Studio</v>
      </c>
      <c r="B290" s="382" t="s">
        <v>1093</v>
      </c>
      <c r="C290" s="374">
        <f>INDEX('[2]For CSV - 2022 SpcFuncData'!$AN$5:$AN$89,MATCH($A290,'[2]For CSV - 2022 SpcFuncData'!$B$5:$B$89,0))</f>
        <v>378</v>
      </c>
      <c r="D290" s="374">
        <f t="shared" si="15"/>
        <v>0</v>
      </c>
      <c r="E290" s="374">
        <f t="shared" si="16"/>
        <v>3</v>
      </c>
      <c r="F290" s="376" t="str">
        <f t="shared" si="17"/>
        <v>2,              0,     "- none specified -"</v>
      </c>
    </row>
    <row r="291" spans="1:6" x14ac:dyDescent="0.2">
      <c r="A291" s="374" t="str">
        <f t="shared" si="18"/>
        <v>Videoconferencing Studio</v>
      </c>
      <c r="B291" s="382" t="s">
        <v>1093</v>
      </c>
      <c r="C291" s="374">
        <f>INDEX('[2]For CSV - 2022 SpcFuncData'!$AN$5:$AN$89,MATCH($A291,'[2]For CSV - 2022 SpcFuncData'!$B$5:$B$89,0))</f>
        <v>378</v>
      </c>
      <c r="D291" s="374">
        <f t="shared" si="15"/>
        <v>0</v>
      </c>
      <c r="E291" s="374">
        <f t="shared" si="16"/>
        <v>3</v>
      </c>
      <c r="F291" s="376" t="str">
        <f t="shared" si="17"/>
        <v>2,              0,     "- none specified -"</v>
      </c>
    </row>
    <row r="292" spans="1:6" x14ac:dyDescent="0.2">
      <c r="A292" s="374" t="str">
        <f t="shared" si="18"/>
        <v>Videoconferencing Studio</v>
      </c>
      <c r="B292" s="382" t="s">
        <v>1093</v>
      </c>
      <c r="C292" s="374">
        <f>INDEX('[2]For CSV - 2022 SpcFuncData'!$AN$5:$AN$89,MATCH($A292,'[2]For CSV - 2022 SpcFuncData'!$B$5:$B$89,0))</f>
        <v>378</v>
      </c>
      <c r="D292" s="374">
        <f t="shared" si="15"/>
        <v>0</v>
      </c>
      <c r="E292" s="374">
        <f t="shared" si="16"/>
        <v>3</v>
      </c>
      <c r="F292" s="376" t="str">
        <f t="shared" si="17"/>
        <v>2,              0,     "- none specified -"</v>
      </c>
    </row>
    <row r="293" spans="1:6" x14ac:dyDescent="0.2">
      <c r="A293" s="374" t="str">
        <f t="shared" si="18"/>
        <v>Videoconferencing Studio</v>
      </c>
      <c r="B293" s="382" t="s">
        <v>1093</v>
      </c>
      <c r="C293" s="374">
        <f>INDEX('[2]For CSV - 2022 SpcFuncData'!$AN$5:$AN$89,MATCH($A293,'[2]For CSV - 2022 SpcFuncData'!$B$5:$B$89,0))</f>
        <v>378</v>
      </c>
      <c r="D293" s="374">
        <f t="shared" si="15"/>
        <v>0</v>
      </c>
      <c r="E293" s="374">
        <f t="shared" si="16"/>
        <v>3</v>
      </c>
      <c r="F293" s="376" t="str">
        <f t="shared" si="17"/>
        <v>2,              0,     "- none specified -"</v>
      </c>
    </row>
    <row r="294" spans="1:6" x14ac:dyDescent="0.2">
      <c r="A294" s="374" t="str">
        <f t="shared" si="18"/>
        <v>Videoconferencing Studio</v>
      </c>
      <c r="B294" s="382" t="s">
        <v>1093</v>
      </c>
      <c r="C294" s="374">
        <f>INDEX('[2]For CSV - 2022 SpcFuncData'!$AN$5:$AN$89,MATCH($A294,'[2]For CSV - 2022 SpcFuncData'!$B$5:$B$89,0))</f>
        <v>378</v>
      </c>
      <c r="D294" s="374">
        <f t="shared" si="15"/>
        <v>0</v>
      </c>
      <c r="E294" s="374">
        <f t="shared" si="16"/>
        <v>3</v>
      </c>
      <c r="F294" s="376" t="str">
        <f t="shared" si="17"/>
        <v>2,              0,     "- none specified -"</v>
      </c>
    </row>
    <row r="295" spans="1:6" x14ac:dyDescent="0.2">
      <c r="A295" s="374" t="str">
        <f t="shared" si="18"/>
        <v>Videoconferencing Studio</v>
      </c>
      <c r="B295" s="382" t="s">
        <v>1093</v>
      </c>
      <c r="C295" s="374">
        <f>INDEX('[2]For CSV - 2022 SpcFuncData'!$AN$5:$AN$89,MATCH($A295,'[2]For CSV - 2022 SpcFuncData'!$B$5:$B$89,0))</f>
        <v>378</v>
      </c>
      <c r="D295" s="374">
        <f t="shared" si="15"/>
        <v>0</v>
      </c>
      <c r="E295" s="374">
        <f t="shared" si="16"/>
        <v>3</v>
      </c>
      <c r="F295" s="376" t="str">
        <f t="shared" si="17"/>
        <v>2,              0,     "- none specified -"</v>
      </c>
    </row>
    <row r="296" spans="1:6" x14ac:dyDescent="0.2">
      <c r="A296" s="374" t="str">
        <f t="shared" si="18"/>
        <v>Videoconferencing Studio</v>
      </c>
      <c r="B296" s="382" t="s">
        <v>1093</v>
      </c>
      <c r="C296" s="374">
        <f>INDEX('[2]For CSV - 2022 SpcFuncData'!$AN$5:$AN$89,MATCH($A296,'[2]For CSV - 2022 SpcFuncData'!$B$5:$B$89,0))</f>
        <v>378</v>
      </c>
      <c r="D296" s="374">
        <f t="shared" si="15"/>
        <v>0</v>
      </c>
      <c r="E296" s="374">
        <f t="shared" si="16"/>
        <v>3</v>
      </c>
      <c r="F296" s="376" t="str">
        <f t="shared" si="17"/>
        <v>2,              0,     "- none specified -"</v>
      </c>
    </row>
    <row r="297" spans="1:6" x14ac:dyDescent="0.2">
      <c r="A297" s="374" t="str">
        <f t="shared" si="18"/>
        <v>Videoconferencing Studio</v>
      </c>
      <c r="B297" s="382" t="s">
        <v>1093</v>
      </c>
      <c r="C297" s="374">
        <f>INDEX('[2]For CSV - 2022 SpcFuncData'!$AN$5:$AN$89,MATCH($A297,'[2]For CSV - 2022 SpcFuncData'!$B$5:$B$89,0))</f>
        <v>378</v>
      </c>
      <c r="D297" s="374">
        <f t="shared" si="15"/>
        <v>0</v>
      </c>
      <c r="E297" s="374">
        <f t="shared" si="16"/>
        <v>3</v>
      </c>
      <c r="F297" s="376" t="str">
        <f t="shared" si="17"/>
        <v>2,              0,     "- none specified -"</v>
      </c>
    </row>
    <row r="298" spans="1:6" x14ac:dyDescent="0.2">
      <c r="A298" s="374" t="str">
        <f t="shared" si="18"/>
        <v>Videoconferencing Studio</v>
      </c>
      <c r="B298" s="382" t="s">
        <v>1093</v>
      </c>
      <c r="C298" s="374">
        <f>INDEX('[2]For CSV - 2022 SpcFuncData'!$AN$5:$AN$89,MATCH($A298,'[2]For CSV - 2022 SpcFuncData'!$B$5:$B$89,0))</f>
        <v>378</v>
      </c>
      <c r="D298" s="374">
        <f t="shared" si="15"/>
        <v>0</v>
      </c>
      <c r="E298" s="374">
        <f t="shared" si="16"/>
        <v>3</v>
      </c>
      <c r="F298" s="376" t="str">
        <f t="shared" si="17"/>
        <v>2,              0,     "- none specified -"</v>
      </c>
    </row>
    <row r="299" spans="1:6" x14ac:dyDescent="0.2">
      <c r="A299" s="374" t="str">
        <f t="shared" si="18"/>
        <v>Videoconferencing Studio</v>
      </c>
      <c r="B299" s="382" t="s">
        <v>1093</v>
      </c>
      <c r="C299" s="374">
        <f>INDEX('[2]For CSV - 2022 SpcFuncData'!$AN$5:$AN$89,MATCH($A299,'[2]For CSV - 2022 SpcFuncData'!$B$5:$B$89,0))</f>
        <v>378</v>
      </c>
      <c r="D299" s="374">
        <f t="shared" si="15"/>
        <v>0</v>
      </c>
      <c r="E299" s="374">
        <f t="shared" si="16"/>
        <v>3</v>
      </c>
      <c r="F299" s="376" t="str">
        <f t="shared" si="17"/>
        <v>2,              0,     "- none specified -"</v>
      </c>
    </row>
    <row r="300" spans="1:6" x14ac:dyDescent="0.2">
      <c r="A300" s="374" t="str">
        <f t="shared" si="18"/>
        <v>Videoconferencing Studio</v>
      </c>
      <c r="B300" s="382" t="s">
        <v>1093</v>
      </c>
      <c r="C300" s="374">
        <f>INDEX('[2]For CSV - 2022 SpcFuncData'!$AN$5:$AN$89,MATCH($A300,'[2]For CSV - 2022 SpcFuncData'!$B$5:$B$89,0))</f>
        <v>378</v>
      </c>
      <c r="D300" s="374">
        <f t="shared" si="15"/>
        <v>0</v>
      </c>
      <c r="E300" s="374">
        <f t="shared" si="16"/>
        <v>3</v>
      </c>
      <c r="F300" s="376" t="str">
        <f t="shared" si="17"/>
        <v>2,              0,     "- none specified -"</v>
      </c>
    </row>
    <row r="301" spans="1:6" x14ac:dyDescent="0.2">
      <c r="A301" s="374" t="str">
        <f t="shared" si="18"/>
        <v>Videoconferencing Studio</v>
      </c>
      <c r="B301" s="382" t="s">
        <v>1093</v>
      </c>
      <c r="C301" s="374">
        <f>INDEX('[2]For CSV - 2022 SpcFuncData'!$AN$5:$AN$89,MATCH($A301,'[2]For CSV - 2022 SpcFuncData'!$B$5:$B$89,0))</f>
        <v>378</v>
      </c>
      <c r="D301" s="374">
        <f t="shared" si="15"/>
        <v>0</v>
      </c>
      <c r="E301" s="374">
        <f t="shared" si="16"/>
        <v>3</v>
      </c>
      <c r="F301" s="376" t="str">
        <f t="shared" si="17"/>
        <v>2,              0,     "- none specified -"</v>
      </c>
    </row>
    <row r="302" spans="1:6" x14ac:dyDescent="0.2">
      <c r="A302" s="374" t="str">
        <f t="shared" si="18"/>
        <v>Videoconferencing Studio</v>
      </c>
      <c r="B302" s="382" t="s">
        <v>1093</v>
      </c>
      <c r="C302" s="374">
        <f>INDEX('[2]For CSV - 2022 SpcFuncData'!$AN$5:$AN$89,MATCH($A302,'[2]For CSV - 2022 SpcFuncData'!$B$5:$B$89,0))</f>
        <v>378</v>
      </c>
      <c r="D302" s="374">
        <f t="shared" si="15"/>
        <v>0</v>
      </c>
      <c r="E302" s="374">
        <f t="shared" si="16"/>
        <v>3</v>
      </c>
      <c r="F302" s="376" t="str">
        <f t="shared" si="17"/>
        <v>2,              0,     "- none specified -"</v>
      </c>
    </row>
    <row r="303" spans="1:6" x14ac:dyDescent="0.2">
      <c r="A303" s="374" t="str">
        <f t="shared" si="18"/>
        <v>Videoconferencing Studio</v>
      </c>
      <c r="B303" s="382" t="s">
        <v>1093</v>
      </c>
      <c r="C303" s="374">
        <f>INDEX('[2]For CSV - 2022 SpcFuncData'!$AN$5:$AN$89,MATCH($A303,'[2]For CSV - 2022 SpcFuncData'!$B$5:$B$89,0))</f>
        <v>378</v>
      </c>
      <c r="D303" s="374">
        <f t="shared" si="15"/>
        <v>0</v>
      </c>
      <c r="E303" s="374">
        <f t="shared" si="16"/>
        <v>3</v>
      </c>
      <c r="F303" s="376" t="str">
        <f t="shared" si="17"/>
        <v>2,              0,     "- none specified -"</v>
      </c>
    </row>
    <row r="304" spans="1:6" x14ac:dyDescent="0.2">
      <c r="A304" s="374" t="str">
        <f t="shared" si="18"/>
        <v>Videoconferencing Studio</v>
      </c>
      <c r="B304" s="382" t="s">
        <v>1093</v>
      </c>
      <c r="C304" s="374">
        <f>INDEX('[2]For CSV - 2022 SpcFuncData'!$AN$5:$AN$89,MATCH($A304,'[2]For CSV - 2022 SpcFuncData'!$B$5:$B$89,0))</f>
        <v>378</v>
      </c>
      <c r="D304" s="374">
        <f t="shared" si="15"/>
        <v>0</v>
      </c>
      <c r="E304" s="374">
        <f t="shared" si="16"/>
        <v>3</v>
      </c>
      <c r="F304" s="376" t="str">
        <f t="shared" si="17"/>
        <v>2,              0,     "- none specified -"</v>
      </c>
    </row>
    <row r="305" spans="1:6" x14ac:dyDescent="0.2">
      <c r="A305" s="374" t="str">
        <f t="shared" si="18"/>
        <v>Videoconferencing Studio</v>
      </c>
      <c r="B305" s="382" t="s">
        <v>1093</v>
      </c>
      <c r="C305" s="374">
        <f>INDEX('[2]For CSV - 2022 SpcFuncData'!$AN$5:$AN$89,MATCH($A305,'[2]For CSV - 2022 SpcFuncData'!$B$5:$B$89,0))</f>
        <v>378</v>
      </c>
      <c r="D305" s="374">
        <f t="shared" si="15"/>
        <v>0</v>
      </c>
      <c r="E305" s="374">
        <f t="shared" si="16"/>
        <v>3</v>
      </c>
      <c r="F305" s="376" t="str">
        <f t="shared" si="17"/>
        <v>2,              0,     "- none specified -"</v>
      </c>
    </row>
    <row r="306" spans="1:6" x14ac:dyDescent="0.2">
      <c r="A306" s="374" t="str">
        <f t="shared" si="18"/>
        <v>Videoconferencing Studio</v>
      </c>
      <c r="B306" s="382" t="s">
        <v>1093</v>
      </c>
      <c r="C306" s="374">
        <f>INDEX('[2]For CSV - 2022 SpcFuncData'!$AN$5:$AN$89,MATCH($A306,'[2]For CSV - 2022 SpcFuncData'!$B$5:$B$89,0))</f>
        <v>378</v>
      </c>
      <c r="D306" s="374">
        <f t="shared" si="15"/>
        <v>0</v>
      </c>
      <c r="E306" s="374">
        <f t="shared" si="16"/>
        <v>3</v>
      </c>
      <c r="F306" s="376" t="str">
        <f t="shared" si="17"/>
        <v>2,              0,     "- none specified -"</v>
      </c>
    </row>
    <row r="307" spans="1:6" x14ac:dyDescent="0.2">
      <c r="A307" s="374" t="str">
        <f t="shared" si="18"/>
        <v>Videoconferencing Studio</v>
      </c>
      <c r="B307" s="382" t="s">
        <v>1093</v>
      </c>
      <c r="C307" s="374">
        <f>INDEX('[2]For CSV - 2022 SpcFuncData'!$AN$5:$AN$89,MATCH($A307,'[2]For CSV - 2022 SpcFuncData'!$B$5:$B$89,0))</f>
        <v>378</v>
      </c>
      <c r="D307" s="374">
        <f t="shared" si="15"/>
        <v>0</v>
      </c>
      <c r="E307" s="374">
        <f t="shared" si="16"/>
        <v>3</v>
      </c>
      <c r="F307" s="376" t="str">
        <f t="shared" si="17"/>
        <v>2,              0,     "- none specified -"</v>
      </c>
    </row>
    <row r="308" spans="1:6" x14ac:dyDescent="0.2">
      <c r="A308" s="374" t="str">
        <f t="shared" si="18"/>
        <v>Videoconferencing Studio</v>
      </c>
      <c r="B308" s="382" t="s">
        <v>1093</v>
      </c>
      <c r="C308" s="374">
        <f>INDEX('[2]For CSV - 2022 SpcFuncData'!$AN$5:$AN$89,MATCH($A308,'[2]For CSV - 2022 SpcFuncData'!$B$5:$B$89,0))</f>
        <v>378</v>
      </c>
      <c r="D308" s="374">
        <f t="shared" si="15"/>
        <v>0</v>
      </c>
      <c r="E308" s="374">
        <f t="shared" si="16"/>
        <v>3</v>
      </c>
      <c r="F308" s="376" t="str">
        <f t="shared" si="17"/>
        <v>2,              0,     "- none specified -"</v>
      </c>
    </row>
    <row r="309" spans="1:6" x14ac:dyDescent="0.2">
      <c r="A309" s="374" t="str">
        <f t="shared" si="18"/>
        <v>Videoconferencing Studio</v>
      </c>
      <c r="B309" s="382" t="s">
        <v>1093</v>
      </c>
      <c r="C309" s="374">
        <f>INDEX('[2]For CSV - 2022 SpcFuncData'!$AN$5:$AN$89,MATCH($A309,'[2]For CSV - 2022 SpcFuncData'!$B$5:$B$89,0))</f>
        <v>378</v>
      </c>
      <c r="D309" s="374">
        <f t="shared" si="15"/>
        <v>0</v>
      </c>
      <c r="E309" s="374">
        <f t="shared" si="16"/>
        <v>3</v>
      </c>
      <c r="F309" s="376" t="str">
        <f t="shared" si="17"/>
        <v>2,              0,     "- none specified -"</v>
      </c>
    </row>
    <row r="310" spans="1:6" x14ac:dyDescent="0.2">
      <c r="A310" s="374" t="str">
        <f t="shared" si="18"/>
        <v>Videoconferencing Studio</v>
      </c>
      <c r="B310" s="382" t="s">
        <v>1093</v>
      </c>
      <c r="C310" s="374">
        <f>INDEX('[2]For CSV - 2022 SpcFuncData'!$AN$5:$AN$89,MATCH($A310,'[2]For CSV - 2022 SpcFuncData'!$B$5:$B$89,0))</f>
        <v>378</v>
      </c>
      <c r="D310" s="374">
        <f t="shared" si="15"/>
        <v>0</v>
      </c>
      <c r="E310" s="374">
        <f t="shared" si="16"/>
        <v>3</v>
      </c>
      <c r="F310" s="376" t="str">
        <f t="shared" si="17"/>
        <v>2,              0,     "- none specified -"</v>
      </c>
    </row>
    <row r="311" spans="1:6" x14ac:dyDescent="0.2">
      <c r="A311" s="374" t="str">
        <f t="shared" si="18"/>
        <v>Videoconferencing Studio</v>
      </c>
      <c r="B311" s="382" t="s">
        <v>1093</v>
      </c>
      <c r="C311" s="374">
        <f>INDEX('[2]For CSV - 2022 SpcFuncData'!$AN$5:$AN$89,MATCH($A311,'[2]For CSV - 2022 SpcFuncData'!$B$5:$B$89,0))</f>
        <v>378</v>
      </c>
      <c r="D311" s="374">
        <f t="shared" si="15"/>
        <v>0</v>
      </c>
      <c r="E311" s="374">
        <f t="shared" si="16"/>
        <v>3</v>
      </c>
      <c r="F311" s="376" t="str">
        <f t="shared" si="17"/>
        <v>2,              0,     "- none specified -"</v>
      </c>
    </row>
    <row r="312" spans="1:6" x14ac:dyDescent="0.2">
      <c r="A312" s="374" t="str">
        <f t="shared" si="18"/>
        <v>Videoconferencing Studio</v>
      </c>
      <c r="B312" s="382" t="s">
        <v>1093</v>
      </c>
      <c r="C312" s="374">
        <f>INDEX('[2]For CSV - 2022 SpcFuncData'!$AN$5:$AN$89,MATCH($A312,'[2]For CSV - 2022 SpcFuncData'!$B$5:$B$89,0))</f>
        <v>378</v>
      </c>
      <c r="D312" s="374">
        <f t="shared" si="15"/>
        <v>0</v>
      </c>
      <c r="E312" s="374">
        <f t="shared" si="16"/>
        <v>3</v>
      </c>
      <c r="F312" s="376" t="str">
        <f t="shared" si="17"/>
        <v>2,              0,     "- none specified -"</v>
      </c>
    </row>
    <row r="313" spans="1:6" x14ac:dyDescent="0.2">
      <c r="A313" s="374" t="str">
        <f t="shared" si="18"/>
        <v>Videoconferencing Studio</v>
      </c>
      <c r="B313" s="382" t="s">
        <v>1093</v>
      </c>
      <c r="C313" s="374">
        <f>INDEX('[2]For CSV - 2022 SpcFuncData'!$AN$5:$AN$89,MATCH($A313,'[2]For CSV - 2022 SpcFuncData'!$B$5:$B$89,0))</f>
        <v>378</v>
      </c>
      <c r="D313" s="374">
        <f t="shared" si="15"/>
        <v>0</v>
      </c>
      <c r="E313" s="374">
        <f t="shared" si="16"/>
        <v>3</v>
      </c>
      <c r="F313" s="376" t="str">
        <f t="shared" si="17"/>
        <v>2,              0,     "- none specified -"</v>
      </c>
    </row>
    <row r="314" spans="1:6" x14ac:dyDescent="0.2">
      <c r="A314" s="374" t="str">
        <f t="shared" si="18"/>
        <v>Videoconferencing Studio</v>
      </c>
      <c r="B314" s="382" t="s">
        <v>1093</v>
      </c>
      <c r="C314" s="374">
        <f>INDEX('[2]For CSV - 2022 SpcFuncData'!$AN$5:$AN$89,MATCH($A314,'[2]For CSV - 2022 SpcFuncData'!$B$5:$B$89,0))</f>
        <v>378</v>
      </c>
      <c r="D314" s="374">
        <f t="shared" si="15"/>
        <v>0</v>
      </c>
      <c r="E314" s="374">
        <f t="shared" si="16"/>
        <v>3</v>
      </c>
      <c r="F314" s="376" t="str">
        <f t="shared" si="17"/>
        <v>2,              0,     "- none specified -"</v>
      </c>
    </row>
    <row r="315" spans="1:6" x14ac:dyDescent="0.2">
      <c r="A315" s="374" t="str">
        <f t="shared" si="18"/>
        <v>Videoconferencing Studio</v>
      </c>
      <c r="B315" s="382" t="s">
        <v>1093</v>
      </c>
      <c r="C315" s="374">
        <f>INDEX('[2]For CSV - 2022 SpcFuncData'!$AN$5:$AN$89,MATCH($A315,'[2]For CSV - 2022 SpcFuncData'!$B$5:$B$89,0))</f>
        <v>378</v>
      </c>
      <c r="D315" s="374">
        <f t="shared" si="15"/>
        <v>0</v>
      </c>
      <c r="E315" s="374">
        <f t="shared" si="16"/>
        <v>3</v>
      </c>
      <c r="F315" s="376" t="str">
        <f t="shared" si="17"/>
        <v>2,              0,     "- none specified -"</v>
      </c>
    </row>
    <row r="316" spans="1:6" x14ac:dyDescent="0.2">
      <c r="A316" s="374" t="str">
        <f t="shared" si="18"/>
        <v>Videoconferencing Studio</v>
      </c>
      <c r="B316" s="382" t="s">
        <v>1093</v>
      </c>
      <c r="C316" s="374">
        <f>INDEX('[2]For CSV - 2022 SpcFuncData'!$AN$5:$AN$89,MATCH($A316,'[2]For CSV - 2022 SpcFuncData'!$B$5:$B$89,0))</f>
        <v>378</v>
      </c>
      <c r="D316" s="374">
        <f t="shared" si="15"/>
        <v>0</v>
      </c>
      <c r="E316" s="374">
        <f t="shared" si="16"/>
        <v>3</v>
      </c>
      <c r="F316" s="376" t="str">
        <f t="shared" si="17"/>
        <v>2,              0,     "- none specified -"</v>
      </c>
    </row>
    <row r="317" spans="1:6" x14ac:dyDescent="0.2">
      <c r="A317" s="374" t="str">
        <f t="shared" si="18"/>
        <v>Videoconferencing Studio</v>
      </c>
      <c r="B317" s="382" t="s">
        <v>1093</v>
      </c>
      <c r="C317" s="374">
        <f>INDEX('[2]For CSV - 2022 SpcFuncData'!$AN$5:$AN$89,MATCH($A317,'[2]For CSV - 2022 SpcFuncData'!$B$5:$B$89,0))</f>
        <v>378</v>
      </c>
      <c r="D317" s="374">
        <f t="shared" si="15"/>
        <v>0</v>
      </c>
      <c r="E317" s="374">
        <f t="shared" si="16"/>
        <v>3</v>
      </c>
      <c r="F317" s="376" t="str">
        <f t="shared" si="17"/>
        <v>2,              0,     "- none specified -"</v>
      </c>
    </row>
    <row r="318" spans="1:6" x14ac:dyDescent="0.2">
      <c r="A318" s="374" t="str">
        <f t="shared" si="18"/>
        <v>Videoconferencing Studio</v>
      </c>
      <c r="B318" s="382" t="s">
        <v>1093</v>
      </c>
      <c r="C318" s="374">
        <f>INDEX('[2]For CSV - 2022 SpcFuncData'!$AN$5:$AN$89,MATCH($A318,'[2]For CSV - 2022 SpcFuncData'!$B$5:$B$89,0))</f>
        <v>378</v>
      </c>
      <c r="D318" s="374">
        <f t="shared" si="15"/>
        <v>0</v>
      </c>
      <c r="E318" s="374">
        <f t="shared" si="16"/>
        <v>3</v>
      </c>
      <c r="F318" s="376" t="str">
        <f t="shared" si="17"/>
        <v>2,              0,     "- none specified -"</v>
      </c>
    </row>
    <row r="319" spans="1:6" x14ac:dyDescent="0.2">
      <c r="A319" s="374" t="str">
        <f t="shared" si="18"/>
        <v>Videoconferencing Studio</v>
      </c>
      <c r="B319" s="382" t="s">
        <v>1093</v>
      </c>
      <c r="C319" s="374">
        <f>INDEX('[2]For CSV - 2022 SpcFuncData'!$AN$5:$AN$89,MATCH($A319,'[2]For CSV - 2022 SpcFuncData'!$B$5:$B$89,0))</f>
        <v>378</v>
      </c>
      <c r="D319" s="374">
        <f t="shared" si="15"/>
        <v>0</v>
      </c>
      <c r="E319" s="374">
        <f t="shared" si="16"/>
        <v>3</v>
      </c>
      <c r="F319" s="376" t="str">
        <f t="shared" si="17"/>
        <v>2,              0,     "- none specified -"</v>
      </c>
    </row>
    <row r="320" spans="1:6" x14ac:dyDescent="0.2">
      <c r="A320" s="374" t="str">
        <f t="shared" si="18"/>
        <v>Videoconferencing Studio</v>
      </c>
      <c r="B320" s="382" t="s">
        <v>1093</v>
      </c>
      <c r="C320" s="374">
        <f>INDEX('[2]For CSV - 2022 SpcFuncData'!$AN$5:$AN$89,MATCH($A320,'[2]For CSV - 2022 SpcFuncData'!$B$5:$B$89,0))</f>
        <v>378</v>
      </c>
      <c r="D320" s="374">
        <f t="shared" si="15"/>
        <v>0</v>
      </c>
      <c r="E320" s="374">
        <f t="shared" si="16"/>
        <v>3</v>
      </c>
      <c r="F320" s="376" t="str">
        <f t="shared" si="17"/>
        <v>2,              0,     "- none specified -"</v>
      </c>
    </row>
    <row r="321" spans="1:6" x14ac:dyDescent="0.2">
      <c r="A321" s="374" t="str">
        <f t="shared" si="18"/>
        <v>Videoconferencing Studio</v>
      </c>
      <c r="B321" s="382" t="s">
        <v>1093</v>
      </c>
      <c r="C321" s="374">
        <f>INDEX('[2]For CSV - 2022 SpcFuncData'!$AN$5:$AN$89,MATCH($A321,'[2]For CSV - 2022 SpcFuncData'!$B$5:$B$89,0))</f>
        <v>378</v>
      </c>
      <c r="D321" s="374">
        <f t="shared" si="15"/>
        <v>0</v>
      </c>
      <c r="E321" s="374">
        <f t="shared" si="16"/>
        <v>3</v>
      </c>
      <c r="F321" s="376" t="str">
        <f t="shared" si="17"/>
        <v>2,              0,     "- none specified -"</v>
      </c>
    </row>
    <row r="322" spans="1:6" x14ac:dyDescent="0.2">
      <c r="A322" s="374" t="str">
        <f t="shared" si="18"/>
        <v>Videoconferencing Studio</v>
      </c>
      <c r="B322" s="382" t="s">
        <v>1093</v>
      </c>
      <c r="C322" s="374">
        <f>INDEX('[2]For CSV - 2022 SpcFuncData'!$AN$5:$AN$89,MATCH($A322,'[2]For CSV - 2022 SpcFuncData'!$B$5:$B$89,0))</f>
        <v>378</v>
      </c>
      <c r="D322" s="374">
        <f t="shared" si="15"/>
        <v>0</v>
      </c>
      <c r="E322" s="374">
        <f t="shared" si="16"/>
        <v>3</v>
      </c>
      <c r="F322" s="376" t="str">
        <f t="shared" si="17"/>
        <v>2,              0,     "- none specified -"</v>
      </c>
    </row>
    <row r="323" spans="1:6" x14ac:dyDescent="0.2">
      <c r="A323" s="374" t="str">
        <f t="shared" si="18"/>
        <v>Videoconferencing Studio</v>
      </c>
      <c r="B323" s="382" t="s">
        <v>1093</v>
      </c>
      <c r="C323" s="374">
        <f>INDEX('[2]For CSV - 2022 SpcFuncData'!$AN$5:$AN$89,MATCH($A323,'[2]For CSV - 2022 SpcFuncData'!$B$5:$B$89,0))</f>
        <v>378</v>
      </c>
      <c r="D323" s="374">
        <f t="shared" si="15"/>
        <v>0</v>
      </c>
      <c r="E323" s="374">
        <f t="shared" si="16"/>
        <v>3</v>
      </c>
      <c r="F323" s="376" t="str">
        <f t="shared" si="17"/>
        <v>2,              0,     "- none specified -"</v>
      </c>
    </row>
    <row r="324" spans="1:6" x14ac:dyDescent="0.2">
      <c r="A324" s="374" t="str">
        <f t="shared" si="18"/>
        <v>Videoconferencing Studio</v>
      </c>
      <c r="B324" s="382" t="s">
        <v>1093</v>
      </c>
      <c r="C324" s="374">
        <f>INDEX('[2]For CSV - 2022 SpcFuncData'!$AN$5:$AN$89,MATCH($A324,'[2]For CSV - 2022 SpcFuncData'!$B$5:$B$89,0))</f>
        <v>378</v>
      </c>
      <c r="D324" s="374">
        <f t="shared" si="15"/>
        <v>0</v>
      </c>
      <c r="E324" s="374">
        <f t="shared" si="16"/>
        <v>3</v>
      </c>
      <c r="F324" s="376" t="str">
        <f t="shared" si="17"/>
        <v>2,              0,     "- none specified -"</v>
      </c>
    </row>
    <row r="325" spans="1:6" x14ac:dyDescent="0.2">
      <c r="A325" s="374" t="str">
        <f t="shared" si="18"/>
        <v>Videoconferencing Studio</v>
      </c>
      <c r="B325" s="382" t="s">
        <v>1093</v>
      </c>
      <c r="C325" s="374">
        <f>INDEX('[2]For CSV - 2022 SpcFuncData'!$AN$5:$AN$89,MATCH($A325,'[2]For CSV - 2022 SpcFuncData'!$B$5:$B$89,0))</f>
        <v>378</v>
      </c>
      <c r="D325" s="374">
        <f t="shared" si="15"/>
        <v>0</v>
      </c>
      <c r="E325" s="374">
        <f t="shared" si="16"/>
        <v>3</v>
      </c>
      <c r="F325" s="376" t="str">
        <f t="shared" si="17"/>
        <v>2,              0,     "- none specified -"</v>
      </c>
    </row>
    <row r="326" spans="1:6" x14ac:dyDescent="0.2">
      <c r="A326" s="374" t="str">
        <f t="shared" si="18"/>
        <v>Videoconferencing Studio</v>
      </c>
      <c r="B326" s="382" t="s">
        <v>1093</v>
      </c>
      <c r="C326" s="374">
        <f>INDEX('[2]For CSV - 2022 SpcFuncData'!$AN$5:$AN$89,MATCH($A326,'[2]For CSV - 2022 SpcFuncData'!$B$5:$B$89,0))</f>
        <v>378</v>
      </c>
      <c r="D326" s="374">
        <f t="shared" si="15"/>
        <v>0</v>
      </c>
      <c r="E326" s="374">
        <f t="shared" si="16"/>
        <v>3</v>
      </c>
      <c r="F326" s="376" t="str">
        <f t="shared" si="17"/>
        <v>2,              0,     "- none specified -"</v>
      </c>
    </row>
    <row r="327" spans="1:6" ht="13.5" customHeight="1" x14ac:dyDescent="0.2">
      <c r="A327" s="374" t="str">
        <f t="shared" si="18"/>
        <v>Videoconferencing Studio</v>
      </c>
      <c r="B327" s="382" t="s">
        <v>1093</v>
      </c>
      <c r="C327" s="374">
        <f>INDEX('[2]For CSV - 2022 SpcFuncData'!$AN$5:$AN$89,MATCH($A327,'[2]For CSV - 2022 SpcFuncData'!$B$5:$B$89,0))</f>
        <v>378</v>
      </c>
      <c r="D327" s="374">
        <f t="shared" si="15"/>
        <v>0</v>
      </c>
      <c r="E327" s="374">
        <f t="shared" si="16"/>
        <v>3</v>
      </c>
      <c r="F327" s="376" t="str">
        <f t="shared" si="17"/>
        <v>2,              0,     "- none specified -"</v>
      </c>
    </row>
    <row r="328" spans="1:6" x14ac:dyDescent="0.2">
      <c r="A328" s="374" t="str">
        <f t="shared" si="18"/>
        <v>Videoconferencing Studio</v>
      </c>
      <c r="B328" s="382" t="s">
        <v>1093</v>
      </c>
      <c r="C328" s="374">
        <f>INDEX('[2]For CSV - 2022 SpcFuncData'!$AN$5:$AN$89,MATCH($A328,'[2]For CSV - 2022 SpcFuncData'!$B$5:$B$89,0))</f>
        <v>378</v>
      </c>
      <c r="D328" s="374">
        <f t="shared" si="15"/>
        <v>0</v>
      </c>
      <c r="E328" s="374">
        <f t="shared" si="16"/>
        <v>3</v>
      </c>
      <c r="F328" s="376" t="str">
        <f t="shared" si="17"/>
        <v>2,              0,     "- none specified -"</v>
      </c>
    </row>
    <row r="329" spans="1:6" x14ac:dyDescent="0.2">
      <c r="A329" s="374" t="str">
        <f t="shared" si="18"/>
        <v>Videoconferencing Studio</v>
      </c>
      <c r="B329" s="382" t="s">
        <v>1093</v>
      </c>
      <c r="C329" s="374">
        <f>INDEX('[2]For CSV - 2022 SpcFuncData'!$AN$5:$AN$89,MATCH($A329,'[2]For CSV - 2022 SpcFuncData'!$B$5:$B$89,0))</f>
        <v>378</v>
      </c>
      <c r="D329" s="374">
        <f t="shared" si="15"/>
        <v>0</v>
      </c>
      <c r="E329" s="374">
        <f t="shared" ref="E329" si="19">IF(A329&lt;&gt;A328,1,IF(A329&lt;&gt;A327,2,3))</f>
        <v>3</v>
      </c>
      <c r="F329" s="376" t="str">
        <f t="shared" ref="F329" si="20">IF(E329=1,$F$3&amp;$G$3&amp;$D329&amp;$H$3,IF(E329=2,$F$4&amp;$C329&amp;$G$4&amp;$D329&amp;$H$4&amp;TEXT($A329,0),$F$5&amp;$D329&amp;$G$5&amp;$H$5&amp;$B329&amp;""""))</f>
        <v>2,              0,     "- none specified -"</v>
      </c>
    </row>
    <row r="330" spans="1:6" x14ac:dyDescent="0.2">
      <c r="B330" s="377"/>
      <c r="F330" s="376"/>
    </row>
    <row r="331" spans="1:6" x14ac:dyDescent="0.2">
      <c r="B331" s="377"/>
      <c r="F331" s="376"/>
    </row>
    <row r="332" spans="1:6" x14ac:dyDescent="0.2">
      <c r="B332" s="377"/>
      <c r="F332" s="376"/>
    </row>
    <row r="333" spans="1:6" x14ac:dyDescent="0.2">
      <c r="B333" s="377"/>
      <c r="F333" s="376"/>
    </row>
    <row r="334" spans="1:6" x14ac:dyDescent="0.25">
      <c r="B334" s="383"/>
    </row>
    <row r="337" spans="1:25" s="385" customFormat="1" x14ac:dyDescent="0.25">
      <c r="A337" s="384" t="s">
        <v>1094</v>
      </c>
      <c r="B337" s="374" t="s">
        <v>1095</v>
      </c>
      <c r="C337" s="374"/>
      <c r="D337" s="374"/>
      <c r="E337" s="374"/>
      <c r="F337" s="374"/>
      <c r="G337" s="374"/>
      <c r="H337" s="374"/>
      <c r="I337" s="374"/>
      <c r="J337" s="374"/>
      <c r="K337" s="374"/>
      <c r="L337" s="374"/>
      <c r="M337" s="374"/>
      <c r="N337" s="374"/>
      <c r="O337" s="374"/>
      <c r="P337" s="374"/>
      <c r="Q337" s="374"/>
      <c r="R337" s="374"/>
      <c r="S337" s="374"/>
      <c r="T337" s="374"/>
      <c r="U337" s="374"/>
      <c r="V337" s="374"/>
      <c r="W337" s="374"/>
      <c r="X337" s="374"/>
      <c r="Y337" s="374"/>
    </row>
    <row r="338" spans="1:25" s="385" customFormat="1" x14ac:dyDescent="0.25">
      <c r="A338" s="374">
        <f t="shared" ref="A338:A369" si="21">COUNTIF($B$8:$B$313,B338)</f>
        <v>0</v>
      </c>
      <c r="B338" s="377" t="s">
        <v>1096</v>
      </c>
      <c r="C338" s="374"/>
      <c r="D338" s="374"/>
      <c r="E338" s="374"/>
      <c r="F338" s="374"/>
      <c r="G338" s="374"/>
      <c r="H338" s="374"/>
      <c r="I338" s="374"/>
      <c r="J338" s="374"/>
      <c r="K338" s="374"/>
      <c r="L338" s="374"/>
      <c r="M338" s="374"/>
      <c r="N338" s="374"/>
      <c r="O338" s="374"/>
      <c r="P338" s="374"/>
      <c r="Q338" s="374"/>
      <c r="R338" s="374"/>
      <c r="S338" s="374"/>
      <c r="T338" s="374"/>
      <c r="U338" s="374"/>
      <c r="V338" s="374"/>
      <c r="W338" s="374"/>
      <c r="X338" s="374"/>
      <c r="Y338" s="374"/>
    </row>
    <row r="339" spans="1:25" s="385" customFormat="1" x14ac:dyDescent="0.25">
      <c r="A339" s="374">
        <f t="shared" si="21"/>
        <v>0</v>
      </c>
      <c r="B339" s="377" t="s">
        <v>1097</v>
      </c>
      <c r="C339" s="374"/>
      <c r="D339" s="374"/>
      <c r="E339" s="374"/>
      <c r="F339" s="374"/>
      <c r="G339" s="374"/>
      <c r="H339" s="374"/>
      <c r="I339" s="374"/>
      <c r="J339" s="374"/>
      <c r="K339" s="374"/>
      <c r="L339" s="374"/>
      <c r="M339" s="374"/>
      <c r="N339" s="374"/>
      <c r="O339" s="374"/>
      <c r="P339" s="374"/>
      <c r="Q339" s="374"/>
      <c r="R339" s="374"/>
      <c r="S339" s="374"/>
      <c r="T339" s="374"/>
      <c r="U339" s="374"/>
      <c r="V339" s="374"/>
      <c r="W339" s="374"/>
      <c r="X339" s="374"/>
      <c r="Y339" s="374"/>
    </row>
    <row r="340" spans="1:25" s="385" customFormat="1" x14ac:dyDescent="0.25">
      <c r="A340" s="374">
        <f t="shared" si="21"/>
        <v>0</v>
      </c>
      <c r="B340" s="377" t="s">
        <v>1098</v>
      </c>
      <c r="C340" s="374"/>
      <c r="D340" s="374"/>
      <c r="E340" s="374"/>
      <c r="F340" s="374"/>
      <c r="G340" s="374"/>
      <c r="H340" s="374"/>
      <c r="I340" s="374"/>
      <c r="J340" s="374"/>
      <c r="K340" s="374"/>
      <c r="L340" s="374"/>
      <c r="M340" s="374"/>
      <c r="N340" s="374"/>
      <c r="O340" s="374"/>
      <c r="P340" s="374"/>
      <c r="Q340" s="374"/>
      <c r="R340" s="374"/>
      <c r="S340" s="374"/>
      <c r="T340" s="374"/>
      <c r="U340" s="374"/>
      <c r="V340" s="374"/>
      <c r="W340" s="374"/>
      <c r="X340" s="374"/>
      <c r="Y340" s="374"/>
    </row>
    <row r="341" spans="1:25" s="385" customFormat="1" x14ac:dyDescent="0.25">
      <c r="A341" s="374">
        <f t="shared" si="21"/>
        <v>0</v>
      </c>
      <c r="B341" s="377" t="s">
        <v>1099</v>
      </c>
      <c r="C341" s="374"/>
      <c r="D341" s="374"/>
      <c r="E341" s="374"/>
      <c r="F341" s="374"/>
      <c r="G341" s="374"/>
      <c r="H341" s="374"/>
      <c r="I341" s="374"/>
      <c r="J341" s="374"/>
      <c r="K341" s="374"/>
      <c r="L341" s="374"/>
      <c r="M341" s="374"/>
      <c r="N341" s="374"/>
      <c r="O341" s="374"/>
      <c r="P341" s="374"/>
      <c r="Q341" s="374"/>
      <c r="R341" s="374"/>
      <c r="S341" s="374"/>
      <c r="T341" s="374"/>
      <c r="U341" s="374"/>
      <c r="V341" s="374"/>
      <c r="W341" s="374"/>
      <c r="X341" s="374"/>
      <c r="Y341" s="374"/>
    </row>
    <row r="342" spans="1:25" s="385" customFormat="1" x14ac:dyDescent="0.25">
      <c r="A342" s="374">
        <f t="shared" si="21"/>
        <v>0</v>
      </c>
      <c r="B342" s="377" t="s">
        <v>1100</v>
      </c>
      <c r="C342" s="374"/>
      <c r="D342" s="374"/>
      <c r="E342" s="374"/>
      <c r="F342" s="374"/>
      <c r="G342" s="374"/>
      <c r="H342" s="374"/>
      <c r="I342" s="374"/>
      <c r="J342" s="374"/>
      <c r="K342" s="374"/>
      <c r="L342" s="374"/>
      <c r="M342" s="374"/>
      <c r="N342" s="374"/>
      <c r="O342" s="374"/>
      <c r="P342" s="374"/>
      <c r="Q342" s="374"/>
      <c r="R342" s="374"/>
      <c r="S342" s="374"/>
      <c r="T342" s="374"/>
      <c r="U342" s="374"/>
      <c r="V342" s="374"/>
      <c r="W342" s="374"/>
      <c r="X342" s="374"/>
      <c r="Y342" s="374"/>
    </row>
    <row r="343" spans="1:25" s="385" customFormat="1" x14ac:dyDescent="0.25">
      <c r="A343" s="374">
        <f t="shared" si="21"/>
        <v>0</v>
      </c>
      <c r="B343" s="377" t="s">
        <v>1101</v>
      </c>
      <c r="C343" s="374"/>
      <c r="D343" s="374"/>
      <c r="E343" s="374"/>
      <c r="F343" s="374"/>
      <c r="G343" s="374"/>
      <c r="H343" s="374"/>
      <c r="I343" s="374"/>
      <c r="J343" s="374"/>
      <c r="K343" s="374"/>
      <c r="L343" s="374"/>
      <c r="M343" s="374"/>
      <c r="N343" s="374"/>
      <c r="O343" s="374"/>
      <c r="P343" s="374"/>
      <c r="Q343" s="374"/>
      <c r="R343" s="374"/>
      <c r="S343" s="374"/>
      <c r="T343" s="374"/>
      <c r="U343" s="374"/>
      <c r="V343" s="374"/>
      <c r="W343" s="374"/>
      <c r="X343" s="374"/>
      <c r="Y343" s="374"/>
    </row>
    <row r="344" spans="1:25" s="385" customFormat="1" x14ac:dyDescent="0.25">
      <c r="A344" s="374">
        <f t="shared" si="21"/>
        <v>0</v>
      </c>
      <c r="B344" s="377" t="s">
        <v>1102</v>
      </c>
      <c r="C344" s="374"/>
      <c r="D344" s="374"/>
      <c r="E344" s="374"/>
      <c r="F344" s="374"/>
      <c r="G344" s="374"/>
      <c r="H344" s="374"/>
      <c r="I344" s="374"/>
      <c r="J344" s="374"/>
      <c r="K344" s="374"/>
      <c r="L344" s="374"/>
      <c r="M344" s="374"/>
      <c r="N344" s="374"/>
      <c r="O344" s="374"/>
      <c r="P344" s="374"/>
      <c r="Q344" s="374"/>
      <c r="R344" s="374"/>
      <c r="S344" s="374"/>
      <c r="T344" s="374"/>
      <c r="U344" s="374"/>
      <c r="V344" s="374"/>
      <c r="W344" s="374"/>
      <c r="X344" s="374"/>
      <c r="Y344" s="374"/>
    </row>
    <row r="345" spans="1:25" s="385" customFormat="1" x14ac:dyDescent="0.25">
      <c r="A345" s="374">
        <f t="shared" si="21"/>
        <v>0</v>
      </c>
      <c r="B345" s="377" t="s">
        <v>1103</v>
      </c>
      <c r="C345" s="374"/>
      <c r="D345" s="374"/>
      <c r="E345" s="374"/>
      <c r="F345" s="374"/>
      <c r="G345" s="374"/>
      <c r="H345" s="374"/>
      <c r="I345" s="374"/>
      <c r="J345" s="374"/>
      <c r="K345" s="374"/>
      <c r="L345" s="374"/>
      <c r="M345" s="374"/>
      <c r="N345" s="374"/>
      <c r="O345" s="374"/>
      <c r="P345" s="374"/>
      <c r="Q345" s="374"/>
      <c r="R345" s="374"/>
      <c r="S345" s="374"/>
      <c r="T345" s="374"/>
      <c r="U345" s="374"/>
      <c r="V345" s="374"/>
      <c r="W345" s="374"/>
      <c r="X345" s="374"/>
      <c r="Y345" s="374"/>
    </row>
    <row r="346" spans="1:25" s="385" customFormat="1" x14ac:dyDescent="0.25">
      <c r="A346" s="374">
        <f t="shared" si="21"/>
        <v>0</v>
      </c>
      <c r="B346" s="377" t="s">
        <v>1104</v>
      </c>
      <c r="C346" s="374"/>
      <c r="D346" s="374"/>
      <c r="E346" s="374"/>
      <c r="F346" s="374"/>
      <c r="G346" s="374"/>
      <c r="H346" s="374"/>
      <c r="I346" s="374"/>
      <c r="J346" s="374"/>
      <c r="K346" s="374"/>
      <c r="L346" s="374"/>
      <c r="M346" s="374"/>
      <c r="N346" s="374"/>
      <c r="O346" s="374"/>
      <c r="P346" s="374"/>
      <c r="Q346" s="374"/>
      <c r="R346" s="374"/>
      <c r="S346" s="374"/>
      <c r="T346" s="374"/>
      <c r="U346" s="374"/>
      <c r="V346" s="374"/>
      <c r="W346" s="374"/>
      <c r="X346" s="374"/>
      <c r="Y346" s="374"/>
    </row>
    <row r="347" spans="1:25" s="385" customFormat="1" x14ac:dyDescent="0.25">
      <c r="A347" s="374">
        <f t="shared" si="21"/>
        <v>0</v>
      </c>
      <c r="B347" s="377" t="s">
        <v>1105</v>
      </c>
      <c r="C347" s="374"/>
      <c r="D347" s="374"/>
      <c r="E347" s="374"/>
      <c r="F347" s="374"/>
      <c r="G347" s="374"/>
      <c r="H347" s="374"/>
      <c r="I347" s="374"/>
      <c r="J347" s="374"/>
      <c r="K347" s="374"/>
      <c r="L347" s="374"/>
      <c r="M347" s="374"/>
      <c r="N347" s="374"/>
      <c r="O347" s="374"/>
      <c r="P347" s="374"/>
      <c r="Q347" s="374"/>
      <c r="R347" s="374"/>
      <c r="S347" s="374"/>
      <c r="T347" s="374"/>
      <c r="U347" s="374"/>
      <c r="V347" s="374"/>
      <c r="W347" s="374"/>
      <c r="X347" s="374"/>
      <c r="Y347" s="374"/>
    </row>
    <row r="348" spans="1:25" s="385" customFormat="1" x14ac:dyDescent="0.25">
      <c r="A348" s="374">
        <f t="shared" si="21"/>
        <v>0</v>
      </c>
      <c r="B348" s="377" t="s">
        <v>1106</v>
      </c>
      <c r="C348" s="374"/>
      <c r="D348" s="374"/>
      <c r="E348" s="374"/>
      <c r="F348" s="374"/>
      <c r="G348" s="374"/>
      <c r="H348" s="374"/>
      <c r="I348" s="374"/>
      <c r="J348" s="374"/>
      <c r="K348" s="374"/>
      <c r="L348" s="374"/>
      <c r="M348" s="374"/>
      <c r="N348" s="374"/>
      <c r="O348" s="374"/>
      <c r="P348" s="374"/>
      <c r="Q348" s="374"/>
      <c r="R348" s="374"/>
      <c r="S348" s="374"/>
      <c r="T348" s="374"/>
      <c r="U348" s="374"/>
      <c r="V348" s="374"/>
      <c r="W348" s="374"/>
      <c r="X348" s="374"/>
      <c r="Y348" s="374"/>
    </row>
    <row r="349" spans="1:25" s="385" customFormat="1" x14ac:dyDescent="0.25">
      <c r="A349" s="374">
        <f t="shared" si="21"/>
        <v>0</v>
      </c>
      <c r="B349" s="377" t="s">
        <v>1107</v>
      </c>
      <c r="C349" s="374"/>
      <c r="D349" s="374"/>
      <c r="E349" s="374"/>
      <c r="F349" s="374"/>
      <c r="G349" s="374"/>
      <c r="H349" s="374"/>
      <c r="I349" s="374"/>
      <c r="J349" s="374"/>
      <c r="K349" s="374"/>
      <c r="L349" s="374"/>
      <c r="M349" s="374"/>
      <c r="N349" s="374"/>
      <c r="O349" s="374"/>
      <c r="P349" s="374"/>
      <c r="Q349" s="374"/>
      <c r="R349" s="374"/>
      <c r="S349" s="374"/>
      <c r="T349" s="374"/>
      <c r="U349" s="374"/>
      <c r="V349" s="374"/>
      <c r="W349" s="374"/>
      <c r="X349" s="374"/>
      <c r="Y349" s="374"/>
    </row>
    <row r="350" spans="1:25" s="385" customFormat="1" x14ac:dyDescent="0.25">
      <c r="A350" s="374">
        <f t="shared" si="21"/>
        <v>0</v>
      </c>
      <c r="B350" s="377" t="s">
        <v>1108</v>
      </c>
      <c r="C350" s="374"/>
      <c r="D350" s="374"/>
      <c r="E350" s="374"/>
      <c r="F350" s="374"/>
      <c r="G350" s="374"/>
      <c r="H350" s="374"/>
      <c r="I350" s="374"/>
      <c r="J350" s="374"/>
      <c r="K350" s="374"/>
      <c r="L350" s="374"/>
      <c r="M350" s="374"/>
      <c r="N350" s="374"/>
      <c r="O350" s="374"/>
      <c r="P350" s="374"/>
      <c r="Q350" s="374"/>
      <c r="R350" s="374"/>
      <c r="S350" s="374"/>
      <c r="T350" s="374"/>
      <c r="U350" s="374"/>
      <c r="V350" s="374"/>
      <c r="W350" s="374"/>
      <c r="X350" s="374"/>
      <c r="Y350" s="374"/>
    </row>
    <row r="351" spans="1:25" s="385" customFormat="1" x14ac:dyDescent="0.25">
      <c r="A351" s="374">
        <f t="shared" si="21"/>
        <v>0</v>
      </c>
      <c r="B351" s="377" t="s">
        <v>1109</v>
      </c>
      <c r="C351" s="374"/>
      <c r="D351" s="374"/>
      <c r="E351" s="374"/>
      <c r="F351" s="374"/>
      <c r="G351" s="374"/>
      <c r="H351" s="374"/>
      <c r="I351" s="374"/>
      <c r="J351" s="374"/>
      <c r="K351" s="374"/>
      <c r="L351" s="374"/>
      <c r="M351" s="374"/>
      <c r="N351" s="374"/>
      <c r="O351" s="374"/>
      <c r="P351" s="374"/>
      <c r="Q351" s="374"/>
      <c r="R351" s="374"/>
      <c r="S351" s="374"/>
      <c r="T351" s="374"/>
      <c r="U351" s="374"/>
      <c r="V351" s="374"/>
      <c r="W351" s="374"/>
      <c r="X351" s="374"/>
      <c r="Y351" s="374"/>
    </row>
    <row r="352" spans="1:25" x14ac:dyDescent="0.25">
      <c r="A352" s="374">
        <f t="shared" si="21"/>
        <v>0</v>
      </c>
      <c r="B352" s="377" t="s">
        <v>1110</v>
      </c>
    </row>
    <row r="353" spans="1:2" x14ac:dyDescent="0.25">
      <c r="A353" s="374">
        <f t="shared" si="21"/>
        <v>0</v>
      </c>
      <c r="B353" s="377" t="s">
        <v>1111</v>
      </c>
    </row>
    <row r="354" spans="1:2" x14ac:dyDescent="0.25">
      <c r="A354" s="374">
        <f t="shared" si="21"/>
        <v>0</v>
      </c>
      <c r="B354" s="377" t="s">
        <v>1112</v>
      </c>
    </row>
    <row r="355" spans="1:2" x14ac:dyDescent="0.25">
      <c r="A355" s="374">
        <f t="shared" si="21"/>
        <v>0</v>
      </c>
      <c r="B355" s="377" t="s">
        <v>1113</v>
      </c>
    </row>
    <row r="356" spans="1:2" x14ac:dyDescent="0.25">
      <c r="A356" s="374">
        <f t="shared" si="21"/>
        <v>0</v>
      </c>
      <c r="B356" s="377" t="s">
        <v>1114</v>
      </c>
    </row>
    <row r="357" spans="1:2" x14ac:dyDescent="0.25">
      <c r="A357" s="374">
        <f t="shared" si="21"/>
        <v>0</v>
      </c>
      <c r="B357" s="377" t="s">
        <v>1115</v>
      </c>
    </row>
    <row r="358" spans="1:2" x14ac:dyDescent="0.25">
      <c r="A358" s="374">
        <f t="shared" si="21"/>
        <v>0</v>
      </c>
      <c r="B358" s="377" t="s">
        <v>1116</v>
      </c>
    </row>
    <row r="359" spans="1:2" x14ac:dyDescent="0.25">
      <c r="A359" s="374">
        <f t="shared" si="21"/>
        <v>0</v>
      </c>
      <c r="B359" s="377" t="s">
        <v>1117</v>
      </c>
    </row>
    <row r="360" spans="1:2" x14ac:dyDescent="0.25">
      <c r="A360" s="374">
        <f t="shared" si="21"/>
        <v>0</v>
      </c>
      <c r="B360" s="377" t="s">
        <v>1118</v>
      </c>
    </row>
    <row r="361" spans="1:2" x14ac:dyDescent="0.25">
      <c r="A361" s="374">
        <f t="shared" si="21"/>
        <v>0</v>
      </c>
      <c r="B361" s="377" t="s">
        <v>1119</v>
      </c>
    </row>
    <row r="362" spans="1:2" x14ac:dyDescent="0.25">
      <c r="A362" s="374">
        <f t="shared" si="21"/>
        <v>0</v>
      </c>
      <c r="B362" s="377" t="s">
        <v>1120</v>
      </c>
    </row>
    <row r="363" spans="1:2" x14ac:dyDescent="0.25">
      <c r="A363" s="386">
        <f t="shared" si="21"/>
        <v>0</v>
      </c>
      <c r="B363" s="382" t="s">
        <v>1121</v>
      </c>
    </row>
    <row r="364" spans="1:2" x14ac:dyDescent="0.25">
      <c r="A364" s="374">
        <f t="shared" si="21"/>
        <v>0</v>
      </c>
      <c r="B364" s="377" t="s">
        <v>1122</v>
      </c>
    </row>
    <row r="365" spans="1:2" x14ac:dyDescent="0.25">
      <c r="A365" s="374">
        <f t="shared" si="21"/>
        <v>0</v>
      </c>
      <c r="B365" s="377" t="s">
        <v>1123</v>
      </c>
    </row>
    <row r="366" spans="1:2" x14ac:dyDescent="0.25">
      <c r="A366" s="374">
        <f t="shared" si="21"/>
        <v>0</v>
      </c>
      <c r="B366" s="377" t="s">
        <v>1124</v>
      </c>
    </row>
    <row r="367" spans="1:2" x14ac:dyDescent="0.25">
      <c r="A367" s="374">
        <f t="shared" si="21"/>
        <v>0</v>
      </c>
      <c r="B367" s="377" t="s">
        <v>1125</v>
      </c>
    </row>
    <row r="368" spans="1:2" x14ac:dyDescent="0.25">
      <c r="A368" s="374">
        <f t="shared" si="21"/>
        <v>0</v>
      </c>
      <c r="B368" s="377" t="s">
        <v>1126</v>
      </c>
    </row>
    <row r="369" spans="1:2" x14ac:dyDescent="0.25">
      <c r="A369" s="374">
        <f t="shared" si="21"/>
        <v>0</v>
      </c>
      <c r="B369" s="377" t="s">
        <v>1127</v>
      </c>
    </row>
    <row r="370" spans="1:2" x14ac:dyDescent="0.25">
      <c r="A370" s="374">
        <f t="shared" ref="A370:A401" si="22">COUNTIF($B$8:$B$313,B370)</f>
        <v>0</v>
      </c>
      <c r="B370" s="377" t="s">
        <v>1128</v>
      </c>
    </row>
    <row r="371" spans="1:2" x14ac:dyDescent="0.25">
      <c r="A371" s="374">
        <f t="shared" si="22"/>
        <v>0</v>
      </c>
      <c r="B371" s="377" t="s">
        <v>1129</v>
      </c>
    </row>
    <row r="372" spans="1:2" x14ac:dyDescent="0.25">
      <c r="A372" s="374">
        <f t="shared" si="22"/>
        <v>0</v>
      </c>
      <c r="B372" s="377" t="s">
        <v>1130</v>
      </c>
    </row>
    <row r="373" spans="1:2" x14ac:dyDescent="0.25">
      <c r="A373" s="374">
        <f t="shared" si="22"/>
        <v>0</v>
      </c>
      <c r="B373" s="377" t="s">
        <v>1131</v>
      </c>
    </row>
    <row r="374" spans="1:2" x14ac:dyDescent="0.25">
      <c r="A374" s="374">
        <f t="shared" si="22"/>
        <v>0</v>
      </c>
      <c r="B374" s="377" t="s">
        <v>1132</v>
      </c>
    </row>
    <row r="375" spans="1:2" x14ac:dyDescent="0.25">
      <c r="A375" s="374">
        <f t="shared" si="22"/>
        <v>0</v>
      </c>
      <c r="B375" s="377" t="s">
        <v>1133</v>
      </c>
    </row>
    <row r="376" spans="1:2" x14ac:dyDescent="0.25">
      <c r="A376" s="374">
        <f t="shared" si="22"/>
        <v>0</v>
      </c>
      <c r="B376" s="377" t="s">
        <v>1134</v>
      </c>
    </row>
    <row r="377" spans="1:2" x14ac:dyDescent="0.25">
      <c r="A377" s="374">
        <f t="shared" si="22"/>
        <v>0</v>
      </c>
      <c r="B377" s="377" t="s">
        <v>1135</v>
      </c>
    </row>
    <row r="378" spans="1:2" x14ac:dyDescent="0.25">
      <c r="A378" s="374">
        <f t="shared" si="22"/>
        <v>0</v>
      </c>
      <c r="B378" s="377" t="s">
        <v>1136</v>
      </c>
    </row>
    <row r="379" spans="1:2" x14ac:dyDescent="0.25">
      <c r="A379" s="374">
        <f t="shared" si="22"/>
        <v>0</v>
      </c>
      <c r="B379" s="377" t="s">
        <v>1137</v>
      </c>
    </row>
    <row r="380" spans="1:2" x14ac:dyDescent="0.25">
      <c r="A380" s="374">
        <f t="shared" si="22"/>
        <v>0</v>
      </c>
      <c r="B380" s="377" t="s">
        <v>1138</v>
      </c>
    </row>
    <row r="381" spans="1:2" x14ac:dyDescent="0.25">
      <c r="A381" s="374">
        <f t="shared" si="22"/>
        <v>0</v>
      </c>
      <c r="B381" s="377" t="s">
        <v>1139</v>
      </c>
    </row>
    <row r="382" spans="1:2" x14ac:dyDescent="0.25">
      <c r="A382" s="374">
        <f t="shared" si="22"/>
        <v>0</v>
      </c>
      <c r="B382" s="377" t="s">
        <v>1140</v>
      </c>
    </row>
    <row r="383" spans="1:2" x14ac:dyDescent="0.25">
      <c r="A383" s="374">
        <f t="shared" si="22"/>
        <v>0</v>
      </c>
      <c r="B383" s="377" t="s">
        <v>1141</v>
      </c>
    </row>
    <row r="384" spans="1:2" x14ac:dyDescent="0.25">
      <c r="A384" s="374">
        <f t="shared" si="22"/>
        <v>0</v>
      </c>
      <c r="B384" s="377" t="s">
        <v>1142</v>
      </c>
    </row>
    <row r="385" spans="1:2" x14ac:dyDescent="0.25">
      <c r="A385" s="374">
        <f t="shared" si="22"/>
        <v>0</v>
      </c>
      <c r="B385" s="377" t="s">
        <v>1143</v>
      </c>
    </row>
    <row r="386" spans="1:2" x14ac:dyDescent="0.25">
      <c r="A386" s="374">
        <f t="shared" si="22"/>
        <v>0</v>
      </c>
      <c r="B386" s="377" t="s">
        <v>1144</v>
      </c>
    </row>
    <row r="387" spans="1:2" x14ac:dyDescent="0.25">
      <c r="A387" s="374">
        <f t="shared" si="22"/>
        <v>0</v>
      </c>
      <c r="B387" s="377" t="s">
        <v>1145</v>
      </c>
    </row>
    <row r="388" spans="1:2" x14ac:dyDescent="0.25">
      <c r="A388" s="374">
        <f t="shared" si="22"/>
        <v>0</v>
      </c>
      <c r="B388" s="377" t="s">
        <v>1146</v>
      </c>
    </row>
    <row r="389" spans="1:2" x14ac:dyDescent="0.25">
      <c r="A389" s="374">
        <f t="shared" si="22"/>
        <v>0</v>
      </c>
      <c r="B389" s="377" t="s">
        <v>1147</v>
      </c>
    </row>
    <row r="390" spans="1:2" x14ac:dyDescent="0.25">
      <c r="A390" s="374">
        <f t="shared" si="22"/>
        <v>0</v>
      </c>
      <c r="B390" s="377" t="s">
        <v>1148</v>
      </c>
    </row>
    <row r="391" spans="1:2" x14ac:dyDescent="0.25">
      <c r="A391" s="374">
        <f t="shared" si="22"/>
        <v>0</v>
      </c>
      <c r="B391" s="377" t="s">
        <v>1149</v>
      </c>
    </row>
    <row r="392" spans="1:2" x14ac:dyDescent="0.25">
      <c r="A392" s="374">
        <f t="shared" si="22"/>
        <v>0</v>
      </c>
      <c r="B392" s="377" t="s">
        <v>1150</v>
      </c>
    </row>
    <row r="393" spans="1:2" x14ac:dyDescent="0.25">
      <c r="A393" s="374">
        <f t="shared" si="22"/>
        <v>0</v>
      </c>
      <c r="B393" s="377" t="s">
        <v>1151</v>
      </c>
    </row>
    <row r="394" spans="1:2" x14ac:dyDescent="0.25">
      <c r="A394" s="374">
        <f t="shared" si="22"/>
        <v>0</v>
      </c>
      <c r="B394" s="377" t="s">
        <v>1152</v>
      </c>
    </row>
    <row r="395" spans="1:2" x14ac:dyDescent="0.25">
      <c r="A395" s="374">
        <f t="shared" si="22"/>
        <v>0</v>
      </c>
      <c r="B395" s="377" t="s">
        <v>1153</v>
      </c>
    </row>
    <row r="396" spans="1:2" x14ac:dyDescent="0.25">
      <c r="A396" s="374">
        <f t="shared" si="22"/>
        <v>0</v>
      </c>
      <c r="B396" s="377" t="s">
        <v>1154</v>
      </c>
    </row>
    <row r="397" spans="1:2" x14ac:dyDescent="0.25">
      <c r="A397" s="374">
        <f t="shared" si="22"/>
        <v>0</v>
      </c>
      <c r="B397" s="377" t="s">
        <v>1155</v>
      </c>
    </row>
    <row r="398" spans="1:2" x14ac:dyDescent="0.25">
      <c r="A398" s="374">
        <f t="shared" si="22"/>
        <v>0</v>
      </c>
      <c r="B398" s="377" t="s">
        <v>1156</v>
      </c>
    </row>
    <row r="399" spans="1:2" x14ac:dyDescent="0.25">
      <c r="A399" s="374">
        <f t="shared" si="22"/>
        <v>0</v>
      </c>
      <c r="B399" s="377" t="s">
        <v>1157</v>
      </c>
    </row>
    <row r="400" spans="1:2" x14ac:dyDescent="0.25">
      <c r="A400" s="374">
        <f t="shared" si="22"/>
        <v>0</v>
      </c>
      <c r="B400" s="377" t="s">
        <v>1158</v>
      </c>
    </row>
    <row r="401" spans="1:2" x14ac:dyDescent="0.25">
      <c r="A401" s="374">
        <f t="shared" si="22"/>
        <v>0</v>
      </c>
      <c r="B401" s="377" t="s">
        <v>1159</v>
      </c>
    </row>
    <row r="402" spans="1:2" x14ac:dyDescent="0.25">
      <c r="A402" s="374">
        <f t="shared" ref="A402:A430" si="23">COUNTIF($B$8:$B$313,B402)</f>
        <v>0</v>
      </c>
      <c r="B402" s="377" t="s">
        <v>1160</v>
      </c>
    </row>
    <row r="403" spans="1:2" x14ac:dyDescent="0.25">
      <c r="A403" s="374">
        <f t="shared" si="23"/>
        <v>0</v>
      </c>
      <c r="B403" s="377" t="s">
        <v>1161</v>
      </c>
    </row>
    <row r="404" spans="1:2" x14ac:dyDescent="0.25">
      <c r="A404" s="374">
        <f t="shared" si="23"/>
        <v>0</v>
      </c>
      <c r="B404" s="377" t="s">
        <v>1162</v>
      </c>
    </row>
    <row r="405" spans="1:2" x14ac:dyDescent="0.25">
      <c r="A405" s="374">
        <f t="shared" si="23"/>
        <v>0</v>
      </c>
      <c r="B405" s="377" t="s">
        <v>1163</v>
      </c>
    </row>
    <row r="406" spans="1:2" x14ac:dyDescent="0.25">
      <c r="A406" s="374">
        <f t="shared" si="23"/>
        <v>0</v>
      </c>
      <c r="B406" s="377" t="s">
        <v>1164</v>
      </c>
    </row>
    <row r="407" spans="1:2" x14ac:dyDescent="0.25">
      <c r="A407" s="374">
        <f t="shared" si="23"/>
        <v>0</v>
      </c>
      <c r="B407" s="377" t="s">
        <v>1165</v>
      </c>
    </row>
    <row r="408" spans="1:2" x14ac:dyDescent="0.25">
      <c r="A408" s="374">
        <f t="shared" si="23"/>
        <v>0</v>
      </c>
      <c r="B408" s="377" t="s">
        <v>1166</v>
      </c>
    </row>
    <row r="409" spans="1:2" x14ac:dyDescent="0.25">
      <c r="A409" s="374">
        <f t="shared" si="23"/>
        <v>0</v>
      </c>
      <c r="B409" s="377" t="s">
        <v>1167</v>
      </c>
    </row>
    <row r="410" spans="1:2" x14ac:dyDescent="0.25">
      <c r="A410" s="374">
        <f t="shared" si="23"/>
        <v>0</v>
      </c>
      <c r="B410" s="377" t="s">
        <v>1168</v>
      </c>
    </row>
    <row r="411" spans="1:2" x14ac:dyDescent="0.25">
      <c r="A411" s="374">
        <f t="shared" si="23"/>
        <v>0</v>
      </c>
      <c r="B411" s="377" t="s">
        <v>1169</v>
      </c>
    </row>
    <row r="412" spans="1:2" x14ac:dyDescent="0.25">
      <c r="A412" s="374">
        <f t="shared" si="23"/>
        <v>0</v>
      </c>
      <c r="B412" s="377" t="s">
        <v>1170</v>
      </c>
    </row>
    <row r="413" spans="1:2" x14ac:dyDescent="0.25">
      <c r="A413" s="374">
        <f t="shared" si="23"/>
        <v>0</v>
      </c>
      <c r="B413" s="377" t="s">
        <v>1171</v>
      </c>
    </row>
    <row r="414" spans="1:2" x14ac:dyDescent="0.25">
      <c r="A414" s="374">
        <f t="shared" si="23"/>
        <v>0</v>
      </c>
      <c r="B414" s="377" t="s">
        <v>1172</v>
      </c>
    </row>
    <row r="415" spans="1:2" x14ac:dyDescent="0.25">
      <c r="A415" s="374">
        <f t="shared" si="23"/>
        <v>0</v>
      </c>
      <c r="B415" s="377" t="s">
        <v>1173</v>
      </c>
    </row>
    <row r="416" spans="1:2" x14ac:dyDescent="0.25">
      <c r="A416" s="374">
        <f t="shared" si="23"/>
        <v>0</v>
      </c>
      <c r="B416" s="377" t="s">
        <v>1174</v>
      </c>
    </row>
    <row r="417" spans="1:2" x14ac:dyDescent="0.25">
      <c r="A417" s="374">
        <f t="shared" si="23"/>
        <v>0</v>
      </c>
      <c r="B417" s="377" t="s">
        <v>1175</v>
      </c>
    </row>
    <row r="418" spans="1:2" x14ac:dyDescent="0.25">
      <c r="A418" s="374">
        <f t="shared" si="23"/>
        <v>0</v>
      </c>
      <c r="B418" s="377" t="s">
        <v>1176</v>
      </c>
    </row>
    <row r="419" spans="1:2" x14ac:dyDescent="0.25">
      <c r="A419" s="374">
        <f t="shared" si="23"/>
        <v>0</v>
      </c>
      <c r="B419" s="377" t="s">
        <v>1177</v>
      </c>
    </row>
    <row r="420" spans="1:2" x14ac:dyDescent="0.25">
      <c r="A420" s="374">
        <f t="shared" si="23"/>
        <v>0</v>
      </c>
      <c r="B420" s="377" t="s">
        <v>1178</v>
      </c>
    </row>
    <row r="421" spans="1:2" x14ac:dyDescent="0.25">
      <c r="A421" s="374">
        <f t="shared" si="23"/>
        <v>0</v>
      </c>
      <c r="B421" s="377" t="s">
        <v>1179</v>
      </c>
    </row>
    <row r="422" spans="1:2" x14ac:dyDescent="0.25">
      <c r="A422" s="374">
        <f t="shared" si="23"/>
        <v>0</v>
      </c>
      <c r="B422" s="377" t="s">
        <v>1180</v>
      </c>
    </row>
    <row r="423" spans="1:2" x14ac:dyDescent="0.25">
      <c r="A423" s="374">
        <f t="shared" si="23"/>
        <v>0</v>
      </c>
      <c r="B423" s="377" t="s">
        <v>1181</v>
      </c>
    </row>
    <row r="424" spans="1:2" x14ac:dyDescent="0.25">
      <c r="A424" s="374">
        <f t="shared" si="23"/>
        <v>0</v>
      </c>
      <c r="B424" s="377" t="s">
        <v>1182</v>
      </c>
    </row>
    <row r="425" spans="1:2" x14ac:dyDescent="0.25">
      <c r="A425" s="374">
        <f t="shared" si="23"/>
        <v>0</v>
      </c>
      <c r="B425" s="377" t="s">
        <v>1183</v>
      </c>
    </row>
    <row r="426" spans="1:2" x14ac:dyDescent="0.25">
      <c r="A426" s="374">
        <f t="shared" si="23"/>
        <v>0</v>
      </c>
      <c r="B426" s="377" t="s">
        <v>1184</v>
      </c>
    </row>
    <row r="427" spans="1:2" x14ac:dyDescent="0.25">
      <c r="A427" s="374">
        <f t="shared" si="23"/>
        <v>0</v>
      </c>
      <c r="B427" s="377" t="s">
        <v>1185</v>
      </c>
    </row>
    <row r="428" spans="1:2" x14ac:dyDescent="0.25">
      <c r="A428" s="374">
        <f t="shared" si="23"/>
        <v>0</v>
      </c>
      <c r="B428" s="377" t="s">
        <v>1186</v>
      </c>
    </row>
    <row r="429" spans="1:2" x14ac:dyDescent="0.25">
      <c r="A429" s="374">
        <f t="shared" si="23"/>
        <v>0</v>
      </c>
      <c r="B429" s="377" t="s">
        <v>1187</v>
      </c>
    </row>
    <row r="430" spans="1:2" x14ac:dyDescent="0.25">
      <c r="A430" s="374">
        <f t="shared" si="23"/>
        <v>0</v>
      </c>
      <c r="B430" s="377" t="s">
        <v>1188</v>
      </c>
    </row>
    <row r="431" spans="1:2" x14ac:dyDescent="0.25">
      <c r="B431" s="377"/>
    </row>
    <row r="432" spans="1:2" x14ac:dyDescent="0.25">
      <c r="B432" s="377"/>
    </row>
    <row r="433" spans="2:2" x14ac:dyDescent="0.25">
      <c r="B433" s="377"/>
    </row>
    <row r="434" spans="2:2" x14ac:dyDescent="0.25">
      <c r="B434" s="377"/>
    </row>
    <row r="435" spans="2:2" x14ac:dyDescent="0.25">
      <c r="B435" s="377"/>
    </row>
    <row r="436" spans="2:2" x14ac:dyDescent="0.25">
      <c r="B436" s="377"/>
    </row>
    <row r="437" spans="2:2" x14ac:dyDescent="0.25">
      <c r="B437" s="377"/>
    </row>
    <row r="438" spans="2:2" x14ac:dyDescent="0.25">
      <c r="B438" s="377"/>
    </row>
    <row r="439" spans="2:2" x14ac:dyDescent="0.25">
      <c r="B439" s="377"/>
    </row>
    <row r="440" spans="2:2" x14ac:dyDescent="0.25">
      <c r="B440" s="377"/>
    </row>
    <row r="441" spans="2:2" x14ac:dyDescent="0.25">
      <c r="B441" s="377"/>
    </row>
    <row r="442" spans="2:2" x14ac:dyDescent="0.25">
      <c r="B442" s="383"/>
    </row>
    <row r="443" spans="2:2" x14ac:dyDescent="0.25">
      <c r="B443" s="383"/>
    </row>
    <row r="444" spans="2:2" x14ac:dyDescent="0.25">
      <c r="B444" s="383"/>
    </row>
    <row r="445" spans="2:2" x14ac:dyDescent="0.25">
      <c r="B445" s="383"/>
    </row>
    <row r="446" spans="2:2" x14ac:dyDescent="0.25">
      <c r="B446" s="383"/>
    </row>
    <row r="447" spans="2:2" x14ac:dyDescent="0.25">
      <c r="B447" s="383"/>
    </row>
    <row r="448" spans="2:2" x14ac:dyDescent="0.25">
      <c r="B448" s="383"/>
    </row>
    <row r="449" spans="2:2" x14ac:dyDescent="0.25">
      <c r="B449" s="383"/>
    </row>
    <row r="450" spans="2:2" x14ac:dyDescent="0.25">
      <c r="B450" s="383"/>
    </row>
    <row r="451" spans="2:2" x14ac:dyDescent="0.25">
      <c r="B451" s="383"/>
    </row>
    <row r="452" spans="2:2" x14ac:dyDescent="0.25">
      <c r="B452" s="383"/>
    </row>
    <row r="453" spans="2:2" x14ac:dyDescent="0.25">
      <c r="B453" s="383"/>
    </row>
    <row r="454" spans="2:2" x14ac:dyDescent="0.25">
      <c r="B454" s="383"/>
    </row>
    <row r="455" spans="2:2" x14ac:dyDescent="0.25">
      <c r="B455" s="383"/>
    </row>
    <row r="456" spans="2:2" x14ac:dyDescent="0.25">
      <c r="B456" s="383"/>
    </row>
    <row r="457" spans="2:2" x14ac:dyDescent="0.25">
      <c r="B457" s="383"/>
    </row>
    <row r="458" spans="2:2" x14ac:dyDescent="0.25">
      <c r="B458" s="383"/>
    </row>
    <row r="459" spans="2:2" x14ac:dyDescent="0.25">
      <c r="B459" s="383"/>
    </row>
    <row r="460" spans="2:2" x14ac:dyDescent="0.25">
      <c r="B460" s="383"/>
    </row>
    <row r="461" spans="2:2" x14ac:dyDescent="0.25">
      <c r="B461" s="383"/>
    </row>
    <row r="462" spans="2:2" x14ac:dyDescent="0.25">
      <c r="B462" s="383"/>
    </row>
    <row r="463" spans="2:2" x14ac:dyDescent="0.25">
      <c r="B463" s="383"/>
    </row>
    <row r="464" spans="2:2" x14ac:dyDescent="0.25">
      <c r="B464" s="383"/>
    </row>
    <row r="465" spans="2:2" x14ac:dyDescent="0.25">
      <c r="B465" s="383"/>
    </row>
    <row r="466" spans="2:2" x14ac:dyDescent="0.25">
      <c r="B466" s="383"/>
    </row>
    <row r="467" spans="2:2" x14ac:dyDescent="0.25">
      <c r="B467" s="383"/>
    </row>
    <row r="468" spans="2:2" x14ac:dyDescent="0.25">
      <c r="B468" s="383"/>
    </row>
    <row r="469" spans="2:2" x14ac:dyDescent="0.25">
      <c r="B469" s="383"/>
    </row>
    <row r="470" spans="2:2" x14ac:dyDescent="0.25">
      <c r="B470" s="383"/>
    </row>
    <row r="471" spans="2:2" x14ac:dyDescent="0.25">
      <c r="B471" s="383"/>
    </row>
    <row r="472" spans="2:2" x14ac:dyDescent="0.25">
      <c r="B472" s="383"/>
    </row>
    <row r="473" spans="2:2" x14ac:dyDescent="0.25">
      <c r="B473" s="383"/>
    </row>
    <row r="474" spans="2:2" x14ac:dyDescent="0.25">
      <c r="B474" s="383"/>
    </row>
    <row r="475" spans="2:2" x14ac:dyDescent="0.25">
      <c r="B475" s="383"/>
    </row>
    <row r="476" spans="2:2" x14ac:dyDescent="0.25">
      <c r="B476" s="383"/>
    </row>
    <row r="477" spans="2:2" x14ac:dyDescent="0.25">
      <c r="B477" s="383"/>
    </row>
    <row r="478" spans="2:2" x14ac:dyDescent="0.25">
      <c r="B478" s="383"/>
    </row>
    <row r="479" spans="2:2" x14ac:dyDescent="0.25">
      <c r="B479" s="383"/>
    </row>
    <row r="480" spans="2:2" x14ac:dyDescent="0.25">
      <c r="B480" s="383"/>
    </row>
    <row r="481" spans="2:2" x14ac:dyDescent="0.25">
      <c r="B481" s="383"/>
    </row>
    <row r="482" spans="2:2" x14ac:dyDescent="0.25">
      <c r="B482" s="383"/>
    </row>
    <row r="483" spans="2:2" x14ac:dyDescent="0.25">
      <c r="B483" s="383"/>
    </row>
    <row r="484" spans="2:2" x14ac:dyDescent="0.25">
      <c r="B484" s="383"/>
    </row>
    <row r="485" spans="2:2" x14ac:dyDescent="0.25">
      <c r="B485" s="383"/>
    </row>
    <row r="486" spans="2:2" x14ac:dyDescent="0.25">
      <c r="B486" s="383"/>
    </row>
    <row r="487" spans="2:2" x14ac:dyDescent="0.25">
      <c r="B487" s="383"/>
    </row>
    <row r="488" spans="2:2" x14ac:dyDescent="0.25">
      <c r="B488" s="383"/>
    </row>
    <row r="489" spans="2:2" x14ac:dyDescent="0.25">
      <c r="B489" s="383"/>
    </row>
    <row r="490" spans="2:2" x14ac:dyDescent="0.25">
      <c r="B490" s="383"/>
    </row>
    <row r="491" spans="2:2" x14ac:dyDescent="0.25">
      <c r="B491" s="383"/>
    </row>
    <row r="492" spans="2:2" x14ac:dyDescent="0.25">
      <c r="B492" s="383"/>
    </row>
    <row r="493" spans="2:2" x14ac:dyDescent="0.25">
      <c r="B493" s="383"/>
    </row>
    <row r="494" spans="2:2" x14ac:dyDescent="0.25">
      <c r="B494" s="383"/>
    </row>
    <row r="495" spans="2:2" x14ac:dyDescent="0.25">
      <c r="B495" s="383"/>
    </row>
    <row r="496" spans="2:2" x14ac:dyDescent="0.25">
      <c r="B496" s="383"/>
    </row>
    <row r="497" spans="2:2" x14ac:dyDescent="0.25">
      <c r="B497" s="383"/>
    </row>
    <row r="498" spans="2:2" x14ac:dyDescent="0.25">
      <c r="B498" s="383"/>
    </row>
    <row r="499" spans="2:2" x14ac:dyDescent="0.25">
      <c r="B499" s="383"/>
    </row>
    <row r="500" spans="2:2" x14ac:dyDescent="0.25">
      <c r="B500" s="383"/>
    </row>
    <row r="501" spans="2:2" x14ac:dyDescent="0.25">
      <c r="B501" s="383"/>
    </row>
    <row r="502" spans="2:2" x14ac:dyDescent="0.25">
      <c r="B502" s="383"/>
    </row>
    <row r="503" spans="2:2" x14ac:dyDescent="0.25">
      <c r="B503" s="383"/>
    </row>
    <row r="504" spans="2:2" x14ac:dyDescent="0.25">
      <c r="B504" s="377"/>
    </row>
    <row r="505" spans="2:2" x14ac:dyDescent="0.25">
      <c r="B505" s="377"/>
    </row>
    <row r="506" spans="2:2" x14ac:dyDescent="0.25">
      <c r="B506" s="377"/>
    </row>
    <row r="507" spans="2:2" x14ac:dyDescent="0.25">
      <c r="B507" s="377"/>
    </row>
    <row r="508" spans="2:2" x14ac:dyDescent="0.25">
      <c r="B508" s="377"/>
    </row>
    <row r="509" spans="2:2" x14ac:dyDescent="0.25">
      <c r="B509" s="377"/>
    </row>
    <row r="510" spans="2:2" x14ac:dyDescent="0.25">
      <c r="B510" s="377"/>
    </row>
    <row r="511" spans="2:2" x14ac:dyDescent="0.25">
      <c r="B511" s="377"/>
    </row>
    <row r="512" spans="2:2" x14ac:dyDescent="0.25">
      <c r="B512" s="377"/>
    </row>
    <row r="513" spans="2:2" x14ac:dyDescent="0.25">
      <c r="B513" s="377"/>
    </row>
    <row r="514" spans="2:2" x14ac:dyDescent="0.25">
      <c r="B514" s="377"/>
    </row>
    <row r="515" spans="2:2" x14ac:dyDescent="0.25">
      <c r="B515" s="377"/>
    </row>
    <row r="516" spans="2:2" x14ac:dyDescent="0.25">
      <c r="B516" s="377"/>
    </row>
    <row r="517" spans="2:2" x14ac:dyDescent="0.25">
      <c r="B517" s="377"/>
    </row>
    <row r="518" spans="2:2" x14ac:dyDescent="0.25">
      <c r="B518" s="377"/>
    </row>
    <row r="519" spans="2:2" x14ac:dyDescent="0.25">
      <c r="B519" s="377"/>
    </row>
    <row r="520" spans="2:2" x14ac:dyDescent="0.25">
      <c r="B520" s="377"/>
    </row>
    <row r="521" spans="2:2" x14ac:dyDescent="0.25">
      <c r="B521" s="377"/>
    </row>
    <row r="522" spans="2:2" x14ac:dyDescent="0.25">
      <c r="B522" s="377"/>
    </row>
    <row r="523" spans="2:2" x14ac:dyDescent="0.25">
      <c r="B523" s="377"/>
    </row>
    <row r="524" spans="2:2" x14ac:dyDescent="0.25">
      <c r="B524" s="377"/>
    </row>
    <row r="525" spans="2:2" x14ac:dyDescent="0.25">
      <c r="B525" s="377"/>
    </row>
    <row r="526" spans="2:2" x14ac:dyDescent="0.25">
      <c r="B526" s="377"/>
    </row>
    <row r="527" spans="2:2" x14ac:dyDescent="0.25">
      <c r="B527" s="377"/>
    </row>
    <row r="528" spans="2:2" x14ac:dyDescent="0.25">
      <c r="B528" s="377"/>
    </row>
    <row r="529" spans="2:2" x14ac:dyDescent="0.25">
      <c r="B529" s="377"/>
    </row>
    <row r="530" spans="2:2" x14ac:dyDescent="0.25">
      <c r="B530" s="377"/>
    </row>
    <row r="531" spans="2:2" x14ac:dyDescent="0.25">
      <c r="B531" s="377"/>
    </row>
    <row r="532" spans="2:2" x14ac:dyDescent="0.25">
      <c r="B532" s="377"/>
    </row>
    <row r="533" spans="2:2" x14ac:dyDescent="0.25">
      <c r="B533" s="377"/>
    </row>
    <row r="534" spans="2:2" x14ac:dyDescent="0.25">
      <c r="B534" s="377"/>
    </row>
    <row r="535" spans="2:2" x14ac:dyDescent="0.25">
      <c r="B535" s="377"/>
    </row>
    <row r="536" spans="2:2" x14ac:dyDescent="0.25">
      <c r="B536" s="377"/>
    </row>
    <row r="537" spans="2:2" x14ac:dyDescent="0.25">
      <c r="B537" s="377"/>
    </row>
    <row r="538" spans="2:2" x14ac:dyDescent="0.25">
      <c r="B538" s="377"/>
    </row>
    <row r="539" spans="2:2" x14ac:dyDescent="0.25">
      <c r="B539" s="377"/>
    </row>
    <row r="540" spans="2:2" x14ac:dyDescent="0.25">
      <c r="B540" s="377"/>
    </row>
    <row r="541" spans="2:2" x14ac:dyDescent="0.25">
      <c r="B541" s="377"/>
    </row>
    <row r="542" spans="2:2" x14ac:dyDescent="0.25">
      <c r="B542" s="377"/>
    </row>
    <row r="543" spans="2:2" x14ac:dyDescent="0.25">
      <c r="B543" s="377"/>
    </row>
    <row r="544" spans="2:2" x14ac:dyDescent="0.25">
      <c r="B544" s="377"/>
    </row>
    <row r="545" spans="2:2" x14ac:dyDescent="0.25">
      <c r="B545" s="377"/>
    </row>
    <row r="546" spans="2:2" x14ac:dyDescent="0.25">
      <c r="B546" s="377"/>
    </row>
    <row r="547" spans="2:2" x14ac:dyDescent="0.25">
      <c r="B547" s="377"/>
    </row>
    <row r="548" spans="2:2" x14ac:dyDescent="0.25">
      <c r="B548" s="377"/>
    </row>
    <row r="549" spans="2:2" x14ac:dyDescent="0.25">
      <c r="B549" s="377"/>
    </row>
    <row r="550" spans="2:2" x14ac:dyDescent="0.25">
      <c r="B550" s="377"/>
    </row>
    <row r="551" spans="2:2" x14ac:dyDescent="0.25">
      <c r="B551" s="377"/>
    </row>
    <row r="552" spans="2:2" x14ac:dyDescent="0.25">
      <c r="B552" s="377"/>
    </row>
    <row r="553" spans="2:2" x14ac:dyDescent="0.25">
      <c r="B553" s="377"/>
    </row>
    <row r="554" spans="2:2" x14ac:dyDescent="0.25">
      <c r="B554" s="377"/>
    </row>
    <row r="555" spans="2:2" x14ac:dyDescent="0.25">
      <c r="B555" s="377"/>
    </row>
    <row r="556" spans="2:2" x14ac:dyDescent="0.25">
      <c r="B556" s="377"/>
    </row>
    <row r="557" spans="2:2" x14ac:dyDescent="0.25">
      <c r="B557" s="377"/>
    </row>
    <row r="558" spans="2:2" x14ac:dyDescent="0.25">
      <c r="B558" s="377"/>
    </row>
    <row r="559" spans="2:2" x14ac:dyDescent="0.25">
      <c r="B559" s="377"/>
    </row>
    <row r="560" spans="2:2" x14ac:dyDescent="0.25">
      <c r="B560" s="377"/>
    </row>
    <row r="561" spans="2:2" x14ac:dyDescent="0.25">
      <c r="B561" s="377"/>
    </row>
    <row r="562" spans="2:2" x14ac:dyDescent="0.25">
      <c r="B562" s="377"/>
    </row>
    <row r="563" spans="2:2" x14ac:dyDescent="0.25">
      <c r="B563" s="377"/>
    </row>
    <row r="564" spans="2:2" x14ac:dyDescent="0.25">
      <c r="B564" s="377"/>
    </row>
    <row r="565" spans="2:2" x14ac:dyDescent="0.25">
      <c r="B565" s="377"/>
    </row>
    <row r="566" spans="2:2" x14ac:dyDescent="0.25">
      <c r="B566" s="377"/>
    </row>
    <row r="567" spans="2:2" x14ac:dyDescent="0.25">
      <c r="B567" s="377"/>
    </row>
    <row r="568" spans="2:2" x14ac:dyDescent="0.25">
      <c r="B568" s="377"/>
    </row>
    <row r="569" spans="2:2" x14ac:dyDescent="0.25">
      <c r="B569" s="377"/>
    </row>
    <row r="570" spans="2:2" x14ac:dyDescent="0.25">
      <c r="B570" s="377"/>
    </row>
    <row r="571" spans="2:2" x14ac:dyDescent="0.25">
      <c r="B571" s="377"/>
    </row>
    <row r="572" spans="2:2" x14ac:dyDescent="0.25">
      <c r="B572" s="377"/>
    </row>
    <row r="573" spans="2:2" x14ac:dyDescent="0.25">
      <c r="B573" s="377"/>
    </row>
    <row r="574" spans="2:2" x14ac:dyDescent="0.25">
      <c r="B574" s="377"/>
    </row>
    <row r="575" spans="2:2" x14ac:dyDescent="0.25">
      <c r="B575" s="377"/>
    </row>
    <row r="576" spans="2:2" x14ac:dyDescent="0.25">
      <c r="B576" s="377"/>
    </row>
    <row r="577" spans="2:2" x14ac:dyDescent="0.25">
      <c r="B577" s="377"/>
    </row>
    <row r="578" spans="2:2" x14ac:dyDescent="0.25">
      <c r="B578" s="377"/>
    </row>
    <row r="579" spans="2:2" x14ac:dyDescent="0.25">
      <c r="B579" s="377"/>
    </row>
    <row r="580" spans="2:2" x14ac:dyDescent="0.25">
      <c r="B580" s="377"/>
    </row>
    <row r="581" spans="2:2" x14ac:dyDescent="0.25">
      <c r="B581" s="377"/>
    </row>
    <row r="582" spans="2:2" x14ac:dyDescent="0.25">
      <c r="B582" s="377"/>
    </row>
    <row r="583" spans="2:2" x14ac:dyDescent="0.25">
      <c r="B583" s="377"/>
    </row>
    <row r="584" spans="2:2" x14ac:dyDescent="0.25">
      <c r="B584" s="377"/>
    </row>
    <row r="585" spans="2:2" x14ac:dyDescent="0.25">
      <c r="B585" s="377"/>
    </row>
    <row r="586" spans="2:2" x14ac:dyDescent="0.25">
      <c r="B586" s="377"/>
    </row>
    <row r="587" spans="2:2" x14ac:dyDescent="0.25">
      <c r="B587" s="377"/>
    </row>
    <row r="588" spans="2:2" x14ac:dyDescent="0.25">
      <c r="B588" s="377"/>
    </row>
    <row r="589" spans="2:2" x14ac:dyDescent="0.25">
      <c r="B589" s="377"/>
    </row>
    <row r="590" spans="2:2" x14ac:dyDescent="0.25">
      <c r="B590" s="377"/>
    </row>
    <row r="591" spans="2:2" x14ac:dyDescent="0.25">
      <c r="B591" s="377"/>
    </row>
    <row r="592" spans="2:2" x14ac:dyDescent="0.25">
      <c r="B592" s="377"/>
    </row>
    <row r="593" spans="2:2" x14ac:dyDescent="0.25">
      <c r="B593" s="377"/>
    </row>
    <row r="594" spans="2:2" x14ac:dyDescent="0.25">
      <c r="B594" s="377"/>
    </row>
    <row r="595" spans="2:2" x14ac:dyDescent="0.25">
      <c r="B595" s="377"/>
    </row>
    <row r="596" spans="2:2" x14ac:dyDescent="0.25">
      <c r="B596" s="377"/>
    </row>
    <row r="597" spans="2:2" x14ac:dyDescent="0.25">
      <c r="B597" s="377"/>
    </row>
    <row r="598" spans="2:2" x14ac:dyDescent="0.25">
      <c r="B598" s="377"/>
    </row>
    <row r="599" spans="2:2" x14ac:dyDescent="0.25">
      <c r="B599" s="377"/>
    </row>
    <row r="600" spans="2:2" x14ac:dyDescent="0.25">
      <c r="B600" s="377"/>
    </row>
    <row r="601" spans="2:2" x14ac:dyDescent="0.25">
      <c r="B601" s="377"/>
    </row>
    <row r="602" spans="2:2" x14ac:dyDescent="0.25">
      <c r="B602" s="377"/>
    </row>
    <row r="603" spans="2:2" x14ac:dyDescent="0.25">
      <c r="B603" s="377"/>
    </row>
    <row r="604" spans="2:2" x14ac:dyDescent="0.25">
      <c r="B604" s="377"/>
    </row>
    <row r="605" spans="2:2" x14ac:dyDescent="0.25">
      <c r="B605" s="377"/>
    </row>
    <row r="606" spans="2:2" x14ac:dyDescent="0.25">
      <c r="B606" s="377"/>
    </row>
    <row r="607" spans="2:2" x14ac:dyDescent="0.25">
      <c r="B607" s="377"/>
    </row>
    <row r="608" spans="2:2" x14ac:dyDescent="0.25">
      <c r="B608" s="377"/>
    </row>
    <row r="609" spans="2:2" x14ac:dyDescent="0.25">
      <c r="B609" s="377"/>
    </row>
    <row r="610" spans="2:2" x14ac:dyDescent="0.25">
      <c r="B610" s="377"/>
    </row>
    <row r="611" spans="2:2" x14ac:dyDescent="0.25">
      <c r="B611" s="377"/>
    </row>
    <row r="612" spans="2:2" x14ac:dyDescent="0.25">
      <c r="B612" s="377"/>
    </row>
    <row r="613" spans="2:2" x14ac:dyDescent="0.25">
      <c r="B613" s="377"/>
    </row>
    <row r="614" spans="2:2" x14ac:dyDescent="0.25">
      <c r="B614" s="377"/>
    </row>
    <row r="615" spans="2:2" x14ac:dyDescent="0.25">
      <c r="B615" s="377"/>
    </row>
    <row r="616" spans="2:2" x14ac:dyDescent="0.25">
      <c r="B616" s="377"/>
    </row>
    <row r="617" spans="2:2" x14ac:dyDescent="0.25">
      <c r="B617" s="377"/>
    </row>
    <row r="618" spans="2:2" x14ac:dyDescent="0.25">
      <c r="B618" s="377"/>
    </row>
    <row r="619" spans="2:2" x14ac:dyDescent="0.25">
      <c r="B619" s="377"/>
    </row>
    <row r="620" spans="2:2" x14ac:dyDescent="0.25">
      <c r="B620" s="377"/>
    </row>
    <row r="621" spans="2:2" x14ac:dyDescent="0.25">
      <c r="B621" s="377"/>
    </row>
    <row r="622" spans="2:2" x14ac:dyDescent="0.25">
      <c r="B622" s="377"/>
    </row>
    <row r="623" spans="2:2" x14ac:dyDescent="0.25">
      <c r="B623" s="377"/>
    </row>
    <row r="624" spans="2:2" x14ac:dyDescent="0.25">
      <c r="B624" s="377"/>
    </row>
    <row r="625" spans="2:2" x14ac:dyDescent="0.25">
      <c r="B625" s="377"/>
    </row>
    <row r="626" spans="2:2" x14ac:dyDescent="0.25">
      <c r="B626" s="377"/>
    </row>
    <row r="627" spans="2:2" x14ac:dyDescent="0.25">
      <c r="B627" s="377"/>
    </row>
    <row r="628" spans="2:2" x14ac:dyDescent="0.25">
      <c r="B628" s="377"/>
    </row>
    <row r="629" spans="2:2" x14ac:dyDescent="0.25">
      <c r="B629" s="377"/>
    </row>
    <row r="630" spans="2:2" x14ac:dyDescent="0.25">
      <c r="B630" s="377"/>
    </row>
    <row r="631" spans="2:2" x14ac:dyDescent="0.25">
      <c r="B631" s="377"/>
    </row>
    <row r="632" spans="2:2" x14ac:dyDescent="0.25">
      <c r="B632" s="377"/>
    </row>
    <row r="633" spans="2:2" x14ac:dyDescent="0.25">
      <c r="B633" s="377"/>
    </row>
    <row r="634" spans="2:2" x14ac:dyDescent="0.25">
      <c r="B634" s="377"/>
    </row>
    <row r="635" spans="2:2" x14ac:dyDescent="0.25">
      <c r="B635" s="377"/>
    </row>
    <row r="636" spans="2:2" x14ac:dyDescent="0.25">
      <c r="B636" s="377"/>
    </row>
    <row r="637" spans="2:2" x14ac:dyDescent="0.25">
      <c r="B637" s="377"/>
    </row>
    <row r="638" spans="2:2" x14ac:dyDescent="0.25">
      <c r="B638" s="377"/>
    </row>
    <row r="639" spans="2:2" x14ac:dyDescent="0.25">
      <c r="B639" s="377"/>
    </row>
    <row r="640" spans="2:2" x14ac:dyDescent="0.25">
      <c r="B640" s="377"/>
    </row>
    <row r="641" spans="2:2" x14ac:dyDescent="0.25">
      <c r="B641" s="377"/>
    </row>
    <row r="642" spans="2:2" x14ac:dyDescent="0.25">
      <c r="B642" s="377"/>
    </row>
    <row r="643" spans="2:2" x14ac:dyDescent="0.25">
      <c r="B643" s="377"/>
    </row>
    <row r="644" spans="2:2" x14ac:dyDescent="0.25">
      <c r="B644" s="377"/>
    </row>
    <row r="645" spans="2:2" x14ac:dyDescent="0.25">
      <c r="B645" s="377"/>
    </row>
    <row r="646" spans="2:2" x14ac:dyDescent="0.25">
      <c r="B646" s="377"/>
    </row>
    <row r="647" spans="2:2" x14ac:dyDescent="0.25">
      <c r="B647" s="377"/>
    </row>
    <row r="648" spans="2:2" x14ac:dyDescent="0.25">
      <c r="B648" s="377"/>
    </row>
    <row r="649" spans="2:2" x14ac:dyDescent="0.25">
      <c r="B649" s="377"/>
    </row>
    <row r="650" spans="2:2" x14ac:dyDescent="0.25">
      <c r="B650" s="377"/>
    </row>
    <row r="651" spans="2:2" x14ac:dyDescent="0.25">
      <c r="B651" s="377"/>
    </row>
    <row r="652" spans="2:2" x14ac:dyDescent="0.25">
      <c r="B652" s="377"/>
    </row>
    <row r="653" spans="2:2" x14ac:dyDescent="0.25">
      <c r="B653" s="377"/>
    </row>
    <row r="654" spans="2:2" x14ac:dyDescent="0.25">
      <c r="B654" s="377"/>
    </row>
    <row r="655" spans="2:2" x14ac:dyDescent="0.25">
      <c r="B655" s="377"/>
    </row>
    <row r="656" spans="2:2" x14ac:dyDescent="0.25">
      <c r="B656" s="377"/>
    </row>
    <row r="657" spans="2:2" x14ac:dyDescent="0.25">
      <c r="B657" s="377"/>
    </row>
    <row r="658" spans="2:2" x14ac:dyDescent="0.25">
      <c r="B658" s="377"/>
    </row>
    <row r="659" spans="2:2" x14ac:dyDescent="0.25">
      <c r="B659" s="377"/>
    </row>
    <row r="660" spans="2:2" x14ac:dyDescent="0.25">
      <c r="B660" s="377"/>
    </row>
    <row r="661" spans="2:2" x14ac:dyDescent="0.25">
      <c r="B661" s="377"/>
    </row>
    <row r="662" spans="2:2" x14ac:dyDescent="0.25">
      <c r="B662" s="377"/>
    </row>
    <row r="663" spans="2:2" x14ac:dyDescent="0.25">
      <c r="B663" s="377"/>
    </row>
    <row r="664" spans="2:2" x14ac:dyDescent="0.25">
      <c r="B664" s="377"/>
    </row>
    <row r="665" spans="2:2" x14ac:dyDescent="0.25">
      <c r="B665" s="377"/>
    </row>
    <row r="666" spans="2:2" x14ac:dyDescent="0.25">
      <c r="B666" s="377"/>
    </row>
    <row r="667" spans="2:2" x14ac:dyDescent="0.25">
      <c r="B667" s="377"/>
    </row>
    <row r="668" spans="2:2" x14ac:dyDescent="0.25">
      <c r="B668" s="377"/>
    </row>
    <row r="669" spans="2:2" x14ac:dyDescent="0.25">
      <c r="B669" s="377"/>
    </row>
    <row r="670" spans="2:2" x14ac:dyDescent="0.25">
      <c r="B670" s="377"/>
    </row>
    <row r="671" spans="2:2" x14ac:dyDescent="0.25">
      <c r="B671" s="377"/>
    </row>
    <row r="672" spans="2:2" x14ac:dyDescent="0.25">
      <c r="B672" s="377"/>
    </row>
    <row r="673" spans="2:2" x14ac:dyDescent="0.25">
      <c r="B673" s="377"/>
    </row>
    <row r="674" spans="2:2" x14ac:dyDescent="0.25">
      <c r="B674" s="377"/>
    </row>
    <row r="675" spans="2:2" x14ac:dyDescent="0.25">
      <c r="B675" s="377"/>
    </row>
    <row r="676" spans="2:2" x14ac:dyDescent="0.25">
      <c r="B676" s="377"/>
    </row>
    <row r="677" spans="2:2" x14ac:dyDescent="0.25">
      <c r="B677" s="377"/>
    </row>
    <row r="678" spans="2:2" x14ac:dyDescent="0.25">
      <c r="B678" s="377"/>
    </row>
    <row r="679" spans="2:2" x14ac:dyDescent="0.25">
      <c r="B679" s="377"/>
    </row>
    <row r="680" spans="2:2" x14ac:dyDescent="0.25">
      <c r="B680" s="377"/>
    </row>
    <row r="681" spans="2:2" x14ac:dyDescent="0.25">
      <c r="B681" s="377"/>
    </row>
    <row r="682" spans="2:2" x14ac:dyDescent="0.25">
      <c r="B682" s="377"/>
    </row>
    <row r="683" spans="2:2" x14ac:dyDescent="0.25">
      <c r="B683" s="377"/>
    </row>
    <row r="684" spans="2:2" x14ac:dyDescent="0.25">
      <c r="B684" s="377"/>
    </row>
    <row r="685" spans="2:2" x14ac:dyDescent="0.25">
      <c r="B685" s="377"/>
    </row>
    <row r="686" spans="2:2" x14ac:dyDescent="0.25">
      <c r="B686" s="377"/>
    </row>
    <row r="687" spans="2:2" x14ac:dyDescent="0.25">
      <c r="B687" s="377"/>
    </row>
    <row r="688" spans="2:2" x14ac:dyDescent="0.25">
      <c r="B688" s="377"/>
    </row>
    <row r="689" spans="2:2" x14ac:dyDescent="0.25">
      <c r="B689" s="377"/>
    </row>
    <row r="690" spans="2:2" x14ac:dyDescent="0.25">
      <c r="B690" s="377"/>
    </row>
    <row r="691" spans="2:2" x14ac:dyDescent="0.25">
      <c r="B691" s="377"/>
    </row>
    <row r="692" spans="2:2" x14ac:dyDescent="0.25">
      <c r="B692" s="377"/>
    </row>
    <row r="693" spans="2:2" x14ac:dyDescent="0.25">
      <c r="B693" s="377"/>
    </row>
    <row r="694" spans="2:2" x14ac:dyDescent="0.25">
      <c r="B694" s="377"/>
    </row>
    <row r="695" spans="2:2" x14ac:dyDescent="0.25">
      <c r="B695" s="377"/>
    </row>
    <row r="696" spans="2:2" x14ac:dyDescent="0.25">
      <c r="B696" s="377"/>
    </row>
    <row r="697" spans="2:2" x14ac:dyDescent="0.25">
      <c r="B697" s="377"/>
    </row>
    <row r="698" spans="2:2" x14ac:dyDescent="0.25">
      <c r="B698" s="377"/>
    </row>
    <row r="699" spans="2:2" x14ac:dyDescent="0.25">
      <c r="B699" s="377"/>
    </row>
    <row r="700" spans="2:2" x14ac:dyDescent="0.25">
      <c r="B700" s="377"/>
    </row>
    <row r="701" spans="2:2" x14ac:dyDescent="0.25">
      <c r="B701" s="377"/>
    </row>
    <row r="702" spans="2:2" x14ac:dyDescent="0.25">
      <c r="B702" s="377"/>
    </row>
    <row r="703" spans="2:2" x14ac:dyDescent="0.25">
      <c r="B703" s="377"/>
    </row>
    <row r="704" spans="2:2" x14ac:dyDescent="0.25">
      <c r="B704" s="377"/>
    </row>
    <row r="705" spans="2:2" x14ac:dyDescent="0.25">
      <c r="B705" s="377"/>
    </row>
    <row r="706" spans="2:2" x14ac:dyDescent="0.25">
      <c r="B706" s="377"/>
    </row>
    <row r="707" spans="2:2" x14ac:dyDescent="0.25">
      <c r="B707" s="377"/>
    </row>
    <row r="708" spans="2:2" x14ac:dyDescent="0.25">
      <c r="B708" s="377"/>
    </row>
    <row r="709" spans="2:2" x14ac:dyDescent="0.25">
      <c r="B709" s="377"/>
    </row>
    <row r="710" spans="2:2" x14ac:dyDescent="0.25">
      <c r="B710" s="377"/>
    </row>
    <row r="711" spans="2:2" x14ac:dyDescent="0.25">
      <c r="B711" s="377"/>
    </row>
    <row r="712" spans="2:2" x14ac:dyDescent="0.25">
      <c r="B712" s="377"/>
    </row>
    <row r="713" spans="2:2" x14ac:dyDescent="0.25">
      <c r="B713" s="377"/>
    </row>
    <row r="714" spans="2:2" x14ac:dyDescent="0.25">
      <c r="B714" s="377"/>
    </row>
    <row r="715" spans="2:2" x14ac:dyDescent="0.25">
      <c r="B715" s="377"/>
    </row>
    <row r="716" spans="2:2" x14ac:dyDescent="0.25">
      <c r="B716" s="377"/>
    </row>
    <row r="717" spans="2:2" x14ac:dyDescent="0.25">
      <c r="B717" s="377"/>
    </row>
    <row r="718" spans="2:2" x14ac:dyDescent="0.25">
      <c r="B718" s="377"/>
    </row>
    <row r="719" spans="2:2" x14ac:dyDescent="0.25">
      <c r="B719" s="377"/>
    </row>
    <row r="720" spans="2:2" x14ac:dyDescent="0.25">
      <c r="B720" s="377"/>
    </row>
    <row r="721" spans="2:2" x14ac:dyDescent="0.25">
      <c r="B721" s="377"/>
    </row>
    <row r="722" spans="2:2" x14ac:dyDescent="0.25">
      <c r="B722" s="377"/>
    </row>
    <row r="723" spans="2:2" x14ac:dyDescent="0.25">
      <c r="B723" s="377"/>
    </row>
    <row r="724" spans="2:2" x14ac:dyDescent="0.25">
      <c r="B724" s="377"/>
    </row>
    <row r="725" spans="2:2" x14ac:dyDescent="0.25">
      <c r="B725" s="377"/>
    </row>
    <row r="726" spans="2:2" x14ac:dyDescent="0.25">
      <c r="B726" s="377"/>
    </row>
    <row r="727" spans="2:2" x14ac:dyDescent="0.25">
      <c r="B727" s="377"/>
    </row>
    <row r="728" spans="2:2" x14ac:dyDescent="0.25">
      <c r="B728" s="377"/>
    </row>
    <row r="729" spans="2:2" x14ac:dyDescent="0.25">
      <c r="B729" s="377"/>
    </row>
    <row r="730" spans="2:2" x14ac:dyDescent="0.25">
      <c r="B730" s="377"/>
    </row>
    <row r="731" spans="2:2" x14ac:dyDescent="0.25">
      <c r="B731" s="377"/>
    </row>
    <row r="732" spans="2:2" x14ac:dyDescent="0.25">
      <c r="B732" s="377"/>
    </row>
    <row r="733" spans="2:2" x14ac:dyDescent="0.25">
      <c r="B733" s="377"/>
    </row>
    <row r="734" spans="2:2" x14ac:dyDescent="0.25">
      <c r="B734" s="377"/>
    </row>
    <row r="735" spans="2:2" x14ac:dyDescent="0.25">
      <c r="B735" s="377"/>
    </row>
    <row r="736" spans="2:2" x14ac:dyDescent="0.25">
      <c r="B736" s="377"/>
    </row>
    <row r="737" spans="2:2" x14ac:dyDescent="0.25">
      <c r="B737" s="377"/>
    </row>
    <row r="738" spans="2:2" x14ac:dyDescent="0.25">
      <c r="B738" s="377"/>
    </row>
    <row r="739" spans="2:2" x14ac:dyDescent="0.25">
      <c r="B739" s="377"/>
    </row>
    <row r="740" spans="2:2" x14ac:dyDescent="0.25">
      <c r="B740" s="377"/>
    </row>
    <row r="741" spans="2:2" x14ac:dyDescent="0.25">
      <c r="B741" s="377"/>
    </row>
    <row r="742" spans="2:2" x14ac:dyDescent="0.25">
      <c r="B742" s="377"/>
    </row>
    <row r="743" spans="2:2" x14ac:dyDescent="0.25">
      <c r="B743" s="377"/>
    </row>
    <row r="744" spans="2:2" x14ac:dyDescent="0.25">
      <c r="B744" s="377"/>
    </row>
    <row r="745" spans="2:2" x14ac:dyDescent="0.25">
      <c r="B745" s="377"/>
    </row>
    <row r="746" spans="2:2" x14ac:dyDescent="0.25">
      <c r="B746" s="377"/>
    </row>
    <row r="747" spans="2:2" x14ac:dyDescent="0.25">
      <c r="B747" s="377"/>
    </row>
    <row r="748" spans="2:2" x14ac:dyDescent="0.25">
      <c r="B748" s="377"/>
    </row>
    <row r="749" spans="2:2" x14ac:dyDescent="0.25">
      <c r="B749" s="377"/>
    </row>
    <row r="750" spans="2:2" x14ac:dyDescent="0.25">
      <c r="B750" s="377"/>
    </row>
  </sheetData>
  <autoFilter ref="A7:B7" xr:uid="{00000000-0009-0000-0000-000005000000}"/>
  <conditionalFormatting sqref="A8:D53 A55:D330">
    <cfRule type="expression" dxfId="18" priority="3">
      <formula>$A8&lt;&gt;$A7</formula>
    </cfRule>
    <cfRule type="expression" dxfId="17" priority="4">
      <formula>$A7=$A8</formula>
    </cfRule>
  </conditionalFormatting>
  <conditionalFormatting sqref="B3">
    <cfRule type="expression" dxfId="16" priority="1">
      <formula>$A3&lt;&gt;$A2</formula>
    </cfRule>
    <cfRule type="expression" dxfId="15" priority="2">
      <formula>$A2=$A3</formula>
    </cfRule>
  </conditionalFormatting>
  <conditionalFormatting sqref="A54:D54">
    <cfRule type="expression" dxfId="14" priority="5">
      <formula>$A54&lt;&gt;#REF!</formula>
    </cfRule>
    <cfRule type="expression" dxfId="13" priority="6">
      <formula>#REF!=$A54</formula>
    </cfRule>
  </conditionalFormatting>
  <dataValidations count="1">
    <dataValidation type="list" allowBlank="1" showInputMessage="1" showErrorMessage="1" sqref="B8:B329" xr:uid="{873EC7D9-5537-4CD4-86EB-EDDE3AB0BAC7}">
      <formula1>$L$8:$L$23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Q127"/>
  <sheetViews>
    <sheetView zoomScale="85" zoomScaleNormal="85" workbookViewId="0">
      <selection activeCell="I45" sqref="I45"/>
    </sheetView>
  </sheetViews>
  <sheetFormatPr defaultColWidth="9.140625" defaultRowHeight="15" outlineLevelCol="1" x14ac:dyDescent="0.25"/>
  <cols>
    <col min="1" max="2" width="9.140625" style="138"/>
    <col min="3" max="3" width="66.42578125" style="138" customWidth="1"/>
    <col min="4" max="4" width="21.5703125" style="138" customWidth="1" outlineLevel="1"/>
    <col min="5" max="5" width="4.28515625" style="189" customWidth="1" outlineLevel="1"/>
    <col min="6" max="7" width="21.5703125" style="138" customWidth="1" outlineLevel="1"/>
    <col min="8" max="8" width="22.140625" style="138" customWidth="1" outlineLevel="1"/>
    <col min="9" max="9" width="34" style="138" customWidth="1" outlineLevel="1"/>
    <col min="10" max="17" width="34" style="138" customWidth="1"/>
    <col min="18" max="16384" width="9.140625" style="138"/>
  </cols>
  <sheetData>
    <row r="1" spans="1:17" x14ac:dyDescent="0.25">
      <c r="A1" s="138" t="s">
        <v>250</v>
      </c>
      <c r="B1" s="138" t="s">
        <v>805</v>
      </c>
    </row>
    <row r="2" spans="1:17" x14ac:dyDescent="0.25">
      <c r="A2" s="138" t="s">
        <v>250</v>
      </c>
    </row>
    <row r="3" spans="1:17" x14ac:dyDescent="0.25">
      <c r="A3" s="138" t="s">
        <v>250</v>
      </c>
      <c r="B3" s="138" t="s">
        <v>356</v>
      </c>
    </row>
    <row r="4" spans="1:17" x14ac:dyDescent="0.25">
      <c r="A4" s="138" t="s">
        <v>250</v>
      </c>
      <c r="C4" s="138" t="s">
        <v>796</v>
      </c>
    </row>
    <row r="5" spans="1:17" x14ac:dyDescent="0.25">
      <c r="A5" s="138" t="s">
        <v>250</v>
      </c>
    </row>
    <row r="6" spans="1:17" x14ac:dyDescent="0.25">
      <c r="A6" s="138" t="s">
        <v>250</v>
      </c>
      <c r="B6" s="138" t="s">
        <v>357</v>
      </c>
    </row>
    <row r="7" spans="1:17" x14ac:dyDescent="0.25">
      <c r="A7" s="138" t="s">
        <v>250</v>
      </c>
      <c r="C7" s="138" t="s">
        <v>262</v>
      </c>
      <c r="D7" s="138" t="s">
        <v>263</v>
      </c>
      <c r="F7" s="138" t="s">
        <v>264</v>
      </c>
    </row>
    <row r="8" spans="1:17" x14ac:dyDescent="0.25">
      <c r="A8" s="138" t="s">
        <v>250</v>
      </c>
      <c r="B8" s="141"/>
      <c r="C8" s="144">
        <v>42194</v>
      </c>
      <c r="D8" s="145" t="s">
        <v>410</v>
      </c>
      <c r="F8" s="138" t="s">
        <v>797</v>
      </c>
    </row>
    <row r="9" spans="1:17" x14ac:dyDescent="0.25">
      <c r="A9" s="138" t="s">
        <v>250</v>
      </c>
      <c r="B9" s="141"/>
      <c r="C9" s="144"/>
    </row>
    <row r="10" spans="1:17" x14ac:dyDescent="0.25">
      <c r="A10" s="138" t="s">
        <v>250</v>
      </c>
      <c r="B10" s="141"/>
      <c r="C10" s="144"/>
    </row>
    <row r="11" spans="1:17" x14ac:dyDescent="0.25">
      <c r="A11" s="138" t="s">
        <v>250</v>
      </c>
      <c r="B11" s="138" t="s">
        <v>806</v>
      </c>
    </row>
    <row r="12" spans="1:17" x14ac:dyDescent="0.25">
      <c r="A12" s="138" t="s">
        <v>250</v>
      </c>
      <c r="C12" s="138" t="s">
        <v>807</v>
      </c>
    </row>
    <row r="13" spans="1:17" x14ac:dyDescent="0.25">
      <c r="A13" s="138" t="s">
        <v>250</v>
      </c>
      <c r="C13" s="138" t="s">
        <v>808</v>
      </c>
    </row>
    <row r="14" spans="1:17" x14ac:dyDescent="0.25">
      <c r="A14" s="138" t="s">
        <v>250</v>
      </c>
      <c r="B14" s="138" t="s">
        <v>251</v>
      </c>
    </row>
    <row r="15" spans="1:17" s="139" customFormat="1" x14ac:dyDescent="0.25">
      <c r="A15" s="139" t="s">
        <v>250</v>
      </c>
      <c r="E15" s="335"/>
      <c r="J15" s="149"/>
      <c r="K15" s="149"/>
      <c r="L15" s="149"/>
      <c r="M15" s="149"/>
      <c r="N15" s="149"/>
      <c r="O15" s="149"/>
      <c r="P15" s="149"/>
      <c r="Q15" s="149"/>
    </row>
    <row r="16" spans="1:17" x14ac:dyDescent="0.25">
      <c r="A16" s="138" t="s">
        <v>250</v>
      </c>
    </row>
    <row r="17" spans="1:17" x14ac:dyDescent="0.25">
      <c r="A17" s="138" t="s">
        <v>250</v>
      </c>
      <c r="B17" s="138" t="s">
        <v>272</v>
      </c>
    </row>
    <row r="18" spans="1:17" x14ac:dyDescent="0.25">
      <c r="A18" s="138" t="s">
        <v>250</v>
      </c>
    </row>
    <row r="19" spans="1:17" x14ac:dyDescent="0.25">
      <c r="A19" s="138" t="s">
        <v>250</v>
      </c>
      <c r="B19" s="138" t="s">
        <v>926</v>
      </c>
    </row>
    <row r="20" spans="1:17" x14ac:dyDescent="0.25">
      <c r="A20" s="138" t="s">
        <v>250</v>
      </c>
      <c r="J20" s="330"/>
      <c r="K20" s="330"/>
      <c r="L20" s="330"/>
      <c r="M20" s="330"/>
      <c r="N20" s="330"/>
      <c r="O20" s="330"/>
      <c r="P20" s="330"/>
      <c r="Q20" s="330"/>
    </row>
    <row r="21" spans="1:17" x14ac:dyDescent="0.25">
      <c r="A21" s="138" t="s">
        <v>365</v>
      </c>
    </row>
    <row r="22" spans="1:17" x14ac:dyDescent="0.25">
      <c r="B22" s="140" t="str">
        <f>"TABLE "&amp;$C$4</f>
        <v>TABLE LtgInputRestrictions</v>
      </c>
      <c r="C22" s="140"/>
    </row>
    <row r="23" spans="1:17" x14ac:dyDescent="0.25">
      <c r="C23" s="140" t="s">
        <v>435</v>
      </c>
      <c r="D23" s="149" t="s">
        <v>784</v>
      </c>
      <c r="E23" s="189" t="s">
        <v>250</v>
      </c>
      <c r="F23" s="138" t="s">
        <v>794</v>
      </c>
      <c r="G23" s="334"/>
      <c r="H23" s="334"/>
      <c r="I23" s="334"/>
      <c r="J23" s="149"/>
      <c r="K23" s="149"/>
      <c r="L23" s="149"/>
      <c r="M23" s="149"/>
      <c r="N23" s="149"/>
      <c r="O23" s="149"/>
      <c r="P23" s="149"/>
      <c r="Q23" s="149"/>
    </row>
    <row r="24" spans="1:17" x14ac:dyDescent="0.25">
      <c r="C24" s="333" t="s">
        <v>904</v>
      </c>
      <c r="D24" s="116" t="s">
        <v>789</v>
      </c>
      <c r="G24" s="116"/>
      <c r="H24" s="116"/>
      <c r="I24" s="116"/>
      <c r="J24" s="149"/>
      <c r="K24" s="149"/>
      <c r="L24" s="149"/>
      <c r="M24" s="149"/>
      <c r="N24" s="149"/>
      <c r="O24" s="149"/>
      <c r="P24" s="149"/>
      <c r="Q24" s="149"/>
    </row>
    <row r="25" spans="1:17" x14ac:dyDescent="0.25">
      <c r="C25" s="138" t="s">
        <v>250</v>
      </c>
      <c r="D25" s="141" t="s">
        <v>798</v>
      </c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</row>
    <row r="26" spans="1:17" x14ac:dyDescent="0.25">
      <c r="C26" s="138" t="s">
        <v>666</v>
      </c>
      <c r="D26" s="189">
        <v>1</v>
      </c>
      <c r="E26" s="189" t="s">
        <v>250</v>
      </c>
      <c r="F26" s="138">
        <v>1</v>
      </c>
      <c r="G26" s="189"/>
      <c r="H26" s="189"/>
      <c r="I26" s="189"/>
      <c r="J26" s="189"/>
      <c r="K26" s="189"/>
      <c r="L26" s="189"/>
      <c r="M26" s="189"/>
      <c r="N26" s="189"/>
      <c r="O26" s="189"/>
      <c r="P26" s="189"/>
      <c r="Q26" s="189"/>
    </row>
    <row r="27" spans="1:17" x14ac:dyDescent="0.25">
      <c r="C27" s="138" t="s">
        <v>667</v>
      </c>
      <c r="D27" s="189">
        <v>1</v>
      </c>
      <c r="E27" s="189" t="s">
        <v>250</v>
      </c>
      <c r="F27" s="138">
        <v>2</v>
      </c>
      <c r="G27" s="189"/>
      <c r="H27" s="189"/>
      <c r="I27" s="189"/>
      <c r="J27" s="189"/>
      <c r="K27" s="189"/>
      <c r="L27" s="189"/>
      <c r="M27" s="189"/>
      <c r="N27" s="189"/>
      <c r="O27" s="189"/>
      <c r="P27" s="189"/>
      <c r="Q27" s="189"/>
    </row>
    <row r="28" spans="1:17" x14ac:dyDescent="0.25">
      <c r="C28" s="138" t="s">
        <v>809</v>
      </c>
      <c r="D28" s="189">
        <v>1</v>
      </c>
      <c r="E28" s="189" t="s">
        <v>250</v>
      </c>
      <c r="F28" s="138">
        <v>3</v>
      </c>
      <c r="G28" s="189"/>
      <c r="H28" s="189"/>
      <c r="I28" s="189"/>
      <c r="J28" s="189"/>
      <c r="K28" s="189"/>
      <c r="L28" s="189"/>
      <c r="M28" s="189"/>
      <c r="N28" s="189"/>
      <c r="O28" s="189"/>
      <c r="P28" s="189"/>
      <c r="Q28" s="189"/>
    </row>
    <row r="29" spans="1:17" x14ac:dyDescent="0.25">
      <c r="C29" s="138" t="s">
        <v>810</v>
      </c>
      <c r="D29" s="189">
        <v>1</v>
      </c>
      <c r="E29" s="189" t="s">
        <v>250</v>
      </c>
      <c r="F29" s="138">
        <v>4</v>
      </c>
      <c r="G29" s="189"/>
      <c r="H29" s="189"/>
      <c r="I29" s="189"/>
      <c r="J29" s="189"/>
      <c r="K29" s="189"/>
      <c r="L29" s="189"/>
      <c r="M29" s="189"/>
      <c r="N29" s="189"/>
      <c r="O29" s="189"/>
      <c r="P29" s="189"/>
      <c r="Q29" s="189"/>
    </row>
    <row r="30" spans="1:17" x14ac:dyDescent="0.25">
      <c r="C30" s="138" t="s">
        <v>811</v>
      </c>
      <c r="D30" s="189">
        <v>1</v>
      </c>
      <c r="E30" s="189" t="s">
        <v>250</v>
      </c>
      <c r="F30" s="138">
        <v>5</v>
      </c>
      <c r="G30" s="189"/>
      <c r="H30" s="189"/>
      <c r="I30" s="189"/>
      <c r="J30" s="189"/>
      <c r="K30" s="189"/>
      <c r="L30" s="189"/>
      <c r="M30" s="189"/>
      <c r="N30" s="189"/>
      <c r="O30" s="189"/>
      <c r="P30" s="189"/>
      <c r="Q30" s="189"/>
    </row>
    <row r="31" spans="1:17" x14ac:dyDescent="0.25">
      <c r="C31" s="138" t="s">
        <v>812</v>
      </c>
      <c r="D31" s="189">
        <v>1</v>
      </c>
      <c r="E31" s="189" t="s">
        <v>250</v>
      </c>
      <c r="F31" s="138">
        <v>6</v>
      </c>
      <c r="G31" s="189"/>
      <c r="H31" s="189"/>
      <c r="I31" s="189"/>
      <c r="J31" s="189"/>
      <c r="K31" s="189"/>
      <c r="L31" s="189"/>
      <c r="M31" s="189"/>
      <c r="N31" s="189"/>
      <c r="O31" s="189"/>
      <c r="P31" s="189"/>
      <c r="Q31" s="189"/>
    </row>
    <row r="32" spans="1:17" x14ac:dyDescent="0.25">
      <c r="C32" s="138" t="s">
        <v>813</v>
      </c>
      <c r="D32" s="189">
        <v>1</v>
      </c>
      <c r="E32" s="189" t="s">
        <v>250</v>
      </c>
      <c r="F32" s="138">
        <v>7</v>
      </c>
      <c r="G32" s="189"/>
      <c r="H32" s="189"/>
      <c r="I32" s="189"/>
      <c r="J32" s="189"/>
      <c r="K32" s="189"/>
      <c r="L32" s="189"/>
      <c r="M32" s="189"/>
      <c r="N32" s="189"/>
      <c r="O32" s="189"/>
      <c r="P32" s="189"/>
      <c r="Q32" s="189"/>
    </row>
    <row r="33" spans="3:17" x14ac:dyDescent="0.25">
      <c r="C33" s="138" t="s">
        <v>814</v>
      </c>
      <c r="D33" s="189">
        <v>1</v>
      </c>
      <c r="E33" s="189" t="s">
        <v>250</v>
      </c>
      <c r="F33" s="138">
        <v>8</v>
      </c>
      <c r="G33" s="189"/>
      <c r="H33" s="189"/>
      <c r="I33" s="189"/>
      <c r="J33" s="189"/>
      <c r="K33" s="189"/>
      <c r="L33" s="189"/>
      <c r="M33" s="189"/>
      <c r="N33" s="189"/>
      <c r="O33" s="189"/>
      <c r="P33" s="189"/>
      <c r="Q33" s="189"/>
    </row>
    <row r="34" spans="3:17" x14ac:dyDescent="0.25">
      <c r="C34" s="138" t="s">
        <v>815</v>
      </c>
      <c r="D34" s="189">
        <v>1</v>
      </c>
      <c r="E34" s="189" t="s">
        <v>250</v>
      </c>
      <c r="F34" s="138">
        <v>9</v>
      </c>
      <c r="G34" s="189"/>
      <c r="H34" s="189"/>
      <c r="I34" s="189"/>
      <c r="J34" s="189"/>
      <c r="K34" s="189"/>
      <c r="L34" s="189"/>
      <c r="M34" s="189"/>
      <c r="N34" s="189"/>
      <c r="O34" s="189"/>
      <c r="P34" s="189"/>
      <c r="Q34" s="189"/>
    </row>
    <row r="35" spans="3:17" x14ac:dyDescent="0.25">
      <c r="C35" s="138" t="s">
        <v>816</v>
      </c>
      <c r="D35" s="189">
        <v>0</v>
      </c>
      <c r="E35" s="189" t="s">
        <v>250</v>
      </c>
      <c r="F35" s="138">
        <v>10</v>
      </c>
      <c r="G35" s="189"/>
      <c r="H35" s="189"/>
      <c r="I35" s="189"/>
      <c r="J35" s="189"/>
      <c r="K35" s="189"/>
      <c r="L35" s="189"/>
      <c r="M35" s="189"/>
      <c r="N35" s="189"/>
      <c r="O35" s="189"/>
      <c r="P35" s="189"/>
      <c r="Q35" s="189"/>
    </row>
    <row r="36" spans="3:17" x14ac:dyDescent="0.25">
      <c r="C36" s="138" t="s">
        <v>817</v>
      </c>
      <c r="D36" s="189">
        <v>0</v>
      </c>
      <c r="E36" s="189" t="s">
        <v>250</v>
      </c>
      <c r="F36" s="138">
        <v>11</v>
      </c>
      <c r="G36" s="189"/>
      <c r="H36" s="189"/>
      <c r="I36" s="189"/>
      <c r="J36" s="189"/>
      <c r="K36" s="189"/>
      <c r="L36" s="189"/>
      <c r="M36" s="189"/>
      <c r="N36" s="189"/>
      <c r="O36" s="189"/>
      <c r="P36" s="189"/>
      <c r="Q36" s="189"/>
    </row>
    <row r="37" spans="3:17" x14ac:dyDescent="0.25">
      <c r="C37" s="138" t="s">
        <v>922</v>
      </c>
      <c r="D37" s="189">
        <v>0</v>
      </c>
      <c r="E37" s="189" t="s">
        <v>250</v>
      </c>
      <c r="F37" s="138">
        <v>12</v>
      </c>
      <c r="G37" s="189"/>
      <c r="H37" s="189"/>
      <c r="I37" s="189"/>
      <c r="J37" s="189"/>
      <c r="K37" s="189"/>
      <c r="L37" s="189"/>
      <c r="M37" s="189"/>
      <c r="N37" s="189"/>
      <c r="O37" s="189"/>
      <c r="P37" s="189"/>
      <c r="Q37" s="189"/>
    </row>
    <row r="38" spans="3:17" x14ac:dyDescent="0.25">
      <c r="C38" s="138" t="s">
        <v>818</v>
      </c>
      <c r="D38" s="189">
        <v>1</v>
      </c>
      <c r="E38" s="189" t="s">
        <v>250</v>
      </c>
      <c r="F38" s="138">
        <v>13</v>
      </c>
      <c r="G38" s="189"/>
      <c r="H38" s="189"/>
      <c r="I38" s="189"/>
      <c r="J38" s="189"/>
      <c r="K38" s="189"/>
      <c r="L38" s="189"/>
      <c r="M38" s="189"/>
      <c r="N38" s="189"/>
      <c r="O38" s="189"/>
      <c r="P38" s="189"/>
      <c r="Q38" s="189"/>
    </row>
    <row r="39" spans="3:17" x14ac:dyDescent="0.25">
      <c r="C39" s="138" t="s">
        <v>528</v>
      </c>
      <c r="D39" s="189">
        <v>1</v>
      </c>
      <c r="E39" s="189" t="s">
        <v>250</v>
      </c>
      <c r="F39" s="138">
        <v>14</v>
      </c>
      <c r="G39" s="189"/>
      <c r="H39" s="189"/>
      <c r="I39" s="189"/>
      <c r="J39" s="189"/>
      <c r="K39" s="189"/>
      <c r="L39" s="189"/>
      <c r="M39" s="189"/>
      <c r="N39" s="189"/>
      <c r="O39" s="189"/>
      <c r="P39" s="189"/>
      <c r="Q39" s="189"/>
    </row>
    <row r="40" spans="3:17" x14ac:dyDescent="0.25">
      <c r="C40" s="138" t="s">
        <v>819</v>
      </c>
      <c r="D40" s="189">
        <v>1</v>
      </c>
      <c r="E40" s="189" t="s">
        <v>250</v>
      </c>
      <c r="F40" s="138">
        <v>15</v>
      </c>
      <c r="G40" s="189"/>
      <c r="H40" s="189"/>
      <c r="I40" s="189"/>
      <c r="J40" s="189"/>
      <c r="K40" s="189"/>
      <c r="L40" s="189"/>
      <c r="M40" s="189"/>
      <c r="N40" s="189"/>
      <c r="O40" s="189"/>
      <c r="P40" s="189"/>
      <c r="Q40" s="189"/>
    </row>
    <row r="41" spans="3:17" x14ac:dyDescent="0.25">
      <c r="C41" s="138" t="s">
        <v>820</v>
      </c>
      <c r="D41" s="189">
        <v>1</v>
      </c>
      <c r="E41" s="189" t="s">
        <v>250</v>
      </c>
      <c r="F41" s="138">
        <v>16</v>
      </c>
      <c r="G41" s="189"/>
      <c r="H41" s="189"/>
      <c r="I41" s="189"/>
      <c r="J41" s="189"/>
      <c r="K41" s="189"/>
      <c r="L41" s="189"/>
      <c r="M41" s="189"/>
      <c r="N41" s="189"/>
      <c r="O41" s="189"/>
      <c r="P41" s="189"/>
      <c r="Q41" s="189"/>
    </row>
    <row r="42" spans="3:17" x14ac:dyDescent="0.25">
      <c r="C42" s="138" t="s">
        <v>821</v>
      </c>
      <c r="D42" s="189">
        <v>0</v>
      </c>
      <c r="E42" s="189" t="s">
        <v>250</v>
      </c>
      <c r="F42" s="138">
        <v>17</v>
      </c>
      <c r="G42" s="189"/>
      <c r="H42" s="189"/>
      <c r="I42" s="189"/>
      <c r="J42" s="189"/>
      <c r="K42" s="189"/>
      <c r="L42" s="189"/>
      <c r="M42" s="189"/>
      <c r="N42" s="189"/>
      <c r="O42" s="189"/>
      <c r="P42" s="189"/>
      <c r="Q42" s="189"/>
    </row>
    <row r="43" spans="3:17" x14ac:dyDescent="0.25">
      <c r="C43" s="138" t="s">
        <v>822</v>
      </c>
      <c r="D43" s="189">
        <v>1</v>
      </c>
      <c r="E43" s="189" t="s">
        <v>250</v>
      </c>
      <c r="F43" s="138">
        <v>18</v>
      </c>
      <c r="G43" s="189"/>
      <c r="H43" s="189"/>
      <c r="I43" s="189"/>
      <c r="J43" s="189"/>
      <c r="K43" s="189"/>
      <c r="L43" s="189"/>
      <c r="M43" s="189"/>
      <c r="N43" s="189"/>
      <c r="O43" s="189"/>
      <c r="P43" s="189"/>
      <c r="Q43" s="189"/>
    </row>
    <row r="44" spans="3:17" x14ac:dyDescent="0.25">
      <c r="C44" s="138" t="s">
        <v>923</v>
      </c>
      <c r="D44" s="189">
        <v>0</v>
      </c>
      <c r="E44" s="189" t="s">
        <v>250</v>
      </c>
      <c r="F44" s="138">
        <v>19</v>
      </c>
      <c r="G44" s="189"/>
      <c r="H44" s="189"/>
      <c r="I44" s="189"/>
      <c r="J44" s="189"/>
      <c r="K44" s="189"/>
      <c r="L44" s="189"/>
      <c r="M44" s="189"/>
      <c r="N44" s="189"/>
      <c r="O44" s="189"/>
      <c r="P44" s="189"/>
      <c r="Q44" s="189"/>
    </row>
    <row r="45" spans="3:17" x14ac:dyDescent="0.25">
      <c r="C45" s="138" t="s">
        <v>823</v>
      </c>
      <c r="D45" s="189">
        <v>1</v>
      </c>
      <c r="E45" s="189" t="s">
        <v>250</v>
      </c>
      <c r="F45" s="138">
        <v>20</v>
      </c>
      <c r="G45" s="189"/>
      <c r="H45" s="189"/>
      <c r="I45" s="189"/>
      <c r="J45" s="189"/>
      <c r="K45" s="189"/>
      <c r="L45" s="189"/>
      <c r="M45" s="189"/>
      <c r="N45" s="189"/>
      <c r="O45" s="189"/>
      <c r="P45" s="189"/>
      <c r="Q45" s="189"/>
    </row>
    <row r="46" spans="3:17" x14ac:dyDescent="0.25">
      <c r="C46" s="138" t="s">
        <v>824</v>
      </c>
      <c r="D46" s="189">
        <v>1</v>
      </c>
      <c r="E46" s="189" t="s">
        <v>250</v>
      </c>
      <c r="F46" s="138">
        <v>21</v>
      </c>
      <c r="G46" s="189"/>
      <c r="H46" s="189"/>
      <c r="I46" s="189"/>
      <c r="J46" s="189"/>
      <c r="K46" s="189"/>
      <c r="L46" s="189"/>
      <c r="M46" s="189"/>
      <c r="N46" s="189"/>
      <c r="O46" s="189"/>
      <c r="P46" s="189"/>
      <c r="Q46" s="189"/>
    </row>
    <row r="47" spans="3:17" x14ac:dyDescent="0.25">
      <c r="C47" s="138" t="s">
        <v>825</v>
      </c>
      <c r="D47" s="189">
        <v>1</v>
      </c>
      <c r="E47" s="189" t="s">
        <v>250</v>
      </c>
      <c r="F47" s="138">
        <v>22</v>
      </c>
      <c r="G47" s="189"/>
      <c r="H47" s="189"/>
      <c r="I47" s="189"/>
      <c r="J47" s="189"/>
      <c r="K47" s="189"/>
      <c r="L47" s="189"/>
      <c r="M47" s="189"/>
      <c r="N47" s="189"/>
      <c r="O47" s="189"/>
      <c r="P47" s="189"/>
      <c r="Q47" s="189"/>
    </row>
    <row r="48" spans="3:17" x14ac:dyDescent="0.25">
      <c r="C48" s="138" t="s">
        <v>826</v>
      </c>
      <c r="D48" s="189">
        <v>1</v>
      </c>
      <c r="E48" s="189" t="s">
        <v>250</v>
      </c>
      <c r="F48" s="138">
        <v>23</v>
      </c>
      <c r="G48" s="189"/>
      <c r="H48" s="189"/>
      <c r="I48" s="189"/>
      <c r="J48" s="189"/>
      <c r="K48" s="189"/>
      <c r="L48" s="189"/>
      <c r="M48" s="189"/>
      <c r="N48" s="189"/>
      <c r="O48" s="189"/>
      <c r="P48" s="189"/>
      <c r="Q48" s="189"/>
    </row>
    <row r="49" spans="3:17" x14ac:dyDescent="0.25">
      <c r="C49" s="138" t="s">
        <v>827</v>
      </c>
      <c r="D49" s="189">
        <v>1</v>
      </c>
      <c r="E49" s="189" t="s">
        <v>250</v>
      </c>
      <c r="F49" s="138">
        <v>24</v>
      </c>
      <c r="G49" s="189"/>
      <c r="H49" s="189"/>
      <c r="I49" s="189"/>
      <c r="J49" s="189"/>
      <c r="K49" s="189"/>
      <c r="L49" s="189"/>
      <c r="M49" s="189"/>
      <c r="N49" s="189"/>
      <c r="O49" s="189"/>
      <c r="P49" s="189"/>
      <c r="Q49" s="189"/>
    </row>
    <row r="50" spans="3:17" x14ac:dyDescent="0.25">
      <c r="C50" s="138" t="s">
        <v>828</v>
      </c>
      <c r="D50" s="189">
        <v>1</v>
      </c>
      <c r="E50" s="189" t="s">
        <v>250</v>
      </c>
      <c r="F50" s="138">
        <v>25</v>
      </c>
      <c r="G50" s="189"/>
      <c r="H50" s="189"/>
      <c r="I50" s="189"/>
      <c r="J50" s="189"/>
      <c r="K50" s="189"/>
      <c r="L50" s="189"/>
      <c r="M50" s="189"/>
      <c r="N50" s="189"/>
      <c r="O50" s="189"/>
      <c r="P50" s="189"/>
      <c r="Q50" s="189"/>
    </row>
    <row r="51" spans="3:17" x14ac:dyDescent="0.25">
      <c r="C51" s="138" t="s">
        <v>829</v>
      </c>
      <c r="D51" s="189">
        <v>1</v>
      </c>
      <c r="E51" s="189" t="s">
        <v>250</v>
      </c>
      <c r="F51" s="138">
        <v>26</v>
      </c>
      <c r="G51" s="189"/>
      <c r="H51" s="189"/>
      <c r="I51" s="189"/>
      <c r="J51" s="189"/>
      <c r="K51" s="189"/>
      <c r="L51" s="189"/>
      <c r="M51" s="189"/>
      <c r="N51" s="189"/>
      <c r="O51" s="189"/>
      <c r="P51" s="189"/>
      <c r="Q51" s="189"/>
    </row>
    <row r="52" spans="3:17" x14ac:dyDescent="0.25">
      <c r="C52" s="138" t="s">
        <v>830</v>
      </c>
      <c r="D52" s="189">
        <v>0</v>
      </c>
      <c r="E52" s="189" t="s">
        <v>250</v>
      </c>
      <c r="F52" s="138">
        <v>27</v>
      </c>
      <c r="G52" s="189"/>
      <c r="H52" s="189"/>
      <c r="I52" s="189"/>
      <c r="J52" s="189"/>
      <c r="K52" s="189"/>
      <c r="L52" s="189"/>
      <c r="M52" s="189"/>
      <c r="N52" s="189"/>
      <c r="O52" s="189"/>
      <c r="P52" s="189"/>
      <c r="Q52" s="189"/>
    </row>
    <row r="53" spans="3:17" x14ac:dyDescent="0.25">
      <c r="C53" s="138" t="s">
        <v>831</v>
      </c>
      <c r="D53" s="189">
        <v>1</v>
      </c>
      <c r="E53" s="189" t="s">
        <v>250</v>
      </c>
      <c r="F53" s="138">
        <v>28</v>
      </c>
      <c r="G53" s="189"/>
      <c r="H53" s="189"/>
      <c r="I53" s="189"/>
      <c r="J53" s="189"/>
      <c r="K53" s="189"/>
      <c r="L53" s="189"/>
      <c r="M53" s="189"/>
      <c r="N53" s="189"/>
      <c r="O53" s="189"/>
      <c r="P53" s="189"/>
      <c r="Q53" s="189"/>
    </row>
    <row r="54" spans="3:17" x14ac:dyDescent="0.25">
      <c r="C54" s="138" t="s">
        <v>832</v>
      </c>
      <c r="D54" s="189">
        <v>1</v>
      </c>
      <c r="E54" s="189" t="s">
        <v>250</v>
      </c>
      <c r="F54" s="138">
        <v>29</v>
      </c>
      <c r="G54" s="189"/>
      <c r="H54" s="189"/>
      <c r="I54" s="189"/>
      <c r="J54" s="189"/>
      <c r="K54" s="189"/>
      <c r="L54" s="189"/>
      <c r="M54" s="189"/>
      <c r="N54" s="189"/>
      <c r="O54" s="189"/>
      <c r="P54" s="189"/>
      <c r="Q54" s="189"/>
    </row>
    <row r="55" spans="3:17" x14ac:dyDescent="0.25">
      <c r="C55" s="138" t="s">
        <v>833</v>
      </c>
      <c r="D55" s="189">
        <v>1</v>
      </c>
      <c r="E55" s="189" t="s">
        <v>250</v>
      </c>
      <c r="F55" s="138">
        <v>30</v>
      </c>
      <c r="G55" s="189"/>
      <c r="H55" s="189"/>
      <c r="I55" s="189"/>
      <c r="J55" s="189"/>
      <c r="K55" s="189"/>
      <c r="L55" s="189"/>
      <c r="M55" s="189"/>
      <c r="N55" s="189"/>
      <c r="O55" s="189"/>
      <c r="P55" s="189"/>
      <c r="Q55" s="189"/>
    </row>
    <row r="56" spans="3:17" x14ac:dyDescent="0.25">
      <c r="C56" s="138" t="s">
        <v>834</v>
      </c>
      <c r="D56" s="189">
        <v>0</v>
      </c>
      <c r="E56" s="189" t="s">
        <v>250</v>
      </c>
      <c r="F56" s="138">
        <v>31</v>
      </c>
      <c r="G56" s="189"/>
      <c r="H56" s="189"/>
      <c r="I56" s="189"/>
      <c r="J56" s="189"/>
      <c r="K56" s="189"/>
      <c r="L56" s="189"/>
      <c r="M56" s="189"/>
      <c r="N56" s="189"/>
      <c r="O56" s="189"/>
      <c r="P56" s="189"/>
      <c r="Q56" s="189"/>
    </row>
    <row r="57" spans="3:17" x14ac:dyDescent="0.25">
      <c r="C57" s="138" t="s">
        <v>835</v>
      </c>
      <c r="D57" s="189">
        <v>1</v>
      </c>
      <c r="E57" s="189" t="s">
        <v>250</v>
      </c>
      <c r="F57" s="138">
        <v>32</v>
      </c>
      <c r="G57" s="189"/>
      <c r="H57" s="189"/>
      <c r="I57" s="189"/>
      <c r="J57" s="189"/>
      <c r="K57" s="189"/>
      <c r="L57" s="189"/>
      <c r="M57" s="189"/>
      <c r="N57" s="189"/>
      <c r="O57" s="189"/>
      <c r="P57" s="189"/>
      <c r="Q57" s="189"/>
    </row>
    <row r="58" spans="3:17" x14ac:dyDescent="0.25">
      <c r="C58" s="138" t="s">
        <v>836</v>
      </c>
      <c r="D58" s="189">
        <v>1</v>
      </c>
      <c r="E58" s="189" t="s">
        <v>250</v>
      </c>
      <c r="F58" s="138">
        <v>33</v>
      </c>
      <c r="G58" s="189"/>
      <c r="H58" s="189"/>
      <c r="I58" s="189"/>
      <c r="J58" s="189"/>
      <c r="K58" s="189"/>
      <c r="L58" s="189"/>
      <c r="M58" s="189"/>
      <c r="N58" s="189"/>
      <c r="O58" s="189"/>
      <c r="P58" s="189"/>
      <c r="Q58" s="189"/>
    </row>
    <row r="59" spans="3:17" x14ac:dyDescent="0.25">
      <c r="C59" s="138" t="s">
        <v>837</v>
      </c>
      <c r="D59" s="189" t="s">
        <v>924</v>
      </c>
      <c r="E59" s="189" t="s">
        <v>250</v>
      </c>
      <c r="F59" s="138">
        <v>34</v>
      </c>
      <c r="G59" s="189"/>
      <c r="H59" s="189"/>
      <c r="I59" s="189"/>
      <c r="J59" s="189"/>
      <c r="K59" s="189"/>
      <c r="L59" s="189"/>
      <c r="M59" s="189"/>
      <c r="N59" s="189"/>
      <c r="O59" s="189"/>
      <c r="P59" s="189"/>
      <c r="Q59" s="189"/>
    </row>
    <row r="60" spans="3:17" x14ac:dyDescent="0.25">
      <c r="C60" s="138" t="s">
        <v>838</v>
      </c>
      <c r="D60" s="189">
        <v>1</v>
      </c>
      <c r="E60" s="189" t="s">
        <v>250</v>
      </c>
      <c r="F60" s="138">
        <v>35</v>
      </c>
      <c r="G60" s="189"/>
      <c r="H60" s="189"/>
      <c r="I60" s="189"/>
      <c r="J60" s="189"/>
      <c r="K60" s="189"/>
      <c r="L60" s="189"/>
      <c r="M60" s="189"/>
      <c r="N60" s="189"/>
      <c r="O60" s="189"/>
      <c r="P60" s="189"/>
      <c r="Q60" s="189"/>
    </row>
    <row r="61" spans="3:17" x14ac:dyDescent="0.25">
      <c r="C61" s="138" t="s">
        <v>839</v>
      </c>
      <c r="D61" s="189">
        <v>1</v>
      </c>
      <c r="E61" s="189" t="s">
        <v>250</v>
      </c>
      <c r="F61" s="138">
        <v>36</v>
      </c>
      <c r="G61" s="189"/>
      <c r="H61" s="189"/>
      <c r="I61" s="189"/>
      <c r="J61" s="189"/>
      <c r="K61" s="189"/>
      <c r="L61" s="189"/>
      <c r="M61" s="189"/>
      <c r="N61" s="189"/>
      <c r="O61" s="189"/>
      <c r="P61" s="189"/>
      <c r="Q61" s="189"/>
    </row>
    <row r="62" spans="3:17" x14ac:dyDescent="0.25">
      <c r="C62" s="138" t="s">
        <v>840</v>
      </c>
      <c r="D62" s="189">
        <v>1</v>
      </c>
      <c r="E62" s="189" t="s">
        <v>250</v>
      </c>
      <c r="F62" s="138">
        <v>37</v>
      </c>
      <c r="G62" s="189"/>
      <c r="H62" s="189"/>
      <c r="I62" s="189"/>
      <c r="J62" s="189"/>
      <c r="K62" s="189"/>
      <c r="L62" s="189"/>
      <c r="M62" s="189"/>
      <c r="N62" s="189"/>
      <c r="O62" s="189"/>
      <c r="P62" s="189"/>
      <c r="Q62" s="189"/>
    </row>
    <row r="63" spans="3:17" x14ac:dyDescent="0.25">
      <c r="C63" s="138" t="s">
        <v>1042</v>
      </c>
      <c r="D63" s="189">
        <v>1</v>
      </c>
      <c r="E63" s="189" t="s">
        <v>250</v>
      </c>
      <c r="F63" s="138">
        <v>38</v>
      </c>
      <c r="G63" s="189"/>
      <c r="H63" s="189"/>
      <c r="I63" s="189"/>
      <c r="J63" s="189"/>
      <c r="K63" s="189"/>
      <c r="L63" s="189"/>
      <c r="M63" s="189"/>
      <c r="N63" s="189"/>
      <c r="O63" s="189"/>
      <c r="P63" s="189"/>
      <c r="Q63" s="189"/>
    </row>
    <row r="64" spans="3:17" x14ac:dyDescent="0.25">
      <c r="C64" s="138" t="s">
        <v>841</v>
      </c>
      <c r="D64" s="189">
        <v>1</v>
      </c>
      <c r="E64" s="189" t="s">
        <v>250</v>
      </c>
      <c r="F64" s="138">
        <v>39</v>
      </c>
      <c r="G64" s="189"/>
      <c r="H64" s="189"/>
      <c r="I64" s="189"/>
      <c r="J64" s="189"/>
      <c r="K64" s="189"/>
      <c r="L64" s="189"/>
      <c r="M64" s="189"/>
      <c r="N64" s="189"/>
      <c r="O64" s="189"/>
      <c r="P64" s="189"/>
      <c r="Q64" s="189"/>
    </row>
    <row r="65" spans="3:17" x14ac:dyDescent="0.25">
      <c r="C65" s="138" t="s">
        <v>842</v>
      </c>
      <c r="D65" s="189">
        <v>1</v>
      </c>
      <c r="E65" s="189" t="s">
        <v>250</v>
      </c>
      <c r="F65" s="138">
        <v>40</v>
      </c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</row>
    <row r="66" spans="3:17" x14ac:dyDescent="0.25">
      <c r="C66" s="138" t="s">
        <v>843</v>
      </c>
      <c r="D66" s="189">
        <v>1</v>
      </c>
      <c r="E66" s="189" t="s">
        <v>250</v>
      </c>
      <c r="F66" s="138">
        <v>41</v>
      </c>
      <c r="G66" s="189"/>
      <c r="H66" s="189"/>
      <c r="I66" s="189"/>
      <c r="J66" s="189"/>
      <c r="K66" s="189"/>
      <c r="L66" s="189"/>
      <c r="M66" s="189"/>
      <c r="N66" s="189"/>
      <c r="O66" s="189"/>
      <c r="P66" s="189"/>
      <c r="Q66" s="189"/>
    </row>
    <row r="67" spans="3:17" x14ac:dyDescent="0.25">
      <c r="C67" s="138" t="s">
        <v>844</v>
      </c>
      <c r="D67" s="189">
        <v>1</v>
      </c>
      <c r="E67" s="189" t="s">
        <v>250</v>
      </c>
      <c r="F67" s="138">
        <v>42</v>
      </c>
      <c r="G67" s="189"/>
      <c r="H67" s="189"/>
      <c r="I67" s="189"/>
      <c r="J67" s="189"/>
      <c r="K67" s="189"/>
      <c r="L67" s="189"/>
      <c r="M67" s="189"/>
      <c r="N67" s="189"/>
      <c r="O67" s="189"/>
      <c r="P67" s="189"/>
      <c r="Q67" s="189"/>
    </row>
    <row r="68" spans="3:17" x14ac:dyDescent="0.25">
      <c r="C68" s="138" t="s">
        <v>845</v>
      </c>
      <c r="D68" s="189">
        <v>1</v>
      </c>
      <c r="E68" s="189" t="s">
        <v>250</v>
      </c>
      <c r="F68" s="138">
        <v>43</v>
      </c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</row>
    <row r="69" spans="3:17" x14ac:dyDescent="0.25">
      <c r="C69" s="138" t="s">
        <v>846</v>
      </c>
      <c r="D69" s="189">
        <v>1</v>
      </c>
      <c r="E69" s="189" t="s">
        <v>250</v>
      </c>
      <c r="F69" s="138">
        <v>44</v>
      </c>
      <c r="G69" s="189"/>
      <c r="H69" s="189"/>
      <c r="I69" s="189"/>
      <c r="J69" s="189"/>
      <c r="K69" s="189"/>
      <c r="L69" s="189"/>
      <c r="M69" s="189"/>
      <c r="N69" s="189"/>
      <c r="O69" s="189"/>
      <c r="P69" s="189"/>
      <c r="Q69" s="189"/>
    </row>
    <row r="70" spans="3:17" x14ac:dyDescent="0.25">
      <c r="C70" s="138" t="s">
        <v>847</v>
      </c>
      <c r="D70" s="189">
        <v>1</v>
      </c>
      <c r="E70" s="189" t="s">
        <v>250</v>
      </c>
      <c r="F70" s="138">
        <v>45</v>
      </c>
      <c r="G70" s="189"/>
      <c r="H70" s="189"/>
      <c r="I70" s="189"/>
      <c r="J70" s="189"/>
      <c r="K70" s="189"/>
      <c r="L70" s="189"/>
      <c r="M70" s="189"/>
      <c r="N70" s="189"/>
      <c r="O70" s="189"/>
      <c r="P70" s="189"/>
      <c r="Q70" s="189"/>
    </row>
    <row r="71" spans="3:17" x14ac:dyDescent="0.25">
      <c r="C71" s="138" t="s">
        <v>848</v>
      </c>
      <c r="D71" s="189">
        <v>1</v>
      </c>
      <c r="E71" s="189" t="s">
        <v>250</v>
      </c>
      <c r="F71" s="138">
        <v>46</v>
      </c>
      <c r="G71" s="189"/>
      <c r="H71" s="189"/>
      <c r="I71" s="189"/>
      <c r="J71" s="189"/>
      <c r="K71" s="189"/>
      <c r="L71" s="189"/>
      <c r="M71" s="189"/>
      <c r="N71" s="189"/>
      <c r="O71" s="189"/>
      <c r="P71" s="189"/>
      <c r="Q71" s="189"/>
    </row>
    <row r="72" spans="3:17" x14ac:dyDescent="0.25">
      <c r="C72" s="138" t="s">
        <v>849</v>
      </c>
      <c r="D72" s="189">
        <v>1</v>
      </c>
      <c r="E72" s="189" t="s">
        <v>250</v>
      </c>
      <c r="F72" s="138">
        <v>47</v>
      </c>
      <c r="G72" s="189"/>
      <c r="H72" s="189"/>
      <c r="I72" s="189"/>
      <c r="J72" s="189"/>
      <c r="K72" s="189"/>
      <c r="L72" s="189"/>
      <c r="M72" s="189"/>
      <c r="N72" s="189"/>
      <c r="O72" s="189"/>
      <c r="P72" s="189"/>
      <c r="Q72" s="189"/>
    </row>
    <row r="73" spans="3:17" x14ac:dyDescent="0.25">
      <c r="C73" s="138" t="s">
        <v>850</v>
      </c>
      <c r="D73" s="189">
        <v>1</v>
      </c>
      <c r="E73" s="189" t="s">
        <v>250</v>
      </c>
      <c r="F73" s="138">
        <v>48</v>
      </c>
      <c r="G73" s="189"/>
      <c r="H73" s="189"/>
      <c r="I73" s="189"/>
      <c r="J73" s="189"/>
      <c r="K73" s="189"/>
      <c r="L73" s="189"/>
      <c r="M73" s="189"/>
      <c r="N73" s="189"/>
      <c r="O73" s="189"/>
      <c r="P73" s="189"/>
      <c r="Q73" s="189"/>
    </row>
    <row r="74" spans="3:17" x14ac:dyDescent="0.25">
      <c r="C74" s="138" t="s">
        <v>851</v>
      </c>
      <c r="D74" s="189">
        <v>1</v>
      </c>
      <c r="E74" s="189" t="s">
        <v>250</v>
      </c>
      <c r="F74" s="138">
        <v>49</v>
      </c>
      <c r="G74" s="189"/>
      <c r="H74" s="189"/>
      <c r="I74" s="189"/>
      <c r="J74" s="189"/>
      <c r="K74" s="189"/>
      <c r="L74" s="189"/>
      <c r="M74" s="189"/>
      <c r="N74" s="189"/>
      <c r="O74" s="189"/>
      <c r="P74" s="189"/>
      <c r="Q74" s="189"/>
    </row>
    <row r="75" spans="3:17" x14ac:dyDescent="0.25">
      <c r="C75" s="138" t="s">
        <v>852</v>
      </c>
      <c r="D75" s="189">
        <v>1</v>
      </c>
      <c r="E75" s="189" t="s">
        <v>250</v>
      </c>
      <c r="F75" s="138">
        <v>50</v>
      </c>
      <c r="G75" s="189"/>
      <c r="H75" s="189"/>
      <c r="I75" s="189"/>
      <c r="J75" s="189"/>
      <c r="K75" s="189"/>
      <c r="L75" s="189"/>
      <c r="M75" s="189"/>
      <c r="N75" s="189"/>
      <c r="O75" s="189"/>
      <c r="P75" s="189"/>
      <c r="Q75" s="189"/>
    </row>
    <row r="76" spans="3:17" x14ac:dyDescent="0.25">
      <c r="C76" s="138" t="s">
        <v>853</v>
      </c>
      <c r="D76" s="189">
        <v>1</v>
      </c>
      <c r="E76" s="189" t="s">
        <v>250</v>
      </c>
      <c r="F76" s="138">
        <v>51</v>
      </c>
      <c r="G76" s="189"/>
      <c r="H76" s="189"/>
      <c r="I76" s="189"/>
      <c r="J76" s="189"/>
      <c r="K76" s="189"/>
      <c r="L76" s="189"/>
      <c r="M76" s="189"/>
      <c r="N76" s="189"/>
      <c r="O76" s="189"/>
      <c r="P76" s="189"/>
      <c r="Q76" s="189"/>
    </row>
    <row r="77" spans="3:17" x14ac:dyDescent="0.25">
      <c r="C77" s="138" t="s">
        <v>854</v>
      </c>
      <c r="D77" s="189">
        <v>1</v>
      </c>
      <c r="E77" s="189" t="s">
        <v>250</v>
      </c>
      <c r="F77" s="138">
        <v>52</v>
      </c>
      <c r="G77" s="189"/>
      <c r="H77" s="189"/>
      <c r="I77" s="189"/>
      <c r="J77" s="189"/>
      <c r="K77" s="189"/>
      <c r="L77" s="189"/>
      <c r="M77" s="189"/>
      <c r="N77" s="189"/>
      <c r="O77" s="189"/>
      <c r="P77" s="189"/>
      <c r="Q77" s="189"/>
    </row>
    <row r="78" spans="3:17" x14ac:dyDescent="0.25">
      <c r="C78" s="138" t="s">
        <v>855</v>
      </c>
      <c r="D78" s="189">
        <v>1</v>
      </c>
      <c r="E78" s="189" t="s">
        <v>250</v>
      </c>
      <c r="F78" s="138">
        <v>53</v>
      </c>
      <c r="G78" s="189"/>
      <c r="H78" s="189"/>
      <c r="I78" s="189"/>
      <c r="J78" s="189"/>
      <c r="K78" s="189"/>
      <c r="L78" s="189"/>
      <c r="M78" s="189"/>
      <c r="N78" s="189"/>
      <c r="O78" s="189"/>
      <c r="P78" s="189"/>
      <c r="Q78" s="189"/>
    </row>
    <row r="79" spans="3:17" x14ac:dyDescent="0.25">
      <c r="C79" s="138" t="s">
        <v>856</v>
      </c>
      <c r="D79" s="189">
        <v>1</v>
      </c>
      <c r="E79" s="189" t="s">
        <v>250</v>
      </c>
      <c r="F79" s="138">
        <v>54</v>
      </c>
      <c r="G79" s="189"/>
      <c r="H79" s="189"/>
      <c r="I79" s="189"/>
      <c r="J79" s="189"/>
      <c r="K79" s="189"/>
      <c r="L79" s="189"/>
      <c r="M79" s="189"/>
      <c r="N79" s="189"/>
      <c r="O79" s="189"/>
      <c r="P79" s="189"/>
      <c r="Q79" s="189"/>
    </row>
    <row r="80" spans="3:17" x14ac:dyDescent="0.25">
      <c r="C80" s="138" t="s">
        <v>857</v>
      </c>
      <c r="D80" s="189">
        <v>1</v>
      </c>
      <c r="E80" s="189" t="s">
        <v>250</v>
      </c>
      <c r="F80" s="138">
        <v>55</v>
      </c>
      <c r="G80" s="189"/>
      <c r="H80" s="189"/>
      <c r="I80" s="189"/>
      <c r="J80" s="189"/>
      <c r="K80" s="189"/>
      <c r="L80" s="189"/>
      <c r="M80" s="189"/>
      <c r="N80" s="189"/>
      <c r="O80" s="189"/>
      <c r="P80" s="189"/>
      <c r="Q80" s="189"/>
    </row>
    <row r="81" spans="3:17" x14ac:dyDescent="0.25">
      <c r="C81" s="138" t="s">
        <v>858</v>
      </c>
      <c r="D81" s="189">
        <v>1</v>
      </c>
      <c r="E81" s="189" t="s">
        <v>250</v>
      </c>
      <c r="F81" s="138">
        <v>56</v>
      </c>
      <c r="G81" s="189"/>
      <c r="H81" s="189"/>
      <c r="I81" s="189"/>
      <c r="J81" s="189"/>
      <c r="K81" s="189"/>
      <c r="L81" s="189"/>
      <c r="M81" s="189"/>
      <c r="N81" s="189"/>
      <c r="O81" s="189"/>
      <c r="P81" s="189"/>
      <c r="Q81" s="189"/>
    </row>
    <row r="82" spans="3:17" x14ac:dyDescent="0.25">
      <c r="C82" s="138" t="s">
        <v>859</v>
      </c>
      <c r="D82" s="189">
        <v>1</v>
      </c>
      <c r="E82" s="189" t="s">
        <v>250</v>
      </c>
      <c r="F82" s="138">
        <v>57</v>
      </c>
      <c r="G82" s="189"/>
      <c r="H82" s="189"/>
      <c r="I82" s="189"/>
      <c r="J82" s="189"/>
      <c r="K82" s="189"/>
      <c r="L82" s="189"/>
      <c r="M82" s="189"/>
      <c r="N82" s="189"/>
      <c r="O82" s="189"/>
      <c r="P82" s="189"/>
      <c r="Q82" s="189"/>
    </row>
    <row r="83" spans="3:17" x14ac:dyDescent="0.25">
      <c r="C83" s="138" t="s">
        <v>860</v>
      </c>
      <c r="D83" s="189">
        <v>1</v>
      </c>
      <c r="E83" s="189" t="s">
        <v>250</v>
      </c>
      <c r="F83" s="138">
        <v>58</v>
      </c>
      <c r="G83" s="189"/>
      <c r="H83" s="189"/>
      <c r="I83" s="189"/>
      <c r="J83" s="189"/>
      <c r="K83" s="189"/>
      <c r="L83" s="189"/>
      <c r="M83" s="189"/>
      <c r="N83" s="189"/>
      <c r="O83" s="189"/>
      <c r="P83" s="189"/>
      <c r="Q83" s="189"/>
    </row>
    <row r="84" spans="3:17" x14ac:dyDescent="0.25">
      <c r="C84" s="138" t="s">
        <v>861</v>
      </c>
      <c r="D84" s="189">
        <v>1</v>
      </c>
      <c r="E84" s="189" t="s">
        <v>250</v>
      </c>
      <c r="F84" s="138">
        <v>59</v>
      </c>
      <c r="G84" s="189"/>
      <c r="H84" s="189"/>
      <c r="I84" s="189"/>
      <c r="J84" s="189"/>
      <c r="K84" s="189"/>
      <c r="L84" s="189"/>
      <c r="M84" s="189"/>
      <c r="N84" s="189"/>
      <c r="O84" s="189"/>
      <c r="P84" s="189"/>
      <c r="Q84" s="189"/>
    </row>
    <row r="85" spans="3:17" x14ac:dyDescent="0.25">
      <c r="C85" s="138" t="s">
        <v>862</v>
      </c>
      <c r="D85" s="189">
        <v>1</v>
      </c>
      <c r="E85" s="189" t="s">
        <v>250</v>
      </c>
      <c r="F85" s="138">
        <v>60</v>
      </c>
    </row>
    <row r="86" spans="3:17" x14ac:dyDescent="0.25">
      <c r="C86" s="138" t="s">
        <v>863</v>
      </c>
      <c r="D86" s="189">
        <v>1</v>
      </c>
      <c r="E86" s="189" t="s">
        <v>250</v>
      </c>
      <c r="F86" s="138">
        <v>61</v>
      </c>
    </row>
    <row r="87" spans="3:17" x14ac:dyDescent="0.25">
      <c r="C87" s="138" t="s">
        <v>864</v>
      </c>
      <c r="D87" s="189">
        <v>1</v>
      </c>
      <c r="E87" s="189" t="s">
        <v>250</v>
      </c>
      <c r="F87" s="138">
        <v>62</v>
      </c>
    </row>
    <row r="88" spans="3:17" x14ac:dyDescent="0.25">
      <c r="C88" s="138" t="s">
        <v>865</v>
      </c>
      <c r="D88" s="189">
        <v>1</v>
      </c>
      <c r="E88" s="189" t="s">
        <v>250</v>
      </c>
      <c r="F88" s="138">
        <v>63</v>
      </c>
    </row>
    <row r="89" spans="3:17" x14ac:dyDescent="0.25">
      <c r="C89" s="138" t="s">
        <v>866</v>
      </c>
      <c r="D89" s="189">
        <v>1</v>
      </c>
      <c r="E89" s="189" t="s">
        <v>250</v>
      </c>
      <c r="F89" s="138">
        <v>64</v>
      </c>
    </row>
    <row r="90" spans="3:17" x14ac:dyDescent="0.25">
      <c r="C90" s="138" t="s">
        <v>867</v>
      </c>
      <c r="D90" s="189">
        <v>1</v>
      </c>
      <c r="E90" s="189" t="s">
        <v>250</v>
      </c>
      <c r="F90" s="138">
        <v>65</v>
      </c>
    </row>
    <row r="91" spans="3:17" x14ac:dyDescent="0.25">
      <c r="C91" s="138" t="s">
        <v>868</v>
      </c>
      <c r="D91" s="189">
        <v>1</v>
      </c>
      <c r="E91" s="189" t="s">
        <v>250</v>
      </c>
      <c r="F91" s="138">
        <v>66</v>
      </c>
    </row>
    <row r="92" spans="3:17" x14ac:dyDescent="0.25">
      <c r="C92" s="138" t="s">
        <v>869</v>
      </c>
      <c r="D92" s="189">
        <v>1</v>
      </c>
      <c r="E92" s="189" t="s">
        <v>250</v>
      </c>
      <c r="F92" s="138">
        <v>67</v>
      </c>
    </row>
    <row r="93" spans="3:17" x14ac:dyDescent="0.25">
      <c r="C93" s="138" t="s">
        <v>870</v>
      </c>
      <c r="D93" s="189">
        <v>1</v>
      </c>
      <c r="E93" s="189" t="s">
        <v>250</v>
      </c>
      <c r="F93" s="138">
        <v>68</v>
      </c>
    </row>
    <row r="94" spans="3:17" x14ac:dyDescent="0.25">
      <c r="C94" s="138" t="s">
        <v>871</v>
      </c>
      <c r="D94" s="189">
        <v>1</v>
      </c>
      <c r="E94" s="189" t="s">
        <v>250</v>
      </c>
      <c r="F94" s="138">
        <v>69</v>
      </c>
    </row>
    <row r="95" spans="3:17" x14ac:dyDescent="0.25">
      <c r="C95" s="138" t="s">
        <v>872</v>
      </c>
      <c r="D95" s="189">
        <v>1</v>
      </c>
      <c r="E95" s="189" t="s">
        <v>250</v>
      </c>
      <c r="F95" s="138">
        <v>70</v>
      </c>
    </row>
    <row r="96" spans="3:17" x14ac:dyDescent="0.25">
      <c r="C96" s="138" t="s">
        <v>873</v>
      </c>
      <c r="D96" s="189">
        <v>1</v>
      </c>
      <c r="E96" s="189" t="s">
        <v>250</v>
      </c>
      <c r="F96" s="138">
        <v>71</v>
      </c>
    </row>
    <row r="97" spans="3:6" x14ac:dyDescent="0.25">
      <c r="C97" s="138" t="s">
        <v>874</v>
      </c>
      <c r="D97" s="189">
        <v>1</v>
      </c>
      <c r="E97" s="189" t="s">
        <v>250</v>
      </c>
      <c r="F97" s="138">
        <v>72</v>
      </c>
    </row>
    <row r="98" spans="3:6" x14ac:dyDescent="0.25">
      <c r="C98" s="138" t="s">
        <v>875</v>
      </c>
      <c r="D98" s="189">
        <v>1</v>
      </c>
      <c r="E98" s="189" t="s">
        <v>250</v>
      </c>
      <c r="F98" s="138">
        <v>73</v>
      </c>
    </row>
    <row r="99" spans="3:6" x14ac:dyDescent="0.25">
      <c r="C99" s="138" t="s">
        <v>876</v>
      </c>
      <c r="D99" s="189">
        <v>1</v>
      </c>
      <c r="E99" s="189" t="s">
        <v>250</v>
      </c>
      <c r="F99" s="138">
        <v>74</v>
      </c>
    </row>
    <row r="100" spans="3:6" x14ac:dyDescent="0.25">
      <c r="C100" s="138" t="s">
        <v>877</v>
      </c>
      <c r="D100" s="189">
        <v>1</v>
      </c>
      <c r="E100" s="189" t="s">
        <v>250</v>
      </c>
      <c r="F100" s="138">
        <v>75</v>
      </c>
    </row>
    <row r="101" spans="3:6" x14ac:dyDescent="0.25">
      <c r="C101" s="138" t="s">
        <v>878</v>
      </c>
      <c r="D101" s="189">
        <v>1</v>
      </c>
      <c r="E101" s="189" t="s">
        <v>250</v>
      </c>
      <c r="F101" s="138">
        <v>76</v>
      </c>
    </row>
    <row r="102" spans="3:6" x14ac:dyDescent="0.25">
      <c r="C102" s="138" t="s">
        <v>879</v>
      </c>
      <c r="D102" s="189">
        <v>1</v>
      </c>
      <c r="E102" s="189" t="s">
        <v>250</v>
      </c>
      <c r="F102" s="138">
        <v>77</v>
      </c>
    </row>
    <row r="103" spans="3:6" x14ac:dyDescent="0.25">
      <c r="C103" s="138" t="s">
        <v>880</v>
      </c>
      <c r="D103" s="189">
        <v>1</v>
      </c>
      <c r="E103" s="189" t="s">
        <v>250</v>
      </c>
      <c r="F103" s="138">
        <v>78</v>
      </c>
    </row>
    <row r="104" spans="3:6" x14ac:dyDescent="0.25">
      <c r="C104" s="138" t="s">
        <v>881</v>
      </c>
      <c r="D104" s="189">
        <v>1</v>
      </c>
      <c r="E104" s="189" t="s">
        <v>250</v>
      </c>
      <c r="F104" s="138">
        <v>79</v>
      </c>
    </row>
    <row r="105" spans="3:6" x14ac:dyDescent="0.25">
      <c r="C105" s="138" t="s">
        <v>882</v>
      </c>
      <c r="D105" s="189">
        <v>1</v>
      </c>
      <c r="E105" s="189" t="s">
        <v>250</v>
      </c>
      <c r="F105" s="138">
        <v>80</v>
      </c>
    </row>
    <row r="106" spans="3:6" x14ac:dyDescent="0.25">
      <c r="C106" s="138" t="s">
        <v>883</v>
      </c>
      <c r="D106" s="189">
        <v>1</v>
      </c>
      <c r="E106" s="189" t="s">
        <v>250</v>
      </c>
      <c r="F106" s="138">
        <v>81</v>
      </c>
    </row>
    <row r="107" spans="3:6" x14ac:dyDescent="0.25">
      <c r="C107" s="138" t="s">
        <v>884</v>
      </c>
      <c r="D107" s="189">
        <v>1</v>
      </c>
      <c r="E107" s="189" t="s">
        <v>250</v>
      </c>
      <c r="F107" s="138">
        <v>82</v>
      </c>
    </row>
    <row r="108" spans="3:6" x14ac:dyDescent="0.25">
      <c r="C108" s="138" t="s">
        <v>885</v>
      </c>
      <c r="D108" s="189">
        <v>1</v>
      </c>
      <c r="E108" s="189" t="s">
        <v>250</v>
      </c>
      <c r="F108" s="138">
        <v>83</v>
      </c>
    </row>
    <row r="109" spans="3:6" x14ac:dyDescent="0.25">
      <c r="C109" s="138" t="s">
        <v>886</v>
      </c>
      <c r="D109" s="189">
        <v>1</v>
      </c>
      <c r="E109" s="189" t="s">
        <v>250</v>
      </c>
      <c r="F109" s="138">
        <v>84</v>
      </c>
    </row>
    <row r="110" spans="3:6" x14ac:dyDescent="0.25">
      <c r="C110" s="138" t="s">
        <v>887</v>
      </c>
      <c r="D110" s="189">
        <v>1</v>
      </c>
      <c r="E110" s="189" t="s">
        <v>250</v>
      </c>
      <c r="F110" s="138">
        <v>85</v>
      </c>
    </row>
    <row r="111" spans="3:6" x14ac:dyDescent="0.25">
      <c r="C111" s="138" t="s">
        <v>888</v>
      </c>
      <c r="D111" s="189">
        <v>1</v>
      </c>
      <c r="E111" s="189" t="s">
        <v>250</v>
      </c>
      <c r="F111" s="138">
        <v>86</v>
      </c>
    </row>
    <row r="112" spans="3:6" x14ac:dyDescent="0.25">
      <c r="C112" s="138" t="s">
        <v>889</v>
      </c>
      <c r="D112" s="189">
        <v>0</v>
      </c>
      <c r="E112" s="189" t="s">
        <v>250</v>
      </c>
      <c r="F112" s="138">
        <v>87</v>
      </c>
    </row>
    <row r="113" spans="2:6" x14ac:dyDescent="0.25">
      <c r="C113" s="138" t="s">
        <v>890</v>
      </c>
      <c r="D113" s="189">
        <v>1</v>
      </c>
      <c r="E113" s="189" t="s">
        <v>250</v>
      </c>
      <c r="F113" s="138">
        <v>88</v>
      </c>
    </row>
    <row r="114" spans="2:6" x14ac:dyDescent="0.25">
      <c r="C114" s="138" t="s">
        <v>891</v>
      </c>
      <c r="D114" s="189">
        <v>1</v>
      </c>
      <c r="E114" s="189" t="s">
        <v>250</v>
      </c>
      <c r="F114" s="138">
        <v>89</v>
      </c>
    </row>
    <row r="115" spans="2:6" x14ac:dyDescent="0.25">
      <c r="C115" s="138" t="s">
        <v>892</v>
      </c>
      <c r="D115" s="189">
        <v>1</v>
      </c>
      <c r="E115" s="189" t="s">
        <v>250</v>
      </c>
      <c r="F115" s="138">
        <v>90</v>
      </c>
    </row>
    <row r="116" spans="2:6" x14ac:dyDescent="0.25">
      <c r="C116" s="138" t="s">
        <v>893</v>
      </c>
      <c r="D116" s="189">
        <v>1</v>
      </c>
      <c r="E116" s="189" t="s">
        <v>250</v>
      </c>
      <c r="F116" s="138">
        <v>91</v>
      </c>
    </row>
    <row r="117" spans="2:6" x14ac:dyDescent="0.25">
      <c r="C117" s="138" t="s">
        <v>894</v>
      </c>
      <c r="D117" s="189">
        <v>1</v>
      </c>
      <c r="E117" s="189" t="s">
        <v>250</v>
      </c>
      <c r="F117" s="138">
        <v>92</v>
      </c>
    </row>
    <row r="118" spans="2:6" x14ac:dyDescent="0.25">
      <c r="C118" s="138" t="s">
        <v>895</v>
      </c>
      <c r="D118" s="189">
        <v>1</v>
      </c>
      <c r="E118" s="189" t="s">
        <v>250</v>
      </c>
      <c r="F118" s="138">
        <v>93</v>
      </c>
    </row>
    <row r="119" spans="2:6" x14ac:dyDescent="0.25">
      <c r="C119" s="138" t="s">
        <v>896</v>
      </c>
      <c r="D119" s="189">
        <v>1</v>
      </c>
      <c r="E119" s="189" t="s">
        <v>250</v>
      </c>
      <c r="F119" s="138">
        <v>94</v>
      </c>
    </row>
    <row r="120" spans="2:6" x14ac:dyDescent="0.25">
      <c r="C120" s="138" t="s">
        <v>897</v>
      </c>
      <c r="D120" s="189">
        <v>1</v>
      </c>
      <c r="E120" s="189" t="s">
        <v>250</v>
      </c>
      <c r="F120" s="138">
        <v>95</v>
      </c>
    </row>
    <row r="121" spans="2:6" x14ac:dyDescent="0.25">
      <c r="C121" s="138" t="s">
        <v>898</v>
      </c>
      <c r="D121" s="189">
        <v>1</v>
      </c>
      <c r="E121" s="189" t="s">
        <v>250</v>
      </c>
      <c r="F121" s="138">
        <v>96</v>
      </c>
    </row>
    <row r="122" spans="2:6" x14ac:dyDescent="0.25">
      <c r="C122" s="138" t="s">
        <v>899</v>
      </c>
      <c r="D122" s="189">
        <v>1</v>
      </c>
      <c r="E122" s="189" t="s">
        <v>250</v>
      </c>
      <c r="F122" s="138">
        <v>97</v>
      </c>
    </row>
    <row r="123" spans="2:6" x14ac:dyDescent="0.25">
      <c r="C123" s="138" t="s">
        <v>900</v>
      </c>
      <c r="D123" s="189">
        <v>1</v>
      </c>
      <c r="E123" s="189" t="s">
        <v>250</v>
      </c>
      <c r="F123" s="138">
        <v>98</v>
      </c>
    </row>
    <row r="124" spans="2:6" x14ac:dyDescent="0.25">
      <c r="C124" s="138" t="s">
        <v>901</v>
      </c>
      <c r="D124" s="189">
        <v>1</v>
      </c>
      <c r="E124" s="189" t="s">
        <v>250</v>
      </c>
      <c r="F124" s="138">
        <v>99</v>
      </c>
    </row>
    <row r="125" spans="2:6" x14ac:dyDescent="0.25">
      <c r="C125" s="138" t="s">
        <v>902</v>
      </c>
      <c r="D125" s="189">
        <v>-99</v>
      </c>
      <c r="E125" s="189" t="s">
        <v>250</v>
      </c>
      <c r="F125" s="138">
        <v>100</v>
      </c>
    </row>
    <row r="126" spans="2:6" x14ac:dyDescent="0.25">
      <c r="C126" s="138" t="s">
        <v>903</v>
      </c>
      <c r="D126" s="189">
        <v>-99</v>
      </c>
      <c r="E126" s="189" t="s">
        <v>250</v>
      </c>
      <c r="F126" s="138">
        <v>101</v>
      </c>
    </row>
    <row r="127" spans="2:6" x14ac:dyDescent="0.25">
      <c r="B127" s="138" t="s">
        <v>245</v>
      </c>
    </row>
  </sheetData>
  <conditionalFormatting sqref="D26:D126">
    <cfRule type="expression" dxfId="12" priority="1">
      <formula>D26="Addl. Criteria"</formula>
    </cfRule>
    <cfRule type="expression" dxfId="11" priority="2">
      <formula>D26=0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SaveWorksheetAsCSV">
                <anchor>
                  <from>
                    <xdr:col>5</xdr:col>
                    <xdr:colOff>685800</xdr:colOff>
                    <xdr:row>0</xdr:row>
                    <xdr:rowOff>85725</xdr:rowOff>
                  </from>
                  <to>
                    <xdr:col>7</xdr:col>
                    <xdr:colOff>47625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FF00"/>
  </sheetPr>
  <dimension ref="A1:L33"/>
  <sheetViews>
    <sheetView workbookViewId="0">
      <selection activeCell="K15" sqref="K15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16384" width="9.140625" style="138"/>
  </cols>
  <sheetData>
    <row r="1" spans="1:5" x14ac:dyDescent="0.25">
      <c r="A1" s="138" t="s">
        <v>250</v>
      </c>
      <c r="B1" s="138" t="s">
        <v>917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409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>
        <v>41428</v>
      </c>
      <c r="D9" s="145" t="s">
        <v>410</v>
      </c>
      <c r="E9" s="138" t="s">
        <v>545</v>
      </c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411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2" x14ac:dyDescent="0.25">
      <c r="A17" s="138" t="s">
        <v>250</v>
      </c>
      <c r="B17" s="138" t="s">
        <v>272</v>
      </c>
    </row>
    <row r="18" spans="1:12" x14ac:dyDescent="0.25">
      <c r="A18" s="138" t="s">
        <v>250</v>
      </c>
      <c r="C18" s="138" t="s">
        <v>421</v>
      </c>
    </row>
    <row r="19" spans="1:12" x14ac:dyDescent="0.25">
      <c r="A19" s="138" t="s">
        <v>250</v>
      </c>
    </row>
    <row r="20" spans="1:12" x14ac:dyDescent="0.25">
      <c r="A20" s="138" t="s">
        <v>250</v>
      </c>
    </row>
    <row r="21" spans="1:12" x14ac:dyDescent="0.25">
      <c r="A21" s="138" t="s">
        <v>365</v>
      </c>
    </row>
    <row r="22" spans="1:12" x14ac:dyDescent="0.25">
      <c r="A22" s="52"/>
      <c r="B22" s="148" t="s">
        <v>908</v>
      </c>
      <c r="C22" s="148"/>
      <c r="D22" s="52"/>
    </row>
    <row r="23" spans="1:12" x14ac:dyDescent="0.25">
      <c r="A23" s="52"/>
      <c r="B23" s="148"/>
      <c r="C23" s="148" t="s">
        <v>784</v>
      </c>
      <c r="D23" s="324" t="s">
        <v>420</v>
      </c>
      <c r="E23" s="56"/>
      <c r="F23" s="56"/>
      <c r="G23" s="56"/>
      <c r="H23" s="56"/>
      <c r="I23" s="56"/>
      <c r="J23" s="327"/>
      <c r="K23" s="327"/>
      <c r="L23" s="327"/>
    </row>
    <row r="24" spans="1:12" x14ac:dyDescent="0.25">
      <c r="A24" s="52"/>
      <c r="B24" s="52"/>
      <c r="C24" s="52" t="s">
        <v>412</v>
      </c>
      <c r="D24" s="170">
        <v>0.2</v>
      </c>
      <c r="E24" s="57"/>
      <c r="F24" s="57"/>
      <c r="G24" s="58"/>
      <c r="H24" s="57"/>
      <c r="I24" s="58"/>
      <c r="J24" s="57"/>
      <c r="K24" s="57"/>
      <c r="L24" s="57"/>
    </row>
    <row r="25" spans="1:12" x14ac:dyDescent="0.25">
      <c r="A25" s="52"/>
      <c r="B25" s="52"/>
      <c r="C25" s="52" t="s">
        <v>413</v>
      </c>
      <c r="D25" s="170">
        <v>0.4</v>
      </c>
      <c r="E25" s="57"/>
      <c r="F25" s="57"/>
      <c r="G25" s="58"/>
      <c r="H25" s="57"/>
      <c r="I25" s="58"/>
      <c r="J25" s="57"/>
      <c r="K25" s="57"/>
      <c r="L25" s="57"/>
    </row>
    <row r="26" spans="1:12" x14ac:dyDescent="0.25">
      <c r="A26" s="52"/>
      <c r="B26" s="52"/>
      <c r="C26" s="149" t="s">
        <v>414</v>
      </c>
      <c r="D26" s="170">
        <v>0.3</v>
      </c>
      <c r="E26" s="57"/>
      <c r="F26" s="58"/>
      <c r="G26" s="58"/>
      <c r="H26" s="57"/>
      <c r="I26" s="58"/>
      <c r="J26" s="57"/>
      <c r="K26" s="57"/>
      <c r="L26" s="58"/>
    </row>
    <row r="27" spans="1:12" x14ac:dyDescent="0.25">
      <c r="A27" s="52"/>
      <c r="B27" s="52"/>
      <c r="C27" s="52" t="s">
        <v>415</v>
      </c>
      <c r="D27" s="170">
        <v>0.2</v>
      </c>
      <c r="E27" s="57"/>
      <c r="F27" s="58"/>
      <c r="G27" s="58"/>
      <c r="H27" s="57"/>
      <c r="I27" s="58"/>
      <c r="J27" s="57"/>
      <c r="K27" s="57"/>
      <c r="L27" s="58"/>
    </row>
    <row r="28" spans="1:12" x14ac:dyDescent="0.25">
      <c r="A28" s="52"/>
      <c r="B28" s="52"/>
      <c r="C28" s="52" t="s">
        <v>416</v>
      </c>
      <c r="D28" s="170">
        <v>0.1</v>
      </c>
      <c r="E28" s="57"/>
      <c r="F28" s="58"/>
      <c r="G28" s="58"/>
      <c r="H28" s="57"/>
      <c r="I28" s="58"/>
      <c r="J28" s="57"/>
      <c r="K28" s="57"/>
      <c r="L28" s="58"/>
    </row>
    <row r="29" spans="1:12" x14ac:dyDescent="0.25">
      <c r="A29" s="52"/>
      <c r="B29" s="52"/>
      <c r="C29" s="52" t="s">
        <v>417</v>
      </c>
      <c r="D29" s="170">
        <v>0.2</v>
      </c>
      <c r="E29" s="57"/>
      <c r="F29" s="58"/>
      <c r="G29" s="58"/>
      <c r="H29" s="57"/>
      <c r="I29" s="58"/>
      <c r="J29" s="57"/>
      <c r="K29" s="57"/>
      <c r="L29" s="58"/>
    </row>
    <row r="30" spans="1:12" x14ac:dyDescent="0.25">
      <c r="A30" s="52"/>
      <c r="B30" s="52"/>
      <c r="C30" s="52" t="s">
        <v>418</v>
      </c>
      <c r="D30" s="170">
        <v>0.05</v>
      </c>
      <c r="E30" s="57"/>
      <c r="F30" s="58"/>
      <c r="G30" s="58"/>
      <c r="H30" s="57"/>
      <c r="I30" s="58"/>
      <c r="J30" s="57"/>
      <c r="K30" s="57"/>
      <c r="L30" s="58"/>
    </row>
    <row r="31" spans="1:12" x14ac:dyDescent="0.25">
      <c r="A31" s="52"/>
      <c r="B31" s="52"/>
      <c r="C31" s="52" t="s">
        <v>419</v>
      </c>
      <c r="D31" s="170">
        <v>0.25</v>
      </c>
      <c r="E31" s="57"/>
      <c r="F31" s="58"/>
      <c r="G31" s="58"/>
      <c r="H31" s="57"/>
      <c r="I31" s="58"/>
      <c r="J31" s="57"/>
      <c r="K31" s="57"/>
      <c r="L31" s="58"/>
    </row>
    <row r="32" spans="1:12" x14ac:dyDescent="0.25">
      <c r="A32" s="52"/>
      <c r="B32" s="52" t="s">
        <v>245</v>
      </c>
      <c r="C32" s="52"/>
      <c r="D32" s="52"/>
    </row>
    <row r="33" spans="1:4" x14ac:dyDescent="0.25">
      <c r="A33" s="325"/>
      <c r="B33" s="52"/>
      <c r="C33" s="52"/>
      <c r="D33" s="52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SaveWorksheetAsCSV">
                <anchor>
                  <from>
                    <xdr:col>4</xdr:col>
                    <xdr:colOff>400050</xdr:colOff>
                    <xdr:row>0</xdr:row>
                    <xdr:rowOff>47625</xdr:rowOff>
                  </from>
                  <to>
                    <xdr:col>8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32"/>
  <sheetViews>
    <sheetView topLeftCell="A4" workbookViewId="0">
      <selection activeCell="I28" sqref="I27:I28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16384" width="9.140625" style="138"/>
  </cols>
  <sheetData>
    <row r="1" spans="1:5" x14ac:dyDescent="0.25">
      <c r="A1" s="138" t="s">
        <v>250</v>
      </c>
      <c r="B1" s="138" t="s">
        <v>918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409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>
        <v>41428</v>
      </c>
      <c r="D9" s="145" t="s">
        <v>410</v>
      </c>
      <c r="E9" s="138" t="s">
        <v>545</v>
      </c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411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2" x14ac:dyDescent="0.25">
      <c r="A17" s="138" t="s">
        <v>250</v>
      </c>
      <c r="B17" s="138" t="s">
        <v>272</v>
      </c>
    </row>
    <row r="18" spans="1:12" x14ac:dyDescent="0.25">
      <c r="A18" s="138" t="s">
        <v>250</v>
      </c>
      <c r="C18" s="138" t="s">
        <v>421</v>
      </c>
    </row>
    <row r="19" spans="1:12" x14ac:dyDescent="0.25">
      <c r="A19" s="138" t="s">
        <v>250</v>
      </c>
    </row>
    <row r="20" spans="1:12" x14ac:dyDescent="0.25">
      <c r="A20" s="138" t="s">
        <v>250</v>
      </c>
    </row>
    <row r="21" spans="1:12" x14ac:dyDescent="0.25">
      <c r="A21" s="138" t="s">
        <v>365</v>
      </c>
    </row>
    <row r="22" spans="1:12" x14ac:dyDescent="0.25">
      <c r="A22" s="52"/>
      <c r="B22" s="148" t="s">
        <v>908</v>
      </c>
      <c r="C22" s="148"/>
      <c r="D22" s="52"/>
    </row>
    <row r="23" spans="1:12" x14ac:dyDescent="0.25">
      <c r="A23" s="52"/>
      <c r="B23" s="148"/>
      <c r="C23" s="148" t="s">
        <v>784</v>
      </c>
      <c r="D23" s="324" t="s">
        <v>420</v>
      </c>
      <c r="E23" s="56" t="s">
        <v>420</v>
      </c>
      <c r="F23" s="56"/>
      <c r="G23" s="56"/>
      <c r="H23" s="56"/>
      <c r="I23" s="56"/>
      <c r="J23" s="327"/>
      <c r="K23" s="327"/>
      <c r="L23" s="327"/>
    </row>
    <row r="24" spans="1:12" ht="15.75" thickBot="1" x14ac:dyDescent="0.3">
      <c r="A24" s="52"/>
      <c r="B24" s="148"/>
      <c r="C24" s="339" t="s">
        <v>1044</v>
      </c>
      <c r="D24" s="191">
        <v>1</v>
      </c>
      <c r="E24" s="340">
        <v>0</v>
      </c>
      <c r="F24" s="56"/>
      <c r="G24" s="56"/>
      <c r="H24" s="56"/>
      <c r="I24" s="56"/>
      <c r="J24" s="327"/>
      <c r="K24" s="327"/>
      <c r="L24" s="327"/>
    </row>
    <row r="25" spans="1:12" ht="15.75" thickTop="1" x14ac:dyDescent="0.25">
      <c r="A25" s="52"/>
      <c r="B25" s="52"/>
      <c r="C25" s="52" t="s">
        <v>905</v>
      </c>
      <c r="D25" s="170">
        <v>0.1</v>
      </c>
      <c r="E25" s="170">
        <v>0.1</v>
      </c>
      <c r="F25" s="57"/>
      <c r="G25" s="58"/>
      <c r="H25" s="57"/>
      <c r="I25" s="58"/>
      <c r="J25" s="57"/>
      <c r="K25" s="57"/>
      <c r="L25" s="57"/>
    </row>
    <row r="26" spans="1:12" x14ac:dyDescent="0.25">
      <c r="A26" s="52"/>
      <c r="B26" s="52"/>
      <c r="C26" s="52" t="s">
        <v>413</v>
      </c>
      <c r="D26" s="170">
        <v>0.4</v>
      </c>
      <c r="E26" s="170">
        <v>0.4</v>
      </c>
      <c r="F26" s="57"/>
      <c r="G26" s="58"/>
      <c r="H26" s="57"/>
      <c r="I26" s="58"/>
      <c r="J26" s="57"/>
      <c r="K26" s="57"/>
      <c r="L26" s="57"/>
    </row>
    <row r="27" spans="1:12" x14ac:dyDescent="0.25">
      <c r="A27" s="52"/>
      <c r="B27" s="52"/>
      <c r="C27" s="149" t="s">
        <v>414</v>
      </c>
      <c r="D27" s="170">
        <v>0.3</v>
      </c>
      <c r="E27" s="170">
        <v>0.3</v>
      </c>
      <c r="F27" s="58"/>
      <c r="G27" s="58"/>
      <c r="H27" s="57"/>
      <c r="I27" s="58"/>
      <c r="J27" s="57"/>
      <c r="K27" s="57"/>
      <c r="L27" s="58"/>
    </row>
    <row r="28" spans="1:12" x14ac:dyDescent="0.25">
      <c r="A28" s="52"/>
      <c r="B28" s="52"/>
      <c r="C28" s="52" t="s">
        <v>415</v>
      </c>
      <c r="D28" s="170">
        <v>0.2</v>
      </c>
      <c r="E28" s="170">
        <v>0.2</v>
      </c>
      <c r="F28" s="58"/>
      <c r="G28" s="58"/>
      <c r="H28" s="57"/>
      <c r="I28" s="58"/>
      <c r="J28" s="57"/>
      <c r="K28" s="57"/>
      <c r="L28" s="58"/>
    </row>
    <row r="29" spans="1:12" x14ac:dyDescent="0.25">
      <c r="A29" s="52"/>
      <c r="B29" s="52"/>
      <c r="C29" s="52" t="s">
        <v>418</v>
      </c>
      <c r="D29" s="170">
        <v>0.05</v>
      </c>
      <c r="E29" s="170">
        <v>0.05</v>
      </c>
      <c r="F29" s="58"/>
      <c r="G29" s="58"/>
      <c r="H29" s="57"/>
      <c r="I29" s="58"/>
      <c r="J29" s="57"/>
      <c r="K29" s="57"/>
      <c r="L29" s="58"/>
    </row>
    <row r="30" spans="1:12" x14ac:dyDescent="0.25">
      <c r="A30" s="52"/>
      <c r="B30" s="52"/>
      <c r="C30" s="52" t="s">
        <v>907</v>
      </c>
      <c r="D30" s="170">
        <v>0.05</v>
      </c>
      <c r="E30" s="170">
        <v>0.1</v>
      </c>
      <c r="F30" s="58"/>
      <c r="G30" s="58"/>
      <c r="H30" s="57"/>
      <c r="I30" s="58"/>
      <c r="J30" s="57"/>
      <c r="K30" s="57"/>
      <c r="L30" s="58"/>
    </row>
    <row r="31" spans="1:12" x14ac:dyDescent="0.25">
      <c r="A31" s="52"/>
      <c r="B31" s="52" t="s">
        <v>245</v>
      </c>
      <c r="C31" s="52"/>
      <c r="D31" s="52"/>
    </row>
    <row r="32" spans="1:12" x14ac:dyDescent="0.25">
      <c r="A32" s="325"/>
      <c r="B32" s="52"/>
      <c r="C32" s="52"/>
      <c r="D32" s="5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defaultSize="0" print="0" autoFill="0" autoPict="0" macro="[0]!SaveWorksheetAsCSV">
                <anchor>
                  <from>
                    <xdr:col>8</xdr:col>
                    <xdr:colOff>400050</xdr:colOff>
                    <xdr:row>4</xdr:row>
                    <xdr:rowOff>47625</xdr:rowOff>
                  </from>
                  <to>
                    <xdr:col>12</xdr:col>
                    <xdr:colOff>104775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C912A-E4E8-45CE-BB43-8CA703075AFD}">
  <sheetPr codeName="Sheet36">
    <tabColor rgb="FFFFFF00"/>
  </sheetPr>
  <dimension ref="A1:O36"/>
  <sheetViews>
    <sheetView workbookViewId="0">
      <selection activeCell="R40" sqref="R40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5" width="9.140625" style="138"/>
    <col min="6" max="14" width="10.28515625" style="138" customWidth="1"/>
    <col min="15" max="16384" width="9.140625" style="138"/>
  </cols>
  <sheetData>
    <row r="1" spans="1:5" x14ac:dyDescent="0.25">
      <c r="A1" s="138" t="s">
        <v>250</v>
      </c>
      <c r="B1" s="138" t="s">
        <v>918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409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>
        <v>43328</v>
      </c>
      <c r="D9" s="145" t="s">
        <v>410</v>
      </c>
      <c r="E9" s="138" t="s">
        <v>998</v>
      </c>
    </row>
    <row r="10" spans="1:5" x14ac:dyDescent="0.25">
      <c r="A10" s="138" t="s">
        <v>250</v>
      </c>
      <c r="B10" s="141"/>
      <c r="C10" s="144"/>
      <c r="D10" s="145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411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5" x14ac:dyDescent="0.25">
      <c r="A17" s="138" t="s">
        <v>250</v>
      </c>
      <c r="B17" s="138" t="s">
        <v>272</v>
      </c>
    </row>
    <row r="18" spans="1:15" x14ac:dyDescent="0.25">
      <c r="A18" s="138" t="s">
        <v>250</v>
      </c>
      <c r="C18" s="138" t="s">
        <v>997</v>
      </c>
    </row>
    <row r="19" spans="1:15" x14ac:dyDescent="0.25">
      <c r="A19" s="138" t="s">
        <v>250</v>
      </c>
    </row>
    <row r="20" spans="1:15" x14ac:dyDescent="0.25">
      <c r="A20" s="138" t="s">
        <v>250</v>
      </c>
    </row>
    <row r="21" spans="1:15" x14ac:dyDescent="0.25">
      <c r="A21" s="138" t="s">
        <v>365</v>
      </c>
    </row>
    <row r="22" spans="1:15" x14ac:dyDescent="0.25">
      <c r="A22" s="52"/>
      <c r="B22" s="148" t="s">
        <v>908</v>
      </c>
      <c r="C22" s="148"/>
      <c r="D22" s="52"/>
    </row>
    <row r="23" spans="1:15" ht="30" x14ac:dyDescent="0.25">
      <c r="A23" s="52"/>
      <c r="B23" s="148"/>
      <c r="C23" s="148" t="s">
        <v>784</v>
      </c>
      <c r="D23" s="324" t="s">
        <v>420</v>
      </c>
      <c r="E23" s="56" t="s">
        <v>420</v>
      </c>
      <c r="F23" s="187" t="s">
        <v>1035</v>
      </c>
      <c r="G23" s="187" t="s">
        <v>1035</v>
      </c>
      <c r="H23" s="187" t="s">
        <v>1035</v>
      </c>
      <c r="I23" s="187" t="s">
        <v>1035</v>
      </c>
      <c r="J23" s="187" t="s">
        <v>1035</v>
      </c>
      <c r="K23" s="187" t="s">
        <v>1035</v>
      </c>
      <c r="L23" s="187" t="s">
        <v>1035</v>
      </c>
      <c r="M23" s="187" t="s">
        <v>1035</v>
      </c>
      <c r="N23" s="187" t="s">
        <v>1035</v>
      </c>
      <c r="O23" s="187" t="s">
        <v>1035</v>
      </c>
    </row>
    <row r="24" spans="1:15" ht="15.75" thickBot="1" x14ac:dyDescent="0.3">
      <c r="A24" s="52"/>
      <c r="B24" s="148"/>
      <c r="C24" s="339" t="s">
        <v>1044</v>
      </c>
      <c r="D24" s="191">
        <v>1</v>
      </c>
      <c r="E24" s="340">
        <v>0</v>
      </c>
      <c r="F24" s="364" t="s">
        <v>348</v>
      </c>
      <c r="G24" s="364" t="s">
        <v>348</v>
      </c>
      <c r="H24" s="364" t="s">
        <v>348</v>
      </c>
      <c r="I24" s="364" t="s">
        <v>348</v>
      </c>
      <c r="J24" s="364" t="s">
        <v>348</v>
      </c>
      <c r="K24" s="364" t="s">
        <v>348</v>
      </c>
      <c r="L24" s="364" t="s">
        <v>348</v>
      </c>
      <c r="M24" s="364" t="s">
        <v>348</v>
      </c>
      <c r="N24" s="364" t="s">
        <v>348</v>
      </c>
      <c r="O24" s="364" t="s">
        <v>348</v>
      </c>
    </row>
    <row r="25" spans="1:15" ht="69" thickTop="1" thickBot="1" x14ac:dyDescent="0.3">
      <c r="A25" s="52"/>
      <c r="B25" s="148"/>
      <c r="C25" s="365" t="s">
        <v>1045</v>
      </c>
      <c r="D25" s="366" t="s">
        <v>348</v>
      </c>
      <c r="E25" s="367" t="s">
        <v>348</v>
      </c>
      <c r="F25" s="368" t="s">
        <v>905</v>
      </c>
      <c r="G25" s="368" t="s">
        <v>413</v>
      </c>
      <c r="H25" s="368" t="s">
        <v>414</v>
      </c>
      <c r="I25" s="368" t="s">
        <v>415</v>
      </c>
      <c r="J25" s="368" t="s">
        <v>907</v>
      </c>
      <c r="K25" s="369" t="s">
        <v>418</v>
      </c>
      <c r="L25" s="369" t="s">
        <v>999</v>
      </c>
      <c r="M25" s="369" t="s">
        <v>1000</v>
      </c>
      <c r="N25" s="369" t="s">
        <v>1001</v>
      </c>
      <c r="O25" s="369" t="s">
        <v>348</v>
      </c>
    </row>
    <row r="26" spans="1:15" ht="15.75" thickTop="1" x14ac:dyDescent="0.25">
      <c r="A26" s="52"/>
      <c r="B26" s="52"/>
      <c r="C26" s="52" t="s">
        <v>905</v>
      </c>
      <c r="D26" s="170">
        <v>0.1</v>
      </c>
      <c r="E26" s="170">
        <v>0.1</v>
      </c>
      <c r="F26" s="362">
        <v>1</v>
      </c>
      <c r="G26" s="189">
        <v>1</v>
      </c>
      <c r="H26" s="189">
        <v>1</v>
      </c>
      <c r="I26" s="189">
        <v>1</v>
      </c>
      <c r="J26" s="189">
        <v>0</v>
      </c>
      <c r="K26" s="189">
        <v>0</v>
      </c>
      <c r="L26" s="189">
        <v>0</v>
      </c>
      <c r="M26" s="189">
        <v>0</v>
      </c>
      <c r="N26" s="189">
        <v>0</v>
      </c>
      <c r="O26" s="138">
        <v>0</v>
      </c>
    </row>
    <row r="27" spans="1:15" x14ac:dyDescent="0.25">
      <c r="A27" s="52"/>
      <c r="B27" s="52"/>
      <c r="C27" s="52" t="s">
        <v>413</v>
      </c>
      <c r="D27" s="170">
        <v>0.4</v>
      </c>
      <c r="E27" s="170">
        <v>0.4</v>
      </c>
      <c r="F27" s="189">
        <v>1</v>
      </c>
      <c r="G27" s="362">
        <v>1</v>
      </c>
      <c r="H27" s="189">
        <v>1</v>
      </c>
      <c r="I27" s="189">
        <v>1</v>
      </c>
      <c r="J27" s="189">
        <v>0</v>
      </c>
      <c r="K27" s="189">
        <v>0</v>
      </c>
      <c r="L27" s="189">
        <v>1</v>
      </c>
      <c r="M27" s="189">
        <v>1</v>
      </c>
      <c r="N27" s="189">
        <v>1</v>
      </c>
      <c r="O27" s="138">
        <v>0</v>
      </c>
    </row>
    <row r="28" spans="1:15" x14ac:dyDescent="0.25">
      <c r="A28" s="52"/>
      <c r="B28" s="52"/>
      <c r="C28" s="149" t="s">
        <v>414</v>
      </c>
      <c r="D28" s="170">
        <v>0.3</v>
      </c>
      <c r="E28" s="170">
        <v>0.3</v>
      </c>
      <c r="F28" s="189">
        <v>1</v>
      </c>
      <c r="G28" s="189">
        <v>1</v>
      </c>
      <c r="H28" s="362">
        <v>1</v>
      </c>
      <c r="I28" s="189">
        <v>1</v>
      </c>
      <c r="J28" s="189">
        <v>0</v>
      </c>
      <c r="K28" s="189">
        <v>0</v>
      </c>
      <c r="L28" s="189">
        <v>1</v>
      </c>
      <c r="M28" s="189">
        <v>1</v>
      </c>
      <c r="N28" s="189">
        <v>1</v>
      </c>
      <c r="O28" s="138">
        <v>0</v>
      </c>
    </row>
    <row r="29" spans="1:15" x14ac:dyDescent="0.25">
      <c r="A29" s="52"/>
      <c r="B29" s="52"/>
      <c r="C29" s="52" t="s">
        <v>415</v>
      </c>
      <c r="D29" s="170">
        <v>0.2</v>
      </c>
      <c r="E29" s="170">
        <v>0.2</v>
      </c>
      <c r="F29" s="189">
        <v>1</v>
      </c>
      <c r="G29" s="189">
        <v>1</v>
      </c>
      <c r="H29" s="189">
        <v>1</v>
      </c>
      <c r="I29" s="362">
        <v>1</v>
      </c>
      <c r="J29" s="189">
        <v>0</v>
      </c>
      <c r="K29" s="189">
        <v>0</v>
      </c>
      <c r="L29" s="189">
        <v>1</v>
      </c>
      <c r="M29" s="189">
        <v>1</v>
      </c>
      <c r="N29" s="189">
        <v>1</v>
      </c>
      <c r="O29" s="138">
        <v>0</v>
      </c>
    </row>
    <row r="30" spans="1:15" x14ac:dyDescent="0.25">
      <c r="A30" s="52"/>
      <c r="B30" s="52"/>
      <c r="C30" s="52" t="s">
        <v>907</v>
      </c>
      <c r="D30" s="170">
        <v>0.05</v>
      </c>
      <c r="E30" s="170">
        <v>0.1</v>
      </c>
      <c r="F30" s="189">
        <v>0</v>
      </c>
      <c r="G30" s="189">
        <v>0</v>
      </c>
      <c r="H30" s="189">
        <v>0</v>
      </c>
      <c r="I30" s="189">
        <v>0</v>
      </c>
      <c r="J30" s="362">
        <v>1</v>
      </c>
      <c r="K30" s="189">
        <v>0</v>
      </c>
      <c r="L30" s="189">
        <v>0</v>
      </c>
      <c r="M30" s="189">
        <v>0</v>
      </c>
      <c r="N30" s="189">
        <v>0</v>
      </c>
      <c r="O30" s="138">
        <v>0</v>
      </c>
    </row>
    <row r="31" spans="1:15" x14ac:dyDescent="0.25">
      <c r="A31" s="52"/>
      <c r="B31" s="52"/>
      <c r="C31" s="52" t="s">
        <v>418</v>
      </c>
      <c r="D31" s="170">
        <v>0.05</v>
      </c>
      <c r="E31" s="170">
        <v>0.05</v>
      </c>
      <c r="F31" s="189">
        <v>0</v>
      </c>
      <c r="G31" s="189">
        <v>0</v>
      </c>
      <c r="H31" s="189">
        <v>0</v>
      </c>
      <c r="I31" s="189">
        <v>0</v>
      </c>
      <c r="J31" s="189">
        <v>0</v>
      </c>
      <c r="K31" s="362">
        <v>1</v>
      </c>
      <c r="L31" s="189">
        <v>0</v>
      </c>
      <c r="M31" s="189">
        <v>0</v>
      </c>
      <c r="N31" s="189">
        <v>0</v>
      </c>
      <c r="O31" s="138">
        <v>0</v>
      </c>
    </row>
    <row r="32" spans="1:15" x14ac:dyDescent="0.25">
      <c r="A32" s="52"/>
      <c r="C32" s="268" t="s">
        <v>999</v>
      </c>
      <c r="D32" s="347">
        <v>0.05</v>
      </c>
      <c r="E32" s="347">
        <v>0.05</v>
      </c>
      <c r="F32" s="189">
        <v>0</v>
      </c>
      <c r="G32" s="189">
        <v>1</v>
      </c>
      <c r="H32" s="189">
        <v>1</v>
      </c>
      <c r="I32" s="189">
        <v>1</v>
      </c>
      <c r="J32" s="189">
        <v>0</v>
      </c>
      <c r="K32" s="189">
        <v>0</v>
      </c>
      <c r="L32" s="362">
        <v>1</v>
      </c>
      <c r="M32" s="189">
        <v>1</v>
      </c>
      <c r="N32" s="189">
        <v>0</v>
      </c>
      <c r="O32" s="138">
        <v>0</v>
      </c>
    </row>
    <row r="33" spans="1:15" x14ac:dyDescent="0.25">
      <c r="A33" s="325"/>
      <c r="B33" s="52"/>
      <c r="C33" s="268" t="s">
        <v>1000</v>
      </c>
      <c r="D33" s="347">
        <v>0.05</v>
      </c>
      <c r="E33" s="347">
        <v>0.05</v>
      </c>
      <c r="F33" s="189">
        <v>0</v>
      </c>
      <c r="G33" s="189">
        <v>1</v>
      </c>
      <c r="H33" s="189">
        <v>1</v>
      </c>
      <c r="I33" s="189">
        <v>1</v>
      </c>
      <c r="J33" s="189">
        <v>0</v>
      </c>
      <c r="K33" s="189">
        <v>0</v>
      </c>
      <c r="L33" s="189">
        <v>1</v>
      </c>
      <c r="M33" s="362">
        <v>1</v>
      </c>
      <c r="N33" s="189">
        <v>1</v>
      </c>
      <c r="O33" s="138">
        <v>0</v>
      </c>
    </row>
    <row r="34" spans="1:15" x14ac:dyDescent="0.25">
      <c r="C34" s="268" t="s">
        <v>1001</v>
      </c>
      <c r="D34" s="347">
        <v>0.1</v>
      </c>
      <c r="E34" s="347">
        <v>0.1</v>
      </c>
      <c r="F34" s="189">
        <v>0</v>
      </c>
      <c r="G34" s="189">
        <v>1</v>
      </c>
      <c r="H34" s="189">
        <v>1</v>
      </c>
      <c r="I34" s="189">
        <v>1</v>
      </c>
      <c r="J34" s="189">
        <v>0</v>
      </c>
      <c r="K34" s="189">
        <v>0</v>
      </c>
      <c r="L34" s="189">
        <v>0</v>
      </c>
      <c r="M34" s="189">
        <v>1</v>
      </c>
      <c r="N34" s="363">
        <v>1</v>
      </c>
      <c r="O34" s="138">
        <v>0</v>
      </c>
    </row>
    <row r="35" spans="1:15" x14ac:dyDescent="0.25">
      <c r="C35" s="26" t="s">
        <v>348</v>
      </c>
      <c r="D35" s="138">
        <v>0</v>
      </c>
      <c r="E35" s="138">
        <v>0</v>
      </c>
      <c r="F35" s="138">
        <v>0</v>
      </c>
      <c r="G35" s="138">
        <v>0</v>
      </c>
      <c r="H35" s="138">
        <v>0</v>
      </c>
      <c r="I35" s="138">
        <v>0</v>
      </c>
      <c r="J35" s="138">
        <v>0</v>
      </c>
      <c r="K35" s="138">
        <v>0</v>
      </c>
      <c r="L35" s="138">
        <v>0</v>
      </c>
      <c r="M35" s="138">
        <v>0</v>
      </c>
      <c r="N35" s="138">
        <v>0</v>
      </c>
      <c r="O35" s="138">
        <v>0</v>
      </c>
    </row>
    <row r="36" spans="1:15" x14ac:dyDescent="0.25">
      <c r="B36" s="52" t="s">
        <v>245</v>
      </c>
    </row>
  </sheetData>
  <conditionalFormatting sqref="F26:N34">
    <cfRule type="expression" dxfId="10" priority="1">
      <formula>F26=1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SaveWorksheetAsCSV">
                <anchor>
                  <from>
                    <xdr:col>7</xdr:col>
                    <xdr:colOff>400050</xdr:colOff>
                    <xdr:row>1</xdr:row>
                    <xdr:rowOff>47625</xdr:rowOff>
                  </from>
                  <to>
                    <xdr:col>10</xdr:col>
                    <xdr:colOff>409575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78F59-BE26-494A-BB69-3ACFCB9EB4BD}">
  <sheetPr codeName="Sheet41">
    <tabColor rgb="FFFFFF00"/>
  </sheetPr>
  <dimension ref="A1:O35"/>
  <sheetViews>
    <sheetView workbookViewId="0">
      <selection activeCell="B1" sqref="B1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5" width="9.140625" style="138"/>
    <col min="6" max="14" width="10.28515625" style="138" customWidth="1"/>
    <col min="15" max="16384" width="9.140625" style="138"/>
  </cols>
  <sheetData>
    <row r="1" spans="1:5" x14ac:dyDescent="0.25">
      <c r="A1" s="138" t="s">
        <v>250</v>
      </c>
      <c r="B1" s="138" t="s">
        <v>1202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409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>
        <v>43328</v>
      </c>
      <c r="D9" s="145" t="s">
        <v>410</v>
      </c>
      <c r="E9" s="138" t="s">
        <v>998</v>
      </c>
    </row>
    <row r="10" spans="1:5" x14ac:dyDescent="0.25">
      <c r="A10" s="138" t="s">
        <v>250</v>
      </c>
      <c r="B10" s="141"/>
      <c r="C10" s="144"/>
      <c r="D10" s="145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411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5" x14ac:dyDescent="0.25">
      <c r="A17" s="138" t="s">
        <v>250</v>
      </c>
      <c r="B17" s="138" t="s">
        <v>272</v>
      </c>
    </row>
    <row r="18" spans="1:15" x14ac:dyDescent="0.25">
      <c r="A18" s="138" t="s">
        <v>250</v>
      </c>
      <c r="C18" s="138" t="s">
        <v>997</v>
      </c>
    </row>
    <row r="19" spans="1:15" x14ac:dyDescent="0.25">
      <c r="A19" s="138" t="s">
        <v>250</v>
      </c>
    </row>
    <row r="20" spans="1:15" x14ac:dyDescent="0.25">
      <c r="A20" s="138" t="s">
        <v>250</v>
      </c>
    </row>
    <row r="21" spans="1:15" x14ac:dyDescent="0.25">
      <c r="A21" s="138" t="s">
        <v>365</v>
      </c>
    </row>
    <row r="22" spans="1:15" x14ac:dyDescent="0.25">
      <c r="A22" s="52"/>
      <c r="B22" s="148" t="s">
        <v>908</v>
      </c>
      <c r="C22" s="148"/>
      <c r="D22" s="52"/>
    </row>
    <row r="23" spans="1:15" ht="30" x14ac:dyDescent="0.25">
      <c r="A23" s="52"/>
      <c r="B23" s="148"/>
      <c r="C23" s="148" t="s">
        <v>784</v>
      </c>
      <c r="D23" s="324" t="s">
        <v>420</v>
      </c>
      <c r="E23" s="56" t="s">
        <v>420</v>
      </c>
      <c r="F23" s="187" t="s">
        <v>1035</v>
      </c>
      <c r="G23" s="187" t="s">
        <v>1035</v>
      </c>
      <c r="H23" s="187" t="s">
        <v>1035</v>
      </c>
      <c r="I23" s="187" t="s">
        <v>1035</v>
      </c>
      <c r="J23" s="187" t="s">
        <v>1035</v>
      </c>
      <c r="K23" s="187" t="s">
        <v>1035</v>
      </c>
      <c r="L23" s="187" t="s">
        <v>1035</v>
      </c>
      <c r="M23" s="187" t="s">
        <v>1035</v>
      </c>
      <c r="N23" s="187" t="s">
        <v>1035</v>
      </c>
      <c r="O23" s="187" t="s">
        <v>1035</v>
      </c>
    </row>
    <row r="24" spans="1:15" ht="15.75" thickBot="1" x14ac:dyDescent="0.3">
      <c r="A24" s="52"/>
      <c r="B24" s="148"/>
      <c r="C24" s="339" t="s">
        <v>1044</v>
      </c>
      <c r="D24" s="191">
        <v>1</v>
      </c>
      <c r="E24" s="340">
        <v>0</v>
      </c>
      <c r="F24" s="364" t="s">
        <v>348</v>
      </c>
      <c r="G24" s="364" t="s">
        <v>348</v>
      </c>
      <c r="H24" s="364" t="s">
        <v>348</v>
      </c>
      <c r="I24" s="364" t="s">
        <v>348</v>
      </c>
      <c r="J24" s="364" t="s">
        <v>348</v>
      </c>
      <c r="K24" s="364" t="s">
        <v>348</v>
      </c>
      <c r="L24" s="364" t="s">
        <v>348</v>
      </c>
      <c r="M24" s="364" t="s">
        <v>348</v>
      </c>
      <c r="N24" s="364" t="s">
        <v>348</v>
      </c>
      <c r="O24" s="364" t="s">
        <v>348</v>
      </c>
    </row>
    <row r="25" spans="1:15" ht="69" thickTop="1" thickBot="1" x14ac:dyDescent="0.3">
      <c r="A25" s="52"/>
      <c r="B25" s="148"/>
      <c r="C25" s="365" t="s">
        <v>1045</v>
      </c>
      <c r="D25" s="366" t="s">
        <v>348</v>
      </c>
      <c r="E25" s="367" t="s">
        <v>348</v>
      </c>
      <c r="F25" s="368" t="s">
        <v>905</v>
      </c>
      <c r="G25" s="368" t="s">
        <v>413</v>
      </c>
      <c r="H25" s="368" t="s">
        <v>414</v>
      </c>
      <c r="I25" s="368" t="s">
        <v>415</v>
      </c>
      <c r="J25" s="368" t="s">
        <v>907</v>
      </c>
      <c r="K25" s="369" t="s">
        <v>418</v>
      </c>
      <c r="L25" s="369" t="s">
        <v>999</v>
      </c>
      <c r="M25" s="369" t="s">
        <v>1000</v>
      </c>
      <c r="N25" s="369" t="s">
        <v>1001</v>
      </c>
      <c r="O25" s="369" t="s">
        <v>348</v>
      </c>
    </row>
    <row r="26" spans="1:15" ht="15.75" thickTop="1" x14ac:dyDescent="0.25">
      <c r="A26" s="52"/>
      <c r="B26" s="52"/>
      <c r="C26" s="52" t="s">
        <v>905</v>
      </c>
      <c r="D26" s="170">
        <v>0.1</v>
      </c>
      <c r="E26" s="170">
        <v>0.1</v>
      </c>
      <c r="F26" s="362">
        <v>1</v>
      </c>
      <c r="G26" s="189">
        <v>1</v>
      </c>
      <c r="H26" s="189">
        <v>1</v>
      </c>
      <c r="I26" s="189">
        <v>1</v>
      </c>
      <c r="J26" s="189">
        <v>0</v>
      </c>
      <c r="K26" s="189">
        <v>0</v>
      </c>
      <c r="L26" s="189">
        <v>0</v>
      </c>
      <c r="M26" s="189">
        <v>0</v>
      </c>
      <c r="N26" s="189">
        <v>0</v>
      </c>
      <c r="O26" s="138">
        <v>0</v>
      </c>
    </row>
    <row r="27" spans="1:15" x14ac:dyDescent="0.25">
      <c r="A27" s="52"/>
      <c r="B27" s="52"/>
      <c r="C27" s="52" t="s">
        <v>413</v>
      </c>
      <c r="D27" s="170">
        <v>0.3</v>
      </c>
      <c r="E27" s="170">
        <v>0.3</v>
      </c>
      <c r="F27" s="189">
        <v>1</v>
      </c>
      <c r="G27" s="362">
        <v>1</v>
      </c>
      <c r="H27" s="189">
        <v>1</v>
      </c>
      <c r="I27" s="189">
        <v>1</v>
      </c>
      <c r="J27" s="189">
        <v>0</v>
      </c>
      <c r="K27" s="189">
        <v>0</v>
      </c>
      <c r="L27" s="189">
        <v>1</v>
      </c>
      <c r="M27" s="189">
        <v>1</v>
      </c>
      <c r="N27" s="189">
        <v>1</v>
      </c>
      <c r="O27" s="138">
        <v>0</v>
      </c>
    </row>
    <row r="28" spans="1:15" x14ac:dyDescent="0.25">
      <c r="A28" s="52"/>
      <c r="B28" s="52"/>
      <c r="C28" s="149" t="s">
        <v>414</v>
      </c>
      <c r="D28" s="170">
        <v>0.2</v>
      </c>
      <c r="E28" s="170">
        <v>0.2</v>
      </c>
      <c r="F28" s="189">
        <v>1</v>
      </c>
      <c r="G28" s="189">
        <v>1</v>
      </c>
      <c r="H28" s="362">
        <v>1</v>
      </c>
      <c r="I28" s="189">
        <v>1</v>
      </c>
      <c r="J28" s="189">
        <v>0</v>
      </c>
      <c r="K28" s="189">
        <v>0</v>
      </c>
      <c r="L28" s="189">
        <v>1</v>
      </c>
      <c r="M28" s="189">
        <v>1</v>
      </c>
      <c r="N28" s="189">
        <v>1</v>
      </c>
      <c r="O28" s="138">
        <v>0</v>
      </c>
    </row>
    <row r="29" spans="1:15" x14ac:dyDescent="0.25">
      <c r="A29" s="52"/>
      <c r="B29" s="52"/>
      <c r="C29" s="52" t="s">
        <v>907</v>
      </c>
      <c r="D29" s="170">
        <v>0.05</v>
      </c>
      <c r="E29" s="170">
        <v>0.1</v>
      </c>
      <c r="F29" s="189">
        <v>0</v>
      </c>
      <c r="G29" s="189">
        <v>0</v>
      </c>
      <c r="H29" s="189">
        <v>0</v>
      </c>
      <c r="I29" s="189">
        <v>0</v>
      </c>
      <c r="J29" s="362">
        <v>1</v>
      </c>
      <c r="K29" s="189">
        <v>0</v>
      </c>
      <c r="L29" s="189">
        <v>0</v>
      </c>
      <c r="M29" s="189">
        <v>0</v>
      </c>
      <c r="N29" s="189">
        <v>0</v>
      </c>
      <c r="O29" s="138">
        <v>0</v>
      </c>
    </row>
    <row r="30" spans="1:15" x14ac:dyDescent="0.25">
      <c r="A30" s="52"/>
      <c r="B30" s="52"/>
      <c r="C30" s="52" t="s">
        <v>418</v>
      </c>
      <c r="D30" s="170">
        <v>0.05</v>
      </c>
      <c r="E30" s="170">
        <v>0.05</v>
      </c>
      <c r="F30" s="189">
        <v>0</v>
      </c>
      <c r="G30" s="189">
        <v>0</v>
      </c>
      <c r="H30" s="189">
        <v>0</v>
      </c>
      <c r="I30" s="189">
        <v>0</v>
      </c>
      <c r="J30" s="189">
        <v>0</v>
      </c>
      <c r="K30" s="362">
        <v>1</v>
      </c>
      <c r="L30" s="189">
        <v>0</v>
      </c>
      <c r="M30" s="189">
        <v>0</v>
      </c>
      <c r="N30" s="189">
        <v>0</v>
      </c>
      <c r="O30" s="138">
        <v>0</v>
      </c>
    </row>
    <row r="31" spans="1:15" x14ac:dyDescent="0.25">
      <c r="A31" s="52"/>
      <c r="C31" s="268" t="s">
        <v>999</v>
      </c>
      <c r="D31" s="347">
        <v>0.05</v>
      </c>
      <c r="E31" s="347">
        <v>0.05</v>
      </c>
      <c r="F31" s="189">
        <v>0</v>
      </c>
      <c r="G31" s="189">
        <v>1</v>
      </c>
      <c r="H31" s="189">
        <v>1</v>
      </c>
      <c r="I31" s="189">
        <v>1</v>
      </c>
      <c r="J31" s="189">
        <v>0</v>
      </c>
      <c r="K31" s="189">
        <v>0</v>
      </c>
      <c r="L31" s="362">
        <v>1</v>
      </c>
      <c r="M31" s="189">
        <v>1</v>
      </c>
      <c r="N31" s="189">
        <v>0</v>
      </c>
      <c r="O31" s="138">
        <v>0</v>
      </c>
    </row>
    <row r="32" spans="1:15" x14ac:dyDescent="0.25">
      <c r="A32" s="325"/>
      <c r="B32" s="52"/>
      <c r="C32" s="268" t="s">
        <v>1000</v>
      </c>
      <c r="D32" s="347">
        <v>0.05</v>
      </c>
      <c r="E32" s="347">
        <v>0.05</v>
      </c>
      <c r="F32" s="189">
        <v>0</v>
      </c>
      <c r="G32" s="189">
        <v>1</v>
      </c>
      <c r="H32" s="189">
        <v>1</v>
      </c>
      <c r="I32" s="189">
        <v>1</v>
      </c>
      <c r="J32" s="189">
        <v>0</v>
      </c>
      <c r="K32" s="189">
        <v>0</v>
      </c>
      <c r="L32" s="189">
        <v>1</v>
      </c>
      <c r="M32" s="362">
        <v>1</v>
      </c>
      <c r="N32" s="189">
        <v>1</v>
      </c>
      <c r="O32" s="138">
        <v>0</v>
      </c>
    </row>
    <row r="33" spans="2:15" x14ac:dyDescent="0.25">
      <c r="C33" s="268" t="s">
        <v>1001</v>
      </c>
      <c r="D33" s="347">
        <v>0.1</v>
      </c>
      <c r="E33" s="347">
        <v>0.1</v>
      </c>
      <c r="F33" s="189">
        <v>0</v>
      </c>
      <c r="G33" s="189">
        <v>1</v>
      </c>
      <c r="H33" s="189">
        <v>1</v>
      </c>
      <c r="I33" s="189">
        <v>1</v>
      </c>
      <c r="J33" s="189">
        <v>0</v>
      </c>
      <c r="K33" s="189">
        <v>0</v>
      </c>
      <c r="L33" s="189">
        <v>0</v>
      </c>
      <c r="M33" s="189">
        <v>1</v>
      </c>
      <c r="N33" s="363">
        <v>1</v>
      </c>
      <c r="O33" s="138">
        <v>0</v>
      </c>
    </row>
    <row r="34" spans="2:15" x14ac:dyDescent="0.25">
      <c r="C34" s="26" t="s">
        <v>348</v>
      </c>
      <c r="D34" s="138">
        <v>0</v>
      </c>
      <c r="E34" s="138">
        <v>0</v>
      </c>
      <c r="F34" s="138">
        <v>0</v>
      </c>
      <c r="G34" s="138">
        <v>0</v>
      </c>
      <c r="H34" s="138">
        <v>0</v>
      </c>
      <c r="I34" s="138">
        <v>0</v>
      </c>
      <c r="J34" s="138">
        <v>0</v>
      </c>
      <c r="K34" s="138">
        <v>0</v>
      </c>
      <c r="L34" s="138">
        <v>0</v>
      </c>
      <c r="M34" s="138">
        <v>0</v>
      </c>
      <c r="N34" s="138">
        <v>0</v>
      </c>
      <c r="O34" s="138">
        <v>0</v>
      </c>
    </row>
    <row r="35" spans="2:15" x14ac:dyDescent="0.25">
      <c r="B35" s="52" t="s">
        <v>245</v>
      </c>
    </row>
  </sheetData>
  <conditionalFormatting sqref="F26:N33">
    <cfRule type="expression" dxfId="9" priority="1">
      <formula>F26=1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3" name="Button 1">
              <controlPr defaultSize="0" print="0" autoFill="0" autoPict="0" macro="[0]!SaveWorksheetAsCSV">
                <anchor>
                  <from>
                    <xdr:col>7</xdr:col>
                    <xdr:colOff>400050</xdr:colOff>
                    <xdr:row>1</xdr:row>
                    <xdr:rowOff>47625</xdr:rowOff>
                  </from>
                  <to>
                    <xdr:col>10</xdr:col>
                    <xdr:colOff>409575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FFC000"/>
  </sheetPr>
  <dimension ref="A1:L29"/>
  <sheetViews>
    <sheetView workbookViewId="0">
      <selection activeCell="L12" sqref="L12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4" width="21" style="138" bestFit="1" customWidth="1"/>
    <col min="5" max="5" width="9" style="138" customWidth="1"/>
    <col min="6" max="6" width="3" style="138" customWidth="1"/>
    <col min="7" max="16384" width="9.140625" style="138"/>
  </cols>
  <sheetData>
    <row r="1" spans="1:5" x14ac:dyDescent="0.25">
      <c r="A1" s="138" t="s">
        <v>250</v>
      </c>
      <c r="B1" s="138" t="s">
        <v>785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409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>
        <v>41428</v>
      </c>
      <c r="D9" s="145"/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2" x14ac:dyDescent="0.25">
      <c r="A17" s="138" t="s">
        <v>250</v>
      </c>
      <c r="B17" s="138" t="s">
        <v>272</v>
      </c>
    </row>
    <row r="18" spans="1:12" x14ac:dyDescent="0.25">
      <c r="A18" s="138" t="s">
        <v>250</v>
      </c>
      <c r="C18" s="138" t="s">
        <v>421</v>
      </c>
    </row>
    <row r="19" spans="1:12" x14ac:dyDescent="0.25">
      <c r="A19" s="138" t="s">
        <v>250</v>
      </c>
    </row>
    <row r="20" spans="1:12" x14ac:dyDescent="0.25">
      <c r="A20" s="138" t="s">
        <v>250</v>
      </c>
    </row>
    <row r="21" spans="1:12" x14ac:dyDescent="0.25">
      <c r="A21" s="138" t="s">
        <v>365</v>
      </c>
    </row>
    <row r="22" spans="1:12" x14ac:dyDescent="0.25">
      <c r="A22" s="52"/>
      <c r="B22" s="148" t="s">
        <v>908</v>
      </c>
      <c r="C22" s="148"/>
      <c r="D22" s="52"/>
    </row>
    <row r="23" spans="1:12" x14ac:dyDescent="0.25">
      <c r="A23" s="52"/>
      <c r="B23" s="148"/>
      <c r="C23" s="148" t="s">
        <v>784</v>
      </c>
      <c r="D23" s="324" t="s">
        <v>420</v>
      </c>
      <c r="E23" s="56" t="s">
        <v>420</v>
      </c>
      <c r="F23" s="56"/>
      <c r="G23" s="56"/>
      <c r="H23" s="56"/>
      <c r="I23" s="56"/>
      <c r="J23" s="56"/>
      <c r="K23" s="56"/>
      <c r="L23" s="56"/>
    </row>
    <row r="24" spans="1:12" x14ac:dyDescent="0.25">
      <c r="A24" s="52"/>
      <c r="B24" s="148"/>
      <c r="C24" s="148" t="s">
        <v>786</v>
      </c>
      <c r="D24" s="324" t="s">
        <v>787</v>
      </c>
      <c r="E24" s="56" t="s">
        <v>774</v>
      </c>
      <c r="F24" s="56" t="s">
        <v>250</v>
      </c>
      <c r="G24" s="56" t="s">
        <v>919</v>
      </c>
      <c r="H24" s="56"/>
      <c r="I24" s="56"/>
      <c r="J24" s="56"/>
      <c r="K24" s="56"/>
      <c r="L24" s="56"/>
    </row>
    <row r="25" spans="1:12" x14ac:dyDescent="0.25">
      <c r="A25" s="52"/>
      <c r="B25" s="52"/>
      <c r="C25" s="52" t="s">
        <v>788</v>
      </c>
      <c r="D25" s="170">
        <v>0.1</v>
      </c>
      <c r="E25" s="57">
        <v>0</v>
      </c>
      <c r="F25" s="56" t="s">
        <v>250</v>
      </c>
      <c r="G25" s="58" t="s">
        <v>920</v>
      </c>
      <c r="H25" s="57"/>
      <c r="I25" s="58"/>
      <c r="J25" s="57"/>
      <c r="K25" s="57"/>
      <c r="L25" s="57"/>
    </row>
    <row r="26" spans="1:12" x14ac:dyDescent="0.25">
      <c r="A26" s="52"/>
      <c r="B26" s="52"/>
      <c r="C26" s="52" t="s">
        <v>789</v>
      </c>
      <c r="D26" s="170">
        <v>0.15</v>
      </c>
      <c r="E26" s="344">
        <v>0.1</v>
      </c>
      <c r="F26" s="56" t="s">
        <v>250</v>
      </c>
      <c r="G26" s="58"/>
      <c r="H26" s="57"/>
      <c r="I26" s="58"/>
      <c r="J26" s="57"/>
      <c r="K26" s="57"/>
      <c r="L26" s="57"/>
    </row>
    <row r="27" spans="1:12" x14ac:dyDescent="0.25">
      <c r="A27" s="52"/>
      <c r="B27" s="52"/>
      <c r="C27" s="149" t="s">
        <v>790</v>
      </c>
      <c r="D27" s="170">
        <v>0.15</v>
      </c>
      <c r="E27" s="57">
        <v>0.1</v>
      </c>
      <c r="F27" s="56" t="s">
        <v>250</v>
      </c>
      <c r="G27" s="58" t="s">
        <v>921</v>
      </c>
      <c r="H27" s="57"/>
      <c r="I27" s="58"/>
      <c r="J27" s="57"/>
      <c r="K27" s="57"/>
      <c r="L27" s="58"/>
    </row>
    <row r="28" spans="1:12" x14ac:dyDescent="0.25">
      <c r="A28" s="52"/>
      <c r="B28" s="52" t="s">
        <v>245</v>
      </c>
      <c r="C28" s="52"/>
      <c r="D28" s="52"/>
    </row>
    <row r="29" spans="1:12" x14ac:dyDescent="0.25">
      <c r="A29" s="325"/>
      <c r="B29" s="52"/>
      <c r="C29" s="52"/>
      <c r="D29" s="5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3" name="Button 1">
              <controlPr defaultSize="0" print="0" autoFill="0" autoPict="0" macro="[0]!SaveWorksheetAsCSV">
                <anchor>
                  <from>
                    <xdr:col>6</xdr:col>
                    <xdr:colOff>247650</xdr:colOff>
                    <xdr:row>1</xdr:row>
                    <xdr:rowOff>47625</xdr:rowOff>
                  </from>
                  <to>
                    <xdr:col>9</xdr:col>
                    <xdr:colOff>438150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FF00"/>
  </sheetPr>
  <dimension ref="A1:M95"/>
  <sheetViews>
    <sheetView topLeftCell="A5" workbookViewId="0">
      <selection activeCell="E48" sqref="E48"/>
    </sheetView>
  </sheetViews>
  <sheetFormatPr defaultColWidth="9.140625" defaultRowHeight="15" x14ac:dyDescent="0.25"/>
  <cols>
    <col min="1" max="2" width="9.140625" style="39"/>
    <col min="3" max="3" width="32.7109375" style="39" customWidth="1"/>
    <col min="4" max="4" width="23" style="39" bestFit="1" customWidth="1"/>
    <col min="5" max="5" width="19.85546875" style="39" bestFit="1" customWidth="1"/>
    <col min="6" max="6" width="11.5703125" style="39" bestFit="1" customWidth="1"/>
    <col min="7" max="7" width="28.7109375" style="39" bestFit="1" customWidth="1"/>
    <col min="8" max="8" width="18.85546875" style="39" bestFit="1" customWidth="1"/>
    <col min="9" max="9" width="20.5703125" style="39" bestFit="1" customWidth="1"/>
    <col min="10" max="10" width="10.5703125" style="39" bestFit="1" customWidth="1"/>
    <col min="11" max="11" width="31.28515625" style="39" bestFit="1" customWidth="1"/>
    <col min="12" max="16384" width="9.140625" style="39"/>
  </cols>
  <sheetData>
    <row r="1" spans="1:5" x14ac:dyDescent="0.25">
      <c r="A1" s="39" t="s">
        <v>250</v>
      </c>
      <c r="B1" s="39" t="s">
        <v>917</v>
      </c>
    </row>
    <row r="2" spans="1:5" x14ac:dyDescent="0.25">
      <c r="A2" s="39" t="s">
        <v>250</v>
      </c>
    </row>
    <row r="3" spans="1:5" x14ac:dyDescent="0.25">
      <c r="A3" s="39" t="s">
        <v>250</v>
      </c>
      <c r="B3" s="39" t="s">
        <v>356</v>
      </c>
    </row>
    <row r="4" spans="1:5" x14ac:dyDescent="0.25">
      <c r="A4" s="39" t="s">
        <v>250</v>
      </c>
      <c r="C4" s="39" t="s">
        <v>444</v>
      </c>
    </row>
    <row r="5" spans="1:5" x14ac:dyDescent="0.25">
      <c r="A5" s="39" t="s">
        <v>250</v>
      </c>
    </row>
    <row r="6" spans="1:5" x14ac:dyDescent="0.25">
      <c r="A6" s="39" t="s">
        <v>250</v>
      </c>
      <c r="B6" s="39" t="s">
        <v>357</v>
      </c>
    </row>
    <row r="7" spans="1:5" x14ac:dyDescent="0.25">
      <c r="A7" s="39" t="s">
        <v>250</v>
      </c>
      <c r="C7" s="39" t="s">
        <v>262</v>
      </c>
      <c r="D7" s="39" t="s">
        <v>263</v>
      </c>
      <c r="E7" s="39" t="s">
        <v>264</v>
      </c>
    </row>
    <row r="8" spans="1:5" x14ac:dyDescent="0.25">
      <c r="A8" s="39" t="s">
        <v>250</v>
      </c>
      <c r="B8" s="17"/>
      <c r="C8" s="25">
        <v>41250</v>
      </c>
      <c r="D8" s="33" t="s">
        <v>410</v>
      </c>
      <c r="E8" s="39" t="s">
        <v>265</v>
      </c>
    </row>
    <row r="9" spans="1:5" x14ac:dyDescent="0.25">
      <c r="A9" s="39" t="s">
        <v>250</v>
      </c>
      <c r="B9" s="17"/>
      <c r="C9" s="25">
        <v>42160</v>
      </c>
      <c r="D9" s="33" t="s">
        <v>410</v>
      </c>
      <c r="E9" s="39" t="s">
        <v>795</v>
      </c>
    </row>
    <row r="10" spans="1:5" x14ac:dyDescent="0.25">
      <c r="A10" s="39" t="s">
        <v>250</v>
      </c>
      <c r="B10" s="17"/>
      <c r="C10" s="25"/>
    </row>
    <row r="11" spans="1:5" x14ac:dyDescent="0.25">
      <c r="A11" s="39" t="s">
        <v>250</v>
      </c>
      <c r="B11" s="39" t="s">
        <v>266</v>
      </c>
    </row>
    <row r="12" spans="1:5" x14ac:dyDescent="0.25">
      <c r="A12" s="39" t="s">
        <v>250</v>
      </c>
      <c r="C12" s="39" t="s">
        <v>422</v>
      </c>
    </row>
    <row r="13" spans="1:5" x14ac:dyDescent="0.25">
      <c r="A13" s="39" t="s">
        <v>250</v>
      </c>
    </row>
    <row r="14" spans="1:5" x14ac:dyDescent="0.25">
      <c r="A14" s="39" t="s">
        <v>250</v>
      </c>
      <c r="B14" s="39" t="s">
        <v>251</v>
      </c>
    </row>
    <row r="15" spans="1:5" x14ac:dyDescent="0.25">
      <c r="A15" s="39" t="s">
        <v>250</v>
      </c>
    </row>
    <row r="16" spans="1:5" x14ac:dyDescent="0.25">
      <c r="A16" s="39" t="s">
        <v>250</v>
      </c>
    </row>
    <row r="17" spans="1:12" x14ac:dyDescent="0.25">
      <c r="A17" s="39" t="s">
        <v>250</v>
      </c>
      <c r="B17" s="39" t="s">
        <v>272</v>
      </c>
    </row>
    <row r="18" spans="1:12" x14ac:dyDescent="0.25">
      <c r="A18" s="39" t="s">
        <v>250</v>
      </c>
      <c r="C18" s="39" t="s">
        <v>423</v>
      </c>
    </row>
    <row r="19" spans="1:12" x14ac:dyDescent="0.25">
      <c r="A19" s="39" t="s">
        <v>250</v>
      </c>
    </row>
    <row r="20" spans="1:12" x14ac:dyDescent="0.25">
      <c r="A20" s="39" t="s">
        <v>250</v>
      </c>
    </row>
    <row r="21" spans="1:12" x14ac:dyDescent="0.25">
      <c r="A21" s="39" t="s">
        <v>365</v>
      </c>
    </row>
    <row r="22" spans="1:12" x14ac:dyDescent="0.25">
      <c r="B22" s="2" t="str">
        <f>"TABLE "&amp;$C$4</f>
        <v>TABLE AreaCategoryLPA</v>
      </c>
      <c r="C22" s="2"/>
    </row>
    <row r="23" spans="1:12" x14ac:dyDescent="0.25">
      <c r="B23" s="2"/>
      <c r="C23" s="2" t="s">
        <v>427</v>
      </c>
      <c r="D23" s="17" t="s">
        <v>433</v>
      </c>
      <c r="E23" s="56"/>
      <c r="F23" s="56"/>
      <c r="G23" s="56"/>
      <c r="H23" s="56"/>
      <c r="I23" s="56"/>
      <c r="J23" s="56"/>
      <c r="K23" s="56"/>
      <c r="L23" s="56"/>
    </row>
    <row r="24" spans="1:12" x14ac:dyDescent="0.25">
      <c r="C24" s="39" t="s">
        <v>428</v>
      </c>
      <c r="D24" s="24">
        <v>0.2</v>
      </c>
      <c r="E24" s="57"/>
      <c r="F24" s="57"/>
      <c r="G24" s="58"/>
      <c r="H24" s="57"/>
      <c r="I24" s="58"/>
      <c r="J24" s="57"/>
      <c r="K24" s="57"/>
      <c r="L24" s="57"/>
    </row>
    <row r="25" spans="1:12" x14ac:dyDescent="0.25">
      <c r="C25" s="40" t="s">
        <v>429</v>
      </c>
      <c r="D25" s="24">
        <v>0.5</v>
      </c>
      <c r="E25" s="57"/>
      <c r="F25" s="58"/>
      <c r="G25" s="58"/>
      <c r="H25" s="57"/>
      <c r="I25" s="58"/>
      <c r="J25" s="57"/>
      <c r="K25" s="57"/>
      <c r="L25" s="58"/>
    </row>
    <row r="26" spans="1:12" x14ac:dyDescent="0.25">
      <c r="C26" s="39" t="s">
        <v>430</v>
      </c>
      <c r="D26" s="24">
        <v>0.5</v>
      </c>
      <c r="E26" s="57"/>
      <c r="F26" s="58"/>
      <c r="G26" s="58"/>
      <c r="H26" s="57"/>
      <c r="I26" s="58"/>
      <c r="J26" s="57"/>
      <c r="K26" s="57"/>
      <c r="L26" s="58"/>
    </row>
    <row r="27" spans="1:12" x14ac:dyDescent="0.25">
      <c r="C27" s="39" t="s">
        <v>431</v>
      </c>
      <c r="D27" s="24">
        <v>1</v>
      </c>
      <c r="E27" s="57"/>
      <c r="F27" s="58"/>
      <c r="G27" s="58"/>
      <c r="H27" s="57"/>
      <c r="I27" s="58"/>
      <c r="J27" s="57"/>
      <c r="K27" s="57"/>
      <c r="L27" s="58"/>
    </row>
    <row r="28" spans="1:12" x14ac:dyDescent="0.25">
      <c r="C28" s="39" t="s">
        <v>424</v>
      </c>
      <c r="D28" s="24">
        <v>5.5</v>
      </c>
      <c r="E28" s="57"/>
      <c r="F28" s="58"/>
      <c r="G28" s="58"/>
      <c r="H28" s="57"/>
      <c r="I28" s="58"/>
      <c r="J28" s="57"/>
      <c r="K28" s="57"/>
      <c r="L28" s="58"/>
    </row>
    <row r="29" spans="1:12" x14ac:dyDescent="0.25">
      <c r="C29" s="39" t="s">
        <v>425</v>
      </c>
      <c r="D29" s="24">
        <v>0.3</v>
      </c>
      <c r="E29" s="57"/>
      <c r="F29" s="58"/>
      <c r="G29" s="58"/>
      <c r="H29" s="57"/>
      <c r="I29" s="58"/>
      <c r="J29" s="57"/>
      <c r="K29" s="57"/>
      <c r="L29" s="58"/>
    </row>
    <row r="30" spans="1:12" x14ac:dyDescent="0.25">
      <c r="C30" s="39" t="s">
        <v>426</v>
      </c>
      <c r="D30" s="24">
        <v>0.2</v>
      </c>
      <c r="E30" s="57"/>
      <c r="F30" s="58"/>
      <c r="G30" s="58"/>
      <c r="H30" s="57"/>
      <c r="I30" s="58"/>
      <c r="J30" s="57"/>
      <c r="K30" s="57"/>
      <c r="L30" s="58"/>
    </row>
    <row r="31" spans="1:12" x14ac:dyDescent="0.25">
      <c r="C31" s="39" t="s">
        <v>432</v>
      </c>
      <c r="D31" s="24">
        <v>1.5</v>
      </c>
    </row>
    <row r="32" spans="1:12" x14ac:dyDescent="0.25">
      <c r="B32" s="39" t="s">
        <v>245</v>
      </c>
    </row>
    <row r="34" spans="2:13" x14ac:dyDescent="0.25">
      <c r="B34" s="140"/>
      <c r="C34" s="140"/>
      <c r="D34" s="138"/>
      <c r="E34" s="138"/>
      <c r="F34" s="138"/>
      <c r="G34" s="138"/>
      <c r="H34" s="138"/>
      <c r="I34" s="138"/>
      <c r="J34" s="138"/>
      <c r="K34" s="138"/>
      <c r="L34" s="138"/>
    </row>
    <row r="35" spans="2:13" x14ac:dyDescent="0.25">
      <c r="B35" s="138"/>
      <c r="C35" s="140"/>
      <c r="D35" s="116"/>
      <c r="E35" s="116"/>
      <c r="F35" s="116"/>
      <c r="G35" s="116"/>
      <c r="H35" s="116"/>
      <c r="I35" s="116"/>
      <c r="J35" s="116"/>
      <c r="K35" s="116"/>
      <c r="L35" s="138"/>
      <c r="M35" s="138"/>
    </row>
    <row r="36" spans="2:13" x14ac:dyDescent="0.25">
      <c r="B36" s="138"/>
      <c r="C36" s="138"/>
      <c r="D36" s="141"/>
      <c r="E36" s="141"/>
      <c r="F36" s="141"/>
      <c r="G36" s="141"/>
      <c r="H36" s="141"/>
      <c r="I36" s="141"/>
      <c r="J36" s="141"/>
      <c r="K36" s="141"/>
    </row>
    <row r="37" spans="2:13" s="138" customFormat="1" x14ac:dyDescent="0.25">
      <c r="D37" s="141"/>
      <c r="E37" s="141"/>
      <c r="F37" s="141"/>
      <c r="G37" s="141"/>
      <c r="H37" s="141"/>
      <c r="I37" s="141"/>
      <c r="J37" s="141"/>
      <c r="K37" s="141"/>
    </row>
    <row r="38" spans="2:13" x14ac:dyDescent="0.25">
      <c r="B38" s="138"/>
      <c r="C38" s="138"/>
      <c r="D38" s="138"/>
      <c r="E38" s="60"/>
      <c r="F38" s="61"/>
      <c r="G38" s="59"/>
      <c r="H38" s="138"/>
      <c r="I38" s="138"/>
      <c r="J38" s="138"/>
      <c r="L38" s="138"/>
      <c r="M38" s="138"/>
    </row>
    <row r="39" spans="2:13" x14ac:dyDescent="0.25">
      <c r="B39" s="138"/>
      <c r="C39" s="138"/>
      <c r="D39" s="138"/>
      <c r="E39" s="138"/>
      <c r="F39" s="138"/>
      <c r="G39" s="138"/>
      <c r="H39" s="138"/>
      <c r="I39" s="138"/>
      <c r="J39" s="138"/>
      <c r="L39" s="138"/>
      <c r="M39" s="138"/>
    </row>
    <row r="40" spans="2:13" x14ac:dyDescent="0.25">
      <c r="B40" s="138"/>
      <c r="C40" s="138"/>
      <c r="D40" s="138"/>
      <c r="E40" s="138"/>
      <c r="F40" s="138"/>
      <c r="G40" s="138"/>
      <c r="H40" s="138"/>
      <c r="I40" s="138"/>
      <c r="J40" s="138"/>
      <c r="L40" s="138"/>
      <c r="M40" s="138"/>
    </row>
    <row r="41" spans="2:13" x14ac:dyDescent="0.25">
      <c r="B41" s="138"/>
      <c r="C41" s="138"/>
      <c r="D41" s="138"/>
      <c r="E41" s="138"/>
      <c r="F41" s="138"/>
      <c r="G41" s="138"/>
      <c r="H41" s="138"/>
      <c r="I41" s="138"/>
      <c r="J41" s="138"/>
      <c r="L41" s="138"/>
      <c r="M41" s="138"/>
    </row>
    <row r="42" spans="2:13" x14ac:dyDescent="0.25">
      <c r="B42" s="138"/>
      <c r="C42" s="138"/>
      <c r="D42" s="138"/>
      <c r="E42" s="138"/>
      <c r="F42" s="138"/>
      <c r="G42" s="138"/>
      <c r="H42" s="138"/>
      <c r="I42" s="138"/>
      <c r="J42" s="138"/>
      <c r="L42" s="138"/>
      <c r="M42" s="138"/>
    </row>
    <row r="43" spans="2:13" x14ac:dyDescent="0.25">
      <c r="B43" s="138"/>
      <c r="C43" s="138"/>
      <c r="D43" s="138"/>
      <c r="E43" s="60"/>
      <c r="F43" s="61"/>
      <c r="G43" s="59"/>
      <c r="H43" s="138"/>
      <c r="I43" s="138"/>
      <c r="J43" s="138"/>
      <c r="L43" s="138"/>
      <c r="M43" s="138"/>
    </row>
    <row r="44" spans="2:13" x14ac:dyDescent="0.25">
      <c r="B44" s="138"/>
      <c r="C44" s="138"/>
      <c r="D44" s="138"/>
      <c r="E44" s="138"/>
      <c r="F44" s="138"/>
      <c r="G44" s="138"/>
      <c r="H44" s="138"/>
      <c r="I44" s="138"/>
      <c r="J44" s="138"/>
      <c r="L44" s="138"/>
      <c r="M44" s="138"/>
    </row>
    <row r="45" spans="2:13" x14ac:dyDescent="0.25">
      <c r="B45" s="138"/>
      <c r="C45" s="138"/>
      <c r="D45" s="138"/>
      <c r="E45" s="138"/>
      <c r="F45" s="138"/>
      <c r="G45" s="138"/>
      <c r="H45" s="138"/>
      <c r="I45" s="138"/>
      <c r="J45" s="138"/>
      <c r="L45" s="138"/>
      <c r="M45" s="138"/>
    </row>
    <row r="46" spans="2:13" x14ac:dyDescent="0.25">
      <c r="B46" s="138"/>
      <c r="C46" s="138"/>
      <c r="D46" s="138"/>
      <c r="E46" s="138"/>
      <c r="F46" s="138"/>
      <c r="G46" s="138"/>
      <c r="H46" s="138"/>
      <c r="I46" s="138"/>
      <c r="J46" s="138"/>
      <c r="L46" s="138"/>
      <c r="M46" s="138"/>
    </row>
    <row r="47" spans="2:13" x14ac:dyDescent="0.25">
      <c r="B47" s="138"/>
      <c r="C47" s="138"/>
      <c r="D47" s="138"/>
      <c r="E47" s="60"/>
      <c r="F47" s="62"/>
      <c r="G47" s="59"/>
      <c r="H47" s="138"/>
      <c r="I47" s="138"/>
      <c r="J47" s="138"/>
      <c r="L47" s="138"/>
      <c r="M47" s="138"/>
    </row>
    <row r="48" spans="2:13" x14ac:dyDescent="0.25">
      <c r="B48" s="138"/>
      <c r="C48" s="138"/>
      <c r="D48" s="138"/>
      <c r="E48" s="138"/>
      <c r="F48" s="138"/>
      <c r="G48" s="138"/>
      <c r="H48" s="138"/>
      <c r="I48" s="138"/>
      <c r="J48" s="138"/>
      <c r="L48" s="138"/>
      <c r="M48" s="138"/>
    </row>
    <row r="49" spans="2:13" x14ac:dyDescent="0.25">
      <c r="B49" s="138"/>
      <c r="C49" s="138"/>
      <c r="D49" s="138"/>
      <c r="E49" s="60"/>
      <c r="F49" s="62"/>
      <c r="G49" s="59"/>
      <c r="H49" s="138"/>
      <c r="I49" s="138"/>
      <c r="J49" s="138"/>
      <c r="L49" s="138"/>
      <c r="M49" s="138"/>
    </row>
    <row r="50" spans="2:13" x14ac:dyDescent="0.25">
      <c r="B50" s="138"/>
      <c r="C50" s="138"/>
      <c r="D50" s="138"/>
      <c r="E50" s="138"/>
      <c r="F50" s="138"/>
      <c r="G50" s="138"/>
      <c r="H50" s="138"/>
      <c r="I50" s="138"/>
      <c r="J50" s="138"/>
      <c r="L50" s="138"/>
      <c r="M50" s="138"/>
    </row>
    <row r="51" spans="2:13" x14ac:dyDescent="0.25">
      <c r="B51" s="138"/>
      <c r="C51" s="138"/>
      <c r="D51" s="138"/>
      <c r="E51" s="138"/>
      <c r="F51" s="138"/>
      <c r="G51" s="138"/>
      <c r="H51" s="138"/>
      <c r="I51" s="138"/>
      <c r="J51" s="138"/>
      <c r="L51" s="138"/>
      <c r="M51" s="138"/>
    </row>
    <row r="52" spans="2:13" x14ac:dyDescent="0.25">
      <c r="B52" s="138"/>
      <c r="C52" s="138"/>
      <c r="D52" s="138"/>
      <c r="E52" s="138"/>
      <c r="F52" s="138"/>
      <c r="G52" s="138"/>
      <c r="H52" s="138"/>
      <c r="I52" s="138"/>
      <c r="J52" s="138"/>
      <c r="L52" s="138"/>
      <c r="M52" s="138"/>
    </row>
    <row r="53" spans="2:13" x14ac:dyDescent="0.25">
      <c r="B53" s="138"/>
      <c r="C53" s="138"/>
      <c r="D53" s="138"/>
      <c r="E53" s="138"/>
      <c r="F53" s="138"/>
      <c r="G53" s="138"/>
      <c r="H53" s="138"/>
      <c r="I53" s="138"/>
      <c r="J53" s="138"/>
      <c r="L53" s="138"/>
      <c r="M53" s="138"/>
    </row>
    <row r="54" spans="2:13" x14ac:dyDescent="0.25">
      <c r="B54" s="138"/>
      <c r="C54" s="138"/>
      <c r="D54" s="138"/>
      <c r="E54" s="60"/>
      <c r="F54" s="62"/>
      <c r="G54" s="59"/>
      <c r="H54" s="138"/>
      <c r="I54" s="138"/>
      <c r="J54" s="138"/>
      <c r="L54" s="138"/>
      <c r="M54" s="138"/>
    </row>
    <row r="55" spans="2:13" x14ac:dyDescent="0.25">
      <c r="B55" s="138"/>
      <c r="C55" s="138"/>
      <c r="D55" s="138"/>
      <c r="E55" s="60"/>
      <c r="F55" s="62"/>
      <c r="G55" s="59"/>
      <c r="H55" s="138"/>
      <c r="I55" s="138"/>
      <c r="J55" s="138"/>
      <c r="L55" s="138"/>
      <c r="M55" s="138"/>
    </row>
    <row r="56" spans="2:13" x14ac:dyDescent="0.25">
      <c r="B56" s="138"/>
      <c r="C56" s="138"/>
      <c r="D56" s="138"/>
      <c r="E56" s="138"/>
      <c r="F56" s="138"/>
      <c r="G56" s="138"/>
      <c r="H56" s="138"/>
      <c r="I56" s="138"/>
      <c r="J56" s="138"/>
      <c r="L56" s="138"/>
      <c r="M56" s="138"/>
    </row>
    <row r="57" spans="2:13" x14ac:dyDescent="0.25">
      <c r="B57" s="138"/>
      <c r="C57" s="138"/>
      <c r="D57" s="138"/>
      <c r="E57" s="138"/>
      <c r="F57" s="138"/>
      <c r="G57" s="138"/>
      <c r="H57" s="138"/>
      <c r="I57" s="138"/>
      <c r="J57" s="138"/>
      <c r="L57" s="138"/>
      <c r="M57" s="138"/>
    </row>
    <row r="58" spans="2:13" x14ac:dyDescent="0.25">
      <c r="B58" s="138"/>
      <c r="C58" s="138"/>
      <c r="D58" s="138"/>
      <c r="E58" s="138"/>
      <c r="F58" s="138"/>
      <c r="G58" s="138"/>
      <c r="H58" s="138"/>
      <c r="I58" s="138"/>
      <c r="J58" s="138"/>
      <c r="L58" s="138"/>
      <c r="M58" s="138"/>
    </row>
    <row r="59" spans="2:13" x14ac:dyDescent="0.25">
      <c r="B59" s="138"/>
      <c r="C59" s="138"/>
      <c r="D59" s="138"/>
      <c r="E59" s="60"/>
      <c r="F59" s="62"/>
      <c r="G59" s="59"/>
      <c r="H59" s="138"/>
      <c r="I59" s="138"/>
      <c r="J59" s="138"/>
      <c r="L59" s="138"/>
      <c r="M59" s="138"/>
    </row>
    <row r="60" spans="2:13" x14ac:dyDescent="0.25">
      <c r="B60" s="138"/>
      <c r="C60" s="138"/>
      <c r="D60" s="138"/>
      <c r="E60" s="138"/>
      <c r="F60" s="138"/>
      <c r="G60" s="138"/>
      <c r="H60" s="138"/>
      <c r="I60" s="138"/>
      <c r="J60" s="138"/>
      <c r="L60" s="138"/>
      <c r="M60" s="138"/>
    </row>
    <row r="61" spans="2:13" x14ac:dyDescent="0.25">
      <c r="B61" s="138"/>
      <c r="C61" s="138"/>
      <c r="D61" s="138"/>
      <c r="E61" s="60"/>
      <c r="F61" s="62"/>
      <c r="G61" s="59"/>
      <c r="H61" s="138"/>
      <c r="I61" s="138"/>
      <c r="J61" s="138"/>
      <c r="L61" s="138"/>
      <c r="M61" s="138"/>
    </row>
    <row r="62" spans="2:13" x14ac:dyDescent="0.25">
      <c r="B62" s="138"/>
      <c r="C62" s="138"/>
      <c r="D62" s="138"/>
      <c r="E62" s="138"/>
      <c r="F62" s="138"/>
      <c r="G62" s="138"/>
      <c r="H62" s="138"/>
      <c r="I62" s="138"/>
      <c r="J62" s="138"/>
      <c r="L62" s="138"/>
      <c r="M62" s="138"/>
    </row>
    <row r="63" spans="2:13" x14ac:dyDescent="0.25">
      <c r="B63" s="138"/>
      <c r="C63" s="138"/>
      <c r="D63" s="138"/>
      <c r="E63" s="138"/>
      <c r="F63" s="138"/>
      <c r="G63" s="138"/>
      <c r="H63" s="138"/>
      <c r="I63" s="138"/>
      <c r="J63" s="138"/>
      <c r="L63" s="138"/>
      <c r="M63" s="138"/>
    </row>
    <row r="64" spans="2:13" x14ac:dyDescent="0.25">
      <c r="B64" s="138"/>
      <c r="C64" s="138"/>
      <c r="D64" s="138"/>
      <c r="E64" s="138"/>
      <c r="F64" s="138"/>
      <c r="G64" s="138"/>
      <c r="H64" s="138"/>
      <c r="I64" s="138"/>
      <c r="J64" s="138"/>
      <c r="L64" s="138"/>
      <c r="M64" s="138"/>
    </row>
    <row r="65" spans="2:13" x14ac:dyDescent="0.25">
      <c r="B65" s="138"/>
      <c r="C65" s="138"/>
      <c r="D65" s="138"/>
      <c r="E65" s="138"/>
      <c r="F65" s="138"/>
      <c r="G65" s="138"/>
      <c r="H65" s="138"/>
      <c r="I65" s="138"/>
      <c r="J65" s="138"/>
      <c r="L65" s="138"/>
      <c r="M65" s="138"/>
    </row>
    <row r="66" spans="2:13" x14ac:dyDescent="0.25">
      <c r="B66" s="138"/>
      <c r="C66" s="138"/>
      <c r="D66" s="138"/>
      <c r="E66" s="138"/>
      <c r="F66" s="138"/>
      <c r="G66" s="138"/>
      <c r="H66" s="138"/>
      <c r="I66" s="138"/>
      <c r="J66" s="138"/>
      <c r="L66" s="138"/>
      <c r="M66" s="138"/>
    </row>
    <row r="67" spans="2:13" x14ac:dyDescent="0.25">
      <c r="B67" s="138"/>
      <c r="C67" s="138"/>
      <c r="D67" s="138"/>
      <c r="E67" s="138"/>
      <c r="F67" s="138"/>
      <c r="G67" s="138"/>
      <c r="H67" s="138"/>
      <c r="I67" s="138"/>
      <c r="J67" s="138"/>
      <c r="L67" s="138"/>
      <c r="M67" s="138"/>
    </row>
    <row r="68" spans="2:13" x14ac:dyDescent="0.25">
      <c r="B68" s="138"/>
      <c r="C68" s="138"/>
      <c r="D68" s="138"/>
      <c r="E68" s="138"/>
      <c r="F68" s="138"/>
      <c r="G68" s="138"/>
      <c r="H68" s="138"/>
      <c r="I68" s="138"/>
      <c r="J68" s="138"/>
      <c r="L68" s="138"/>
      <c r="M68" s="138"/>
    </row>
    <row r="69" spans="2:13" x14ac:dyDescent="0.25">
      <c r="B69" s="138"/>
      <c r="C69" s="138"/>
      <c r="D69" s="138"/>
      <c r="E69" s="138"/>
      <c r="F69" s="138"/>
      <c r="G69" s="138"/>
      <c r="H69" s="138"/>
      <c r="I69" s="138"/>
      <c r="J69" s="138"/>
      <c r="L69" s="138"/>
      <c r="M69" s="138"/>
    </row>
    <row r="70" spans="2:13" x14ac:dyDescent="0.25">
      <c r="B70" s="138"/>
      <c r="C70" s="138"/>
      <c r="D70" s="138"/>
      <c r="E70" s="138"/>
      <c r="F70" s="138"/>
      <c r="G70" s="138"/>
      <c r="H70" s="138"/>
      <c r="I70" s="138"/>
      <c r="J70" s="138"/>
      <c r="L70" s="138"/>
      <c r="M70" s="138"/>
    </row>
    <row r="71" spans="2:13" x14ac:dyDescent="0.25">
      <c r="B71" s="138"/>
      <c r="C71" s="138"/>
      <c r="D71" s="138"/>
      <c r="E71" s="138"/>
      <c r="F71" s="138"/>
      <c r="G71" s="138"/>
      <c r="H71" s="138"/>
      <c r="I71" s="138"/>
      <c r="J71" s="138"/>
      <c r="L71" s="138"/>
      <c r="M71" s="138"/>
    </row>
    <row r="72" spans="2:13" x14ac:dyDescent="0.25">
      <c r="B72" s="138"/>
      <c r="C72" s="138"/>
      <c r="D72" s="138"/>
      <c r="E72" s="60"/>
      <c r="F72" s="62"/>
      <c r="G72" s="59"/>
      <c r="H72" s="138"/>
      <c r="I72" s="138"/>
      <c r="J72" s="138"/>
      <c r="L72" s="138"/>
      <c r="M72" s="138"/>
    </row>
    <row r="73" spans="2:13" x14ac:dyDescent="0.25">
      <c r="B73" s="138"/>
      <c r="C73" s="138"/>
      <c r="D73" s="138"/>
      <c r="E73" s="60"/>
      <c r="F73" s="62"/>
      <c r="G73" s="59"/>
      <c r="H73" s="138"/>
      <c r="I73" s="138"/>
      <c r="J73" s="138"/>
      <c r="L73" s="138"/>
      <c r="M73" s="138"/>
    </row>
    <row r="74" spans="2:13" x14ac:dyDescent="0.25">
      <c r="B74" s="138"/>
      <c r="C74" s="138"/>
      <c r="D74" s="138"/>
      <c r="E74" s="138"/>
      <c r="F74" s="138"/>
      <c r="G74" s="138"/>
      <c r="H74" s="138"/>
      <c r="I74" s="138"/>
      <c r="J74" s="138"/>
      <c r="L74" s="138"/>
      <c r="M74" s="138"/>
    </row>
    <row r="75" spans="2:13" x14ac:dyDescent="0.25">
      <c r="B75" s="138"/>
      <c r="C75" s="138"/>
      <c r="D75" s="138"/>
      <c r="E75" s="60"/>
      <c r="F75" s="62"/>
      <c r="G75" s="59"/>
      <c r="H75" s="138"/>
      <c r="I75" s="138"/>
      <c r="J75" s="138"/>
      <c r="L75" s="138"/>
      <c r="M75" s="138"/>
    </row>
    <row r="76" spans="2:13" x14ac:dyDescent="0.25">
      <c r="B76" s="138"/>
      <c r="C76" s="138"/>
      <c r="D76" s="138"/>
      <c r="E76" s="60"/>
      <c r="F76" s="62"/>
      <c r="G76" s="59"/>
      <c r="H76" s="138"/>
      <c r="I76" s="138"/>
      <c r="J76" s="138"/>
      <c r="L76" s="138"/>
      <c r="M76" s="138"/>
    </row>
    <row r="77" spans="2:13" x14ac:dyDescent="0.25">
      <c r="B77" s="138"/>
      <c r="C77" s="138"/>
      <c r="D77" s="138"/>
      <c r="E77" s="138"/>
      <c r="F77" s="138"/>
      <c r="G77" s="138"/>
      <c r="H77" s="138"/>
      <c r="I77" s="138"/>
      <c r="J77" s="138"/>
      <c r="L77" s="138"/>
      <c r="M77" s="138"/>
    </row>
    <row r="78" spans="2:13" x14ac:dyDescent="0.25">
      <c r="B78" s="138"/>
      <c r="C78" s="138"/>
      <c r="D78" s="138"/>
      <c r="E78" s="138"/>
      <c r="F78" s="138"/>
      <c r="G78" s="138"/>
      <c r="H78" s="138"/>
      <c r="I78" s="138"/>
      <c r="J78" s="138"/>
      <c r="L78" s="138"/>
      <c r="M78" s="138"/>
    </row>
    <row r="79" spans="2:13" x14ac:dyDescent="0.25">
      <c r="B79" s="138"/>
      <c r="C79" s="138"/>
      <c r="D79" s="138"/>
      <c r="E79" s="138"/>
      <c r="F79" s="138"/>
      <c r="G79" s="138"/>
      <c r="H79" s="138"/>
      <c r="I79" s="138"/>
      <c r="J79" s="138"/>
      <c r="L79" s="138"/>
      <c r="M79" s="138"/>
    </row>
    <row r="80" spans="2:13" x14ac:dyDescent="0.25">
      <c r="B80" s="138"/>
      <c r="C80" s="138"/>
      <c r="D80" s="138"/>
      <c r="E80" s="138"/>
      <c r="F80" s="138"/>
      <c r="G80" s="138"/>
      <c r="H80" s="138"/>
      <c r="I80" s="138"/>
      <c r="J80" s="138"/>
      <c r="L80" s="138"/>
      <c r="M80" s="138"/>
    </row>
    <row r="81" spans="2:13" x14ac:dyDescent="0.25">
      <c r="B81" s="138"/>
      <c r="C81" s="138"/>
      <c r="D81" s="138"/>
      <c r="E81" s="138"/>
      <c r="F81" s="138"/>
      <c r="G81" s="138"/>
      <c r="H81" s="138"/>
      <c r="I81" s="138"/>
      <c r="J81" s="138"/>
      <c r="L81" s="138"/>
      <c r="M81" s="138"/>
    </row>
    <row r="82" spans="2:13" x14ac:dyDescent="0.25">
      <c r="B82" s="138"/>
      <c r="C82" s="138"/>
      <c r="D82" s="138"/>
      <c r="E82" s="138"/>
      <c r="F82" s="138"/>
      <c r="G82" s="138"/>
      <c r="H82" s="138"/>
      <c r="I82" s="138"/>
      <c r="J82" s="138"/>
      <c r="L82" s="138"/>
      <c r="M82" s="138"/>
    </row>
    <row r="83" spans="2:13" x14ac:dyDescent="0.25">
      <c r="B83" s="138"/>
      <c r="C83" s="138"/>
      <c r="D83" s="138"/>
      <c r="E83" s="138"/>
      <c r="F83" s="138"/>
      <c r="G83" s="138"/>
      <c r="H83" s="138"/>
      <c r="I83" s="138"/>
      <c r="J83" s="138"/>
      <c r="L83" s="138"/>
      <c r="M83" s="138"/>
    </row>
    <row r="84" spans="2:13" x14ac:dyDescent="0.25">
      <c r="B84" s="138"/>
      <c r="C84" s="138"/>
      <c r="D84" s="138"/>
      <c r="E84" s="60"/>
      <c r="F84" s="62"/>
      <c r="G84" s="59"/>
      <c r="H84" s="138"/>
      <c r="I84" s="138"/>
      <c r="J84" s="138"/>
      <c r="L84" s="138"/>
      <c r="M84" s="138"/>
    </row>
    <row r="85" spans="2:13" x14ac:dyDescent="0.25">
      <c r="B85" s="138"/>
      <c r="C85" s="138"/>
      <c r="D85" s="138"/>
      <c r="E85" s="60"/>
      <c r="F85" s="62"/>
      <c r="G85" s="59"/>
      <c r="H85" s="138"/>
      <c r="I85" s="138"/>
      <c r="J85" s="138"/>
      <c r="L85" s="138"/>
      <c r="M85" s="138"/>
    </row>
    <row r="86" spans="2:13" x14ac:dyDescent="0.25">
      <c r="B86" s="138"/>
      <c r="C86" s="138"/>
      <c r="D86" s="138"/>
      <c r="E86" s="138"/>
      <c r="F86" s="138"/>
      <c r="G86" s="138"/>
      <c r="H86" s="138"/>
      <c r="I86" s="138"/>
      <c r="J86" s="138"/>
      <c r="L86" s="138"/>
      <c r="M86" s="138"/>
    </row>
    <row r="87" spans="2:13" x14ac:dyDescent="0.25">
      <c r="B87" s="138"/>
      <c r="C87" s="138"/>
      <c r="D87" s="138"/>
      <c r="E87" s="60"/>
      <c r="F87" s="62"/>
      <c r="G87" s="59"/>
      <c r="H87" s="138"/>
      <c r="I87" s="138"/>
      <c r="J87" s="138"/>
      <c r="L87" s="138"/>
      <c r="M87" s="138"/>
    </row>
    <row r="88" spans="2:13" x14ac:dyDescent="0.25">
      <c r="B88" s="138"/>
      <c r="C88" s="138"/>
      <c r="D88" s="138"/>
      <c r="E88" s="60"/>
      <c r="F88" s="62"/>
      <c r="G88" s="59"/>
      <c r="H88" s="138"/>
      <c r="I88" s="138"/>
      <c r="J88" s="138"/>
      <c r="L88" s="138"/>
      <c r="M88" s="138"/>
    </row>
    <row r="89" spans="2:13" x14ac:dyDescent="0.25">
      <c r="B89" s="138"/>
      <c r="C89" s="138"/>
      <c r="D89" s="138"/>
      <c r="E89" s="60"/>
      <c r="F89" s="62"/>
      <c r="G89" s="59"/>
      <c r="H89" s="138"/>
      <c r="I89" s="138"/>
      <c r="J89" s="138"/>
      <c r="L89" s="138"/>
      <c r="M89" s="138"/>
    </row>
    <row r="90" spans="2:13" x14ac:dyDescent="0.25">
      <c r="B90" s="138"/>
      <c r="C90" s="138"/>
      <c r="D90" s="138"/>
      <c r="E90" s="138"/>
      <c r="F90" s="138"/>
      <c r="G90" s="138"/>
      <c r="H90" s="138"/>
      <c r="I90" s="138"/>
      <c r="J90" s="138"/>
      <c r="L90" s="138"/>
      <c r="M90" s="138"/>
    </row>
    <row r="91" spans="2:13" x14ac:dyDescent="0.25">
      <c r="B91" s="138"/>
      <c r="C91" s="138"/>
      <c r="D91" s="138"/>
      <c r="E91" s="138"/>
      <c r="F91" s="138"/>
      <c r="G91" s="138"/>
      <c r="H91" s="138"/>
      <c r="I91" s="138"/>
      <c r="J91" s="138"/>
      <c r="L91" s="138"/>
      <c r="M91" s="138"/>
    </row>
    <row r="92" spans="2:13" x14ac:dyDescent="0.25">
      <c r="B92" s="138"/>
      <c r="C92" s="138"/>
      <c r="D92" s="138"/>
      <c r="E92" s="138"/>
      <c r="F92" s="138"/>
      <c r="G92" s="138"/>
      <c r="H92" s="138"/>
      <c r="I92" s="138"/>
      <c r="J92" s="138"/>
      <c r="L92" s="138"/>
      <c r="M92" s="138"/>
    </row>
    <row r="93" spans="2:13" x14ac:dyDescent="0.25">
      <c r="B93" s="138"/>
      <c r="C93" s="138"/>
      <c r="D93" s="138"/>
      <c r="E93" s="60"/>
      <c r="F93" s="62"/>
      <c r="G93" s="59"/>
      <c r="H93" s="138"/>
      <c r="I93" s="138"/>
      <c r="J93" s="138"/>
      <c r="L93" s="138"/>
      <c r="M93" s="138"/>
    </row>
    <row r="94" spans="2:13" x14ac:dyDescent="0.25">
      <c r="B94" s="138"/>
      <c r="C94" s="138"/>
      <c r="D94" s="138"/>
      <c r="E94" s="138"/>
      <c r="F94" s="138"/>
      <c r="G94" s="138"/>
      <c r="H94" s="138"/>
      <c r="I94" s="138"/>
      <c r="J94" s="138"/>
      <c r="L94" s="138"/>
      <c r="M94" s="138"/>
    </row>
    <row r="95" spans="2:13" x14ac:dyDescent="0.25">
      <c r="B95" s="138"/>
      <c r="C95" s="138"/>
      <c r="D95" s="138"/>
      <c r="E95" s="138"/>
      <c r="F95" s="138"/>
      <c r="G95" s="138"/>
      <c r="H95" s="138"/>
      <c r="I95" s="138"/>
      <c r="J95" s="138"/>
      <c r="K95" s="138"/>
      <c r="L95" s="138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FFFF00"/>
  </sheetPr>
  <dimension ref="A1:L84"/>
  <sheetViews>
    <sheetView workbookViewId="0">
      <selection activeCell="F58" sqref="F58"/>
    </sheetView>
  </sheetViews>
  <sheetFormatPr defaultRowHeight="15" x14ac:dyDescent="0.25"/>
  <cols>
    <col min="3" max="3" width="59.28515625" customWidth="1"/>
    <col min="4" max="4" width="18.28515625" bestFit="1" customWidth="1"/>
    <col min="5" max="5" width="13.28515625" customWidth="1"/>
    <col min="6" max="6" width="18.28515625" bestFit="1" customWidth="1"/>
    <col min="7" max="7" width="18.140625" bestFit="1" customWidth="1"/>
    <col min="11" max="11" width="2.7109375" customWidth="1"/>
  </cols>
  <sheetData>
    <row r="1" spans="1:5" x14ac:dyDescent="0.25">
      <c r="A1" s="39" t="s">
        <v>250</v>
      </c>
      <c r="B1" s="39" t="s">
        <v>917</v>
      </c>
      <c r="C1" s="39"/>
      <c r="D1" s="39"/>
      <c r="E1" s="39"/>
    </row>
    <row r="2" spans="1:5" x14ac:dyDescent="0.25">
      <c r="A2" s="39" t="s">
        <v>250</v>
      </c>
      <c r="B2" s="39"/>
      <c r="C2" s="39"/>
      <c r="D2" s="39"/>
      <c r="E2" s="39"/>
    </row>
    <row r="3" spans="1:5" x14ac:dyDescent="0.25">
      <c r="A3" s="39" t="s">
        <v>250</v>
      </c>
      <c r="B3" s="39" t="s">
        <v>356</v>
      </c>
      <c r="C3" s="39"/>
      <c r="D3" s="39"/>
      <c r="E3" s="39"/>
    </row>
    <row r="4" spans="1:5" x14ac:dyDescent="0.25">
      <c r="A4" s="39" t="s">
        <v>250</v>
      </c>
      <c r="B4" s="39"/>
      <c r="C4" s="39" t="s">
        <v>443</v>
      </c>
      <c r="D4" s="39"/>
      <c r="E4" s="39"/>
    </row>
    <row r="5" spans="1:5" x14ac:dyDescent="0.25">
      <c r="A5" s="39" t="s">
        <v>250</v>
      </c>
      <c r="B5" s="39"/>
      <c r="C5" s="39"/>
      <c r="D5" s="39"/>
      <c r="E5" s="39"/>
    </row>
    <row r="6" spans="1:5" x14ac:dyDescent="0.25">
      <c r="A6" s="39" t="s">
        <v>250</v>
      </c>
      <c r="B6" s="39" t="s">
        <v>357</v>
      </c>
      <c r="C6" s="39"/>
      <c r="D6" s="39"/>
      <c r="E6" s="39"/>
    </row>
    <row r="7" spans="1:5" x14ac:dyDescent="0.25">
      <c r="A7" s="39" t="s">
        <v>250</v>
      </c>
      <c r="B7" s="39"/>
      <c r="C7" s="39" t="s">
        <v>262</v>
      </c>
      <c r="D7" s="39" t="s">
        <v>263</v>
      </c>
      <c r="E7" s="39" t="s">
        <v>264</v>
      </c>
    </row>
    <row r="8" spans="1:5" x14ac:dyDescent="0.25">
      <c r="A8" s="39" t="s">
        <v>250</v>
      </c>
      <c r="B8" s="17"/>
      <c r="C8" s="25">
        <v>41249</v>
      </c>
      <c r="D8" s="33" t="s">
        <v>410</v>
      </c>
      <c r="E8" s="39" t="s">
        <v>265</v>
      </c>
    </row>
    <row r="9" spans="1:5" x14ac:dyDescent="0.25">
      <c r="A9" s="39" t="s">
        <v>250</v>
      </c>
      <c r="B9" s="17"/>
      <c r="C9" s="25"/>
      <c r="D9" s="33"/>
      <c r="E9" s="39"/>
    </row>
    <row r="10" spans="1:5" x14ac:dyDescent="0.25">
      <c r="A10" s="39" t="s">
        <v>250</v>
      </c>
      <c r="B10" s="17"/>
      <c r="C10" s="25"/>
      <c r="D10" s="39"/>
      <c r="E10" s="39"/>
    </row>
    <row r="11" spans="1:5" x14ac:dyDescent="0.25">
      <c r="A11" s="39" t="s">
        <v>250</v>
      </c>
      <c r="B11" s="39" t="s">
        <v>266</v>
      </c>
      <c r="C11" s="39"/>
      <c r="D11" s="39"/>
      <c r="E11" s="39"/>
    </row>
    <row r="12" spans="1:5" x14ac:dyDescent="0.25">
      <c r="A12" s="39" t="s">
        <v>250</v>
      </c>
      <c r="B12" s="39"/>
      <c r="C12" s="39" t="s">
        <v>434</v>
      </c>
      <c r="D12" s="39"/>
      <c r="E12" s="39"/>
    </row>
    <row r="13" spans="1:5" x14ac:dyDescent="0.25">
      <c r="A13" s="39" t="s">
        <v>250</v>
      </c>
      <c r="B13" s="39"/>
      <c r="C13" s="39"/>
      <c r="D13" s="39"/>
      <c r="E13" s="39"/>
    </row>
    <row r="14" spans="1:5" x14ac:dyDescent="0.25">
      <c r="A14" s="39" t="s">
        <v>250</v>
      </c>
      <c r="B14" s="39" t="s">
        <v>251</v>
      </c>
      <c r="C14" s="39"/>
      <c r="D14" s="39"/>
      <c r="E14" s="39"/>
    </row>
    <row r="15" spans="1:5" x14ac:dyDescent="0.25">
      <c r="A15" s="39" t="s">
        <v>250</v>
      </c>
      <c r="B15" s="39"/>
      <c r="C15" s="39"/>
      <c r="D15" s="39"/>
      <c r="E15" s="39"/>
    </row>
    <row r="16" spans="1:5" x14ac:dyDescent="0.25">
      <c r="A16" s="39" t="s">
        <v>250</v>
      </c>
      <c r="B16" s="39"/>
      <c r="C16" s="39"/>
      <c r="D16" s="39"/>
      <c r="E16" s="39"/>
    </row>
    <row r="17" spans="1:12" x14ac:dyDescent="0.25">
      <c r="A17" s="39" t="s">
        <v>250</v>
      </c>
      <c r="B17" s="39" t="s">
        <v>272</v>
      </c>
      <c r="C17" s="39"/>
      <c r="D17" s="39"/>
      <c r="E17" s="39"/>
    </row>
    <row r="18" spans="1:12" x14ac:dyDescent="0.25">
      <c r="A18" s="39" t="s">
        <v>250</v>
      </c>
      <c r="B18" s="39"/>
      <c r="C18" s="39" t="str">
        <f>C4&amp;"."&amp;E23&amp;"("&amp;C23&amp;"=u:SpaceFunction)"</f>
        <v>TailoredMethodLPA.GenIllum(SpaceFunction=u:SpaceFunction)</v>
      </c>
      <c r="D18" s="39"/>
      <c r="E18" s="39"/>
    </row>
    <row r="19" spans="1:12" x14ac:dyDescent="0.25">
      <c r="A19" s="39" t="s">
        <v>250</v>
      </c>
      <c r="B19" s="39"/>
      <c r="C19" s="39"/>
      <c r="D19" s="39"/>
      <c r="E19" s="39"/>
    </row>
    <row r="20" spans="1:12" x14ac:dyDescent="0.25">
      <c r="A20" s="39" t="s">
        <v>250</v>
      </c>
      <c r="B20" s="39"/>
      <c r="C20" s="39"/>
      <c r="D20" s="39"/>
      <c r="E20" s="39"/>
    </row>
    <row r="21" spans="1:12" x14ac:dyDescent="0.25">
      <c r="A21" s="39" t="s">
        <v>365</v>
      </c>
      <c r="B21" s="39"/>
      <c r="C21" s="39"/>
      <c r="D21" s="39"/>
      <c r="E21" s="39"/>
    </row>
    <row r="22" spans="1:12" x14ac:dyDescent="0.25">
      <c r="A22" s="39"/>
      <c r="B22" s="2" t="str">
        <f>"TABLE "&amp;$C$4</f>
        <v>TABLE TailoredMethodLPA</v>
      </c>
      <c r="C22" s="2"/>
      <c r="D22" s="39"/>
      <c r="E22" s="39"/>
    </row>
    <row r="23" spans="1:12" x14ac:dyDescent="0.25">
      <c r="A23" s="39"/>
      <c r="C23" s="2" t="s">
        <v>435</v>
      </c>
      <c r="D23" t="s">
        <v>671</v>
      </c>
      <c r="E23" s="17" t="s">
        <v>436</v>
      </c>
      <c r="F23" s="56" t="s">
        <v>437</v>
      </c>
      <c r="G23" s="39" t="s">
        <v>438</v>
      </c>
      <c r="H23" s="39" t="s">
        <v>916</v>
      </c>
    </row>
    <row r="24" spans="1:12" x14ac:dyDescent="0.25">
      <c r="C24" s="39" t="s">
        <v>442</v>
      </c>
      <c r="D24" t="s">
        <v>632</v>
      </c>
      <c r="E24" s="39" t="s">
        <v>439</v>
      </c>
      <c r="F24" s="39" t="s">
        <v>440</v>
      </c>
      <c r="G24" s="39" t="s">
        <v>441</v>
      </c>
      <c r="H24" s="39" t="s">
        <v>441</v>
      </c>
      <c r="K24" t="s">
        <v>670</v>
      </c>
    </row>
    <row r="25" spans="1:12" x14ac:dyDescent="0.25">
      <c r="A25" s="39"/>
      <c r="B25" s="39"/>
      <c r="C25" s="39" t="s">
        <v>525</v>
      </c>
      <c r="D25">
        <v>1</v>
      </c>
      <c r="E25" s="60">
        <v>300</v>
      </c>
      <c r="F25" s="61">
        <v>2.25</v>
      </c>
      <c r="G25" s="59">
        <v>0.3</v>
      </c>
      <c r="H25">
        <v>0.5</v>
      </c>
      <c r="I25" s="138"/>
      <c r="K25" t="s">
        <v>250</v>
      </c>
      <c r="L25">
        <v>1</v>
      </c>
    </row>
    <row r="26" spans="1:12" x14ac:dyDescent="0.25">
      <c r="A26" s="39"/>
      <c r="B26" s="39"/>
      <c r="C26" t="s">
        <v>526</v>
      </c>
      <c r="D26" s="138">
        <v>1</v>
      </c>
      <c r="E26" s="60">
        <v>300</v>
      </c>
      <c r="F26" s="61">
        <v>3.15</v>
      </c>
      <c r="G26" s="59">
        <v>0.2</v>
      </c>
      <c r="H26">
        <v>0.5</v>
      </c>
      <c r="I26" s="138"/>
      <c r="K26" s="138" t="s">
        <v>250</v>
      </c>
      <c r="L26">
        <v>6</v>
      </c>
    </row>
    <row r="27" spans="1:12" x14ac:dyDescent="0.25">
      <c r="C27" s="138" t="s">
        <v>527</v>
      </c>
      <c r="D27" s="138">
        <v>1</v>
      </c>
      <c r="E27" s="60">
        <v>300</v>
      </c>
      <c r="F27" s="62">
        <v>2.5</v>
      </c>
      <c r="G27" s="59">
        <v>0.4</v>
      </c>
      <c r="H27">
        <v>0.5</v>
      </c>
      <c r="I27" s="138"/>
      <c r="K27" s="138" t="s">
        <v>250</v>
      </c>
      <c r="L27" s="138">
        <v>10</v>
      </c>
    </row>
    <row r="28" spans="1:12" x14ac:dyDescent="0.25">
      <c r="C28" s="138" t="s">
        <v>528</v>
      </c>
      <c r="D28" s="138">
        <v>1</v>
      </c>
      <c r="E28" s="60">
        <v>200</v>
      </c>
      <c r="F28" s="62">
        <v>1.5</v>
      </c>
      <c r="G28" s="59">
        <v>0.6</v>
      </c>
      <c r="H28">
        <v>0.5</v>
      </c>
      <c r="I28" s="138"/>
      <c r="K28" s="138" t="s">
        <v>250</v>
      </c>
      <c r="L28" s="138">
        <v>12</v>
      </c>
    </row>
    <row r="29" spans="1:12" x14ac:dyDescent="0.25">
      <c r="C29" s="138" t="s">
        <v>529</v>
      </c>
      <c r="D29" s="138">
        <v>1</v>
      </c>
      <c r="E29" s="60">
        <v>150</v>
      </c>
      <c r="F29" s="62">
        <v>15</v>
      </c>
      <c r="G29" s="59">
        <v>1.2</v>
      </c>
      <c r="H29">
        <v>0.5</v>
      </c>
      <c r="I29" s="138"/>
      <c r="K29" s="138" t="s">
        <v>250</v>
      </c>
      <c r="L29" s="138">
        <v>17</v>
      </c>
    </row>
    <row r="30" spans="1:12" x14ac:dyDescent="0.25">
      <c r="C30" s="138" t="s">
        <v>530</v>
      </c>
      <c r="D30" s="138">
        <v>1</v>
      </c>
      <c r="E30" s="60">
        <v>300</v>
      </c>
      <c r="F30" s="62">
        <v>3.15</v>
      </c>
      <c r="G30" s="59">
        <v>0.2</v>
      </c>
      <c r="H30" s="39">
        <v>0.5</v>
      </c>
      <c r="I30" s="138"/>
      <c r="K30" s="138" t="s">
        <v>250</v>
      </c>
      <c r="L30" s="138">
        <v>18</v>
      </c>
    </row>
    <row r="31" spans="1:12" x14ac:dyDescent="0.25">
      <c r="C31" s="138" t="s">
        <v>531</v>
      </c>
      <c r="D31" s="138">
        <v>1</v>
      </c>
      <c r="E31" s="60">
        <v>500</v>
      </c>
      <c r="F31" s="62">
        <v>8</v>
      </c>
      <c r="G31" s="59">
        <v>0.9</v>
      </c>
      <c r="H31">
        <v>0.5</v>
      </c>
      <c r="I31" s="138"/>
      <c r="K31" s="138" t="s">
        <v>250</v>
      </c>
      <c r="L31" s="138">
        <v>22</v>
      </c>
    </row>
    <row r="32" spans="1:12" x14ac:dyDescent="0.25">
      <c r="C32" s="138" t="s">
        <v>532</v>
      </c>
      <c r="D32" s="138">
        <v>1</v>
      </c>
      <c r="E32" s="60">
        <v>400</v>
      </c>
      <c r="F32" s="62">
        <v>2.25</v>
      </c>
      <c r="G32" s="59">
        <v>0.2</v>
      </c>
      <c r="H32">
        <v>0.5</v>
      </c>
      <c r="I32" s="138"/>
      <c r="K32" s="138" t="s">
        <v>250</v>
      </c>
      <c r="L32" s="138">
        <v>24</v>
      </c>
    </row>
    <row r="33" spans="2:12" x14ac:dyDescent="0.25">
      <c r="C33" s="138" t="s">
        <v>533</v>
      </c>
      <c r="D33" s="138">
        <v>1</v>
      </c>
      <c r="E33" s="60">
        <v>200</v>
      </c>
      <c r="F33" s="62">
        <v>3.15</v>
      </c>
      <c r="G33" s="59">
        <v>0.2</v>
      </c>
      <c r="H33">
        <v>0.5</v>
      </c>
      <c r="I33" s="138"/>
      <c r="K33" s="138" t="s">
        <v>250</v>
      </c>
      <c r="L33" s="138">
        <v>35</v>
      </c>
    </row>
    <row r="34" spans="2:12" x14ac:dyDescent="0.25">
      <c r="C34" s="138" t="s">
        <v>534</v>
      </c>
      <c r="D34" s="138">
        <v>1</v>
      </c>
      <c r="E34" s="60">
        <v>200</v>
      </c>
      <c r="F34" s="62">
        <v>0</v>
      </c>
      <c r="G34" s="59">
        <v>0.2</v>
      </c>
      <c r="H34" s="39">
        <v>0</v>
      </c>
      <c r="I34" s="138"/>
      <c r="K34" s="138" t="s">
        <v>250</v>
      </c>
      <c r="L34" s="138">
        <v>36</v>
      </c>
    </row>
    <row r="35" spans="2:12" x14ac:dyDescent="0.25">
      <c r="C35" s="138" t="s">
        <v>535</v>
      </c>
      <c r="D35" s="138">
        <v>1</v>
      </c>
      <c r="E35" s="60">
        <v>200</v>
      </c>
      <c r="F35" s="62">
        <v>7</v>
      </c>
      <c r="G35" s="59">
        <v>0</v>
      </c>
      <c r="H35">
        <v>0.5</v>
      </c>
      <c r="I35" s="138"/>
      <c r="K35" s="138" t="s">
        <v>250</v>
      </c>
      <c r="L35" s="138">
        <v>38</v>
      </c>
    </row>
    <row r="36" spans="2:12" x14ac:dyDescent="0.25">
      <c r="C36" s="138" t="s">
        <v>536</v>
      </c>
      <c r="D36" s="138">
        <v>1</v>
      </c>
      <c r="E36" s="60">
        <v>300</v>
      </c>
      <c r="F36" s="62">
        <v>3.5</v>
      </c>
      <c r="G36" s="59">
        <v>0.5</v>
      </c>
      <c r="H36" s="39">
        <v>0.5</v>
      </c>
      <c r="I36" s="138"/>
      <c r="K36" s="138" t="s">
        <v>250</v>
      </c>
      <c r="L36" s="138">
        <v>39</v>
      </c>
    </row>
    <row r="37" spans="2:12" x14ac:dyDescent="0.25">
      <c r="C37" s="138" t="s">
        <v>537</v>
      </c>
      <c r="D37" s="138">
        <v>1</v>
      </c>
      <c r="E37" s="60">
        <v>300</v>
      </c>
      <c r="F37" s="62">
        <v>1.5</v>
      </c>
      <c r="G37" s="59">
        <v>0.5</v>
      </c>
      <c r="H37">
        <v>0.5</v>
      </c>
      <c r="I37" s="138"/>
      <c r="K37" s="138" t="s">
        <v>250</v>
      </c>
      <c r="L37" s="138">
        <v>47</v>
      </c>
    </row>
    <row r="38" spans="2:12" x14ac:dyDescent="0.25">
      <c r="C38" s="138" t="s">
        <v>538</v>
      </c>
      <c r="D38" s="138">
        <v>1</v>
      </c>
      <c r="E38" s="60">
        <v>400</v>
      </c>
      <c r="F38" s="62">
        <v>14</v>
      </c>
      <c r="G38" s="59">
        <v>1</v>
      </c>
      <c r="H38">
        <v>0.5</v>
      </c>
      <c r="I38" s="138"/>
      <c r="K38" s="138" t="s">
        <v>250</v>
      </c>
      <c r="L38" s="138">
        <v>48</v>
      </c>
    </row>
    <row r="39" spans="2:12" x14ac:dyDescent="0.25">
      <c r="C39" s="138" t="s">
        <v>539</v>
      </c>
      <c r="D39" s="138">
        <v>1</v>
      </c>
      <c r="E39" s="60">
        <v>200</v>
      </c>
      <c r="F39" s="62">
        <v>3</v>
      </c>
      <c r="G39" s="59">
        <v>0</v>
      </c>
      <c r="H39">
        <v>0.5</v>
      </c>
      <c r="I39" s="138"/>
      <c r="K39" s="138" t="s">
        <v>250</v>
      </c>
      <c r="L39" s="138">
        <v>50</v>
      </c>
    </row>
    <row r="40" spans="2:12" x14ac:dyDescent="0.25">
      <c r="C40" s="138" t="s">
        <v>540</v>
      </c>
      <c r="D40" s="138">
        <v>1</v>
      </c>
      <c r="E40" s="60">
        <v>200</v>
      </c>
      <c r="F40" s="62">
        <v>6</v>
      </c>
      <c r="G40" s="59">
        <v>0</v>
      </c>
      <c r="H40">
        <v>0.5</v>
      </c>
      <c r="I40" s="138"/>
      <c r="K40" s="138" t="s">
        <v>250</v>
      </c>
      <c r="L40" s="138">
        <v>51</v>
      </c>
    </row>
    <row r="41" spans="2:12" x14ac:dyDescent="0.25">
      <c r="C41" s="138" t="s">
        <v>541</v>
      </c>
      <c r="D41" s="138">
        <v>1</v>
      </c>
      <c r="E41" s="60">
        <v>300</v>
      </c>
      <c r="F41" s="62">
        <v>3.15</v>
      </c>
      <c r="G41" s="59">
        <v>0.3</v>
      </c>
      <c r="H41" s="39">
        <v>0.5</v>
      </c>
      <c r="I41" s="138"/>
      <c r="K41" s="138" t="s">
        <v>250</v>
      </c>
      <c r="L41" s="138">
        <v>52</v>
      </c>
    </row>
    <row r="42" spans="2:12" x14ac:dyDescent="0.25">
      <c r="C42" s="138" t="s">
        <v>542</v>
      </c>
      <c r="D42" s="138">
        <v>1</v>
      </c>
      <c r="E42" s="60">
        <v>300</v>
      </c>
      <c r="F42" s="62">
        <v>3.15</v>
      </c>
      <c r="G42" s="59">
        <v>0.2</v>
      </c>
      <c r="H42" s="39">
        <v>0.5</v>
      </c>
      <c r="I42" s="138"/>
      <c r="K42" s="138" t="s">
        <v>250</v>
      </c>
      <c r="L42" s="138">
        <v>56</v>
      </c>
    </row>
    <row r="43" spans="2:12" x14ac:dyDescent="0.25">
      <c r="B43" s="39"/>
      <c r="C43" s="138" t="s">
        <v>633</v>
      </c>
      <c r="D43" s="138">
        <v>0</v>
      </c>
      <c r="E43" s="138">
        <v>-999</v>
      </c>
      <c r="F43" s="138">
        <v>-999</v>
      </c>
      <c r="G43" s="138">
        <v>-999</v>
      </c>
      <c r="H43">
        <v>-999</v>
      </c>
      <c r="I43" s="138"/>
      <c r="K43" s="138" t="s">
        <v>250</v>
      </c>
      <c r="L43" s="138">
        <v>2</v>
      </c>
    </row>
    <row r="44" spans="2:12" x14ac:dyDescent="0.25">
      <c r="C44" s="138" t="s">
        <v>634</v>
      </c>
      <c r="D44" s="138">
        <v>0</v>
      </c>
      <c r="E44" s="138">
        <v>-999</v>
      </c>
      <c r="F44" s="138">
        <v>-999</v>
      </c>
      <c r="G44" s="138">
        <v>-999</v>
      </c>
      <c r="H44">
        <v>-999</v>
      </c>
      <c r="I44" s="138"/>
      <c r="K44" s="138" t="s">
        <v>250</v>
      </c>
      <c r="L44" s="138">
        <v>3</v>
      </c>
    </row>
    <row r="45" spans="2:12" x14ac:dyDescent="0.25">
      <c r="C45" s="138" t="s">
        <v>635</v>
      </c>
      <c r="D45" s="138">
        <v>0</v>
      </c>
      <c r="E45">
        <v>-999</v>
      </c>
      <c r="F45">
        <v>-999</v>
      </c>
      <c r="G45">
        <v>-999</v>
      </c>
      <c r="H45">
        <v>-999</v>
      </c>
      <c r="I45" s="138"/>
      <c r="K45" s="138" t="s">
        <v>250</v>
      </c>
      <c r="L45" s="138">
        <v>4</v>
      </c>
    </row>
    <row r="46" spans="2:12" x14ac:dyDescent="0.25">
      <c r="C46" s="138" t="s">
        <v>636</v>
      </c>
      <c r="D46" s="138">
        <v>0</v>
      </c>
      <c r="E46" s="138">
        <v>-999</v>
      </c>
      <c r="F46" s="138">
        <v>-999</v>
      </c>
      <c r="G46" s="138">
        <v>-999</v>
      </c>
      <c r="H46" s="39">
        <v>-999</v>
      </c>
      <c r="I46" s="138"/>
      <c r="K46" s="138" t="s">
        <v>250</v>
      </c>
      <c r="L46" s="138">
        <v>5</v>
      </c>
    </row>
    <row r="47" spans="2:12" x14ac:dyDescent="0.25">
      <c r="C47" s="138" t="s">
        <v>637</v>
      </c>
      <c r="D47" s="138">
        <v>0</v>
      </c>
      <c r="E47" s="138">
        <v>-999</v>
      </c>
      <c r="F47" s="138">
        <v>-999</v>
      </c>
      <c r="G47" s="138">
        <v>-999</v>
      </c>
      <c r="H47">
        <v>-999</v>
      </c>
      <c r="I47" s="138"/>
      <c r="K47" s="138" t="s">
        <v>250</v>
      </c>
      <c r="L47" s="138">
        <v>7</v>
      </c>
    </row>
    <row r="48" spans="2:12" x14ac:dyDescent="0.25">
      <c r="C48" s="138" t="s">
        <v>638</v>
      </c>
      <c r="D48" s="138">
        <v>0</v>
      </c>
      <c r="E48" s="138">
        <v>-999</v>
      </c>
      <c r="F48" s="138">
        <v>-999</v>
      </c>
      <c r="G48" s="138">
        <v>-999</v>
      </c>
      <c r="H48" s="39">
        <v>-999</v>
      </c>
      <c r="I48" s="138"/>
      <c r="K48" s="138" t="s">
        <v>250</v>
      </c>
      <c r="L48" s="138">
        <v>8</v>
      </c>
    </row>
    <row r="49" spans="3:12" x14ac:dyDescent="0.25">
      <c r="C49" s="138" t="s">
        <v>639</v>
      </c>
      <c r="D49" s="138">
        <v>0</v>
      </c>
      <c r="E49">
        <v>-999</v>
      </c>
      <c r="F49">
        <v>-999</v>
      </c>
      <c r="G49">
        <v>-999</v>
      </c>
      <c r="H49">
        <v>-999</v>
      </c>
      <c r="I49" s="138"/>
      <c r="K49" s="138" t="s">
        <v>250</v>
      </c>
      <c r="L49" s="138">
        <v>9</v>
      </c>
    </row>
    <row r="50" spans="3:12" x14ac:dyDescent="0.25">
      <c r="C50" s="138" t="s">
        <v>640</v>
      </c>
      <c r="D50" s="138">
        <v>0</v>
      </c>
      <c r="E50">
        <v>-999</v>
      </c>
      <c r="F50">
        <v>-999</v>
      </c>
      <c r="G50">
        <v>-999</v>
      </c>
      <c r="H50">
        <v>-999</v>
      </c>
      <c r="I50" s="138"/>
      <c r="K50" s="138" t="s">
        <v>250</v>
      </c>
      <c r="L50" s="138">
        <v>11</v>
      </c>
    </row>
    <row r="51" spans="3:12" x14ac:dyDescent="0.25">
      <c r="C51" s="138" t="s">
        <v>641</v>
      </c>
      <c r="D51" s="138">
        <v>0</v>
      </c>
      <c r="E51">
        <v>-999</v>
      </c>
      <c r="F51">
        <v>-999</v>
      </c>
      <c r="G51">
        <v>-999</v>
      </c>
      <c r="H51">
        <v>-999</v>
      </c>
      <c r="I51" s="138"/>
      <c r="K51" s="138" t="s">
        <v>250</v>
      </c>
      <c r="L51" s="138">
        <v>13</v>
      </c>
    </row>
    <row r="52" spans="3:12" x14ac:dyDescent="0.25">
      <c r="C52" s="138" t="s">
        <v>642</v>
      </c>
      <c r="D52" s="138">
        <v>0</v>
      </c>
      <c r="E52">
        <v>-999</v>
      </c>
      <c r="F52">
        <v>-999</v>
      </c>
      <c r="G52">
        <v>-999</v>
      </c>
      <c r="H52">
        <v>-999</v>
      </c>
      <c r="I52" s="138"/>
      <c r="K52" s="138" t="s">
        <v>250</v>
      </c>
      <c r="L52" s="138">
        <v>14</v>
      </c>
    </row>
    <row r="53" spans="3:12" x14ac:dyDescent="0.25">
      <c r="C53" s="138" t="s">
        <v>643</v>
      </c>
      <c r="D53" s="138">
        <v>0</v>
      </c>
      <c r="E53">
        <v>-999</v>
      </c>
      <c r="F53">
        <v>-999</v>
      </c>
      <c r="G53">
        <v>-999</v>
      </c>
      <c r="H53">
        <v>-999</v>
      </c>
      <c r="I53" s="138"/>
      <c r="K53" s="138" t="s">
        <v>250</v>
      </c>
      <c r="L53" s="138">
        <v>15</v>
      </c>
    </row>
    <row r="54" spans="3:12" x14ac:dyDescent="0.25">
      <c r="C54" s="138" t="s">
        <v>932</v>
      </c>
      <c r="D54" s="138">
        <v>0</v>
      </c>
      <c r="E54">
        <v>-999</v>
      </c>
      <c r="F54">
        <v>-999</v>
      </c>
      <c r="G54">
        <v>-999</v>
      </c>
      <c r="H54">
        <v>-999</v>
      </c>
      <c r="I54" s="138"/>
      <c r="K54" s="138" t="s">
        <v>250</v>
      </c>
      <c r="L54" s="138">
        <v>16</v>
      </c>
    </row>
    <row r="55" spans="3:12" x14ac:dyDescent="0.25">
      <c r="C55" s="138" t="s">
        <v>644</v>
      </c>
      <c r="D55" s="138">
        <v>0</v>
      </c>
      <c r="E55">
        <v>-999</v>
      </c>
      <c r="F55">
        <v>-999</v>
      </c>
      <c r="G55">
        <v>-999</v>
      </c>
      <c r="H55">
        <v>-999</v>
      </c>
      <c r="I55" s="138"/>
      <c r="K55" s="138" t="s">
        <v>250</v>
      </c>
      <c r="L55" s="138">
        <v>19</v>
      </c>
    </row>
    <row r="56" spans="3:12" x14ac:dyDescent="0.25">
      <c r="C56" s="138" t="s">
        <v>645</v>
      </c>
      <c r="D56" s="138">
        <v>0</v>
      </c>
      <c r="E56">
        <v>-999</v>
      </c>
      <c r="F56">
        <v>-999</v>
      </c>
      <c r="G56">
        <v>-999</v>
      </c>
      <c r="H56">
        <v>-999</v>
      </c>
      <c r="I56" s="138"/>
      <c r="K56" s="138" t="s">
        <v>250</v>
      </c>
      <c r="L56" s="138">
        <v>20</v>
      </c>
    </row>
    <row r="57" spans="3:12" x14ac:dyDescent="0.25">
      <c r="C57" s="138" t="s">
        <v>646</v>
      </c>
      <c r="D57" s="138">
        <v>0</v>
      </c>
      <c r="E57">
        <v>-999</v>
      </c>
      <c r="F57">
        <v>-999</v>
      </c>
      <c r="G57">
        <v>-999</v>
      </c>
      <c r="H57">
        <v>-999</v>
      </c>
      <c r="I57" s="138"/>
      <c r="K57" s="138" t="s">
        <v>250</v>
      </c>
      <c r="L57" s="138">
        <v>21</v>
      </c>
    </row>
    <row r="58" spans="3:12" s="138" customFormat="1" x14ac:dyDescent="0.25">
      <c r="C58" s="345" t="s">
        <v>933</v>
      </c>
      <c r="D58" s="345">
        <v>0</v>
      </c>
      <c r="E58" s="345">
        <v>-999</v>
      </c>
      <c r="F58" s="345">
        <v>-999</v>
      </c>
      <c r="G58" s="345">
        <v>-999</v>
      </c>
      <c r="H58" s="345">
        <v>-999</v>
      </c>
      <c r="I58" s="345"/>
      <c r="J58" s="345"/>
      <c r="K58" s="345" t="s">
        <v>250</v>
      </c>
      <c r="L58" s="345">
        <v>21</v>
      </c>
    </row>
    <row r="59" spans="3:12" x14ac:dyDescent="0.25">
      <c r="C59" s="138" t="s">
        <v>647</v>
      </c>
      <c r="D59" s="138">
        <v>0</v>
      </c>
      <c r="E59" s="138">
        <v>-999</v>
      </c>
      <c r="F59" s="138">
        <v>-999</v>
      </c>
      <c r="G59" s="138">
        <v>-999</v>
      </c>
      <c r="H59">
        <v>-999</v>
      </c>
      <c r="I59" s="138"/>
      <c r="K59" s="138" t="s">
        <v>250</v>
      </c>
      <c r="L59" s="138">
        <v>23</v>
      </c>
    </row>
    <row r="60" spans="3:12" x14ac:dyDescent="0.25">
      <c r="C60" s="138" t="s">
        <v>648</v>
      </c>
      <c r="D60" s="138">
        <v>0</v>
      </c>
      <c r="E60" s="138">
        <v>-999</v>
      </c>
      <c r="F60" s="138">
        <v>-999</v>
      </c>
      <c r="G60" s="138">
        <v>-999</v>
      </c>
      <c r="H60" s="39">
        <v>-999</v>
      </c>
      <c r="I60" s="138"/>
      <c r="K60" s="138" t="s">
        <v>250</v>
      </c>
      <c r="L60" s="138">
        <v>25</v>
      </c>
    </row>
    <row r="61" spans="3:12" x14ac:dyDescent="0.25">
      <c r="C61" s="138" t="s">
        <v>649</v>
      </c>
      <c r="D61" s="138">
        <v>0</v>
      </c>
      <c r="E61" s="138">
        <v>-999</v>
      </c>
      <c r="F61" s="138">
        <v>-999</v>
      </c>
      <c r="G61" s="138">
        <v>-999</v>
      </c>
      <c r="H61" s="39">
        <v>-999</v>
      </c>
      <c r="I61" s="138"/>
      <c r="K61" s="138" t="s">
        <v>250</v>
      </c>
      <c r="L61" s="138">
        <v>26</v>
      </c>
    </row>
    <row r="62" spans="3:12" x14ac:dyDescent="0.25">
      <c r="C62" s="138" t="s">
        <v>650</v>
      </c>
      <c r="D62" s="138">
        <v>0</v>
      </c>
      <c r="E62">
        <v>-999</v>
      </c>
      <c r="F62">
        <v>-999</v>
      </c>
      <c r="G62">
        <v>-999</v>
      </c>
      <c r="H62">
        <v>-999</v>
      </c>
      <c r="I62" s="138"/>
      <c r="K62" s="138" t="s">
        <v>250</v>
      </c>
      <c r="L62" s="138">
        <v>27</v>
      </c>
    </row>
    <row r="63" spans="3:12" x14ac:dyDescent="0.25">
      <c r="C63" s="138" t="s">
        <v>651</v>
      </c>
      <c r="D63" s="138">
        <v>0</v>
      </c>
      <c r="E63" s="138">
        <v>-999</v>
      </c>
      <c r="F63" s="138">
        <v>-999</v>
      </c>
      <c r="G63" s="138">
        <v>-999</v>
      </c>
      <c r="H63" s="39">
        <v>-999</v>
      </c>
      <c r="I63" s="138"/>
      <c r="K63" s="138" t="s">
        <v>250</v>
      </c>
      <c r="L63" s="138">
        <v>28</v>
      </c>
    </row>
    <row r="64" spans="3:12" x14ac:dyDescent="0.25">
      <c r="C64" s="138" t="s">
        <v>652</v>
      </c>
      <c r="D64" s="138">
        <v>0</v>
      </c>
      <c r="E64" s="138">
        <v>-999</v>
      </c>
      <c r="F64" s="138">
        <v>-999</v>
      </c>
      <c r="G64" s="138">
        <v>-999</v>
      </c>
      <c r="H64" s="39">
        <v>-999</v>
      </c>
      <c r="I64" s="138"/>
      <c r="K64" s="138" t="s">
        <v>250</v>
      </c>
      <c r="L64" s="138">
        <v>29</v>
      </c>
    </row>
    <row r="65" spans="3:12" x14ac:dyDescent="0.25">
      <c r="C65" s="138" t="s">
        <v>653</v>
      </c>
      <c r="D65" s="138">
        <v>0</v>
      </c>
      <c r="E65" s="138">
        <v>-999</v>
      </c>
      <c r="F65" s="138">
        <v>-999</v>
      </c>
      <c r="G65" s="138">
        <v>-999</v>
      </c>
      <c r="H65">
        <v>-999</v>
      </c>
      <c r="I65" s="138"/>
      <c r="K65" s="138" t="s">
        <v>250</v>
      </c>
      <c r="L65" s="138">
        <v>30</v>
      </c>
    </row>
    <row r="66" spans="3:12" x14ac:dyDescent="0.25">
      <c r="C66" s="138" t="s">
        <v>654</v>
      </c>
      <c r="D66" s="138">
        <v>0</v>
      </c>
      <c r="E66" s="138">
        <v>-999</v>
      </c>
      <c r="F66" s="138">
        <v>-999</v>
      </c>
      <c r="G66" s="138">
        <v>-999</v>
      </c>
      <c r="H66">
        <v>-999</v>
      </c>
      <c r="I66" s="138"/>
      <c r="K66" s="138" t="s">
        <v>250</v>
      </c>
      <c r="L66" s="138">
        <v>31</v>
      </c>
    </row>
    <row r="67" spans="3:12" x14ac:dyDescent="0.25">
      <c r="C67" s="138" t="s">
        <v>655</v>
      </c>
      <c r="D67" s="138">
        <v>0</v>
      </c>
      <c r="E67" s="138">
        <v>-999</v>
      </c>
      <c r="F67" s="138">
        <v>-999</v>
      </c>
      <c r="G67" s="138">
        <v>-999</v>
      </c>
      <c r="H67">
        <v>-999</v>
      </c>
      <c r="I67" s="138"/>
      <c r="K67" s="138" t="s">
        <v>250</v>
      </c>
      <c r="L67" s="138">
        <v>32</v>
      </c>
    </row>
    <row r="68" spans="3:12" x14ac:dyDescent="0.25">
      <c r="C68" s="138" t="s">
        <v>656</v>
      </c>
      <c r="D68" s="138">
        <v>0</v>
      </c>
      <c r="E68" s="138">
        <v>-999</v>
      </c>
      <c r="F68" s="138">
        <v>-999</v>
      </c>
      <c r="G68" s="138">
        <v>-999</v>
      </c>
      <c r="H68">
        <v>-999</v>
      </c>
      <c r="I68" s="138"/>
      <c r="K68" s="138" t="s">
        <v>250</v>
      </c>
      <c r="L68" s="138">
        <v>33</v>
      </c>
    </row>
    <row r="69" spans="3:12" x14ac:dyDescent="0.25">
      <c r="C69" s="138" t="s">
        <v>657</v>
      </c>
      <c r="D69" s="138">
        <v>0</v>
      </c>
      <c r="E69" s="138">
        <v>-999</v>
      </c>
      <c r="F69" s="138">
        <v>-999</v>
      </c>
      <c r="G69" s="138">
        <v>-999</v>
      </c>
      <c r="H69">
        <v>-999</v>
      </c>
      <c r="I69" s="138"/>
      <c r="K69" s="138" t="s">
        <v>250</v>
      </c>
      <c r="L69" s="138">
        <v>34</v>
      </c>
    </row>
    <row r="70" spans="3:12" x14ac:dyDescent="0.25">
      <c r="C70" s="138" t="s">
        <v>658</v>
      </c>
      <c r="D70" s="138">
        <v>0</v>
      </c>
      <c r="E70" s="138">
        <v>-999</v>
      </c>
      <c r="F70" s="138">
        <v>-999</v>
      </c>
      <c r="G70" s="138">
        <v>-999</v>
      </c>
      <c r="H70">
        <v>-999</v>
      </c>
      <c r="I70" s="138"/>
      <c r="K70" s="138" t="s">
        <v>250</v>
      </c>
      <c r="L70" s="138">
        <v>37</v>
      </c>
    </row>
    <row r="71" spans="3:12" x14ac:dyDescent="0.25">
      <c r="C71" s="138" t="s">
        <v>659</v>
      </c>
      <c r="D71" s="138">
        <v>0</v>
      </c>
      <c r="E71" s="138">
        <v>-999</v>
      </c>
      <c r="F71" s="138">
        <v>-999</v>
      </c>
      <c r="G71" s="138">
        <v>-999</v>
      </c>
      <c r="H71">
        <v>-999</v>
      </c>
      <c r="I71" s="138"/>
      <c r="K71" s="138" t="s">
        <v>250</v>
      </c>
      <c r="L71" s="138">
        <v>40</v>
      </c>
    </row>
    <row r="72" spans="3:12" s="138" customFormat="1" x14ac:dyDescent="0.25">
      <c r="C72" s="345" t="s">
        <v>934</v>
      </c>
      <c r="D72" s="345">
        <v>0</v>
      </c>
      <c r="E72" s="345">
        <v>-999</v>
      </c>
      <c r="F72" s="345">
        <v>-999</v>
      </c>
      <c r="G72" s="345">
        <v>-999</v>
      </c>
      <c r="H72" s="345">
        <v>-999</v>
      </c>
      <c r="I72" s="345"/>
      <c r="J72" s="345"/>
      <c r="K72" s="345" t="s">
        <v>250</v>
      </c>
      <c r="L72" s="345">
        <v>40</v>
      </c>
    </row>
    <row r="73" spans="3:12" x14ac:dyDescent="0.25">
      <c r="C73" s="138" t="s">
        <v>660</v>
      </c>
      <c r="D73" s="138">
        <v>0</v>
      </c>
      <c r="E73" s="138">
        <v>-999</v>
      </c>
      <c r="F73" s="138">
        <v>-999</v>
      </c>
      <c r="G73" s="138">
        <v>-999</v>
      </c>
      <c r="H73" s="39">
        <v>-999</v>
      </c>
      <c r="I73" s="138"/>
      <c r="K73" s="138" t="s">
        <v>250</v>
      </c>
      <c r="L73" s="138">
        <v>41</v>
      </c>
    </row>
    <row r="74" spans="3:12" x14ac:dyDescent="0.25">
      <c r="C74" s="138" t="s">
        <v>661</v>
      </c>
      <c r="D74" s="138">
        <v>0</v>
      </c>
      <c r="E74" s="138">
        <v>-999</v>
      </c>
      <c r="F74" s="138">
        <v>-999</v>
      </c>
      <c r="G74" s="138">
        <v>-999</v>
      </c>
      <c r="H74" s="39">
        <v>-999</v>
      </c>
      <c r="I74" s="138"/>
      <c r="K74" s="138" t="s">
        <v>250</v>
      </c>
      <c r="L74" s="138">
        <v>42</v>
      </c>
    </row>
    <row r="75" spans="3:12" x14ac:dyDescent="0.25">
      <c r="C75" s="138" t="s">
        <v>662</v>
      </c>
      <c r="D75" s="138">
        <v>0</v>
      </c>
      <c r="E75" s="138">
        <v>-999</v>
      </c>
      <c r="F75" s="138">
        <v>-999</v>
      </c>
      <c r="G75" s="138">
        <v>-999</v>
      </c>
      <c r="H75">
        <v>-999</v>
      </c>
      <c r="I75" s="138"/>
      <c r="K75" s="138" t="s">
        <v>250</v>
      </c>
      <c r="L75" s="138">
        <v>43</v>
      </c>
    </row>
    <row r="76" spans="3:12" x14ac:dyDescent="0.25">
      <c r="C76" s="138" t="s">
        <v>663</v>
      </c>
      <c r="D76" s="138">
        <v>0</v>
      </c>
      <c r="E76" s="138">
        <v>-999</v>
      </c>
      <c r="F76" s="138">
        <v>-999</v>
      </c>
      <c r="G76" s="138">
        <v>-999</v>
      </c>
      <c r="H76" s="39">
        <v>-999</v>
      </c>
      <c r="I76" s="138"/>
      <c r="K76" s="138" t="s">
        <v>250</v>
      </c>
      <c r="L76" s="138">
        <v>44</v>
      </c>
    </row>
    <row r="77" spans="3:12" x14ac:dyDescent="0.25">
      <c r="C77" s="138" t="s">
        <v>664</v>
      </c>
      <c r="D77" s="138">
        <v>0</v>
      </c>
      <c r="E77" s="138">
        <v>-999</v>
      </c>
      <c r="F77" s="138">
        <v>-999</v>
      </c>
      <c r="G77" s="138">
        <v>-999</v>
      </c>
      <c r="H77" s="39">
        <v>-999</v>
      </c>
      <c r="I77" s="138"/>
      <c r="K77" s="138" t="s">
        <v>250</v>
      </c>
      <c r="L77" s="138">
        <v>45</v>
      </c>
    </row>
    <row r="78" spans="3:12" x14ac:dyDescent="0.25">
      <c r="C78" s="138" t="s">
        <v>665</v>
      </c>
      <c r="D78" s="138">
        <v>0</v>
      </c>
      <c r="E78" s="138">
        <v>-999</v>
      </c>
      <c r="F78" s="138">
        <v>-999</v>
      </c>
      <c r="G78" s="138">
        <v>-999</v>
      </c>
      <c r="H78" s="39">
        <v>-999</v>
      </c>
      <c r="I78" s="138"/>
      <c r="K78" s="138" t="s">
        <v>250</v>
      </c>
      <c r="L78" s="138">
        <v>46</v>
      </c>
    </row>
    <row r="79" spans="3:12" s="138" customFormat="1" x14ac:dyDescent="0.25">
      <c r="C79" s="345" t="s">
        <v>935</v>
      </c>
      <c r="D79" s="345">
        <v>0</v>
      </c>
      <c r="E79" s="345">
        <v>-999</v>
      </c>
      <c r="F79" s="345">
        <v>-999</v>
      </c>
      <c r="G79" s="345">
        <v>-999</v>
      </c>
      <c r="H79" s="345">
        <v>-999</v>
      </c>
      <c r="I79" s="345"/>
      <c r="J79" s="345"/>
      <c r="K79" s="345" t="s">
        <v>250</v>
      </c>
      <c r="L79" s="345">
        <v>49</v>
      </c>
    </row>
    <row r="80" spans="3:12" x14ac:dyDescent="0.25">
      <c r="C80" s="138" t="s">
        <v>666</v>
      </c>
      <c r="D80" s="138">
        <v>0</v>
      </c>
      <c r="E80" s="138">
        <v>-999</v>
      </c>
      <c r="F80" s="138">
        <v>-999</v>
      </c>
      <c r="G80" s="138">
        <v>-999</v>
      </c>
      <c r="H80">
        <v>-999</v>
      </c>
      <c r="I80" s="138"/>
      <c r="K80" s="138" t="s">
        <v>250</v>
      </c>
      <c r="L80" s="138">
        <v>53</v>
      </c>
    </row>
    <row r="81" spans="2:12" x14ac:dyDescent="0.25">
      <c r="C81" s="138" t="s">
        <v>667</v>
      </c>
      <c r="D81" s="138">
        <v>0</v>
      </c>
      <c r="E81" s="138">
        <v>-999</v>
      </c>
      <c r="F81" s="138">
        <v>-999</v>
      </c>
      <c r="G81" s="138">
        <v>-999</v>
      </c>
      <c r="H81">
        <v>-999</v>
      </c>
      <c r="I81" s="138"/>
      <c r="K81" s="138" t="s">
        <v>250</v>
      </c>
      <c r="L81" s="138">
        <v>54</v>
      </c>
    </row>
    <row r="82" spans="2:12" x14ac:dyDescent="0.25">
      <c r="C82" s="138" t="s">
        <v>668</v>
      </c>
      <c r="D82" s="138">
        <v>0</v>
      </c>
      <c r="E82" s="138">
        <v>-999</v>
      </c>
      <c r="F82" s="138">
        <v>-999</v>
      </c>
      <c r="G82" s="138">
        <v>-999</v>
      </c>
      <c r="H82" s="39">
        <v>-999</v>
      </c>
      <c r="I82" s="138"/>
      <c r="K82" s="138" t="s">
        <v>250</v>
      </c>
      <c r="L82" s="138">
        <v>55</v>
      </c>
    </row>
    <row r="83" spans="2:12" x14ac:dyDescent="0.25">
      <c r="C83" s="138" t="s">
        <v>669</v>
      </c>
      <c r="D83" s="138">
        <v>0</v>
      </c>
      <c r="E83" s="138">
        <v>-999</v>
      </c>
      <c r="F83" s="138">
        <v>-999</v>
      </c>
      <c r="G83" s="138">
        <v>-999</v>
      </c>
      <c r="H83">
        <v>-999</v>
      </c>
      <c r="I83" s="138"/>
      <c r="K83" s="138" t="s">
        <v>250</v>
      </c>
      <c r="L83" s="138">
        <v>57</v>
      </c>
    </row>
    <row r="84" spans="2:12" x14ac:dyDescent="0.25">
      <c r="B84" t="s">
        <v>245</v>
      </c>
      <c r="K84" s="138"/>
      <c r="L84" s="138"/>
    </row>
  </sheetData>
  <sortState xmlns:xlrd2="http://schemas.microsoft.com/office/spreadsheetml/2017/richdata2" ref="C25:L81">
    <sortCondition descending="1" ref="D25:D8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WorksheetAsCSV">
                <anchor>
                  <from>
                    <xdr:col>3</xdr:col>
                    <xdr:colOff>47625</xdr:colOff>
                    <xdr:row>1</xdr:row>
                    <xdr:rowOff>85725</xdr:rowOff>
                  </from>
                  <to>
                    <xdr:col>5</xdr:col>
                    <xdr:colOff>19050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FFFF00"/>
  </sheetPr>
  <dimension ref="A1:L86"/>
  <sheetViews>
    <sheetView workbookViewId="0">
      <selection activeCell="C85" sqref="C85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4" width="18.28515625" style="138" bestFit="1" customWidth="1"/>
    <col min="5" max="5" width="13.28515625" style="138" customWidth="1"/>
    <col min="6" max="6" width="18.28515625" style="138" bestFit="1" customWidth="1"/>
    <col min="7" max="7" width="18.140625" style="138" bestFit="1" customWidth="1"/>
    <col min="8" max="10" width="9.140625" style="138"/>
    <col min="11" max="11" width="2.7109375" style="138" customWidth="1"/>
    <col min="12" max="16384" width="9.140625" style="138"/>
  </cols>
  <sheetData>
    <row r="1" spans="1:5" x14ac:dyDescent="0.25">
      <c r="A1" s="138" t="s">
        <v>250</v>
      </c>
      <c r="B1" s="138" t="s">
        <v>917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443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/>
      <c r="D9" s="145"/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434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2" x14ac:dyDescent="0.25">
      <c r="A17" s="138" t="s">
        <v>250</v>
      </c>
      <c r="B17" s="138" t="s">
        <v>272</v>
      </c>
    </row>
    <row r="18" spans="1:12" x14ac:dyDescent="0.25">
      <c r="A18" s="138" t="s">
        <v>250</v>
      </c>
      <c r="C18" s="138" t="str">
        <f>C4&amp;"."&amp;E23&amp;"("&amp;C23&amp;"=u:SpaceFunction)"</f>
        <v>TailoredMethodLPA.GenIllum(SpaceFunction=u:SpaceFunction)</v>
      </c>
    </row>
    <row r="19" spans="1:12" x14ac:dyDescent="0.25">
      <c r="A19" s="138" t="s">
        <v>250</v>
      </c>
    </row>
    <row r="20" spans="1:12" x14ac:dyDescent="0.25">
      <c r="A20" s="138" t="s">
        <v>250</v>
      </c>
    </row>
    <row r="21" spans="1:12" x14ac:dyDescent="0.25">
      <c r="A21" s="138" t="s">
        <v>365</v>
      </c>
    </row>
    <row r="22" spans="1:12" x14ac:dyDescent="0.25">
      <c r="B22" s="140" t="str">
        <f>"TABLE "&amp;$C$4</f>
        <v>TABLE TailoredMethodLPA</v>
      </c>
      <c r="C22" s="140"/>
    </row>
    <row r="23" spans="1:12" x14ac:dyDescent="0.25">
      <c r="C23" s="140" t="s">
        <v>435</v>
      </c>
      <c r="D23" s="138" t="s">
        <v>671</v>
      </c>
      <c r="E23" s="141" t="s">
        <v>436</v>
      </c>
      <c r="F23" s="56" t="s">
        <v>437</v>
      </c>
      <c r="G23" s="138" t="s">
        <v>438</v>
      </c>
      <c r="H23" s="138" t="s">
        <v>916</v>
      </c>
    </row>
    <row r="24" spans="1:12" x14ac:dyDescent="0.25">
      <c r="C24" s="138" t="s">
        <v>442</v>
      </c>
      <c r="D24" s="138" t="s">
        <v>632</v>
      </c>
      <c r="E24" s="138" t="s">
        <v>439</v>
      </c>
      <c r="F24" s="138" t="s">
        <v>440</v>
      </c>
      <c r="G24" s="138" t="s">
        <v>441</v>
      </c>
      <c r="H24" s="138" t="s">
        <v>441</v>
      </c>
      <c r="K24" s="138" t="s">
        <v>670</v>
      </c>
    </row>
    <row r="25" spans="1:12" x14ac:dyDescent="0.25">
      <c r="C25" s="138" t="s">
        <v>525</v>
      </c>
      <c r="D25" s="138">
        <v>1</v>
      </c>
      <c r="E25" s="60">
        <v>300</v>
      </c>
      <c r="F25" s="61">
        <v>2.25</v>
      </c>
      <c r="G25" s="59">
        <v>0.3</v>
      </c>
      <c r="H25" s="138">
        <v>0.5</v>
      </c>
      <c r="K25" s="138" t="s">
        <v>250</v>
      </c>
      <c r="L25" s="138">
        <v>1</v>
      </c>
    </row>
    <row r="26" spans="1:12" x14ac:dyDescent="0.25">
      <c r="C26" s="138" t="s">
        <v>526</v>
      </c>
      <c r="D26" s="138">
        <v>1</v>
      </c>
      <c r="E26" s="60">
        <v>300</v>
      </c>
      <c r="F26" s="61">
        <v>3.15</v>
      </c>
      <c r="G26" s="59">
        <v>0.2</v>
      </c>
      <c r="H26" s="138">
        <v>0.5</v>
      </c>
      <c r="K26" s="138" t="s">
        <v>250</v>
      </c>
      <c r="L26" s="138">
        <v>6</v>
      </c>
    </row>
    <row r="27" spans="1:12" x14ac:dyDescent="0.25">
      <c r="C27" s="138" t="s">
        <v>527</v>
      </c>
      <c r="D27" s="138">
        <v>1</v>
      </c>
      <c r="E27" s="60">
        <v>300</v>
      </c>
      <c r="F27" s="62">
        <v>2.5</v>
      </c>
      <c r="G27" s="59">
        <v>0.4</v>
      </c>
      <c r="H27" s="138">
        <v>0.5</v>
      </c>
      <c r="K27" s="138" t="s">
        <v>250</v>
      </c>
      <c r="L27" s="138">
        <v>10</v>
      </c>
    </row>
    <row r="28" spans="1:12" x14ac:dyDescent="0.25">
      <c r="C28" s="138" t="s">
        <v>528</v>
      </c>
      <c r="D28" s="138">
        <v>1</v>
      </c>
      <c r="E28" s="60">
        <v>200</v>
      </c>
      <c r="F28" s="62">
        <v>1.5</v>
      </c>
      <c r="G28" s="59">
        <v>0.6</v>
      </c>
      <c r="H28" s="138">
        <v>0.5</v>
      </c>
      <c r="K28" s="138" t="s">
        <v>250</v>
      </c>
      <c r="L28" s="138">
        <v>12</v>
      </c>
    </row>
    <row r="29" spans="1:12" x14ac:dyDescent="0.25">
      <c r="C29" s="138" t="s">
        <v>529</v>
      </c>
      <c r="D29" s="138">
        <v>1</v>
      </c>
      <c r="E29" s="60">
        <v>150</v>
      </c>
      <c r="F29" s="62">
        <v>15</v>
      </c>
      <c r="G29" s="59">
        <v>1.2</v>
      </c>
      <c r="H29" s="138">
        <v>0.5</v>
      </c>
      <c r="K29" s="138" t="s">
        <v>250</v>
      </c>
      <c r="L29" s="138">
        <v>17</v>
      </c>
    </row>
    <row r="30" spans="1:12" x14ac:dyDescent="0.25">
      <c r="C30" s="138" t="s">
        <v>530</v>
      </c>
      <c r="D30" s="138">
        <v>1</v>
      </c>
      <c r="E30" s="60">
        <v>300</v>
      </c>
      <c r="F30" s="62">
        <v>3.15</v>
      </c>
      <c r="G30" s="59">
        <v>0.2</v>
      </c>
      <c r="H30" s="138">
        <v>0.5</v>
      </c>
      <c r="K30" s="138" t="s">
        <v>250</v>
      </c>
      <c r="L30" s="138">
        <v>18</v>
      </c>
    </row>
    <row r="31" spans="1:12" x14ac:dyDescent="0.25">
      <c r="C31" s="138" t="s">
        <v>531</v>
      </c>
      <c r="D31" s="138">
        <v>1</v>
      </c>
      <c r="E31" s="60">
        <v>500</v>
      </c>
      <c r="F31" s="62">
        <v>8</v>
      </c>
      <c r="G31" s="59">
        <v>0.9</v>
      </c>
      <c r="H31" s="138">
        <v>0.5</v>
      </c>
      <c r="K31" s="138" t="s">
        <v>250</v>
      </c>
      <c r="L31" s="138">
        <v>22</v>
      </c>
    </row>
    <row r="32" spans="1:12" x14ac:dyDescent="0.25">
      <c r="C32" s="138" t="s">
        <v>532</v>
      </c>
      <c r="D32" s="138">
        <v>1</v>
      </c>
      <c r="E32" s="60">
        <v>400</v>
      </c>
      <c r="F32" s="62">
        <v>2.25</v>
      </c>
      <c r="G32" s="59">
        <v>0.2</v>
      </c>
      <c r="H32" s="138">
        <v>0.5</v>
      </c>
      <c r="K32" s="138" t="s">
        <v>250</v>
      </c>
      <c r="L32" s="138">
        <v>24</v>
      </c>
    </row>
    <row r="33" spans="3:12" x14ac:dyDescent="0.25">
      <c r="C33" s="138" t="s">
        <v>533</v>
      </c>
      <c r="D33" s="138">
        <v>1</v>
      </c>
      <c r="E33" s="60">
        <v>200</v>
      </c>
      <c r="F33" s="62">
        <v>3.15</v>
      </c>
      <c r="G33" s="59">
        <v>0.2</v>
      </c>
      <c r="H33" s="138">
        <v>0.5</v>
      </c>
      <c r="K33" s="138" t="s">
        <v>250</v>
      </c>
      <c r="L33" s="138">
        <v>35</v>
      </c>
    </row>
    <row r="34" spans="3:12" x14ac:dyDescent="0.25">
      <c r="C34" s="138" t="s">
        <v>534</v>
      </c>
      <c r="D34" s="138">
        <v>1</v>
      </c>
      <c r="E34" s="60">
        <v>200</v>
      </c>
      <c r="F34" s="62">
        <v>0</v>
      </c>
      <c r="G34" s="59">
        <v>0.2</v>
      </c>
      <c r="H34" s="138">
        <v>0</v>
      </c>
      <c r="K34" s="138" t="s">
        <v>250</v>
      </c>
      <c r="L34" s="138">
        <v>36</v>
      </c>
    </row>
    <row r="35" spans="3:12" x14ac:dyDescent="0.25">
      <c r="C35" s="138" t="s">
        <v>535</v>
      </c>
      <c r="D35" s="138">
        <v>1</v>
      </c>
      <c r="E35" s="60">
        <v>200</v>
      </c>
      <c r="F35" s="62">
        <v>7</v>
      </c>
      <c r="G35" s="59">
        <v>0</v>
      </c>
      <c r="H35" s="138">
        <v>0.5</v>
      </c>
      <c r="K35" s="138" t="s">
        <v>250</v>
      </c>
      <c r="L35" s="138">
        <v>38</v>
      </c>
    </row>
    <row r="36" spans="3:12" x14ac:dyDescent="0.25">
      <c r="C36" s="138" t="s">
        <v>536</v>
      </c>
      <c r="D36" s="138">
        <v>1</v>
      </c>
      <c r="E36" s="60">
        <v>300</v>
      </c>
      <c r="F36" s="62">
        <v>3.5</v>
      </c>
      <c r="G36" s="59">
        <v>0.5</v>
      </c>
      <c r="H36" s="138">
        <v>0.5</v>
      </c>
      <c r="K36" s="138" t="s">
        <v>250</v>
      </c>
      <c r="L36" s="138">
        <v>39</v>
      </c>
    </row>
    <row r="37" spans="3:12" x14ac:dyDescent="0.25">
      <c r="C37" s="138" t="s">
        <v>537</v>
      </c>
      <c r="D37" s="138">
        <v>1</v>
      </c>
      <c r="E37" s="60">
        <v>300</v>
      </c>
      <c r="F37" s="62">
        <v>1.5</v>
      </c>
      <c r="G37" s="59">
        <v>0.5</v>
      </c>
      <c r="H37" s="138">
        <v>0.5</v>
      </c>
      <c r="K37" s="138" t="s">
        <v>250</v>
      </c>
      <c r="L37" s="138">
        <v>47</v>
      </c>
    </row>
    <row r="38" spans="3:12" x14ac:dyDescent="0.25">
      <c r="C38" s="138" t="s">
        <v>538</v>
      </c>
      <c r="D38" s="138">
        <v>1</v>
      </c>
      <c r="E38" s="60">
        <v>400</v>
      </c>
      <c r="F38" s="62">
        <v>14</v>
      </c>
      <c r="G38" s="59">
        <v>1</v>
      </c>
      <c r="H38" s="138">
        <v>0.5</v>
      </c>
      <c r="K38" s="138" t="s">
        <v>250</v>
      </c>
      <c r="L38" s="138">
        <v>48</v>
      </c>
    </row>
    <row r="39" spans="3:12" x14ac:dyDescent="0.25">
      <c r="C39" s="138" t="s">
        <v>539</v>
      </c>
      <c r="D39" s="138">
        <v>1</v>
      </c>
      <c r="E39" s="60">
        <v>200</v>
      </c>
      <c r="F39" s="62">
        <v>3</v>
      </c>
      <c r="G39" s="59">
        <v>0</v>
      </c>
      <c r="H39" s="138">
        <v>0.5</v>
      </c>
      <c r="K39" s="138" t="s">
        <v>250</v>
      </c>
      <c r="L39" s="138">
        <v>50</v>
      </c>
    </row>
    <row r="40" spans="3:12" x14ac:dyDescent="0.25">
      <c r="C40" s="138" t="s">
        <v>540</v>
      </c>
      <c r="D40" s="138">
        <v>1</v>
      </c>
      <c r="E40" s="60">
        <v>200</v>
      </c>
      <c r="F40" s="62">
        <v>6</v>
      </c>
      <c r="G40" s="59">
        <v>0</v>
      </c>
      <c r="H40" s="138">
        <v>0.5</v>
      </c>
      <c r="K40" s="138" t="s">
        <v>250</v>
      </c>
      <c r="L40" s="138">
        <v>51</v>
      </c>
    </row>
    <row r="41" spans="3:12" x14ac:dyDescent="0.25">
      <c r="C41" s="138" t="s">
        <v>541</v>
      </c>
      <c r="D41" s="138">
        <v>1</v>
      </c>
      <c r="E41" s="60">
        <v>300</v>
      </c>
      <c r="F41" s="62">
        <v>3.15</v>
      </c>
      <c r="G41" s="59">
        <v>0.3</v>
      </c>
      <c r="H41" s="138">
        <v>0.5</v>
      </c>
      <c r="K41" s="138" t="s">
        <v>250</v>
      </c>
      <c r="L41" s="138">
        <v>52</v>
      </c>
    </row>
    <row r="42" spans="3:12" x14ac:dyDescent="0.25">
      <c r="C42" s="138" t="s">
        <v>914</v>
      </c>
      <c r="D42" s="138">
        <v>1</v>
      </c>
      <c r="E42" s="60">
        <v>300</v>
      </c>
      <c r="F42" s="62">
        <v>3.15</v>
      </c>
      <c r="G42" s="59">
        <v>0.3</v>
      </c>
      <c r="H42" s="138">
        <v>0.5</v>
      </c>
      <c r="K42" s="138" t="s">
        <v>250</v>
      </c>
      <c r="L42" s="138">
        <v>53</v>
      </c>
    </row>
    <row r="43" spans="3:12" x14ac:dyDescent="0.25">
      <c r="C43" s="138" t="s">
        <v>915</v>
      </c>
      <c r="D43" s="138">
        <v>1</v>
      </c>
      <c r="E43" s="60">
        <v>300</v>
      </c>
      <c r="F43" s="62">
        <v>3.15</v>
      </c>
      <c r="G43" s="59">
        <v>0.3</v>
      </c>
      <c r="H43" s="138">
        <v>0.5</v>
      </c>
      <c r="K43" s="138" t="s">
        <v>250</v>
      </c>
      <c r="L43" s="138">
        <v>54</v>
      </c>
    </row>
    <row r="44" spans="3:12" x14ac:dyDescent="0.25">
      <c r="C44" s="138" t="s">
        <v>542</v>
      </c>
      <c r="D44" s="138">
        <v>1</v>
      </c>
      <c r="E44" s="60">
        <v>300</v>
      </c>
      <c r="F44" s="62">
        <v>3.15</v>
      </c>
      <c r="G44" s="59">
        <v>0.2</v>
      </c>
      <c r="H44" s="138">
        <v>0.5</v>
      </c>
      <c r="K44" s="138" t="s">
        <v>250</v>
      </c>
      <c r="L44" s="138">
        <v>58</v>
      </c>
    </row>
    <row r="45" spans="3:12" x14ac:dyDescent="0.25">
      <c r="C45" s="138" t="s">
        <v>633</v>
      </c>
      <c r="D45" s="138">
        <v>0</v>
      </c>
      <c r="E45" s="138">
        <v>-999</v>
      </c>
      <c r="F45" s="138">
        <v>-999</v>
      </c>
      <c r="G45" s="138">
        <v>-999</v>
      </c>
      <c r="H45" s="138">
        <v>-999</v>
      </c>
      <c r="K45" s="138" t="s">
        <v>250</v>
      </c>
      <c r="L45" s="138">
        <v>2</v>
      </c>
    </row>
    <row r="46" spans="3:12" x14ac:dyDescent="0.25">
      <c r="C46" s="138" t="s">
        <v>634</v>
      </c>
      <c r="D46" s="138">
        <v>0</v>
      </c>
      <c r="E46" s="138">
        <v>-999</v>
      </c>
      <c r="F46" s="138">
        <v>-999</v>
      </c>
      <c r="G46" s="138">
        <v>-999</v>
      </c>
      <c r="H46" s="138">
        <v>-999</v>
      </c>
      <c r="K46" s="138" t="s">
        <v>250</v>
      </c>
      <c r="L46" s="138">
        <v>3</v>
      </c>
    </row>
    <row r="47" spans="3:12" x14ac:dyDescent="0.25">
      <c r="C47" s="138" t="s">
        <v>635</v>
      </c>
      <c r="D47" s="138">
        <v>0</v>
      </c>
      <c r="E47" s="138">
        <v>-999</v>
      </c>
      <c r="F47" s="138">
        <v>-999</v>
      </c>
      <c r="G47" s="138">
        <v>-999</v>
      </c>
      <c r="H47" s="138">
        <v>-999</v>
      </c>
      <c r="K47" s="138" t="s">
        <v>250</v>
      </c>
      <c r="L47" s="138">
        <v>4</v>
      </c>
    </row>
    <row r="48" spans="3:12" x14ac:dyDescent="0.25">
      <c r="C48" s="138" t="s">
        <v>636</v>
      </c>
      <c r="D48" s="138">
        <v>0</v>
      </c>
      <c r="E48" s="138">
        <v>-999</v>
      </c>
      <c r="F48" s="138">
        <v>-999</v>
      </c>
      <c r="G48" s="138">
        <v>-999</v>
      </c>
      <c r="H48" s="138">
        <v>-999</v>
      </c>
      <c r="K48" s="138" t="s">
        <v>250</v>
      </c>
      <c r="L48" s="138">
        <v>5</v>
      </c>
    </row>
    <row r="49" spans="3:12" x14ac:dyDescent="0.25">
      <c r="C49" s="138" t="s">
        <v>637</v>
      </c>
      <c r="D49" s="138">
        <v>0</v>
      </c>
      <c r="E49" s="138">
        <v>-999</v>
      </c>
      <c r="F49" s="138">
        <v>-999</v>
      </c>
      <c r="G49" s="138">
        <v>-999</v>
      </c>
      <c r="H49" s="138">
        <v>-999</v>
      </c>
      <c r="K49" s="138" t="s">
        <v>250</v>
      </c>
      <c r="L49" s="138">
        <v>7</v>
      </c>
    </row>
    <row r="50" spans="3:12" x14ac:dyDescent="0.25">
      <c r="C50" s="138" t="s">
        <v>638</v>
      </c>
      <c r="D50" s="138">
        <v>0</v>
      </c>
      <c r="E50" s="138">
        <v>-999</v>
      </c>
      <c r="F50" s="138">
        <v>-999</v>
      </c>
      <c r="G50" s="138">
        <v>-999</v>
      </c>
      <c r="H50" s="138">
        <v>-999</v>
      </c>
      <c r="K50" s="138" t="s">
        <v>250</v>
      </c>
      <c r="L50" s="138">
        <v>8</v>
      </c>
    </row>
    <row r="51" spans="3:12" x14ac:dyDescent="0.25">
      <c r="C51" s="138" t="s">
        <v>639</v>
      </c>
      <c r="D51" s="138">
        <v>0</v>
      </c>
      <c r="E51" s="138">
        <v>-999</v>
      </c>
      <c r="F51" s="138">
        <v>-999</v>
      </c>
      <c r="G51" s="138">
        <v>-999</v>
      </c>
      <c r="H51" s="138">
        <v>-999</v>
      </c>
      <c r="K51" s="138" t="s">
        <v>250</v>
      </c>
      <c r="L51" s="138">
        <v>9</v>
      </c>
    </row>
    <row r="52" spans="3:12" x14ac:dyDescent="0.25">
      <c r="C52" s="138" t="s">
        <v>640</v>
      </c>
      <c r="D52" s="138">
        <v>0</v>
      </c>
      <c r="E52" s="138">
        <v>-999</v>
      </c>
      <c r="F52" s="138">
        <v>-999</v>
      </c>
      <c r="G52" s="138">
        <v>-999</v>
      </c>
      <c r="H52" s="138">
        <v>-999</v>
      </c>
      <c r="K52" s="138" t="s">
        <v>250</v>
      </c>
      <c r="L52" s="138">
        <v>11</v>
      </c>
    </row>
    <row r="53" spans="3:12" x14ac:dyDescent="0.25">
      <c r="C53" s="138" t="s">
        <v>641</v>
      </c>
      <c r="D53" s="138">
        <v>0</v>
      </c>
      <c r="E53" s="138">
        <v>-999</v>
      </c>
      <c r="F53" s="138">
        <v>-999</v>
      </c>
      <c r="G53" s="138">
        <v>-999</v>
      </c>
      <c r="H53" s="138">
        <v>-999</v>
      </c>
      <c r="K53" s="138" t="s">
        <v>250</v>
      </c>
      <c r="L53" s="138">
        <v>13</v>
      </c>
    </row>
    <row r="54" spans="3:12" x14ac:dyDescent="0.25">
      <c r="C54" s="138" t="s">
        <v>642</v>
      </c>
      <c r="D54" s="138">
        <v>0</v>
      </c>
      <c r="E54" s="138">
        <v>-999</v>
      </c>
      <c r="F54" s="138">
        <v>-999</v>
      </c>
      <c r="G54" s="138">
        <v>-999</v>
      </c>
      <c r="H54" s="138">
        <v>-999</v>
      </c>
      <c r="K54" s="138" t="s">
        <v>250</v>
      </c>
      <c r="L54" s="138">
        <v>14</v>
      </c>
    </row>
    <row r="55" spans="3:12" x14ac:dyDescent="0.25">
      <c r="C55" s="138" t="s">
        <v>643</v>
      </c>
      <c r="D55" s="138">
        <v>0</v>
      </c>
      <c r="E55" s="138">
        <v>-999</v>
      </c>
      <c r="F55" s="138">
        <v>-999</v>
      </c>
      <c r="G55" s="138">
        <v>-999</v>
      </c>
      <c r="H55" s="138">
        <v>-999</v>
      </c>
      <c r="K55" s="138" t="s">
        <v>250</v>
      </c>
      <c r="L55" s="138">
        <v>15</v>
      </c>
    </row>
    <row r="56" spans="3:12" x14ac:dyDescent="0.25">
      <c r="C56" s="138" t="s">
        <v>932</v>
      </c>
      <c r="D56" s="138">
        <v>0</v>
      </c>
      <c r="E56" s="138">
        <v>-999</v>
      </c>
      <c r="F56" s="138">
        <v>-999</v>
      </c>
      <c r="G56" s="138">
        <v>-999</v>
      </c>
      <c r="H56" s="138">
        <v>-999</v>
      </c>
      <c r="K56" s="138" t="s">
        <v>250</v>
      </c>
      <c r="L56" s="138">
        <v>16</v>
      </c>
    </row>
    <row r="57" spans="3:12" x14ac:dyDescent="0.25">
      <c r="C57" s="138" t="s">
        <v>644</v>
      </c>
      <c r="D57" s="138">
        <v>0</v>
      </c>
      <c r="E57" s="138">
        <v>-999</v>
      </c>
      <c r="F57" s="138">
        <v>-999</v>
      </c>
      <c r="G57" s="138">
        <v>-999</v>
      </c>
      <c r="H57" s="138">
        <v>-999</v>
      </c>
      <c r="K57" s="138" t="s">
        <v>250</v>
      </c>
      <c r="L57" s="138">
        <v>19</v>
      </c>
    </row>
    <row r="58" spans="3:12" x14ac:dyDescent="0.25">
      <c r="C58" s="138" t="s">
        <v>645</v>
      </c>
      <c r="D58" s="138">
        <v>0</v>
      </c>
      <c r="E58" s="138">
        <v>-999</v>
      </c>
      <c r="F58" s="138">
        <v>-999</v>
      </c>
      <c r="G58" s="138">
        <v>-999</v>
      </c>
      <c r="H58" s="138">
        <v>-999</v>
      </c>
      <c r="K58" s="138" t="s">
        <v>250</v>
      </c>
      <c r="L58" s="138">
        <v>20</v>
      </c>
    </row>
    <row r="59" spans="3:12" x14ac:dyDescent="0.25">
      <c r="C59" s="138" t="s">
        <v>646</v>
      </c>
      <c r="D59" s="138">
        <v>0</v>
      </c>
      <c r="E59" s="138">
        <v>-999</v>
      </c>
      <c r="F59" s="138">
        <v>-999</v>
      </c>
      <c r="G59" s="138">
        <v>-999</v>
      </c>
      <c r="H59" s="138">
        <v>-999</v>
      </c>
      <c r="K59" s="138" t="s">
        <v>250</v>
      </c>
      <c r="L59" s="138">
        <v>21</v>
      </c>
    </row>
    <row r="60" spans="3:12" x14ac:dyDescent="0.25">
      <c r="C60" s="345" t="s">
        <v>933</v>
      </c>
      <c r="D60" s="345">
        <v>0</v>
      </c>
      <c r="E60" s="345">
        <v>-999</v>
      </c>
      <c r="F60" s="345">
        <v>-999</v>
      </c>
      <c r="G60" s="345">
        <v>-999</v>
      </c>
      <c r="H60" s="345">
        <v>-999</v>
      </c>
      <c r="I60" s="345"/>
      <c r="J60" s="345"/>
      <c r="K60" s="345" t="s">
        <v>250</v>
      </c>
      <c r="L60" s="345">
        <v>21</v>
      </c>
    </row>
    <row r="61" spans="3:12" x14ac:dyDescent="0.25">
      <c r="C61" s="138" t="s">
        <v>647</v>
      </c>
      <c r="D61" s="138">
        <v>0</v>
      </c>
      <c r="E61" s="138">
        <v>-999</v>
      </c>
      <c r="F61" s="138">
        <v>-999</v>
      </c>
      <c r="G61" s="138">
        <v>-999</v>
      </c>
      <c r="H61" s="138">
        <v>-999</v>
      </c>
      <c r="K61" s="138" t="s">
        <v>250</v>
      </c>
      <c r="L61" s="138">
        <v>23</v>
      </c>
    </row>
    <row r="62" spans="3:12" x14ac:dyDescent="0.25">
      <c r="C62" s="138" t="s">
        <v>648</v>
      </c>
      <c r="D62" s="138">
        <v>0</v>
      </c>
      <c r="E62" s="138">
        <v>-999</v>
      </c>
      <c r="F62" s="138">
        <v>-999</v>
      </c>
      <c r="G62" s="138">
        <v>-999</v>
      </c>
      <c r="H62" s="138">
        <v>-999</v>
      </c>
      <c r="K62" s="138" t="s">
        <v>250</v>
      </c>
      <c r="L62" s="138">
        <v>25</v>
      </c>
    </row>
    <row r="63" spans="3:12" x14ac:dyDescent="0.25">
      <c r="C63" s="138" t="s">
        <v>649</v>
      </c>
      <c r="D63" s="138">
        <v>0</v>
      </c>
      <c r="E63" s="138">
        <v>-999</v>
      </c>
      <c r="F63" s="138">
        <v>-999</v>
      </c>
      <c r="G63" s="138">
        <v>-999</v>
      </c>
      <c r="H63" s="138">
        <v>-999</v>
      </c>
      <c r="K63" s="138" t="s">
        <v>250</v>
      </c>
      <c r="L63" s="138">
        <v>26</v>
      </c>
    </row>
    <row r="64" spans="3:12" x14ac:dyDescent="0.25">
      <c r="C64" s="138" t="s">
        <v>650</v>
      </c>
      <c r="D64" s="138">
        <v>0</v>
      </c>
      <c r="E64" s="138">
        <v>-999</v>
      </c>
      <c r="F64" s="138">
        <v>-999</v>
      </c>
      <c r="G64" s="138">
        <v>-999</v>
      </c>
      <c r="H64" s="138">
        <v>-999</v>
      </c>
      <c r="K64" s="138" t="s">
        <v>250</v>
      </c>
      <c r="L64" s="138">
        <v>27</v>
      </c>
    </row>
    <row r="65" spans="3:12" x14ac:dyDescent="0.25">
      <c r="C65" s="138" t="s">
        <v>651</v>
      </c>
      <c r="D65" s="138">
        <v>0</v>
      </c>
      <c r="E65" s="138">
        <v>-999</v>
      </c>
      <c r="F65" s="138">
        <v>-999</v>
      </c>
      <c r="G65" s="138">
        <v>-999</v>
      </c>
      <c r="H65" s="138">
        <v>-999</v>
      </c>
      <c r="K65" s="138" t="s">
        <v>250</v>
      </c>
      <c r="L65" s="138">
        <v>28</v>
      </c>
    </row>
    <row r="66" spans="3:12" x14ac:dyDescent="0.25">
      <c r="C66" s="138" t="s">
        <v>652</v>
      </c>
      <c r="D66" s="138">
        <v>0</v>
      </c>
      <c r="E66" s="138">
        <v>-999</v>
      </c>
      <c r="F66" s="138">
        <v>-999</v>
      </c>
      <c r="G66" s="138">
        <v>-999</v>
      </c>
      <c r="H66" s="138">
        <v>-999</v>
      </c>
      <c r="K66" s="138" t="s">
        <v>250</v>
      </c>
      <c r="L66" s="138">
        <v>29</v>
      </c>
    </row>
    <row r="67" spans="3:12" x14ac:dyDescent="0.25">
      <c r="C67" s="138" t="s">
        <v>653</v>
      </c>
      <c r="D67" s="138">
        <v>0</v>
      </c>
      <c r="E67" s="138">
        <v>-999</v>
      </c>
      <c r="F67" s="138">
        <v>-999</v>
      </c>
      <c r="G67" s="138">
        <v>-999</v>
      </c>
      <c r="H67" s="138">
        <v>-999</v>
      </c>
      <c r="K67" s="138" t="s">
        <v>250</v>
      </c>
      <c r="L67" s="138">
        <v>30</v>
      </c>
    </row>
    <row r="68" spans="3:12" x14ac:dyDescent="0.25">
      <c r="C68" s="138" t="s">
        <v>654</v>
      </c>
      <c r="D68" s="138">
        <v>0</v>
      </c>
      <c r="E68" s="138">
        <v>-999</v>
      </c>
      <c r="F68" s="138">
        <v>-999</v>
      </c>
      <c r="G68" s="138">
        <v>-999</v>
      </c>
      <c r="H68" s="138">
        <v>-999</v>
      </c>
      <c r="K68" s="138" t="s">
        <v>250</v>
      </c>
      <c r="L68" s="138">
        <v>31</v>
      </c>
    </row>
    <row r="69" spans="3:12" x14ac:dyDescent="0.25">
      <c r="C69" s="138" t="s">
        <v>655</v>
      </c>
      <c r="D69" s="138">
        <v>0</v>
      </c>
      <c r="E69" s="138">
        <v>-999</v>
      </c>
      <c r="F69" s="138">
        <v>-999</v>
      </c>
      <c r="G69" s="138">
        <v>-999</v>
      </c>
      <c r="H69" s="138">
        <v>-999</v>
      </c>
      <c r="K69" s="138" t="s">
        <v>250</v>
      </c>
      <c r="L69" s="138">
        <v>32</v>
      </c>
    </row>
    <row r="70" spans="3:12" x14ac:dyDescent="0.25">
      <c r="C70" s="138" t="s">
        <v>656</v>
      </c>
      <c r="D70" s="138">
        <v>0</v>
      </c>
      <c r="E70" s="138">
        <v>-999</v>
      </c>
      <c r="F70" s="138">
        <v>-999</v>
      </c>
      <c r="G70" s="138">
        <v>-999</v>
      </c>
      <c r="H70" s="138">
        <v>-999</v>
      </c>
      <c r="K70" s="138" t="s">
        <v>250</v>
      </c>
      <c r="L70" s="138">
        <v>33</v>
      </c>
    </row>
    <row r="71" spans="3:12" x14ac:dyDescent="0.25">
      <c r="C71" s="138" t="s">
        <v>657</v>
      </c>
      <c r="D71" s="138">
        <v>0</v>
      </c>
      <c r="E71" s="138">
        <v>-999</v>
      </c>
      <c r="F71" s="138">
        <v>-999</v>
      </c>
      <c r="G71" s="138">
        <v>-999</v>
      </c>
      <c r="H71" s="138">
        <v>-999</v>
      </c>
      <c r="K71" s="138" t="s">
        <v>250</v>
      </c>
      <c r="L71" s="138">
        <v>34</v>
      </c>
    </row>
    <row r="72" spans="3:12" x14ac:dyDescent="0.25">
      <c r="C72" s="138" t="s">
        <v>658</v>
      </c>
      <c r="D72" s="138">
        <v>0</v>
      </c>
      <c r="E72" s="138">
        <v>-999</v>
      </c>
      <c r="F72" s="138">
        <v>-999</v>
      </c>
      <c r="G72" s="138">
        <v>-999</v>
      </c>
      <c r="H72" s="138">
        <v>-999</v>
      </c>
      <c r="K72" s="138" t="s">
        <v>250</v>
      </c>
      <c r="L72" s="138">
        <v>37</v>
      </c>
    </row>
    <row r="73" spans="3:12" x14ac:dyDescent="0.25">
      <c r="C73" s="138" t="s">
        <v>659</v>
      </c>
      <c r="D73" s="138">
        <v>0</v>
      </c>
      <c r="E73" s="138">
        <v>-999</v>
      </c>
      <c r="F73" s="138">
        <v>-999</v>
      </c>
      <c r="G73" s="138">
        <v>-999</v>
      </c>
      <c r="H73" s="138">
        <v>-999</v>
      </c>
      <c r="K73" s="138" t="s">
        <v>250</v>
      </c>
      <c r="L73" s="138">
        <v>40</v>
      </c>
    </row>
    <row r="74" spans="3:12" x14ac:dyDescent="0.25">
      <c r="C74" s="345" t="s">
        <v>934</v>
      </c>
      <c r="D74" s="345">
        <v>0</v>
      </c>
      <c r="E74" s="345">
        <v>-999</v>
      </c>
      <c r="F74" s="345">
        <v>-999</v>
      </c>
      <c r="G74" s="345">
        <v>-999</v>
      </c>
      <c r="H74" s="345">
        <v>-999</v>
      </c>
      <c r="I74" s="345"/>
      <c r="J74" s="345"/>
      <c r="K74" s="345" t="s">
        <v>250</v>
      </c>
      <c r="L74" s="345">
        <v>40</v>
      </c>
    </row>
    <row r="75" spans="3:12" x14ac:dyDescent="0.25">
      <c r="C75" s="138" t="s">
        <v>660</v>
      </c>
      <c r="D75" s="138">
        <v>0</v>
      </c>
      <c r="E75" s="138">
        <v>-999</v>
      </c>
      <c r="F75" s="138">
        <v>-999</v>
      </c>
      <c r="G75" s="138">
        <v>-999</v>
      </c>
      <c r="H75" s="138">
        <v>-999</v>
      </c>
      <c r="K75" s="138" t="s">
        <v>250</v>
      </c>
      <c r="L75" s="138">
        <v>41</v>
      </c>
    </row>
    <row r="76" spans="3:12" x14ac:dyDescent="0.25">
      <c r="C76" s="138" t="s">
        <v>661</v>
      </c>
      <c r="D76" s="138">
        <v>0</v>
      </c>
      <c r="E76" s="138">
        <v>-999</v>
      </c>
      <c r="F76" s="138">
        <v>-999</v>
      </c>
      <c r="G76" s="138">
        <v>-999</v>
      </c>
      <c r="H76" s="138">
        <v>-999</v>
      </c>
      <c r="K76" s="138" t="s">
        <v>250</v>
      </c>
      <c r="L76" s="138">
        <v>42</v>
      </c>
    </row>
    <row r="77" spans="3:12" x14ac:dyDescent="0.25">
      <c r="C77" s="138" t="s">
        <v>662</v>
      </c>
      <c r="D77" s="138">
        <v>0</v>
      </c>
      <c r="E77" s="138">
        <v>-999</v>
      </c>
      <c r="F77" s="138">
        <v>-999</v>
      </c>
      <c r="G77" s="138">
        <v>-999</v>
      </c>
      <c r="H77" s="138">
        <v>-999</v>
      </c>
      <c r="K77" s="138" t="s">
        <v>250</v>
      </c>
      <c r="L77" s="138">
        <v>43</v>
      </c>
    </row>
    <row r="78" spans="3:12" x14ac:dyDescent="0.25">
      <c r="C78" s="138" t="s">
        <v>663</v>
      </c>
      <c r="D78" s="138">
        <v>0</v>
      </c>
      <c r="E78" s="138">
        <v>-999</v>
      </c>
      <c r="F78" s="138">
        <v>-999</v>
      </c>
      <c r="G78" s="138">
        <v>-999</v>
      </c>
      <c r="H78" s="138">
        <v>-999</v>
      </c>
      <c r="K78" s="138" t="s">
        <v>250</v>
      </c>
      <c r="L78" s="138">
        <v>44</v>
      </c>
    </row>
    <row r="79" spans="3:12" x14ac:dyDescent="0.25">
      <c r="C79" s="138" t="s">
        <v>664</v>
      </c>
      <c r="D79" s="138">
        <v>0</v>
      </c>
      <c r="E79" s="138">
        <v>-999</v>
      </c>
      <c r="F79" s="138">
        <v>-999</v>
      </c>
      <c r="G79" s="138">
        <v>-999</v>
      </c>
      <c r="H79" s="138">
        <v>-999</v>
      </c>
      <c r="K79" s="138" t="s">
        <v>250</v>
      </c>
      <c r="L79" s="138">
        <v>45</v>
      </c>
    </row>
    <row r="80" spans="3:12" x14ac:dyDescent="0.25">
      <c r="C80" s="138" t="s">
        <v>665</v>
      </c>
      <c r="D80" s="138">
        <v>0</v>
      </c>
      <c r="E80" s="138">
        <v>-999</v>
      </c>
      <c r="F80" s="138">
        <v>-999</v>
      </c>
      <c r="G80" s="138">
        <v>-999</v>
      </c>
      <c r="H80" s="138">
        <v>-999</v>
      </c>
      <c r="K80" s="138" t="s">
        <v>250</v>
      </c>
      <c r="L80" s="138">
        <v>46</v>
      </c>
    </row>
    <row r="81" spans="2:12" x14ac:dyDescent="0.25">
      <c r="C81" s="345" t="s">
        <v>935</v>
      </c>
      <c r="D81" s="345">
        <v>0</v>
      </c>
      <c r="E81" s="345">
        <v>-999</v>
      </c>
      <c r="F81" s="345">
        <v>-999</v>
      </c>
      <c r="G81" s="345">
        <v>-999</v>
      </c>
      <c r="H81" s="345">
        <v>-999</v>
      </c>
      <c r="I81" s="345"/>
      <c r="J81" s="345"/>
      <c r="K81" s="345" t="s">
        <v>250</v>
      </c>
      <c r="L81" s="345">
        <v>49</v>
      </c>
    </row>
    <row r="82" spans="2:12" x14ac:dyDescent="0.25">
      <c r="C82" s="138" t="s">
        <v>666</v>
      </c>
      <c r="D82" s="138">
        <v>0</v>
      </c>
      <c r="E82" s="138">
        <v>-999</v>
      </c>
      <c r="F82" s="138">
        <v>-999</v>
      </c>
      <c r="G82" s="138">
        <v>-999</v>
      </c>
      <c r="H82" s="138">
        <v>-999</v>
      </c>
      <c r="K82" s="138" t="s">
        <v>250</v>
      </c>
      <c r="L82" s="138">
        <v>55</v>
      </c>
    </row>
    <row r="83" spans="2:12" x14ac:dyDescent="0.25">
      <c r="C83" s="138" t="s">
        <v>667</v>
      </c>
      <c r="D83" s="138">
        <v>0</v>
      </c>
      <c r="E83" s="138">
        <v>-999</v>
      </c>
      <c r="F83" s="138">
        <v>-999</v>
      </c>
      <c r="G83" s="138">
        <v>-999</v>
      </c>
      <c r="H83" s="138">
        <v>-999</v>
      </c>
      <c r="K83" s="138" t="s">
        <v>250</v>
      </c>
      <c r="L83" s="138">
        <v>56</v>
      </c>
    </row>
    <row r="84" spans="2:12" x14ac:dyDescent="0.25">
      <c r="C84" s="138" t="s">
        <v>668</v>
      </c>
      <c r="D84" s="138">
        <v>0</v>
      </c>
      <c r="E84" s="138">
        <v>-999</v>
      </c>
      <c r="F84" s="138">
        <v>-999</v>
      </c>
      <c r="G84" s="138">
        <v>-999</v>
      </c>
      <c r="H84" s="138">
        <v>-999</v>
      </c>
      <c r="K84" s="138" t="s">
        <v>250</v>
      </c>
      <c r="L84" s="138">
        <v>57</v>
      </c>
    </row>
    <row r="85" spans="2:12" x14ac:dyDescent="0.25">
      <c r="C85" s="138" t="s">
        <v>1034</v>
      </c>
      <c r="D85" s="138">
        <v>0</v>
      </c>
      <c r="E85" s="138">
        <v>-999</v>
      </c>
      <c r="F85" s="138">
        <v>-999</v>
      </c>
      <c r="G85" s="138">
        <v>-999</v>
      </c>
      <c r="H85" s="138">
        <v>-999</v>
      </c>
      <c r="K85" s="138" t="s">
        <v>250</v>
      </c>
      <c r="L85" s="138">
        <v>59</v>
      </c>
    </row>
    <row r="86" spans="2:12" x14ac:dyDescent="0.25">
      <c r="B86" s="138" t="s">
        <v>245</v>
      </c>
    </row>
  </sheetData>
  <sortState xmlns:xlrd2="http://schemas.microsoft.com/office/spreadsheetml/2017/richdata2" ref="C25:L83">
    <sortCondition descending="1" ref="D25:D83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57150</xdr:rowOff>
                  </from>
                  <to>
                    <xdr:col>4</xdr:col>
                    <xdr:colOff>695325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703F1-6999-405B-8778-FB1A54113550}">
  <sheetPr codeName="Sheet34">
    <tabColor rgb="FFFFFF00"/>
  </sheetPr>
  <dimension ref="A1:L109"/>
  <sheetViews>
    <sheetView topLeftCell="A7" workbookViewId="0">
      <selection activeCell="C39" sqref="C39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4" width="18.28515625" style="138" bestFit="1" customWidth="1"/>
    <col min="5" max="5" width="13.28515625" style="138" customWidth="1"/>
    <col min="6" max="6" width="18.28515625" style="138" bestFit="1" customWidth="1"/>
    <col min="7" max="7" width="18.140625" style="138" bestFit="1" customWidth="1"/>
    <col min="8" max="10" width="9.140625" style="138"/>
    <col min="11" max="11" width="2.7109375" style="138" customWidth="1"/>
    <col min="12" max="16384" width="9.140625" style="138"/>
  </cols>
  <sheetData>
    <row r="1" spans="1:5" x14ac:dyDescent="0.25">
      <c r="A1" s="138" t="s">
        <v>250</v>
      </c>
      <c r="B1" s="138" t="s">
        <v>917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443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>
        <v>43082</v>
      </c>
      <c r="D9" s="145" t="s">
        <v>410</v>
      </c>
      <c r="E9" s="138" t="s">
        <v>982</v>
      </c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434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2" x14ac:dyDescent="0.25">
      <c r="A17" s="138" t="s">
        <v>250</v>
      </c>
      <c r="B17" s="138" t="s">
        <v>272</v>
      </c>
    </row>
    <row r="18" spans="1:12" x14ac:dyDescent="0.25">
      <c r="A18" s="138" t="s">
        <v>250</v>
      </c>
      <c r="C18" s="138" t="str">
        <f>C4&amp;"."&amp;E23&amp;"("&amp;C23&amp;"=u:SpaceFunction)"</f>
        <v>TailoredMethodLPA.GenIllum(SpaceFunction=u:SpaceFunction)</v>
      </c>
    </row>
    <row r="19" spans="1:12" x14ac:dyDescent="0.25">
      <c r="A19" s="138" t="s">
        <v>250</v>
      </c>
    </row>
    <row r="20" spans="1:12" x14ac:dyDescent="0.25">
      <c r="A20" s="138" t="s">
        <v>250</v>
      </c>
    </row>
    <row r="21" spans="1:12" x14ac:dyDescent="0.25">
      <c r="A21" s="138" t="s">
        <v>365</v>
      </c>
    </row>
    <row r="22" spans="1:12" x14ac:dyDescent="0.25">
      <c r="B22" s="140" t="str">
        <f>"TABLE "&amp;$C$4</f>
        <v>TABLE TailoredMethodLPA</v>
      </c>
      <c r="C22" s="140"/>
    </row>
    <row r="23" spans="1:12" x14ac:dyDescent="0.25">
      <c r="C23" s="140" t="s">
        <v>435</v>
      </c>
      <c r="D23" s="138" t="s">
        <v>671</v>
      </c>
      <c r="E23" s="141" t="s">
        <v>436</v>
      </c>
      <c r="F23" s="56" t="s">
        <v>437</v>
      </c>
      <c r="G23" s="138" t="s">
        <v>438</v>
      </c>
      <c r="H23" s="138" t="s">
        <v>916</v>
      </c>
    </row>
    <row r="24" spans="1:12" x14ac:dyDescent="0.25">
      <c r="C24" s="138" t="s">
        <v>442</v>
      </c>
      <c r="D24" s="138" t="s">
        <v>632</v>
      </c>
      <c r="E24" s="138" t="s">
        <v>439</v>
      </c>
      <c r="F24" s="138" t="s">
        <v>440</v>
      </c>
      <c r="G24" s="138" t="s">
        <v>441</v>
      </c>
      <c r="H24" s="138" t="s">
        <v>441</v>
      </c>
      <c r="K24" s="138" t="s">
        <v>670</v>
      </c>
    </row>
    <row r="25" spans="1:12" x14ac:dyDescent="0.25">
      <c r="C25" s="138" t="s">
        <v>525</v>
      </c>
      <c r="D25" s="138">
        <v>1</v>
      </c>
      <c r="E25" s="138">
        <v>300</v>
      </c>
      <c r="F25" s="138">
        <v>3</v>
      </c>
      <c r="G25" s="138">
        <v>0.2</v>
      </c>
      <c r="H25" s="138">
        <v>0.4</v>
      </c>
      <c r="K25" s="138" t="s">
        <v>250</v>
      </c>
      <c r="L25" s="138">
        <v>203</v>
      </c>
    </row>
    <row r="26" spans="1:12" x14ac:dyDescent="0.25">
      <c r="C26" s="138" t="s">
        <v>944</v>
      </c>
      <c r="D26" s="138">
        <v>1</v>
      </c>
      <c r="E26" s="138">
        <v>300</v>
      </c>
      <c r="F26" s="138">
        <v>2</v>
      </c>
      <c r="G26" s="138">
        <v>0.35</v>
      </c>
      <c r="H26" s="138">
        <v>0.4</v>
      </c>
      <c r="K26" s="138" t="s">
        <v>250</v>
      </c>
      <c r="L26" s="138">
        <v>213</v>
      </c>
    </row>
    <row r="27" spans="1:12" x14ac:dyDescent="0.25">
      <c r="C27" s="138" t="s">
        <v>946</v>
      </c>
      <c r="D27" s="138">
        <v>1</v>
      </c>
      <c r="E27" s="138">
        <v>200</v>
      </c>
      <c r="F27" s="138">
        <v>1.25</v>
      </c>
      <c r="G27" s="138">
        <v>0.5</v>
      </c>
      <c r="H27" s="138">
        <v>0.4</v>
      </c>
      <c r="K27" s="138" t="s">
        <v>250</v>
      </c>
      <c r="L27" s="138">
        <v>216</v>
      </c>
    </row>
    <row r="28" spans="1:12" x14ac:dyDescent="0.25">
      <c r="C28" s="138" t="s">
        <v>947</v>
      </c>
      <c r="D28" s="138">
        <v>1</v>
      </c>
      <c r="E28" s="138">
        <v>200</v>
      </c>
      <c r="F28" s="138">
        <v>1.25</v>
      </c>
      <c r="G28" s="138">
        <v>0.5</v>
      </c>
      <c r="H28" s="138">
        <v>0.4</v>
      </c>
      <c r="K28" s="138" t="s">
        <v>250</v>
      </c>
      <c r="L28" s="138">
        <v>217</v>
      </c>
    </row>
    <row r="29" spans="1:12" x14ac:dyDescent="0.25">
      <c r="C29" s="138" t="s">
        <v>948</v>
      </c>
      <c r="D29" s="138">
        <v>1</v>
      </c>
      <c r="E29" s="138">
        <v>200</v>
      </c>
      <c r="F29" s="138">
        <v>1.25</v>
      </c>
      <c r="G29" s="138">
        <v>0.5</v>
      </c>
      <c r="H29" s="138">
        <v>0.4</v>
      </c>
      <c r="K29" s="138" t="s">
        <v>250</v>
      </c>
      <c r="L29" s="138">
        <v>218</v>
      </c>
    </row>
    <row r="30" spans="1:12" x14ac:dyDescent="0.25">
      <c r="C30" s="138" t="s">
        <v>532</v>
      </c>
      <c r="D30" s="138">
        <v>1</v>
      </c>
      <c r="E30" s="138">
        <v>400</v>
      </c>
      <c r="F30" s="138">
        <v>1.8</v>
      </c>
      <c r="G30" s="138">
        <v>0.12</v>
      </c>
      <c r="H30" s="138">
        <v>0.4</v>
      </c>
      <c r="K30" s="138" t="s">
        <v>250</v>
      </c>
      <c r="L30" s="138">
        <v>227</v>
      </c>
    </row>
    <row r="31" spans="1:12" x14ac:dyDescent="0.25">
      <c r="C31" s="222" t="s">
        <v>959</v>
      </c>
      <c r="D31" s="222">
        <v>1</v>
      </c>
      <c r="E31" s="138">
        <v>200</v>
      </c>
      <c r="F31" s="138">
        <v>3.5</v>
      </c>
      <c r="G31" s="138">
        <v>0.2</v>
      </c>
      <c r="H31" s="138">
        <v>0.4</v>
      </c>
      <c r="I31" s="222"/>
      <c r="J31" s="222"/>
      <c r="K31" s="222" t="s">
        <v>250</v>
      </c>
      <c r="L31" s="138">
        <v>236</v>
      </c>
    </row>
    <row r="32" spans="1:12" x14ac:dyDescent="0.25">
      <c r="C32" s="222" t="s">
        <v>960</v>
      </c>
      <c r="D32" s="222">
        <v>1</v>
      </c>
      <c r="E32" s="138">
        <v>150</v>
      </c>
      <c r="F32" s="138">
        <v>11.5</v>
      </c>
      <c r="G32" s="138">
        <v>0.8</v>
      </c>
      <c r="H32" s="138">
        <v>0.4</v>
      </c>
      <c r="I32" s="222"/>
      <c r="J32" s="222"/>
      <c r="K32" s="222" t="s">
        <v>250</v>
      </c>
      <c r="L32" s="138">
        <v>237</v>
      </c>
    </row>
    <row r="33" spans="3:12" x14ac:dyDescent="0.25">
      <c r="C33" s="222" t="s">
        <v>537</v>
      </c>
      <c r="D33" s="222">
        <v>1</v>
      </c>
      <c r="E33" s="138">
        <v>300</v>
      </c>
      <c r="F33" s="138">
        <v>1.3</v>
      </c>
      <c r="G33" s="138">
        <v>0.4</v>
      </c>
      <c r="H33" s="138">
        <v>0.4</v>
      </c>
      <c r="I33" s="222"/>
      <c r="J33" s="222"/>
      <c r="K33" s="222" t="s">
        <v>250</v>
      </c>
      <c r="L33" s="138">
        <v>246</v>
      </c>
    </row>
    <row r="34" spans="3:12" x14ac:dyDescent="0.25">
      <c r="C34" s="222" t="s">
        <v>970</v>
      </c>
      <c r="D34" s="222">
        <v>1</v>
      </c>
      <c r="E34" s="138">
        <v>600</v>
      </c>
      <c r="F34" s="138">
        <v>6.8</v>
      </c>
      <c r="G34" s="138">
        <v>0.7</v>
      </c>
      <c r="H34" s="138">
        <v>0.4</v>
      </c>
      <c r="I34" s="222"/>
      <c r="J34" s="222"/>
      <c r="K34" s="222" t="s">
        <v>250</v>
      </c>
      <c r="L34" s="138">
        <v>249</v>
      </c>
    </row>
    <row r="35" spans="3:12" x14ac:dyDescent="0.25">
      <c r="C35" s="222" t="s">
        <v>971</v>
      </c>
      <c r="D35" s="222">
        <v>1</v>
      </c>
      <c r="E35" s="138">
        <v>500</v>
      </c>
      <c r="F35" s="138">
        <v>11.8</v>
      </c>
      <c r="G35" s="138">
        <v>0.8</v>
      </c>
      <c r="H35" s="138">
        <v>0.4</v>
      </c>
      <c r="I35" s="222"/>
      <c r="J35" s="222"/>
      <c r="K35" s="222" t="s">
        <v>250</v>
      </c>
      <c r="L35" s="138">
        <v>250</v>
      </c>
    </row>
    <row r="36" spans="3:12" x14ac:dyDescent="0.25">
      <c r="C36" s="222" t="s">
        <v>974</v>
      </c>
      <c r="D36" s="222">
        <v>1</v>
      </c>
      <c r="E36" s="138">
        <v>200</v>
      </c>
      <c r="F36" s="138">
        <v>2</v>
      </c>
      <c r="G36" s="138">
        <v>0.2</v>
      </c>
      <c r="H36" s="138">
        <v>0.4</v>
      </c>
      <c r="I36" s="222"/>
      <c r="J36" s="222"/>
      <c r="K36" s="222" t="s">
        <v>250</v>
      </c>
      <c r="L36" s="138">
        <v>257</v>
      </c>
    </row>
    <row r="37" spans="3:12" x14ac:dyDescent="0.25">
      <c r="C37" s="222" t="s">
        <v>975</v>
      </c>
      <c r="D37" s="222">
        <v>1</v>
      </c>
      <c r="E37" s="138">
        <v>200</v>
      </c>
      <c r="F37" s="138">
        <v>7.5</v>
      </c>
      <c r="G37" s="138">
        <v>0.2</v>
      </c>
      <c r="H37" s="138">
        <v>0.4</v>
      </c>
      <c r="I37" s="222"/>
      <c r="J37" s="222"/>
      <c r="K37" s="222" t="s">
        <v>250</v>
      </c>
      <c r="L37" s="138">
        <v>258</v>
      </c>
    </row>
    <row r="38" spans="3:12" x14ac:dyDescent="0.25">
      <c r="C38" s="138" t="s">
        <v>936</v>
      </c>
      <c r="D38" s="138">
        <v>0</v>
      </c>
      <c r="E38" s="138">
        <v>-999</v>
      </c>
      <c r="F38" s="138">
        <v>-999</v>
      </c>
      <c r="G38" s="138">
        <v>-999</v>
      </c>
      <c r="H38" s="138">
        <v>-999</v>
      </c>
      <c r="K38" s="138" t="s">
        <v>250</v>
      </c>
      <c r="L38" s="138">
        <v>201</v>
      </c>
    </row>
    <row r="39" spans="3:12" x14ac:dyDescent="0.25">
      <c r="C39" s="138" t="s">
        <v>937</v>
      </c>
      <c r="D39" s="138">
        <v>0</v>
      </c>
      <c r="E39" s="138">
        <v>-999</v>
      </c>
      <c r="F39" s="138">
        <v>-999</v>
      </c>
      <c r="G39" s="138">
        <v>-999</v>
      </c>
      <c r="H39" s="138">
        <v>-999</v>
      </c>
      <c r="K39" s="138" t="s">
        <v>250</v>
      </c>
      <c r="L39" s="138">
        <v>202</v>
      </c>
    </row>
    <row r="40" spans="3:12" x14ac:dyDescent="0.25">
      <c r="C40" s="138" t="s">
        <v>938</v>
      </c>
      <c r="D40" s="138">
        <v>0</v>
      </c>
      <c r="E40" s="138">
        <v>-999</v>
      </c>
      <c r="F40" s="138">
        <v>-999</v>
      </c>
      <c r="G40" s="138">
        <v>-999</v>
      </c>
      <c r="H40" s="138">
        <v>-999</v>
      </c>
      <c r="K40" s="138" t="s">
        <v>250</v>
      </c>
      <c r="L40" s="138">
        <v>204</v>
      </c>
    </row>
    <row r="41" spans="3:12" x14ac:dyDescent="0.25">
      <c r="C41" s="138" t="s">
        <v>635</v>
      </c>
      <c r="D41" s="138">
        <v>0</v>
      </c>
      <c r="E41" s="138">
        <v>-999</v>
      </c>
      <c r="F41" s="138">
        <v>-999</v>
      </c>
      <c r="G41" s="138">
        <v>-999</v>
      </c>
      <c r="H41" s="138">
        <v>-999</v>
      </c>
      <c r="K41" s="138" t="s">
        <v>250</v>
      </c>
      <c r="L41" s="138">
        <v>205</v>
      </c>
    </row>
    <row r="42" spans="3:12" x14ac:dyDescent="0.25">
      <c r="C42" s="138" t="s">
        <v>526</v>
      </c>
      <c r="D42" s="138">
        <v>0</v>
      </c>
      <c r="E42" s="138">
        <v>-999</v>
      </c>
      <c r="F42" s="138">
        <v>-999</v>
      </c>
      <c r="G42" s="138">
        <v>-999</v>
      </c>
      <c r="H42" s="138">
        <v>-999</v>
      </c>
      <c r="K42" s="138" t="s">
        <v>250</v>
      </c>
      <c r="L42" s="138">
        <v>206</v>
      </c>
    </row>
    <row r="43" spans="3:12" x14ac:dyDescent="0.25">
      <c r="C43" s="138" t="s">
        <v>939</v>
      </c>
      <c r="D43" s="138">
        <v>0</v>
      </c>
      <c r="E43" s="138">
        <v>-999</v>
      </c>
      <c r="F43" s="138">
        <v>-999</v>
      </c>
      <c r="G43" s="138">
        <v>-999</v>
      </c>
      <c r="H43" s="138">
        <v>-999</v>
      </c>
      <c r="K43" s="138" t="s">
        <v>250</v>
      </c>
      <c r="L43" s="138">
        <v>207</v>
      </c>
    </row>
    <row r="44" spans="3:12" x14ac:dyDescent="0.25">
      <c r="C44" s="138" t="s">
        <v>940</v>
      </c>
      <c r="D44" s="138">
        <v>0</v>
      </c>
      <c r="E44" s="138">
        <v>-999</v>
      </c>
      <c r="F44" s="138">
        <v>-999</v>
      </c>
      <c r="G44" s="138">
        <v>-999</v>
      </c>
      <c r="H44" s="138">
        <v>-999</v>
      </c>
      <c r="K44" s="138" t="s">
        <v>250</v>
      </c>
      <c r="L44" s="138">
        <v>208</v>
      </c>
    </row>
    <row r="45" spans="3:12" x14ac:dyDescent="0.25">
      <c r="C45" s="138" t="s">
        <v>941</v>
      </c>
      <c r="D45" s="138">
        <v>0</v>
      </c>
      <c r="E45" s="138">
        <v>-999</v>
      </c>
      <c r="F45" s="138">
        <v>-999</v>
      </c>
      <c r="G45" s="138">
        <v>-999</v>
      </c>
      <c r="H45" s="138">
        <v>-999</v>
      </c>
      <c r="K45" s="138" t="s">
        <v>250</v>
      </c>
      <c r="L45" s="138">
        <v>209</v>
      </c>
    </row>
    <row r="46" spans="3:12" x14ac:dyDescent="0.25">
      <c r="C46" s="138" t="s">
        <v>942</v>
      </c>
      <c r="D46" s="138">
        <v>0</v>
      </c>
      <c r="E46" s="138">
        <v>-999</v>
      </c>
      <c r="F46" s="138">
        <v>-999</v>
      </c>
      <c r="G46" s="138">
        <v>-999</v>
      </c>
      <c r="H46" s="138">
        <v>-999</v>
      </c>
      <c r="K46" s="138" t="s">
        <v>250</v>
      </c>
      <c r="L46" s="138">
        <v>210</v>
      </c>
    </row>
    <row r="47" spans="3:12" x14ac:dyDescent="0.25">
      <c r="C47" s="138" t="s">
        <v>639</v>
      </c>
      <c r="D47" s="138">
        <v>0</v>
      </c>
      <c r="E47" s="138">
        <v>-999</v>
      </c>
      <c r="F47" s="138">
        <v>-999</v>
      </c>
      <c r="G47" s="138">
        <v>-999</v>
      </c>
      <c r="H47" s="138">
        <v>-999</v>
      </c>
      <c r="K47" s="138" t="s">
        <v>250</v>
      </c>
      <c r="L47" s="138">
        <v>211</v>
      </c>
    </row>
    <row r="48" spans="3:12" x14ac:dyDescent="0.25">
      <c r="C48" s="138" t="s">
        <v>943</v>
      </c>
      <c r="D48" s="138">
        <v>0</v>
      </c>
      <c r="E48" s="138">
        <v>-999</v>
      </c>
      <c r="F48" s="138">
        <v>-999</v>
      </c>
      <c r="G48" s="138">
        <v>-999</v>
      </c>
      <c r="H48" s="138">
        <v>-999</v>
      </c>
      <c r="K48" s="138" t="s">
        <v>250</v>
      </c>
      <c r="L48" s="138">
        <v>212</v>
      </c>
    </row>
    <row r="49" spans="3:12" x14ac:dyDescent="0.25">
      <c r="C49" s="138" t="s">
        <v>922</v>
      </c>
      <c r="D49" s="138">
        <v>0</v>
      </c>
      <c r="E49" s="138">
        <v>-999</v>
      </c>
      <c r="F49" s="138">
        <v>-999</v>
      </c>
      <c r="G49" s="138">
        <v>-999</v>
      </c>
      <c r="H49" s="138">
        <v>-999</v>
      </c>
      <c r="K49" s="138" t="s">
        <v>250</v>
      </c>
      <c r="L49" s="138">
        <v>214</v>
      </c>
    </row>
    <row r="50" spans="3:12" x14ac:dyDescent="0.25">
      <c r="C50" s="138" t="s">
        <v>945</v>
      </c>
      <c r="D50" s="138">
        <v>0</v>
      </c>
      <c r="E50" s="138">
        <v>-999</v>
      </c>
      <c r="F50" s="138">
        <v>-999</v>
      </c>
      <c r="G50" s="138">
        <v>-999</v>
      </c>
      <c r="H50" s="138">
        <v>-999</v>
      </c>
      <c r="K50" s="138" t="s">
        <v>250</v>
      </c>
      <c r="L50" s="138">
        <v>215</v>
      </c>
    </row>
    <row r="51" spans="3:12" x14ac:dyDescent="0.25">
      <c r="C51" s="138" t="s">
        <v>643</v>
      </c>
      <c r="D51" s="138">
        <v>0</v>
      </c>
      <c r="E51" s="138">
        <v>-999</v>
      </c>
      <c r="F51" s="138">
        <v>-999</v>
      </c>
      <c r="G51" s="138">
        <v>-999</v>
      </c>
      <c r="H51" s="138">
        <v>-999</v>
      </c>
      <c r="K51" s="138" t="s">
        <v>250</v>
      </c>
      <c r="L51" s="138">
        <v>219</v>
      </c>
    </row>
    <row r="52" spans="3:12" x14ac:dyDescent="0.25">
      <c r="C52" s="138" t="s">
        <v>949</v>
      </c>
      <c r="D52" s="138">
        <v>0</v>
      </c>
      <c r="E52" s="138">
        <v>-999</v>
      </c>
      <c r="F52" s="138">
        <v>-999</v>
      </c>
      <c r="G52" s="138">
        <v>-999</v>
      </c>
      <c r="H52" s="138">
        <v>-999</v>
      </c>
      <c r="K52" s="138" t="s">
        <v>250</v>
      </c>
      <c r="L52" s="138">
        <v>220</v>
      </c>
    </row>
    <row r="53" spans="3:12" x14ac:dyDescent="0.25">
      <c r="C53" s="138" t="s">
        <v>530</v>
      </c>
      <c r="D53" s="138">
        <v>0</v>
      </c>
      <c r="E53" s="138">
        <v>-999</v>
      </c>
      <c r="F53" s="138">
        <v>-999</v>
      </c>
      <c r="G53" s="138">
        <v>-999</v>
      </c>
      <c r="H53" s="138">
        <v>-999</v>
      </c>
      <c r="K53" s="138" t="s">
        <v>250</v>
      </c>
      <c r="L53" s="138">
        <v>221</v>
      </c>
    </row>
    <row r="54" spans="3:12" x14ac:dyDescent="0.25">
      <c r="C54" s="138" t="s">
        <v>950</v>
      </c>
      <c r="D54" s="138">
        <v>0</v>
      </c>
      <c r="E54" s="138">
        <v>-999</v>
      </c>
      <c r="F54" s="138">
        <v>-999</v>
      </c>
      <c r="G54" s="138">
        <v>-999</v>
      </c>
      <c r="H54" s="138">
        <v>-999</v>
      </c>
      <c r="K54" s="138" t="s">
        <v>250</v>
      </c>
      <c r="L54" s="138">
        <v>222</v>
      </c>
    </row>
    <row r="55" spans="3:12" x14ac:dyDescent="0.25">
      <c r="C55" s="138" t="s">
        <v>951</v>
      </c>
      <c r="D55" s="138">
        <v>0</v>
      </c>
      <c r="E55" s="138">
        <v>-999</v>
      </c>
      <c r="F55" s="138">
        <v>-999</v>
      </c>
      <c r="G55" s="138">
        <v>-999</v>
      </c>
      <c r="H55" s="138">
        <v>-999</v>
      </c>
      <c r="K55" s="138" t="s">
        <v>250</v>
      </c>
      <c r="L55" s="138">
        <v>223</v>
      </c>
    </row>
    <row r="56" spans="3:12" x14ac:dyDescent="0.25">
      <c r="C56" s="138" t="s">
        <v>952</v>
      </c>
      <c r="D56" s="138">
        <v>0</v>
      </c>
      <c r="E56" s="138">
        <v>-999</v>
      </c>
      <c r="F56" s="138">
        <v>-999</v>
      </c>
      <c r="G56" s="138">
        <v>-999</v>
      </c>
      <c r="H56" s="138">
        <v>-999</v>
      </c>
      <c r="K56" s="138" t="s">
        <v>250</v>
      </c>
      <c r="L56" s="138">
        <v>224</v>
      </c>
    </row>
    <row r="57" spans="3:12" x14ac:dyDescent="0.25">
      <c r="C57" s="138" t="s">
        <v>953</v>
      </c>
      <c r="D57" s="138">
        <v>0</v>
      </c>
      <c r="E57" s="138">
        <v>-999</v>
      </c>
      <c r="F57" s="138">
        <v>-999</v>
      </c>
      <c r="G57" s="138">
        <v>-999</v>
      </c>
      <c r="H57" s="138">
        <v>-999</v>
      </c>
      <c r="K57" s="138" t="s">
        <v>250</v>
      </c>
      <c r="L57" s="138">
        <v>225</v>
      </c>
    </row>
    <row r="58" spans="3:12" x14ac:dyDescent="0.25">
      <c r="C58" s="138" t="s">
        <v>1026</v>
      </c>
      <c r="D58" s="138">
        <v>0</v>
      </c>
      <c r="E58" s="138">
        <v>-999</v>
      </c>
      <c r="F58" s="138">
        <v>-999</v>
      </c>
      <c r="G58" s="138">
        <v>-999</v>
      </c>
      <c r="H58" s="138">
        <v>-999</v>
      </c>
      <c r="K58" s="138" t="s">
        <v>250</v>
      </c>
      <c r="L58" s="138">
        <v>277</v>
      </c>
    </row>
    <row r="59" spans="3:12" x14ac:dyDescent="0.25">
      <c r="C59" s="138" t="s">
        <v>1027</v>
      </c>
      <c r="D59" s="138">
        <v>0</v>
      </c>
      <c r="E59" s="138">
        <v>-999</v>
      </c>
      <c r="F59" s="138">
        <v>-999</v>
      </c>
      <c r="G59" s="138">
        <v>-999</v>
      </c>
      <c r="H59" s="138">
        <v>-999</v>
      </c>
      <c r="K59" s="138" t="s">
        <v>250</v>
      </c>
      <c r="L59" s="138">
        <v>278</v>
      </c>
    </row>
    <row r="60" spans="3:12" x14ac:dyDescent="0.25">
      <c r="C60" s="138" t="s">
        <v>1028</v>
      </c>
      <c r="D60" s="138">
        <v>0</v>
      </c>
      <c r="E60" s="138">
        <v>-999</v>
      </c>
      <c r="F60" s="138">
        <v>-999</v>
      </c>
      <c r="G60" s="138">
        <v>-999</v>
      </c>
      <c r="H60" s="138">
        <v>-999</v>
      </c>
      <c r="K60" s="138" t="s">
        <v>250</v>
      </c>
      <c r="L60" s="138">
        <v>279</v>
      </c>
    </row>
    <row r="61" spans="3:12" x14ac:dyDescent="0.25">
      <c r="C61" s="138" t="s">
        <v>1029</v>
      </c>
      <c r="D61" s="138">
        <v>0</v>
      </c>
      <c r="E61" s="138">
        <v>-999</v>
      </c>
      <c r="F61" s="138">
        <v>-999</v>
      </c>
      <c r="G61" s="138">
        <v>-999</v>
      </c>
      <c r="H61" s="138">
        <v>-999</v>
      </c>
      <c r="K61" s="138" t="s">
        <v>250</v>
      </c>
      <c r="L61" s="138">
        <v>280</v>
      </c>
    </row>
    <row r="62" spans="3:12" x14ac:dyDescent="0.25">
      <c r="C62" s="138" t="s">
        <v>1030</v>
      </c>
      <c r="D62" s="138">
        <v>0</v>
      </c>
      <c r="E62" s="138">
        <v>-999</v>
      </c>
      <c r="F62" s="138">
        <v>-999</v>
      </c>
      <c r="G62" s="138">
        <v>-999</v>
      </c>
      <c r="H62" s="138">
        <v>-999</v>
      </c>
      <c r="K62" s="138" t="s">
        <v>250</v>
      </c>
      <c r="L62" s="138">
        <v>281</v>
      </c>
    </row>
    <row r="63" spans="3:12" x14ac:dyDescent="0.25">
      <c r="C63" s="138" t="s">
        <v>1031</v>
      </c>
      <c r="D63" s="138">
        <v>0</v>
      </c>
      <c r="E63" s="138">
        <v>-999</v>
      </c>
      <c r="F63" s="138">
        <v>-999</v>
      </c>
      <c r="G63" s="138">
        <v>-999</v>
      </c>
      <c r="H63" s="138">
        <v>-999</v>
      </c>
      <c r="K63" s="138" t="s">
        <v>250</v>
      </c>
      <c r="L63" s="138">
        <v>282</v>
      </c>
    </row>
    <row r="64" spans="3:12" x14ac:dyDescent="0.25">
      <c r="C64" s="138" t="s">
        <v>1032</v>
      </c>
      <c r="D64" s="138">
        <v>0</v>
      </c>
      <c r="E64" s="138">
        <v>-999</v>
      </c>
      <c r="F64" s="138">
        <v>-999</v>
      </c>
      <c r="G64" s="138">
        <v>-999</v>
      </c>
      <c r="H64" s="138">
        <v>-999</v>
      </c>
      <c r="K64" s="138" t="s">
        <v>250</v>
      </c>
      <c r="L64" s="138">
        <v>283</v>
      </c>
    </row>
    <row r="65" spans="3:12" x14ac:dyDescent="0.25">
      <c r="C65" s="138" t="s">
        <v>1033</v>
      </c>
      <c r="D65" s="138">
        <v>0</v>
      </c>
      <c r="E65" s="138">
        <v>-999</v>
      </c>
      <c r="F65" s="138">
        <v>-999</v>
      </c>
      <c r="G65" s="138">
        <v>-999</v>
      </c>
      <c r="H65" s="138">
        <v>-999</v>
      </c>
      <c r="K65" s="138" t="s">
        <v>250</v>
      </c>
      <c r="L65" s="138">
        <v>284</v>
      </c>
    </row>
    <row r="66" spans="3:12" x14ac:dyDescent="0.25">
      <c r="C66" s="138" t="s">
        <v>647</v>
      </c>
      <c r="D66" s="138">
        <v>0</v>
      </c>
      <c r="E66" s="138">
        <v>-999</v>
      </c>
      <c r="F66" s="138">
        <v>-999</v>
      </c>
      <c r="G66" s="138">
        <v>-999</v>
      </c>
      <c r="H66" s="138">
        <v>-999</v>
      </c>
      <c r="K66" s="138" t="s">
        <v>250</v>
      </c>
      <c r="L66" s="138">
        <v>226</v>
      </c>
    </row>
    <row r="67" spans="3:12" x14ac:dyDescent="0.25">
      <c r="C67" s="138" t="s">
        <v>648</v>
      </c>
      <c r="D67" s="138">
        <v>0</v>
      </c>
      <c r="E67" s="138">
        <v>-999</v>
      </c>
      <c r="F67" s="138">
        <v>-999</v>
      </c>
      <c r="G67" s="138">
        <v>-999</v>
      </c>
      <c r="H67" s="138">
        <v>-999</v>
      </c>
      <c r="K67" s="138" t="s">
        <v>250</v>
      </c>
      <c r="L67" s="138">
        <v>228</v>
      </c>
    </row>
    <row r="68" spans="3:12" x14ac:dyDescent="0.25">
      <c r="C68" s="138" t="s">
        <v>954</v>
      </c>
      <c r="D68" s="138">
        <v>0</v>
      </c>
      <c r="E68" s="138">
        <v>-999</v>
      </c>
      <c r="F68" s="138">
        <v>-999</v>
      </c>
      <c r="G68" s="138">
        <v>-999</v>
      </c>
      <c r="H68" s="138">
        <v>-999</v>
      </c>
      <c r="K68" s="138" t="s">
        <v>250</v>
      </c>
      <c r="L68" s="138">
        <v>229</v>
      </c>
    </row>
    <row r="69" spans="3:12" x14ac:dyDescent="0.25">
      <c r="C69" s="138" t="s">
        <v>652</v>
      </c>
      <c r="D69" s="138">
        <v>0</v>
      </c>
      <c r="E69" s="138">
        <v>-999</v>
      </c>
      <c r="F69" s="138">
        <v>-999</v>
      </c>
      <c r="G69" s="138">
        <v>-999</v>
      </c>
      <c r="H69" s="138">
        <v>-999</v>
      </c>
      <c r="K69" s="138" t="s">
        <v>250</v>
      </c>
      <c r="L69" s="138">
        <v>230</v>
      </c>
    </row>
    <row r="70" spans="3:12" x14ac:dyDescent="0.25">
      <c r="C70" s="138" t="s">
        <v>955</v>
      </c>
      <c r="D70" s="138">
        <v>0</v>
      </c>
      <c r="E70" s="138">
        <v>-999</v>
      </c>
      <c r="F70" s="138">
        <v>-999</v>
      </c>
      <c r="G70" s="138">
        <v>-999</v>
      </c>
      <c r="H70" s="138">
        <v>-999</v>
      </c>
      <c r="K70" s="138" t="s">
        <v>250</v>
      </c>
      <c r="L70" s="138">
        <v>231</v>
      </c>
    </row>
    <row r="71" spans="3:12" x14ac:dyDescent="0.25">
      <c r="C71" s="138" t="s">
        <v>956</v>
      </c>
      <c r="D71" s="138">
        <v>0</v>
      </c>
      <c r="E71" s="138">
        <v>-999</v>
      </c>
      <c r="F71" s="138">
        <v>-999</v>
      </c>
      <c r="G71" s="138">
        <v>-999</v>
      </c>
      <c r="H71" s="138">
        <v>-999</v>
      </c>
      <c r="K71" s="138" t="s">
        <v>250</v>
      </c>
      <c r="L71" s="138">
        <v>232</v>
      </c>
    </row>
    <row r="72" spans="3:12" x14ac:dyDescent="0.25">
      <c r="C72" s="138" t="s">
        <v>957</v>
      </c>
      <c r="D72" s="138">
        <v>0</v>
      </c>
      <c r="E72" s="138">
        <v>-999</v>
      </c>
      <c r="F72" s="138">
        <v>-999</v>
      </c>
      <c r="G72" s="138">
        <v>-999</v>
      </c>
      <c r="H72" s="138">
        <v>-999</v>
      </c>
      <c r="K72" s="138" t="s">
        <v>250</v>
      </c>
      <c r="L72" s="138">
        <v>233</v>
      </c>
    </row>
    <row r="73" spans="3:12" x14ac:dyDescent="0.25">
      <c r="C73" s="138" t="s">
        <v>830</v>
      </c>
      <c r="D73" s="138">
        <v>0</v>
      </c>
      <c r="E73" s="138">
        <v>-999</v>
      </c>
      <c r="F73" s="138">
        <v>-999</v>
      </c>
      <c r="G73" s="138">
        <v>-999</v>
      </c>
      <c r="H73" s="138">
        <v>-999</v>
      </c>
      <c r="K73" s="138" t="s">
        <v>250</v>
      </c>
      <c r="L73" s="138">
        <v>234</v>
      </c>
    </row>
    <row r="74" spans="3:12" x14ac:dyDescent="0.25">
      <c r="C74" s="138" t="s">
        <v>958</v>
      </c>
      <c r="D74" s="138">
        <v>0</v>
      </c>
      <c r="E74" s="138">
        <v>-999</v>
      </c>
      <c r="F74" s="138">
        <v>-999</v>
      </c>
      <c r="G74" s="138">
        <v>-999</v>
      </c>
      <c r="H74" s="138">
        <v>-999</v>
      </c>
      <c r="K74" s="138" t="s">
        <v>250</v>
      </c>
      <c r="L74" s="138">
        <v>235</v>
      </c>
    </row>
    <row r="75" spans="3:12" x14ac:dyDescent="0.25">
      <c r="C75" s="222" t="s">
        <v>961</v>
      </c>
      <c r="D75" s="222">
        <v>0</v>
      </c>
      <c r="E75" s="138">
        <v>-999</v>
      </c>
      <c r="F75" s="138">
        <v>-999</v>
      </c>
      <c r="G75" s="138">
        <v>-999</v>
      </c>
      <c r="H75" s="138">
        <v>-999</v>
      </c>
      <c r="I75" s="222"/>
      <c r="J75" s="222"/>
      <c r="K75" s="222" t="s">
        <v>250</v>
      </c>
      <c r="L75" s="138">
        <v>238</v>
      </c>
    </row>
    <row r="76" spans="3:12" x14ac:dyDescent="0.25">
      <c r="C76" s="222" t="s">
        <v>962</v>
      </c>
      <c r="D76" s="222">
        <v>0</v>
      </c>
      <c r="E76" s="138">
        <v>-999</v>
      </c>
      <c r="F76" s="138">
        <v>-999</v>
      </c>
      <c r="G76" s="138">
        <v>-999</v>
      </c>
      <c r="H76" s="138">
        <v>-999</v>
      </c>
      <c r="I76" s="222"/>
      <c r="J76" s="222"/>
      <c r="K76" s="222" t="s">
        <v>250</v>
      </c>
      <c r="L76" s="138">
        <v>239</v>
      </c>
    </row>
    <row r="77" spans="3:12" x14ac:dyDescent="0.25">
      <c r="C77" s="222" t="s">
        <v>963</v>
      </c>
      <c r="D77" s="222">
        <v>0</v>
      </c>
      <c r="E77" s="138">
        <v>-999</v>
      </c>
      <c r="F77" s="138">
        <v>-999</v>
      </c>
      <c r="G77" s="138">
        <v>-999</v>
      </c>
      <c r="H77" s="138">
        <v>-999</v>
      </c>
      <c r="I77" s="222"/>
      <c r="J77" s="222"/>
      <c r="K77" s="222" t="s">
        <v>250</v>
      </c>
      <c r="L77" s="138">
        <v>240</v>
      </c>
    </row>
    <row r="78" spans="3:12" x14ac:dyDescent="0.25">
      <c r="C78" s="222" t="s">
        <v>964</v>
      </c>
      <c r="D78" s="222">
        <v>0</v>
      </c>
      <c r="E78" s="138">
        <v>-999</v>
      </c>
      <c r="F78" s="138">
        <v>-999</v>
      </c>
      <c r="G78" s="138">
        <v>-999</v>
      </c>
      <c r="H78" s="138">
        <v>-999</v>
      </c>
      <c r="I78" s="222"/>
      <c r="J78" s="222"/>
      <c r="K78" s="222" t="s">
        <v>250</v>
      </c>
      <c r="L78" s="138">
        <v>241</v>
      </c>
    </row>
    <row r="79" spans="3:12" x14ac:dyDescent="0.25">
      <c r="C79" s="222" t="s">
        <v>965</v>
      </c>
      <c r="D79" s="222">
        <v>0</v>
      </c>
      <c r="E79" s="138">
        <v>-999</v>
      </c>
      <c r="F79" s="138">
        <v>-999</v>
      </c>
      <c r="G79" s="138">
        <v>-999</v>
      </c>
      <c r="H79" s="138">
        <v>-999</v>
      </c>
      <c r="I79" s="222"/>
      <c r="J79" s="222"/>
      <c r="K79" s="222" t="s">
        <v>250</v>
      </c>
      <c r="L79" s="138">
        <v>242</v>
      </c>
    </row>
    <row r="80" spans="3:12" x14ac:dyDescent="0.25">
      <c r="C80" s="222" t="s">
        <v>966</v>
      </c>
      <c r="D80" s="222">
        <v>0</v>
      </c>
      <c r="E80" s="138">
        <v>-999</v>
      </c>
      <c r="F80" s="138">
        <v>-999</v>
      </c>
      <c r="G80" s="138">
        <v>-999</v>
      </c>
      <c r="H80" s="138">
        <v>-999</v>
      </c>
      <c r="I80" s="222"/>
      <c r="J80" s="222"/>
      <c r="K80" s="222" t="s">
        <v>250</v>
      </c>
      <c r="L80" s="138">
        <v>243</v>
      </c>
    </row>
    <row r="81" spans="3:12" x14ac:dyDescent="0.25">
      <c r="C81" s="222" t="s">
        <v>967</v>
      </c>
      <c r="D81" s="222">
        <v>0</v>
      </c>
      <c r="E81" s="138">
        <v>-999</v>
      </c>
      <c r="F81" s="138">
        <v>-999</v>
      </c>
      <c r="G81" s="138">
        <v>-999</v>
      </c>
      <c r="H81" s="138">
        <v>-999</v>
      </c>
      <c r="I81" s="222"/>
      <c r="J81" s="222"/>
      <c r="K81" s="222" t="s">
        <v>250</v>
      </c>
      <c r="L81" s="138">
        <v>244</v>
      </c>
    </row>
    <row r="82" spans="3:12" x14ac:dyDescent="0.25">
      <c r="C82" s="222" t="s">
        <v>968</v>
      </c>
      <c r="D82" s="222">
        <v>0</v>
      </c>
      <c r="E82" s="138">
        <v>-999</v>
      </c>
      <c r="F82" s="138">
        <v>-999</v>
      </c>
      <c r="G82" s="138">
        <v>-999</v>
      </c>
      <c r="H82" s="138">
        <v>-999</v>
      </c>
      <c r="I82" s="222"/>
      <c r="J82" s="222"/>
      <c r="K82" s="222" t="s">
        <v>250</v>
      </c>
      <c r="L82" s="138">
        <v>245</v>
      </c>
    </row>
    <row r="83" spans="3:12" x14ac:dyDescent="0.25">
      <c r="C83" s="222" t="s">
        <v>834</v>
      </c>
      <c r="D83" s="222">
        <v>0</v>
      </c>
      <c r="E83" s="138">
        <v>-999</v>
      </c>
      <c r="F83" s="138">
        <v>-999</v>
      </c>
      <c r="G83" s="138">
        <v>-999</v>
      </c>
      <c r="H83" s="138">
        <v>-999</v>
      </c>
      <c r="I83" s="222"/>
      <c r="J83" s="222"/>
      <c r="K83" s="222" t="s">
        <v>250</v>
      </c>
      <c r="L83" s="138">
        <v>247</v>
      </c>
    </row>
    <row r="84" spans="3:12" x14ac:dyDescent="0.25">
      <c r="C84" s="222" t="s">
        <v>969</v>
      </c>
      <c r="D84" s="222">
        <v>0</v>
      </c>
      <c r="E84" s="138">
        <v>-999</v>
      </c>
      <c r="F84" s="138">
        <v>-999</v>
      </c>
      <c r="G84" s="138">
        <v>-999</v>
      </c>
      <c r="H84" s="138">
        <v>-999</v>
      </c>
      <c r="I84" s="222"/>
      <c r="J84" s="222"/>
      <c r="K84" s="222" t="s">
        <v>250</v>
      </c>
      <c r="L84" s="138">
        <v>248</v>
      </c>
    </row>
    <row r="85" spans="3:12" x14ac:dyDescent="0.25">
      <c r="C85" s="222" t="s">
        <v>972</v>
      </c>
      <c r="D85" s="222">
        <v>0</v>
      </c>
      <c r="E85" s="138">
        <v>-999</v>
      </c>
      <c r="F85" s="138">
        <v>-999</v>
      </c>
      <c r="G85" s="138">
        <v>-999</v>
      </c>
      <c r="H85" s="138">
        <v>-999</v>
      </c>
      <c r="I85" s="222"/>
      <c r="J85" s="222"/>
      <c r="K85" s="222" t="s">
        <v>250</v>
      </c>
      <c r="L85" s="138">
        <v>251</v>
      </c>
    </row>
    <row r="86" spans="3:12" x14ac:dyDescent="0.25">
      <c r="C86" s="222" t="s">
        <v>1012</v>
      </c>
      <c r="D86" s="222">
        <v>0</v>
      </c>
      <c r="E86" s="138">
        <v>-999</v>
      </c>
      <c r="F86" s="138">
        <v>-999</v>
      </c>
      <c r="G86" s="138">
        <v>-999</v>
      </c>
      <c r="H86" s="138">
        <v>-999</v>
      </c>
      <c r="I86" s="222"/>
      <c r="J86" s="222"/>
      <c r="K86" s="222" t="s">
        <v>250</v>
      </c>
      <c r="L86" s="138">
        <v>252</v>
      </c>
    </row>
    <row r="87" spans="3:12" x14ac:dyDescent="0.25">
      <c r="C87" s="222" t="s">
        <v>1013</v>
      </c>
      <c r="D87" s="222">
        <v>0</v>
      </c>
      <c r="E87" s="138">
        <v>-999</v>
      </c>
      <c r="F87" s="138">
        <v>-999</v>
      </c>
      <c r="G87" s="138">
        <v>-999</v>
      </c>
      <c r="H87" s="138">
        <v>-999</v>
      </c>
      <c r="I87" s="222"/>
      <c r="J87" s="222"/>
      <c r="K87" s="222" t="s">
        <v>250</v>
      </c>
      <c r="L87" s="138">
        <v>253</v>
      </c>
    </row>
    <row r="88" spans="3:12" x14ac:dyDescent="0.25">
      <c r="C88" s="222" t="s">
        <v>1014</v>
      </c>
      <c r="D88" s="222">
        <v>0</v>
      </c>
      <c r="E88" s="138">
        <v>-999</v>
      </c>
      <c r="F88" s="138">
        <v>-999</v>
      </c>
      <c r="G88" s="138">
        <v>-999</v>
      </c>
      <c r="H88" s="138">
        <v>-999</v>
      </c>
      <c r="I88" s="222"/>
      <c r="J88" s="222"/>
      <c r="K88" s="222" t="s">
        <v>250</v>
      </c>
      <c r="L88" s="138">
        <v>254</v>
      </c>
    </row>
    <row r="89" spans="3:12" x14ac:dyDescent="0.25">
      <c r="C89" s="222" t="s">
        <v>1015</v>
      </c>
      <c r="D89" s="222">
        <v>0</v>
      </c>
      <c r="E89" s="138">
        <v>-999</v>
      </c>
      <c r="F89" s="138">
        <v>-999</v>
      </c>
      <c r="G89" s="138">
        <v>-999</v>
      </c>
      <c r="H89" s="138">
        <v>-999</v>
      </c>
      <c r="I89" s="222"/>
      <c r="J89" s="222"/>
      <c r="K89" s="222" t="s">
        <v>250</v>
      </c>
      <c r="L89" s="138">
        <v>255</v>
      </c>
    </row>
    <row r="90" spans="3:12" x14ac:dyDescent="0.25">
      <c r="C90" s="222" t="s">
        <v>973</v>
      </c>
      <c r="D90" s="222">
        <v>0</v>
      </c>
      <c r="E90" s="138">
        <v>-999</v>
      </c>
      <c r="F90" s="138">
        <v>-999</v>
      </c>
      <c r="G90" s="138">
        <v>-999</v>
      </c>
      <c r="H90" s="138">
        <v>-999</v>
      </c>
      <c r="I90" s="222"/>
      <c r="J90" s="222"/>
      <c r="K90" s="222" t="s">
        <v>250</v>
      </c>
      <c r="L90" s="138">
        <v>256</v>
      </c>
    </row>
    <row r="91" spans="3:12" x14ac:dyDescent="0.25">
      <c r="C91" s="222" t="s">
        <v>976</v>
      </c>
      <c r="D91" s="222">
        <v>0</v>
      </c>
      <c r="E91" s="138">
        <v>-999</v>
      </c>
      <c r="F91" s="138">
        <v>-999</v>
      </c>
      <c r="G91" s="138">
        <v>-999</v>
      </c>
      <c r="H91" s="138">
        <v>-999</v>
      </c>
      <c r="I91" s="222"/>
      <c r="J91" s="222"/>
      <c r="K91" s="222" t="s">
        <v>250</v>
      </c>
      <c r="L91" s="138">
        <v>259</v>
      </c>
    </row>
    <row r="92" spans="3:12" x14ac:dyDescent="0.25">
      <c r="C92" s="222" t="s">
        <v>977</v>
      </c>
      <c r="D92" s="222">
        <v>0</v>
      </c>
      <c r="E92" s="138">
        <v>-999</v>
      </c>
      <c r="F92" s="138">
        <v>-999</v>
      </c>
      <c r="G92" s="138">
        <v>-999</v>
      </c>
      <c r="H92" s="138">
        <v>-999</v>
      </c>
      <c r="I92" s="222"/>
      <c r="J92" s="222"/>
      <c r="K92" s="222" t="s">
        <v>250</v>
      </c>
      <c r="L92" s="138">
        <v>260</v>
      </c>
    </row>
    <row r="93" spans="3:12" x14ac:dyDescent="0.25">
      <c r="C93" s="222" t="s">
        <v>935</v>
      </c>
      <c r="D93" s="222">
        <v>0</v>
      </c>
      <c r="E93" s="138">
        <v>-999</v>
      </c>
      <c r="F93" s="138">
        <v>-999</v>
      </c>
      <c r="G93" s="138">
        <v>-999</v>
      </c>
      <c r="H93" s="138">
        <v>-999</v>
      </c>
      <c r="I93" s="222"/>
      <c r="J93" s="222"/>
      <c r="K93" s="222" t="s">
        <v>250</v>
      </c>
      <c r="L93" s="138">
        <v>261</v>
      </c>
    </row>
    <row r="94" spans="3:12" x14ac:dyDescent="0.25">
      <c r="C94" s="222" t="s">
        <v>666</v>
      </c>
      <c r="D94" s="222">
        <v>0</v>
      </c>
      <c r="E94" s="138">
        <v>-999</v>
      </c>
      <c r="F94" s="138">
        <v>-999</v>
      </c>
      <c r="G94" s="138">
        <v>-999</v>
      </c>
      <c r="H94" s="138">
        <v>-999</v>
      </c>
      <c r="I94" s="222"/>
      <c r="J94" s="222"/>
      <c r="K94" s="222" t="s">
        <v>250</v>
      </c>
      <c r="L94" s="138">
        <v>262</v>
      </c>
    </row>
    <row r="95" spans="3:12" x14ac:dyDescent="0.25">
      <c r="C95" s="222" t="s">
        <v>667</v>
      </c>
      <c r="D95" s="222">
        <v>0</v>
      </c>
      <c r="E95" s="138">
        <v>-999</v>
      </c>
      <c r="F95" s="138">
        <v>-999</v>
      </c>
      <c r="G95" s="138">
        <v>-999</v>
      </c>
      <c r="H95" s="138">
        <v>-999</v>
      </c>
      <c r="I95" s="222"/>
      <c r="J95" s="222"/>
      <c r="K95" s="222" t="s">
        <v>250</v>
      </c>
      <c r="L95" s="138">
        <v>263</v>
      </c>
    </row>
    <row r="96" spans="3:12" x14ac:dyDescent="0.25">
      <c r="C96" s="222" t="s">
        <v>668</v>
      </c>
      <c r="D96" s="222">
        <v>0</v>
      </c>
      <c r="E96" s="138">
        <v>-999</v>
      </c>
      <c r="F96" s="138">
        <v>-999</v>
      </c>
      <c r="G96" s="138">
        <v>-999</v>
      </c>
      <c r="H96" s="138">
        <v>-999</v>
      </c>
      <c r="I96" s="222"/>
      <c r="J96" s="222"/>
      <c r="K96" s="222" t="s">
        <v>250</v>
      </c>
      <c r="L96" s="138">
        <v>264</v>
      </c>
    </row>
    <row r="97" spans="2:12" x14ac:dyDescent="0.25">
      <c r="C97" s="222" t="s">
        <v>1018</v>
      </c>
      <c r="D97" s="222">
        <v>0</v>
      </c>
      <c r="E97" s="138">
        <v>-999</v>
      </c>
      <c r="F97" s="138">
        <v>-999</v>
      </c>
      <c r="G97" s="138">
        <v>-999</v>
      </c>
      <c r="H97" s="138">
        <v>-999</v>
      </c>
      <c r="I97" s="222"/>
      <c r="J97" s="222"/>
      <c r="K97" s="222" t="s">
        <v>250</v>
      </c>
      <c r="L97" s="138">
        <v>269</v>
      </c>
    </row>
    <row r="98" spans="2:12" x14ac:dyDescent="0.25">
      <c r="C98" s="222" t="s">
        <v>1019</v>
      </c>
      <c r="D98" s="222">
        <v>0</v>
      </c>
      <c r="E98" s="138">
        <v>-999</v>
      </c>
      <c r="F98" s="138">
        <v>-999</v>
      </c>
      <c r="G98" s="138">
        <v>-999</v>
      </c>
      <c r="H98" s="138">
        <v>-999</v>
      </c>
      <c r="I98" s="222"/>
      <c r="J98" s="222"/>
      <c r="K98" s="222" t="s">
        <v>250</v>
      </c>
      <c r="L98" s="138">
        <v>270</v>
      </c>
    </row>
    <row r="99" spans="2:12" x14ac:dyDescent="0.25">
      <c r="C99" s="222" t="s">
        <v>1020</v>
      </c>
      <c r="D99" s="222">
        <v>0</v>
      </c>
      <c r="E99" s="138">
        <v>-999</v>
      </c>
      <c r="F99" s="138">
        <v>-999</v>
      </c>
      <c r="G99" s="138">
        <v>-999</v>
      </c>
      <c r="H99" s="138">
        <v>-999</v>
      </c>
      <c r="I99" s="222"/>
      <c r="J99" s="222"/>
      <c r="K99" s="222" t="s">
        <v>250</v>
      </c>
      <c r="L99" s="138">
        <v>271</v>
      </c>
    </row>
    <row r="100" spans="2:12" x14ac:dyDescent="0.25">
      <c r="C100" s="222" t="s">
        <v>1021</v>
      </c>
      <c r="D100" s="222">
        <v>0</v>
      </c>
      <c r="E100" s="138">
        <v>-999</v>
      </c>
      <c r="F100" s="138">
        <v>-999</v>
      </c>
      <c r="G100" s="138">
        <v>-999</v>
      </c>
      <c r="H100" s="138">
        <v>-999</v>
      </c>
      <c r="I100" s="222"/>
      <c r="J100" s="222"/>
      <c r="K100" s="222" t="s">
        <v>250</v>
      </c>
      <c r="L100" s="138">
        <v>272</v>
      </c>
    </row>
    <row r="101" spans="2:12" x14ac:dyDescent="0.25">
      <c r="C101" s="222" t="s">
        <v>1022</v>
      </c>
      <c r="D101" s="222">
        <v>0</v>
      </c>
      <c r="E101" s="138">
        <v>-999</v>
      </c>
      <c r="F101" s="138">
        <v>-999</v>
      </c>
      <c r="G101" s="138">
        <v>-999</v>
      </c>
      <c r="H101" s="138">
        <v>-999</v>
      </c>
      <c r="I101" s="222"/>
      <c r="J101" s="222"/>
      <c r="K101" s="222" t="s">
        <v>250</v>
      </c>
      <c r="L101" s="138">
        <v>273</v>
      </c>
    </row>
    <row r="102" spans="2:12" x14ac:dyDescent="0.25">
      <c r="C102" s="222" t="s">
        <v>1023</v>
      </c>
      <c r="D102" s="222">
        <v>0</v>
      </c>
      <c r="E102" s="138">
        <v>-999</v>
      </c>
      <c r="F102" s="138">
        <v>-999</v>
      </c>
      <c r="G102" s="138">
        <v>-999</v>
      </c>
      <c r="H102" s="138">
        <v>-999</v>
      </c>
      <c r="I102" s="222"/>
      <c r="J102" s="222"/>
      <c r="K102" s="222" t="s">
        <v>250</v>
      </c>
      <c r="L102" s="138">
        <v>274</v>
      </c>
    </row>
    <row r="103" spans="2:12" x14ac:dyDescent="0.25">
      <c r="C103" s="222" t="s">
        <v>1024</v>
      </c>
      <c r="D103" s="222">
        <v>0</v>
      </c>
      <c r="E103" s="138">
        <v>-999</v>
      </c>
      <c r="F103" s="138">
        <v>-999</v>
      </c>
      <c r="G103" s="138">
        <v>-999</v>
      </c>
      <c r="H103" s="138">
        <v>-999</v>
      </c>
      <c r="I103" s="222"/>
      <c r="J103" s="222"/>
      <c r="K103" s="222" t="s">
        <v>250</v>
      </c>
      <c r="L103" s="138">
        <v>275</v>
      </c>
    </row>
    <row r="104" spans="2:12" x14ac:dyDescent="0.25">
      <c r="C104" s="222" t="s">
        <v>1025</v>
      </c>
      <c r="D104" s="222">
        <v>0</v>
      </c>
      <c r="E104" s="138">
        <v>-999</v>
      </c>
      <c r="F104" s="138">
        <v>-999</v>
      </c>
      <c r="G104" s="138">
        <v>-999</v>
      </c>
      <c r="H104" s="138">
        <v>-999</v>
      </c>
      <c r="I104" s="222"/>
      <c r="J104" s="222"/>
      <c r="K104" s="222" t="s">
        <v>250</v>
      </c>
      <c r="L104" s="138">
        <v>276</v>
      </c>
    </row>
    <row r="105" spans="2:12" x14ac:dyDescent="0.25">
      <c r="C105" s="222" t="s">
        <v>978</v>
      </c>
      <c r="D105" s="222">
        <v>0</v>
      </c>
      <c r="E105" s="138">
        <v>-999</v>
      </c>
      <c r="F105" s="138">
        <v>-999</v>
      </c>
      <c r="G105" s="138">
        <v>-999</v>
      </c>
      <c r="H105" s="138">
        <v>-999</v>
      </c>
      <c r="I105" s="222"/>
      <c r="J105" s="222"/>
      <c r="K105" s="222" t="s">
        <v>250</v>
      </c>
      <c r="L105" s="138">
        <v>265</v>
      </c>
    </row>
    <row r="106" spans="2:12" x14ac:dyDescent="0.25">
      <c r="C106" s="222" t="s">
        <v>979</v>
      </c>
      <c r="D106" s="222">
        <v>0</v>
      </c>
      <c r="E106" s="138">
        <v>-999</v>
      </c>
      <c r="F106" s="138">
        <v>-999</v>
      </c>
      <c r="G106" s="138">
        <v>-999</v>
      </c>
      <c r="H106" s="138">
        <v>-999</v>
      </c>
      <c r="I106" s="222"/>
      <c r="J106" s="222"/>
      <c r="K106" s="222" t="s">
        <v>250</v>
      </c>
      <c r="L106" s="138">
        <v>266</v>
      </c>
    </row>
    <row r="107" spans="2:12" x14ac:dyDescent="0.25">
      <c r="C107" s="222" t="s">
        <v>980</v>
      </c>
      <c r="D107" s="222">
        <v>0</v>
      </c>
      <c r="E107" s="138">
        <v>-999</v>
      </c>
      <c r="F107" s="138">
        <v>-999</v>
      </c>
      <c r="G107" s="138">
        <v>-999</v>
      </c>
      <c r="H107" s="138">
        <v>-999</v>
      </c>
      <c r="I107" s="222"/>
      <c r="J107" s="222"/>
      <c r="K107" s="222" t="s">
        <v>250</v>
      </c>
      <c r="L107" s="138">
        <v>267</v>
      </c>
    </row>
    <row r="108" spans="2:12" x14ac:dyDescent="0.25">
      <c r="C108" s="222" t="s">
        <v>981</v>
      </c>
      <c r="D108" s="222">
        <v>0</v>
      </c>
      <c r="E108" s="138">
        <v>-999</v>
      </c>
      <c r="F108" s="138">
        <v>-999</v>
      </c>
      <c r="G108" s="138">
        <v>-999</v>
      </c>
      <c r="H108" s="138">
        <v>-999</v>
      </c>
      <c r="I108" s="222"/>
      <c r="J108" s="222"/>
      <c r="K108" s="222" t="s">
        <v>250</v>
      </c>
      <c r="L108" s="138">
        <v>268</v>
      </c>
    </row>
    <row r="109" spans="2:12" x14ac:dyDescent="0.25">
      <c r="B109" s="138" t="s">
        <v>245</v>
      </c>
    </row>
  </sheetData>
  <sortState xmlns:xlrd2="http://schemas.microsoft.com/office/spreadsheetml/2017/richdata2" ref="C25:L108">
    <sortCondition descending="1" ref="D25:D108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57150</xdr:rowOff>
                  </from>
                  <to>
                    <xdr:col>4</xdr:col>
                    <xdr:colOff>695325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88A44-A673-4A78-AD82-22D355CC9D40}">
  <dimension ref="A1:L106"/>
  <sheetViews>
    <sheetView workbookViewId="0">
      <selection activeCell="B1" sqref="B1"/>
    </sheetView>
  </sheetViews>
  <sheetFormatPr defaultRowHeight="12.75" x14ac:dyDescent="0.2"/>
  <cols>
    <col min="1" max="2" width="9.140625" style="376"/>
    <col min="3" max="3" width="43.85546875" style="376" customWidth="1"/>
    <col min="4" max="16384" width="9.140625" style="376"/>
  </cols>
  <sheetData>
    <row r="1" spans="1:6" x14ac:dyDescent="0.2">
      <c r="A1" s="376" t="s">
        <v>250</v>
      </c>
      <c r="B1" s="376" t="s">
        <v>1202</v>
      </c>
    </row>
    <row r="2" spans="1:6" x14ac:dyDescent="0.2">
      <c r="A2" s="376" t="s">
        <v>250</v>
      </c>
    </row>
    <row r="3" spans="1:6" x14ac:dyDescent="0.2">
      <c r="A3" s="376" t="s">
        <v>250</v>
      </c>
      <c r="B3" s="376" t="s">
        <v>356</v>
      </c>
    </row>
    <row r="4" spans="1:6" x14ac:dyDescent="0.2">
      <c r="A4" s="376" t="s">
        <v>250</v>
      </c>
      <c r="C4" s="376" t="s">
        <v>443</v>
      </c>
    </row>
    <row r="5" spans="1:6" x14ac:dyDescent="0.2">
      <c r="A5" s="376" t="s">
        <v>250</v>
      </c>
    </row>
    <row r="6" spans="1:6" x14ac:dyDescent="0.2">
      <c r="A6" s="376" t="s">
        <v>250</v>
      </c>
      <c r="B6" s="376" t="s">
        <v>357</v>
      </c>
    </row>
    <row r="7" spans="1:6" x14ac:dyDescent="0.2">
      <c r="A7" s="376" t="s">
        <v>250</v>
      </c>
      <c r="C7" s="376" t="s">
        <v>262</v>
      </c>
      <c r="D7" s="376" t="s">
        <v>263</v>
      </c>
      <c r="E7" s="376" t="s">
        <v>264</v>
      </c>
    </row>
    <row r="8" spans="1:6" x14ac:dyDescent="0.2">
      <c r="A8" s="376" t="s">
        <v>250</v>
      </c>
      <c r="C8" s="389">
        <v>41249</v>
      </c>
      <c r="D8" s="376" t="s">
        <v>410</v>
      </c>
      <c r="E8" s="376" t="s">
        <v>265</v>
      </c>
    </row>
    <row r="9" spans="1:6" x14ac:dyDescent="0.2">
      <c r="A9" s="376" t="s">
        <v>250</v>
      </c>
      <c r="C9" s="389">
        <v>43082</v>
      </c>
      <c r="D9" s="376" t="s">
        <v>410</v>
      </c>
      <c r="E9" s="376" t="s">
        <v>982</v>
      </c>
    </row>
    <row r="10" spans="1:6" ht="15" x14ac:dyDescent="0.25">
      <c r="A10" s="376" t="s">
        <v>250</v>
      </c>
      <c r="C10" s="388">
        <v>44518</v>
      </c>
      <c r="D10" s="387" t="s">
        <v>1192</v>
      </c>
      <c r="E10" s="387" t="s">
        <v>1191</v>
      </c>
      <c r="F10" s="387"/>
    </row>
    <row r="11" spans="1:6" x14ac:dyDescent="0.2">
      <c r="A11" s="376" t="s">
        <v>250</v>
      </c>
    </row>
    <row r="12" spans="1:6" x14ac:dyDescent="0.2">
      <c r="A12" s="376" t="s">
        <v>250</v>
      </c>
      <c r="B12" s="376" t="s">
        <v>266</v>
      </c>
    </row>
    <row r="13" spans="1:6" x14ac:dyDescent="0.2">
      <c r="A13" s="376" t="s">
        <v>250</v>
      </c>
      <c r="C13" s="376" t="s">
        <v>434</v>
      </c>
    </row>
    <row r="14" spans="1:6" x14ac:dyDescent="0.2">
      <c r="A14" s="376" t="s">
        <v>250</v>
      </c>
    </row>
    <row r="15" spans="1:6" x14ac:dyDescent="0.2">
      <c r="A15" s="376" t="s">
        <v>250</v>
      </c>
      <c r="B15" s="376" t="s">
        <v>251</v>
      </c>
    </row>
    <row r="16" spans="1:6" x14ac:dyDescent="0.2">
      <c r="A16" s="376" t="s">
        <v>250</v>
      </c>
    </row>
    <row r="17" spans="1:12" x14ac:dyDescent="0.2">
      <c r="A17" s="376" t="s">
        <v>250</v>
      </c>
    </row>
    <row r="18" spans="1:12" x14ac:dyDescent="0.2">
      <c r="A18" s="376" t="s">
        <v>250</v>
      </c>
      <c r="B18" s="376" t="s">
        <v>272</v>
      </c>
    </row>
    <row r="19" spans="1:12" x14ac:dyDescent="0.2">
      <c r="A19" s="376" t="s">
        <v>250</v>
      </c>
      <c r="C19" s="376" t="s">
        <v>1190</v>
      </c>
    </row>
    <row r="20" spans="1:12" x14ac:dyDescent="0.2">
      <c r="A20" s="376" t="s">
        <v>250</v>
      </c>
    </row>
    <row r="21" spans="1:12" x14ac:dyDescent="0.2">
      <c r="A21" s="376" t="s">
        <v>250</v>
      </c>
    </row>
    <row r="22" spans="1:12" x14ac:dyDescent="0.2">
      <c r="A22" s="376" t="s">
        <v>365</v>
      </c>
    </row>
    <row r="23" spans="1:12" x14ac:dyDescent="0.2">
      <c r="B23" s="376" t="s">
        <v>1189</v>
      </c>
    </row>
    <row r="24" spans="1:12" x14ac:dyDescent="0.2">
      <c r="C24" s="376" t="s">
        <v>435</v>
      </c>
      <c r="D24" s="376" t="s">
        <v>671</v>
      </c>
      <c r="E24" s="376" t="s">
        <v>436</v>
      </c>
      <c r="F24" s="376" t="s">
        <v>437</v>
      </c>
      <c r="G24" s="376" t="s">
        <v>438</v>
      </c>
      <c r="H24" s="376" t="s">
        <v>916</v>
      </c>
    </row>
    <row r="25" spans="1:12" x14ac:dyDescent="0.2">
      <c r="C25" s="376" t="s">
        <v>442</v>
      </c>
      <c r="D25" s="376" t="s">
        <v>632</v>
      </c>
      <c r="E25" s="376" t="s">
        <v>439</v>
      </c>
      <c r="F25" s="376" t="s">
        <v>440</v>
      </c>
      <c r="G25" s="376" t="s">
        <v>441</v>
      </c>
      <c r="H25" s="376" t="s">
        <v>441</v>
      </c>
      <c r="K25" s="376" t="s">
        <v>670</v>
      </c>
    </row>
    <row r="26" spans="1:12" x14ac:dyDescent="0.2">
      <c r="C26" s="376" t="str">
        <f>'[2]2022SpcFunc BEMEnums Gen'!A15</f>
        <v>Auditorium Area</v>
      </c>
      <c r="D26" s="376">
        <v>1</v>
      </c>
      <c r="E26" s="376">
        <v>300</v>
      </c>
      <c r="F26" s="376">
        <v>3</v>
      </c>
      <c r="G26" s="376">
        <v>0.2</v>
      </c>
      <c r="H26" s="376">
        <v>0.35</v>
      </c>
      <c r="K26" s="376" t="s">
        <v>250</v>
      </c>
      <c r="L26" s="376" t="e">
        <f ca="1">OFFSET('[2]For CSV - 2022 SpcFuncData'!$B$4,MATCH($C26,'[2]For CSV - 2022 SpcFuncData'!$B$5:$B$88,0),38,1,1)</f>
        <v>#VALUE!</v>
      </c>
    </row>
    <row r="27" spans="1:12" x14ac:dyDescent="0.2">
      <c r="C27" s="376" t="str">
        <f>'[2]2022SpcFunc BEMEnums Gen'!A22</f>
        <v>Convention, Conference, Multipurpose and Meeting Area</v>
      </c>
      <c r="D27" s="376">
        <v>1</v>
      </c>
      <c r="E27" s="376">
        <v>300</v>
      </c>
      <c r="F27" s="376">
        <v>2</v>
      </c>
      <c r="G27" s="376">
        <v>0.3</v>
      </c>
      <c r="H27" s="376">
        <v>0.35</v>
      </c>
      <c r="K27" s="376" t="s">
        <v>250</v>
      </c>
      <c r="L27" s="376" t="e">
        <f ca="1">OFFSET('[2]For CSV - 2022 SpcFuncData'!$B$4,MATCH($C27,'[2]For CSV - 2022 SpcFuncData'!$B$5:$B$88,0),38,1,1)</f>
        <v>#VALUE!</v>
      </c>
    </row>
    <row r="28" spans="1:12" x14ac:dyDescent="0.2">
      <c r="C28" s="376" t="str">
        <f>'[2]2022SpcFunc BEMEnums Gen'!A25</f>
        <v>Dining Area (Bar/Lounge and Fine Dining)</v>
      </c>
      <c r="D28" s="376">
        <v>1</v>
      </c>
      <c r="E28" s="376">
        <v>200</v>
      </c>
      <c r="F28" s="376">
        <v>1.25</v>
      </c>
      <c r="G28" s="376">
        <v>0.45</v>
      </c>
      <c r="H28" s="376">
        <v>0.35</v>
      </c>
      <c r="K28" s="376" t="s">
        <v>250</v>
      </c>
      <c r="L28" s="376" t="e">
        <f ca="1">OFFSET('[2]For CSV - 2022 SpcFuncData'!$B$4,MATCH($C28,'[2]For CSV - 2022 SpcFuncData'!$B$5:$B$88,0),38,1,1)</f>
        <v>#VALUE!</v>
      </c>
    </row>
    <row r="29" spans="1:12" x14ac:dyDescent="0.2">
      <c r="C29" s="376" t="str">
        <f>'[2]2022SpcFunc BEMEnums Gen'!A26</f>
        <v>Dining Area (Cafetaria/Fast Food)</v>
      </c>
      <c r="D29" s="376">
        <v>1</v>
      </c>
      <c r="E29" s="376">
        <v>200</v>
      </c>
      <c r="F29" s="376">
        <v>1.25</v>
      </c>
      <c r="G29" s="376">
        <v>0.45</v>
      </c>
      <c r="H29" s="376">
        <v>0.35</v>
      </c>
      <c r="K29" s="376" t="s">
        <v>250</v>
      </c>
      <c r="L29" s="376" t="e">
        <f ca="1">OFFSET('[2]For CSV - 2022 SpcFuncData'!$B$4,MATCH($C29,'[2]For CSV - 2022 SpcFuncData'!$B$5:$B$88,0),38,1,1)</f>
        <v>#VALUE!</v>
      </c>
    </row>
    <row r="30" spans="1:12" x14ac:dyDescent="0.2">
      <c r="C30" s="376" t="str">
        <f>'[2]2022SpcFunc BEMEnums Gen'!A27</f>
        <v>Dining Area (Family and Leisure)</v>
      </c>
      <c r="D30" s="376">
        <v>1</v>
      </c>
      <c r="E30" s="376">
        <v>200</v>
      </c>
      <c r="F30" s="376">
        <v>1.25</v>
      </c>
      <c r="G30" s="376">
        <v>0.45</v>
      </c>
      <c r="H30" s="376">
        <v>0.35</v>
      </c>
      <c r="K30" s="376" t="s">
        <v>250</v>
      </c>
      <c r="L30" s="376" t="e">
        <f ca="1">OFFSET('[2]For CSV - 2022 SpcFuncData'!$B$4,MATCH($C30,'[2]For CSV - 2022 SpcFuncData'!$B$5:$B$88,0),38,1,1)</f>
        <v>#VALUE!</v>
      </c>
    </row>
    <row r="31" spans="1:12" x14ac:dyDescent="0.2">
      <c r="C31" s="376" t="str">
        <f>'[2]2022SpcFunc BEMEnums Gen'!A55</f>
        <v>Museum Area (Exhibition/Display)</v>
      </c>
      <c r="D31" s="376">
        <v>1</v>
      </c>
      <c r="E31" s="376">
        <v>400</v>
      </c>
      <c r="F31" s="376">
        <v>11.2</v>
      </c>
      <c r="G31" s="376">
        <v>0.7</v>
      </c>
      <c r="H31" s="376">
        <v>0.35</v>
      </c>
      <c r="K31" s="376" t="s">
        <v>250</v>
      </c>
      <c r="L31" s="376" t="e">
        <f ca="1">OFFSET('[2]For CSV - 2022 SpcFuncData'!$B$4,MATCH($C31,'[2]For CSV - 2022 SpcFuncData'!$B$5:$B$88,0),38,1,1)</f>
        <v>#VALUE!</v>
      </c>
    </row>
    <row r="32" spans="1:12" x14ac:dyDescent="0.2">
      <c r="C32" s="376" t="str">
        <f>'[2]2022SpcFunc BEMEnums Gen'!A41</f>
        <v>Hotel Function Area</v>
      </c>
      <c r="D32" s="376">
        <v>1</v>
      </c>
      <c r="E32" s="376">
        <v>200</v>
      </c>
      <c r="F32" s="376">
        <v>1.8</v>
      </c>
      <c r="G32" s="376">
        <v>0.12</v>
      </c>
      <c r="H32" s="376">
        <v>0.35</v>
      </c>
      <c r="K32" s="376" t="s">
        <v>250</v>
      </c>
      <c r="L32" s="376" t="e">
        <f ca="1">OFFSET('[2]For CSV - 2022 SpcFuncData'!$B$4,MATCH($C32,'[2]For CSV - 2022 SpcFuncData'!$B$5:$B$88,0),38,1,1)</f>
        <v>#VALUE!</v>
      </c>
    </row>
    <row r="33" spans="3:12" x14ac:dyDescent="0.2">
      <c r="C33" s="376" t="str">
        <f>'[2]2022SpcFunc BEMEnums Gen'!A49</f>
        <v>Lobby, Main Entry</v>
      </c>
      <c r="D33" s="376">
        <v>1</v>
      </c>
      <c r="E33" s="376">
        <v>200</v>
      </c>
      <c r="F33" s="376">
        <v>3.4</v>
      </c>
      <c r="G33" s="376">
        <v>0.2</v>
      </c>
      <c r="H33" s="376">
        <v>0.35</v>
      </c>
      <c r="K33" s="376" t="s">
        <v>250</v>
      </c>
      <c r="L33" s="376" t="e">
        <f ca="1">OFFSET('[2]For CSV - 2022 SpcFuncData'!$B$4,MATCH($C33,'[2]For CSV - 2022 SpcFuncData'!$B$5:$B$88,0),38,1,1)</f>
        <v>#VALUE!</v>
      </c>
    </row>
    <row r="34" spans="3:12" x14ac:dyDescent="0.2">
      <c r="C34" s="376" t="str">
        <f>'[2]2022SpcFunc BEMEnums Gen'!A65</f>
        <v>Religious Worship Area</v>
      </c>
      <c r="D34" s="376">
        <v>1</v>
      </c>
      <c r="E34" s="376">
        <v>300</v>
      </c>
      <c r="F34" s="376">
        <v>1.3</v>
      </c>
      <c r="G34" s="376">
        <v>0.4</v>
      </c>
      <c r="H34" s="376">
        <v>0.35</v>
      </c>
      <c r="K34" s="376" t="s">
        <v>250</v>
      </c>
      <c r="L34" s="376" t="e">
        <f ca="1">OFFSET('[2]For CSV - 2022 SpcFuncData'!$B$4,MATCH($C34,'[2]For CSV - 2022 SpcFuncData'!$B$5:$B$88,0),38,1,1)</f>
        <v>#VALUE!</v>
      </c>
    </row>
    <row r="35" spans="3:12" x14ac:dyDescent="0.2">
      <c r="C35" s="376" t="str">
        <f>'[2]2022SpcFunc BEMEnums Gen'!A62</f>
        <v>Retail Sales Area (Grocery Sales)</v>
      </c>
      <c r="D35" s="376">
        <v>1</v>
      </c>
      <c r="E35" s="376">
        <v>600</v>
      </c>
      <c r="F35" s="376">
        <v>6.6</v>
      </c>
      <c r="G35" s="376">
        <v>0.6</v>
      </c>
      <c r="H35" s="376">
        <v>0.35</v>
      </c>
      <c r="K35" s="376" t="s">
        <v>250</v>
      </c>
      <c r="L35" s="376" t="e">
        <f ca="1">OFFSET('[2]For CSV - 2022 SpcFuncData'!$B$4,MATCH($C35,'[2]For CSV - 2022 SpcFuncData'!$B$5:$B$88,0),38,1,1)</f>
        <v>#VALUE!</v>
      </c>
    </row>
    <row r="36" spans="3:12" x14ac:dyDescent="0.2">
      <c r="C36" s="376" t="str">
        <f>'[2]2022SpcFunc BEMEnums Gen'!A63</f>
        <v>Retail Sales Area (Retail Merchandise Sales)</v>
      </c>
      <c r="D36" s="376">
        <v>1</v>
      </c>
      <c r="E36" s="376">
        <v>500</v>
      </c>
      <c r="F36" s="376">
        <v>11.5</v>
      </c>
      <c r="G36" s="376">
        <v>0.7</v>
      </c>
      <c r="H36" s="376">
        <v>0.35</v>
      </c>
      <c r="K36" s="376" t="s">
        <v>250</v>
      </c>
      <c r="L36" s="376" t="e">
        <f ca="1">OFFSET('[2]For CSV - 2022 SpcFuncData'!$B$4,MATCH($C36,'[2]For CSV - 2022 SpcFuncData'!$B$5:$B$88,0),38,1,1)</f>
        <v>#VALUE!</v>
      </c>
    </row>
    <row r="37" spans="3:12" x14ac:dyDescent="0.2">
      <c r="C37" s="376" t="str">
        <f>'[2]2022SpcFunc BEMEnums Gen'!A75</f>
        <v>Theater Area (Motion Picture)</v>
      </c>
      <c r="D37" s="376">
        <v>1</v>
      </c>
      <c r="E37" s="376">
        <v>200</v>
      </c>
      <c r="F37" s="376">
        <v>2</v>
      </c>
      <c r="G37" s="376">
        <v>0.2</v>
      </c>
      <c r="H37" s="376">
        <v>0.35</v>
      </c>
      <c r="K37" s="376" t="s">
        <v>250</v>
      </c>
      <c r="L37" s="376" t="e">
        <f ca="1">OFFSET('[2]For CSV - 2022 SpcFuncData'!$B$4,MATCH($C37,'[2]For CSV - 2022 SpcFuncData'!$B$5:$B$88,0),38,1,1)</f>
        <v>#VALUE!</v>
      </c>
    </row>
    <row r="38" spans="3:12" x14ac:dyDescent="0.2">
      <c r="C38" s="376" t="str">
        <f>'[2]2022SpcFunc BEMEnums Gen'!A76</f>
        <v>Theater Area (Performance)</v>
      </c>
      <c r="D38" s="376">
        <v>1</v>
      </c>
      <c r="E38" s="376">
        <v>200</v>
      </c>
      <c r="F38" s="376">
        <v>7.3</v>
      </c>
      <c r="G38" s="376">
        <v>0.2</v>
      </c>
      <c r="H38" s="376">
        <v>0.35</v>
      </c>
      <c r="K38" s="376" t="s">
        <v>250</v>
      </c>
      <c r="L38" s="376" t="e">
        <f ca="1">OFFSET('[2]For CSV - 2022 SpcFuncData'!$B$4,MATCH($C38,'[2]For CSV - 2022 SpcFuncData'!$B$5:$B$88,0),38,1,1)</f>
        <v>#VALUE!</v>
      </c>
    </row>
    <row r="39" spans="3:12" x14ac:dyDescent="0.2">
      <c r="C39" s="376" t="str">
        <f>'[2]2022SpcFunc BEMEnums Gen'!A83</f>
        <v>All other</v>
      </c>
      <c r="D39" s="376">
        <v>0</v>
      </c>
      <c r="E39" s="376">
        <v>-999</v>
      </c>
      <c r="F39" s="376">
        <v>-999</v>
      </c>
      <c r="G39" s="376">
        <v>-999</v>
      </c>
      <c r="H39" s="376">
        <v>-999</v>
      </c>
      <c r="K39" s="376" t="s">
        <v>250</v>
      </c>
      <c r="L39" s="376" t="e">
        <f ca="1">OFFSET('[2]For CSV - 2022 SpcFuncData'!$B$4,MATCH($C39,'[2]For CSV - 2022 SpcFuncData'!$B$5:$B$88,0),38,1,1)</f>
        <v>#VALUE!</v>
      </c>
    </row>
    <row r="40" spans="3:12" x14ac:dyDescent="0.2">
      <c r="C40" s="376" t="str">
        <f>'[2]2022SpcFunc BEMEnums Gen'!A6</f>
        <v>Aging Eye/Low-vision (Corridor Area)</v>
      </c>
      <c r="D40" s="376">
        <v>0</v>
      </c>
      <c r="E40" s="376">
        <v>-999</v>
      </c>
      <c r="F40" s="376">
        <v>-999</v>
      </c>
      <c r="G40" s="376">
        <v>-999</v>
      </c>
      <c r="H40" s="376">
        <v>-999</v>
      </c>
      <c r="K40" s="376" t="s">
        <v>250</v>
      </c>
      <c r="L40" s="376" t="e">
        <f ca="1">OFFSET('[2]For CSV - 2022 SpcFuncData'!$B$4,MATCH($C40,'[2]For CSV - 2022 SpcFuncData'!$B$5:$B$88,0),38,1,1)</f>
        <v>#VALUE!</v>
      </c>
    </row>
    <row r="41" spans="3:12" x14ac:dyDescent="0.2">
      <c r="C41" s="376" t="str">
        <f>'[2]2022SpcFunc BEMEnums Gen'!A7</f>
        <v>Aging Eye/Low-vision (Dining)</v>
      </c>
      <c r="D41" s="376">
        <v>0</v>
      </c>
      <c r="E41" s="376">
        <v>-999</v>
      </c>
      <c r="F41" s="376">
        <v>-999</v>
      </c>
      <c r="G41" s="376">
        <v>-999</v>
      </c>
      <c r="H41" s="376">
        <v>-999</v>
      </c>
      <c r="K41" s="376" t="s">
        <v>250</v>
      </c>
      <c r="L41" s="376" t="e">
        <f ca="1">OFFSET('[2]For CSV - 2022 SpcFuncData'!$B$4,MATCH($C41,'[2]For CSV - 2022 SpcFuncData'!$B$5:$B$88,0),38,1,1)</f>
        <v>#VALUE!</v>
      </c>
    </row>
    <row r="42" spans="3:12" x14ac:dyDescent="0.2">
      <c r="C42" s="376" t="str">
        <f>'[2]2022SpcFunc BEMEnums Gen'!A8</f>
        <v>Aging Eye/Low-vision (Lobby, Main Entry)</v>
      </c>
      <c r="D42" s="376">
        <v>0</v>
      </c>
      <c r="E42" s="376">
        <v>-999</v>
      </c>
      <c r="F42" s="376">
        <v>-999</v>
      </c>
      <c r="G42" s="376">
        <v>-999</v>
      </c>
      <c r="H42" s="376">
        <v>-999</v>
      </c>
      <c r="K42" s="376" t="s">
        <v>250</v>
      </c>
      <c r="L42" s="376" t="e">
        <f ca="1">OFFSET('[2]For CSV - 2022 SpcFuncData'!$B$4,MATCH($C42,'[2]For CSV - 2022 SpcFuncData'!$B$5:$B$88,0),38,1,1)</f>
        <v>#VALUE!</v>
      </c>
    </row>
    <row r="43" spans="3:12" x14ac:dyDescent="0.2">
      <c r="C43" s="376" t="str">
        <f>'[2]2022SpcFunc BEMEnums Gen'!A9</f>
        <v>Aging Eye/Low-vision (Lounge/Waiting Area)</v>
      </c>
      <c r="D43" s="376">
        <v>0</v>
      </c>
      <c r="E43" s="376">
        <v>-999</v>
      </c>
      <c r="F43" s="376">
        <v>-999</v>
      </c>
      <c r="G43" s="376">
        <v>-999</v>
      </c>
      <c r="H43" s="376">
        <v>-999</v>
      </c>
      <c r="K43" s="376" t="s">
        <v>250</v>
      </c>
      <c r="L43" s="376" t="e">
        <f ca="1">OFFSET('[2]For CSV - 2022 SpcFuncData'!$B$4,MATCH($C43,'[2]For CSV - 2022 SpcFuncData'!$B$5:$B$88,0),38,1,1)</f>
        <v>#VALUE!</v>
      </c>
    </row>
    <row r="44" spans="3:12" x14ac:dyDescent="0.2">
      <c r="C44" s="376" t="str">
        <f>'[2]2022SpcFunc BEMEnums Gen'!A10</f>
        <v>Aging Eye/Low-vision (Multipurpose Room)</v>
      </c>
      <c r="D44" s="376">
        <v>0</v>
      </c>
      <c r="E44" s="376">
        <v>-999</v>
      </c>
      <c r="F44" s="376">
        <v>-999</v>
      </c>
      <c r="G44" s="376">
        <v>-999</v>
      </c>
      <c r="H44" s="376">
        <v>-999</v>
      </c>
      <c r="K44" s="376" t="s">
        <v>250</v>
      </c>
      <c r="L44" s="376" t="e">
        <f ca="1">OFFSET('[2]For CSV - 2022 SpcFuncData'!$B$4,MATCH($C44,'[2]For CSV - 2022 SpcFuncData'!$B$5:$B$88,0),38,1,1)</f>
        <v>#VALUE!</v>
      </c>
    </row>
    <row r="45" spans="3:12" x14ac:dyDescent="0.2">
      <c r="C45" s="376" t="str">
        <f>'[2]2022SpcFunc BEMEnums Gen'!A11</f>
        <v>Aging Eye/Low-vision (Religious Worship Area)</v>
      </c>
      <c r="D45" s="376">
        <v>0</v>
      </c>
      <c r="E45" s="376">
        <v>-999</v>
      </c>
      <c r="F45" s="376">
        <v>-999</v>
      </c>
      <c r="G45" s="376">
        <v>-999</v>
      </c>
      <c r="H45" s="376">
        <v>-999</v>
      </c>
      <c r="K45" s="376" t="s">
        <v>250</v>
      </c>
      <c r="L45" s="376" t="e">
        <f ca="1">OFFSET('[2]For CSV - 2022 SpcFuncData'!$B$4,MATCH($C45,'[2]For CSV - 2022 SpcFuncData'!$B$5:$B$88,0),38,1,1)</f>
        <v>#VALUE!</v>
      </c>
    </row>
    <row r="46" spans="3:12" x14ac:dyDescent="0.2">
      <c r="C46" s="376" t="str">
        <f>'[2]2022SpcFunc BEMEnums Gen'!A12</f>
        <v>Aging Eye/Low-vision (Restroom)</v>
      </c>
      <c r="D46" s="376">
        <v>0</v>
      </c>
      <c r="E46" s="376">
        <v>-999</v>
      </c>
      <c r="F46" s="376">
        <v>-999</v>
      </c>
      <c r="G46" s="376">
        <v>-999</v>
      </c>
      <c r="H46" s="376">
        <v>-999</v>
      </c>
      <c r="K46" s="376" t="s">
        <v>250</v>
      </c>
      <c r="L46" s="376" t="e">
        <f ca="1">OFFSET('[2]For CSV - 2022 SpcFuncData'!$B$4,MATCH($C46,'[2]For CSV - 2022 SpcFuncData'!$B$5:$B$88,0),38,1,1)</f>
        <v>#VALUE!</v>
      </c>
    </row>
    <row r="47" spans="3:12" x14ac:dyDescent="0.2">
      <c r="C47" s="376" t="str">
        <f>'[2]2022SpcFunc BEMEnums Gen'!A13</f>
        <v>Aging Eye/Low-vision (Stairwell)</v>
      </c>
      <c r="D47" s="376">
        <v>0</v>
      </c>
      <c r="E47" s="376">
        <v>-999</v>
      </c>
      <c r="F47" s="376">
        <v>-999</v>
      </c>
      <c r="G47" s="376">
        <v>-999</v>
      </c>
      <c r="H47" s="376">
        <v>-999</v>
      </c>
      <c r="K47" s="376" t="s">
        <v>250</v>
      </c>
      <c r="L47" s="376" t="e">
        <f ca="1">OFFSET('[2]For CSV - 2022 SpcFuncData'!$B$4,MATCH($C47,'[2]For CSV - 2022 SpcFuncData'!$B$5:$B$88,0),38,1,1)</f>
        <v>#VALUE!</v>
      </c>
    </row>
    <row r="48" spans="3:12" x14ac:dyDescent="0.2">
      <c r="C48" s="376" t="str">
        <f>'[2]2022SpcFunc BEMEnums Gen'!A14</f>
        <v>Audience Seating Area</v>
      </c>
      <c r="D48" s="376">
        <v>0</v>
      </c>
      <c r="E48" s="376">
        <v>-999</v>
      </c>
      <c r="F48" s="376">
        <v>-999</v>
      </c>
      <c r="G48" s="376">
        <v>-999</v>
      </c>
      <c r="H48" s="376">
        <v>-999</v>
      </c>
      <c r="K48" s="376" t="s">
        <v>250</v>
      </c>
      <c r="L48" s="376" t="e">
        <f ca="1">OFFSET('[2]For CSV - 2022 SpcFuncData'!$B$4,MATCH($C48,'[2]For CSV - 2022 SpcFuncData'!$B$5:$B$88,0),38,1,1)</f>
        <v>#VALUE!</v>
      </c>
    </row>
    <row r="49" spans="3:12" x14ac:dyDescent="0.2">
      <c r="C49" s="376" t="str">
        <f>'[2]2022SpcFunc BEMEnums Gen'!A16</f>
        <v>Auto Repair / Maintenance Area</v>
      </c>
      <c r="D49" s="376">
        <v>0</v>
      </c>
      <c r="E49" s="376">
        <v>-999</v>
      </c>
      <c r="F49" s="376">
        <v>-999</v>
      </c>
      <c r="G49" s="376">
        <v>-999</v>
      </c>
      <c r="H49" s="376">
        <v>-999</v>
      </c>
      <c r="K49" s="376" t="s">
        <v>250</v>
      </c>
      <c r="L49" s="376" t="e">
        <f ca="1">OFFSET('[2]For CSV - 2022 SpcFuncData'!$B$4,MATCH($C49,'[2]For CSV - 2022 SpcFuncData'!$B$5:$B$88,0),38,1,1)</f>
        <v>#VALUE!</v>
      </c>
    </row>
    <row r="50" spans="3:12" x14ac:dyDescent="0.2">
      <c r="C50" s="376" t="str">
        <f>'[2]2022SpcFunc BEMEnums Gen'!A17</f>
        <v>Barber, Beauty Salon, Spa Area</v>
      </c>
      <c r="D50" s="376">
        <v>0</v>
      </c>
      <c r="E50" s="376">
        <v>-999</v>
      </c>
      <c r="F50" s="376">
        <v>-999</v>
      </c>
      <c r="G50" s="376">
        <v>-999</v>
      </c>
      <c r="H50" s="376">
        <v>-999</v>
      </c>
      <c r="K50" s="376" t="s">
        <v>250</v>
      </c>
      <c r="L50" s="376" t="e">
        <f ca="1">OFFSET('[2]For CSV - 2022 SpcFuncData'!$B$4,MATCH($C50,'[2]For CSV - 2022 SpcFuncData'!$B$5:$B$88,0),38,1,1)</f>
        <v>#VALUE!</v>
      </c>
    </row>
    <row r="51" spans="3:12" x14ac:dyDescent="0.2">
      <c r="C51" s="376" t="str">
        <f>'[2]2022SpcFunc BEMEnums Gen'!A18</f>
        <v>Civic Meeting Place Area</v>
      </c>
      <c r="D51" s="376">
        <v>0</v>
      </c>
      <c r="E51" s="376">
        <v>-999</v>
      </c>
      <c r="F51" s="376">
        <v>-999</v>
      </c>
      <c r="G51" s="376">
        <v>-999</v>
      </c>
      <c r="H51" s="376">
        <v>-999</v>
      </c>
      <c r="K51" s="376" t="s">
        <v>250</v>
      </c>
      <c r="L51" s="376" t="e">
        <f ca="1">OFFSET('[2]For CSV - 2022 SpcFuncData'!$B$4,MATCH($C51,'[2]For CSV - 2022 SpcFuncData'!$B$5:$B$88,0),38,1,1)</f>
        <v>#VALUE!</v>
      </c>
    </row>
    <row r="52" spans="3:12" x14ac:dyDescent="0.2">
      <c r="C52" s="376" t="str">
        <f>'[2]2022SpcFunc BEMEnums Gen'!A19</f>
        <v>Classroom, Lecture, Training, Vocational Areas</v>
      </c>
      <c r="D52" s="376">
        <v>0</v>
      </c>
      <c r="E52" s="376">
        <v>-999</v>
      </c>
      <c r="F52" s="376">
        <v>-999</v>
      </c>
      <c r="G52" s="376">
        <v>-999</v>
      </c>
      <c r="H52" s="376">
        <v>-999</v>
      </c>
      <c r="K52" s="376" t="s">
        <v>250</v>
      </c>
      <c r="L52" s="376" t="e">
        <f ca="1">OFFSET('[2]For CSV - 2022 SpcFuncData'!$B$4,MATCH($C52,'[2]For CSV - 2022 SpcFuncData'!$B$5:$B$88,0),38,1,1)</f>
        <v>#VALUE!</v>
      </c>
    </row>
    <row r="53" spans="3:12" x14ac:dyDescent="0.2">
      <c r="C53" s="376" t="str">
        <f>'[2]2022SpcFunc BEMEnums Gen'!A20</f>
        <v>Computer Room</v>
      </c>
      <c r="D53" s="376">
        <v>0</v>
      </c>
      <c r="E53" s="376">
        <v>-999</v>
      </c>
      <c r="F53" s="376">
        <v>-999</v>
      </c>
      <c r="G53" s="376">
        <v>-999</v>
      </c>
      <c r="H53" s="376">
        <v>-999</v>
      </c>
      <c r="K53" s="376" t="s">
        <v>250</v>
      </c>
      <c r="L53" s="376" t="e">
        <f ca="1">OFFSET('[2]For CSV - 2022 SpcFuncData'!$B$4,MATCH($C53,'[2]For CSV - 2022 SpcFuncData'!$B$5:$B$88,0),38,1,1)</f>
        <v>#VALUE!</v>
      </c>
    </row>
    <row r="54" spans="3:12" x14ac:dyDescent="0.2">
      <c r="C54" s="376" t="str">
        <f>'[2]2022SpcFunc BEMEnums Gen'!A21</f>
        <v>Concourse and Atria Area</v>
      </c>
      <c r="D54" s="376">
        <v>0</v>
      </c>
      <c r="E54" s="376">
        <v>-999</v>
      </c>
      <c r="F54" s="376">
        <v>-999</v>
      </c>
      <c r="G54" s="376">
        <v>-999</v>
      </c>
      <c r="H54" s="376">
        <v>-999</v>
      </c>
      <c r="K54" s="376" t="s">
        <v>250</v>
      </c>
      <c r="L54" s="376" t="e">
        <f ca="1">OFFSET('[2]For CSV - 2022 SpcFuncData'!$B$4,MATCH($C54,'[2]For CSV - 2022 SpcFuncData'!$B$5:$B$88,0),38,1,1)</f>
        <v>#VALUE!</v>
      </c>
    </row>
    <row r="55" spans="3:12" x14ac:dyDescent="0.2">
      <c r="C55" s="376" t="str">
        <f>'[2]2022SpcFunc BEMEnums Gen'!A23</f>
        <v>Copy Room</v>
      </c>
      <c r="D55" s="376">
        <v>0</v>
      </c>
      <c r="E55" s="376">
        <v>-999</v>
      </c>
      <c r="F55" s="376">
        <v>-999</v>
      </c>
      <c r="G55" s="376">
        <v>-999</v>
      </c>
      <c r="H55" s="376">
        <v>-999</v>
      </c>
      <c r="K55" s="376" t="s">
        <v>250</v>
      </c>
      <c r="L55" s="376" t="e">
        <f ca="1">OFFSET('[2]For CSV - 2022 SpcFuncData'!$B$4,MATCH($C55,'[2]For CSV - 2022 SpcFuncData'!$B$5:$B$88,0),38,1,1)</f>
        <v>#VALUE!</v>
      </c>
    </row>
    <row r="56" spans="3:12" x14ac:dyDescent="0.2">
      <c r="C56" s="376" t="str">
        <f>'[2]2022SpcFunc BEMEnums Gen'!A24</f>
        <v>Corridor Area</v>
      </c>
      <c r="D56" s="376">
        <v>0</v>
      </c>
      <c r="E56" s="376">
        <v>-999</v>
      </c>
      <c r="F56" s="376">
        <v>-999</v>
      </c>
      <c r="G56" s="376">
        <v>-999</v>
      </c>
      <c r="H56" s="376">
        <v>-999</v>
      </c>
      <c r="K56" s="376" t="s">
        <v>250</v>
      </c>
      <c r="L56" s="376" t="e">
        <f ca="1">OFFSET('[2]For CSV - 2022 SpcFuncData'!$B$4,MATCH($C56,'[2]For CSV - 2022 SpcFuncData'!$B$5:$B$88,0),38,1,1)</f>
        <v>#VALUE!</v>
      </c>
    </row>
    <row r="57" spans="3:12" x14ac:dyDescent="0.2">
      <c r="C57" s="376" t="str">
        <f>'[2]2022SpcFunc BEMEnums Gen'!A28</f>
        <v>Electrical, Mechanical, Telephone Rooms</v>
      </c>
      <c r="D57" s="376">
        <v>0</v>
      </c>
      <c r="E57" s="376">
        <v>-999</v>
      </c>
      <c r="F57" s="376">
        <v>-999</v>
      </c>
      <c r="G57" s="376">
        <v>-999</v>
      </c>
      <c r="H57" s="376">
        <v>-999</v>
      </c>
      <c r="K57" s="376" t="s">
        <v>250</v>
      </c>
      <c r="L57" s="376" t="e">
        <f ca="1">OFFSET('[2]For CSV - 2022 SpcFuncData'!$B$4,MATCH($C57,'[2]For CSV - 2022 SpcFuncData'!$B$5:$B$88,0),38,1,1)</f>
        <v>#VALUE!</v>
      </c>
    </row>
    <row r="58" spans="3:12" x14ac:dyDescent="0.2">
      <c r="C58" s="376" t="str">
        <f>'[2]2022SpcFunc BEMEnums Gen'!A29</f>
        <v>Exercise/Fitness Center and Gymnasium Areas</v>
      </c>
      <c r="D58" s="376">
        <v>0</v>
      </c>
      <c r="E58" s="376">
        <v>-999</v>
      </c>
      <c r="F58" s="376">
        <v>-999</v>
      </c>
      <c r="G58" s="376">
        <v>-999</v>
      </c>
      <c r="H58" s="376">
        <v>-999</v>
      </c>
      <c r="K58" s="376" t="s">
        <v>250</v>
      </c>
      <c r="L58" s="376" t="e">
        <f ca="1">OFFSET('[2]For CSV - 2022 SpcFuncData'!$B$4,MATCH($C58,'[2]For CSV - 2022 SpcFuncData'!$B$5:$B$88,0),38,1,1)</f>
        <v>#VALUE!</v>
      </c>
    </row>
    <row r="59" spans="3:12" x14ac:dyDescent="0.2">
      <c r="C59" s="376" t="str">
        <f>'[2]2022SpcFunc BEMEnums Gen'!A30</f>
        <v>Financial Transaction Area</v>
      </c>
      <c r="D59" s="376">
        <v>0</v>
      </c>
      <c r="E59" s="376">
        <v>-999</v>
      </c>
      <c r="F59" s="376">
        <v>-999</v>
      </c>
      <c r="G59" s="376">
        <v>-999</v>
      </c>
      <c r="H59" s="376">
        <v>-999</v>
      </c>
      <c r="K59" s="376" t="s">
        <v>250</v>
      </c>
      <c r="L59" s="376" t="e">
        <f ca="1">OFFSET('[2]For CSV - 2022 SpcFuncData'!$B$4,MATCH($C59,'[2]For CSV - 2022 SpcFuncData'!$B$5:$B$88,0),38,1,1)</f>
        <v>#VALUE!</v>
      </c>
    </row>
    <row r="60" spans="3:12" x14ac:dyDescent="0.2">
      <c r="C60" s="376" t="str">
        <f>'[2]2022SpcFunc BEMEnums Gen'!A31</f>
        <v>Healthcare Facility and Hospitals (Exam/Treatment Room)</v>
      </c>
      <c r="D60" s="376">
        <v>0</v>
      </c>
      <c r="E60" s="376">
        <v>-999</v>
      </c>
      <c r="F60" s="376">
        <v>-999</v>
      </c>
      <c r="G60" s="376">
        <v>-999</v>
      </c>
      <c r="H60" s="376">
        <v>-999</v>
      </c>
      <c r="K60" s="376" t="s">
        <v>250</v>
      </c>
      <c r="L60" s="376" t="e">
        <f ca="1">OFFSET('[2]For CSV - 2022 SpcFuncData'!$B$4,MATCH($C60,'[2]For CSV - 2022 SpcFuncData'!$B$5:$B$88,0),38,1,1)</f>
        <v>#VALUE!</v>
      </c>
    </row>
    <row r="61" spans="3:12" x14ac:dyDescent="0.2">
      <c r="C61" s="376" t="str">
        <f>'[2]2022SpcFunc BEMEnums Gen'!A32</f>
        <v>Healthcare Facility and Hospitals (Imaging Room)</v>
      </c>
      <c r="D61" s="376">
        <v>0</v>
      </c>
      <c r="E61" s="376">
        <v>-999</v>
      </c>
      <c r="F61" s="376">
        <v>-999</v>
      </c>
      <c r="G61" s="376">
        <v>-999</v>
      </c>
      <c r="H61" s="376">
        <v>-999</v>
      </c>
      <c r="K61" s="376" t="s">
        <v>250</v>
      </c>
      <c r="L61" s="376" t="e">
        <f ca="1">OFFSET('[2]For CSV - 2022 SpcFuncData'!$B$4,MATCH($C61,'[2]For CSV - 2022 SpcFuncData'!$B$5:$B$88,0),38,1,1)</f>
        <v>#VALUE!</v>
      </c>
    </row>
    <row r="62" spans="3:12" x14ac:dyDescent="0.2">
      <c r="C62" s="376" t="str">
        <f>'[2]2022SpcFunc BEMEnums Gen'!A33</f>
        <v>Healthcare Facility and Hospitals (Medical Supply Room)</v>
      </c>
      <c r="D62" s="376">
        <v>0</v>
      </c>
      <c r="E62" s="376">
        <v>-999</v>
      </c>
      <c r="F62" s="376">
        <v>-999</v>
      </c>
      <c r="G62" s="376">
        <v>-999</v>
      </c>
      <c r="H62" s="376">
        <v>-999</v>
      </c>
      <c r="K62" s="376" t="s">
        <v>250</v>
      </c>
      <c r="L62" s="376" t="e">
        <f ca="1">OFFSET('[2]For CSV - 2022 SpcFuncData'!$B$4,MATCH($C62,'[2]For CSV - 2022 SpcFuncData'!$B$5:$B$88,0),38,1,1)</f>
        <v>#VALUE!</v>
      </c>
    </row>
    <row r="63" spans="3:12" x14ac:dyDescent="0.2">
      <c r="C63" s="376" t="str">
        <f>'[2]2022SpcFunc BEMEnums Gen'!A34</f>
        <v>Healthcare Facility and Hospitals (Nursery)</v>
      </c>
      <c r="D63" s="376">
        <v>0</v>
      </c>
      <c r="E63" s="376">
        <v>-999</v>
      </c>
      <c r="F63" s="376">
        <v>-999</v>
      </c>
      <c r="G63" s="376">
        <v>-999</v>
      </c>
      <c r="H63" s="376">
        <v>-999</v>
      </c>
      <c r="K63" s="376" t="s">
        <v>250</v>
      </c>
      <c r="L63" s="376" t="e">
        <f ca="1">OFFSET('[2]For CSV - 2022 SpcFuncData'!$B$4,MATCH($C63,'[2]For CSV - 2022 SpcFuncData'!$B$5:$B$88,0),38,1,1)</f>
        <v>#VALUE!</v>
      </c>
    </row>
    <row r="64" spans="3:12" x14ac:dyDescent="0.2">
      <c r="C64" s="376" t="str">
        <f>'[2]2022SpcFunc BEMEnums Gen'!A35</f>
        <v>Healthcare Facility and Hospitals (Nurse's Station)</v>
      </c>
      <c r="D64" s="376">
        <v>0</v>
      </c>
      <c r="E64" s="376">
        <v>-999</v>
      </c>
      <c r="F64" s="376">
        <v>-999</v>
      </c>
      <c r="G64" s="376">
        <v>-999</v>
      </c>
      <c r="H64" s="376">
        <v>-999</v>
      </c>
      <c r="K64" s="376" t="s">
        <v>250</v>
      </c>
      <c r="L64" s="376" t="e">
        <f ca="1">OFFSET('[2]For CSV - 2022 SpcFuncData'!$B$4,MATCH($C64,'[2]For CSV - 2022 SpcFuncData'!$B$5:$B$88,0),38,1,1)</f>
        <v>#VALUE!</v>
      </c>
    </row>
    <row r="65" spans="3:12" x14ac:dyDescent="0.2">
      <c r="C65" s="376" t="str">
        <f>'[2]2022SpcFunc BEMEnums Gen'!A36</f>
        <v>Healthcare Facility and Hospitals (Operating Room)</v>
      </c>
      <c r="D65" s="376">
        <v>0</v>
      </c>
      <c r="E65" s="376">
        <v>-999</v>
      </c>
      <c r="F65" s="376">
        <v>-999</v>
      </c>
      <c r="G65" s="376">
        <v>-999</v>
      </c>
      <c r="H65" s="376">
        <v>-999</v>
      </c>
      <c r="K65" s="376" t="s">
        <v>250</v>
      </c>
      <c r="L65" s="376" t="e">
        <f ca="1">OFFSET('[2]For CSV - 2022 SpcFuncData'!$B$4,MATCH($C65,'[2]For CSV - 2022 SpcFuncData'!$B$5:$B$88,0),38,1,1)</f>
        <v>#VALUE!</v>
      </c>
    </row>
    <row r="66" spans="3:12" x14ac:dyDescent="0.2">
      <c r="C66" s="376" t="str">
        <f>'[2]2022SpcFunc BEMEnums Gen'!A37</f>
        <v>Healthcare Facility and Hospitals (Patient Room)</v>
      </c>
      <c r="D66" s="376">
        <v>0</v>
      </c>
      <c r="E66" s="376">
        <v>-999</v>
      </c>
      <c r="F66" s="376">
        <v>-999</v>
      </c>
      <c r="G66" s="376">
        <v>-999</v>
      </c>
      <c r="H66" s="376">
        <v>-999</v>
      </c>
      <c r="K66" s="376" t="s">
        <v>250</v>
      </c>
      <c r="L66" s="376" t="e">
        <f ca="1">OFFSET('[2]For CSV - 2022 SpcFuncData'!$B$4,MATCH($C66,'[2]For CSV - 2022 SpcFuncData'!$B$5:$B$88,0),38,1,1)</f>
        <v>#VALUE!</v>
      </c>
    </row>
    <row r="67" spans="3:12" x14ac:dyDescent="0.2">
      <c r="C67" s="376" t="str">
        <f>'[2]2022SpcFunc BEMEnums Gen'!A38</f>
        <v>Healthcare Facility and Hospitals (Physical Therapy Room)</v>
      </c>
      <c r="D67" s="376">
        <v>0</v>
      </c>
      <c r="E67" s="376">
        <v>-999</v>
      </c>
      <c r="F67" s="376">
        <v>-999</v>
      </c>
      <c r="G67" s="376">
        <v>-999</v>
      </c>
      <c r="H67" s="376">
        <v>-999</v>
      </c>
      <c r="K67" s="376" t="s">
        <v>250</v>
      </c>
      <c r="L67" s="376" t="e">
        <f ca="1">OFFSET('[2]For CSV - 2022 SpcFuncData'!$B$4,MATCH($C67,'[2]For CSV - 2022 SpcFuncData'!$B$5:$B$88,0),38,1,1)</f>
        <v>#VALUE!</v>
      </c>
    </row>
    <row r="68" spans="3:12" x14ac:dyDescent="0.2">
      <c r="C68" s="376" t="str">
        <f>'[2]2022SpcFunc BEMEnums Gen'!A39</f>
        <v>Healthcare Facility and Hospitals (Recovery Room)</v>
      </c>
      <c r="D68" s="376">
        <v>0</v>
      </c>
      <c r="E68" s="376">
        <v>-999</v>
      </c>
      <c r="F68" s="376">
        <v>-999</v>
      </c>
      <c r="G68" s="376">
        <v>-999</v>
      </c>
      <c r="H68" s="376">
        <v>-999</v>
      </c>
      <c r="K68" s="376" t="s">
        <v>250</v>
      </c>
      <c r="L68" s="376" t="e">
        <f ca="1">OFFSET('[2]For CSV - 2022 SpcFuncData'!$B$4,MATCH($C68,'[2]For CSV - 2022 SpcFuncData'!$B$5:$B$88,0),38,1,1)</f>
        <v>#VALUE!</v>
      </c>
    </row>
    <row r="69" spans="3:12" x14ac:dyDescent="0.2">
      <c r="C69" s="376" t="str">
        <f>'[2]2022SpcFunc BEMEnums Gen'!A40</f>
        <v>High-Rise Residential Living Spaces</v>
      </c>
      <c r="D69" s="376">
        <v>0</v>
      </c>
      <c r="E69" s="376">
        <v>-999</v>
      </c>
      <c r="F69" s="376">
        <v>-999</v>
      </c>
      <c r="G69" s="376">
        <v>-999</v>
      </c>
      <c r="H69" s="376">
        <v>-999</v>
      </c>
      <c r="K69" s="376" t="s">
        <v>250</v>
      </c>
      <c r="L69" s="376" t="e">
        <f ca="1">OFFSET('[2]For CSV - 2022 SpcFuncData'!$B$4,MATCH($C69,'[2]For CSV - 2022 SpcFuncData'!$B$5:$B$88,0),38,1,1)</f>
        <v>#VALUE!</v>
      </c>
    </row>
    <row r="70" spans="3:12" x14ac:dyDescent="0.2">
      <c r="C70" s="376" t="str">
        <f>'[2]2022SpcFunc BEMEnums Gen'!A42</f>
        <v>Hotel/Motel Guest Room</v>
      </c>
      <c r="D70" s="376">
        <v>0</v>
      </c>
      <c r="E70" s="376">
        <v>-999</v>
      </c>
      <c r="F70" s="376">
        <v>-999</v>
      </c>
      <c r="G70" s="376">
        <v>-999</v>
      </c>
      <c r="H70" s="376">
        <v>-999</v>
      </c>
      <c r="K70" s="376" t="s">
        <v>250</v>
      </c>
      <c r="L70" s="376" t="e">
        <f ca="1">OFFSET('[2]For CSV - 2022 SpcFuncData'!$B$4,MATCH($C70,'[2]For CSV - 2022 SpcFuncData'!$B$5:$B$88,0),38,1,1)</f>
        <v>#VALUE!</v>
      </c>
    </row>
    <row r="71" spans="3:12" x14ac:dyDescent="0.2">
      <c r="C71" s="376" t="str">
        <f>'[2]2022SpcFunc BEMEnums Gen'!A43</f>
        <v>Kitchen/Food Preparation Area</v>
      </c>
      <c r="D71" s="376">
        <v>0</v>
      </c>
      <c r="E71" s="376">
        <v>-999</v>
      </c>
      <c r="F71" s="376">
        <v>-999</v>
      </c>
      <c r="G71" s="376">
        <v>-999</v>
      </c>
      <c r="H71" s="376">
        <v>-999</v>
      </c>
      <c r="K71" s="376" t="s">
        <v>250</v>
      </c>
      <c r="L71" s="376" t="e">
        <f ca="1">OFFSET('[2]For CSV - 2022 SpcFuncData'!$B$4,MATCH($C71,'[2]For CSV - 2022 SpcFuncData'!$B$5:$B$88,0),38,1,1)</f>
        <v>#VALUE!</v>
      </c>
    </row>
    <row r="72" spans="3:12" x14ac:dyDescent="0.2">
      <c r="C72" s="376" t="str">
        <f>'[2]2022SpcFunc BEMEnums Gen'!A44</f>
        <v>Kitchenette or Residential Kitchen</v>
      </c>
      <c r="D72" s="376">
        <v>0</v>
      </c>
      <c r="E72" s="376">
        <v>-999</v>
      </c>
      <c r="F72" s="376">
        <v>-999</v>
      </c>
      <c r="G72" s="376">
        <v>-999</v>
      </c>
      <c r="H72" s="376">
        <v>-999</v>
      </c>
      <c r="K72" s="376" t="s">
        <v>250</v>
      </c>
      <c r="L72" s="376" t="e">
        <f ca="1">OFFSET('[2]For CSV - 2022 SpcFuncData'!$B$4,MATCH($C72,'[2]For CSV - 2022 SpcFuncData'!$B$5:$B$88,0),38,1,1)</f>
        <v>#VALUE!</v>
      </c>
    </row>
    <row r="73" spans="3:12" x14ac:dyDescent="0.2">
      <c r="C73" s="376" t="str">
        <f>'[2]2022SpcFunc BEMEnums Gen'!A45</f>
        <v>Laboratory, Scientific</v>
      </c>
      <c r="D73" s="376">
        <v>0</v>
      </c>
      <c r="E73" s="376">
        <v>-999</v>
      </c>
      <c r="F73" s="376">
        <v>-999</v>
      </c>
      <c r="G73" s="376">
        <v>-999</v>
      </c>
      <c r="H73" s="376">
        <v>-999</v>
      </c>
      <c r="K73" s="376" t="s">
        <v>250</v>
      </c>
      <c r="L73" s="376" t="e">
        <f ca="1">OFFSET('[2]For CSV - 2022 SpcFuncData'!$B$4,MATCH($C73,'[2]For CSV - 2022 SpcFuncData'!$B$5:$B$88,0),38,1,1)</f>
        <v>#VALUE!</v>
      </c>
    </row>
    <row r="74" spans="3:12" x14ac:dyDescent="0.2">
      <c r="C74" s="376" t="str">
        <f>'[2]2022SpcFunc BEMEnums Gen'!A46</f>
        <v>Laundry Area</v>
      </c>
      <c r="D74" s="376">
        <v>0</v>
      </c>
      <c r="E74" s="376">
        <v>-999</v>
      </c>
      <c r="F74" s="376">
        <v>-999</v>
      </c>
      <c r="G74" s="376">
        <v>-999</v>
      </c>
      <c r="H74" s="376">
        <v>-999</v>
      </c>
      <c r="K74" s="376" t="s">
        <v>250</v>
      </c>
      <c r="L74" s="376" t="e">
        <f ca="1">OFFSET('[2]For CSV - 2022 SpcFuncData'!$B$4,MATCH($C74,'[2]For CSV - 2022 SpcFuncData'!$B$5:$B$88,0),38,1,1)</f>
        <v>#VALUE!</v>
      </c>
    </row>
    <row r="75" spans="3:12" x14ac:dyDescent="0.2">
      <c r="C75" s="376" t="str">
        <f>'[2]2022SpcFunc BEMEnums Gen'!A47</f>
        <v>Library (Reading Area)</v>
      </c>
      <c r="D75" s="376">
        <v>0</v>
      </c>
      <c r="E75" s="376">
        <v>-999</v>
      </c>
      <c r="F75" s="376">
        <v>-999</v>
      </c>
      <c r="G75" s="376">
        <v>-999</v>
      </c>
      <c r="H75" s="376">
        <v>-999</v>
      </c>
      <c r="K75" s="376" t="s">
        <v>250</v>
      </c>
      <c r="L75" s="376" t="e">
        <f ca="1">OFFSET('[2]For CSV - 2022 SpcFuncData'!$B$4,MATCH($C75,'[2]For CSV - 2022 SpcFuncData'!$B$5:$B$88,0),38,1,1)</f>
        <v>#VALUE!</v>
      </c>
    </row>
    <row r="76" spans="3:12" x14ac:dyDescent="0.2">
      <c r="C76" s="376" t="str">
        <f>'[2]2022SpcFunc BEMEnums Gen'!A48</f>
        <v>Library (Stacks Area)</v>
      </c>
      <c r="D76" s="376">
        <v>0</v>
      </c>
      <c r="E76" s="376">
        <v>-999</v>
      </c>
      <c r="F76" s="376">
        <v>-999</v>
      </c>
      <c r="G76" s="376">
        <v>-999</v>
      </c>
      <c r="H76" s="376">
        <v>-999</v>
      </c>
      <c r="K76" s="376" t="s">
        <v>250</v>
      </c>
      <c r="L76" s="376" t="e">
        <f ca="1">OFFSET('[2]For CSV - 2022 SpcFuncData'!$B$4,MATCH($C76,'[2]For CSV - 2022 SpcFuncData'!$B$5:$B$88,0),38,1,1)</f>
        <v>#VALUE!</v>
      </c>
    </row>
    <row r="77" spans="3:12" x14ac:dyDescent="0.2">
      <c r="C77" s="376" t="str">
        <f>'[2]2022SpcFunc BEMEnums Gen'!A50</f>
        <v>Locker Room</v>
      </c>
      <c r="D77" s="376">
        <v>0</v>
      </c>
      <c r="E77" s="376">
        <v>-999</v>
      </c>
      <c r="F77" s="376">
        <v>-999</v>
      </c>
      <c r="G77" s="376">
        <v>-999</v>
      </c>
      <c r="H77" s="376">
        <v>-999</v>
      </c>
      <c r="K77" s="376" t="s">
        <v>250</v>
      </c>
      <c r="L77" s="376" t="e">
        <f ca="1">OFFSET('[2]For CSV - 2022 SpcFuncData'!$B$4,MATCH($C77,'[2]For CSV - 2022 SpcFuncData'!$B$5:$B$88,0),38,1,1)</f>
        <v>#VALUE!</v>
      </c>
    </row>
    <row r="78" spans="3:12" x14ac:dyDescent="0.2">
      <c r="C78" s="376" t="str">
        <f>'[2]2022SpcFunc BEMEnums Gen'!A51</f>
        <v>Lounge, Breakroom, or Waiting Area</v>
      </c>
      <c r="D78" s="376">
        <v>0</v>
      </c>
      <c r="E78" s="376">
        <v>-999</v>
      </c>
      <c r="F78" s="376">
        <v>-999</v>
      </c>
      <c r="G78" s="376">
        <v>-999</v>
      </c>
      <c r="H78" s="376">
        <v>-999</v>
      </c>
      <c r="K78" s="376" t="s">
        <v>250</v>
      </c>
      <c r="L78" s="376" t="e">
        <f ca="1">OFFSET('[2]For CSV - 2022 SpcFuncData'!$B$4,MATCH($C78,'[2]For CSV - 2022 SpcFuncData'!$B$5:$B$88,0),38,1,1)</f>
        <v>#VALUE!</v>
      </c>
    </row>
    <row r="79" spans="3:12" x14ac:dyDescent="0.2">
      <c r="C79" s="376" t="str">
        <f>'[2]2022SpcFunc BEMEnums Gen'!A52</f>
        <v>Manufacturing, Commercial &amp; Industrial Work Area (Low Bay)</v>
      </c>
      <c r="D79" s="376">
        <v>0</v>
      </c>
      <c r="E79" s="376">
        <v>-999</v>
      </c>
      <c r="F79" s="376">
        <v>-999</v>
      </c>
      <c r="G79" s="376">
        <v>-999</v>
      </c>
      <c r="H79" s="376">
        <v>-999</v>
      </c>
      <c r="K79" s="376" t="s">
        <v>250</v>
      </c>
      <c r="L79" s="376" t="e">
        <f ca="1">OFFSET('[2]For CSV - 2022 SpcFuncData'!$B$4,MATCH($C79,'[2]For CSV - 2022 SpcFuncData'!$B$5:$B$88,0),38,1,1)</f>
        <v>#VALUE!</v>
      </c>
    </row>
    <row r="80" spans="3:12" x14ac:dyDescent="0.2">
      <c r="C80" s="376" t="str">
        <f>'[2]2022SpcFunc BEMEnums Gen'!A53</f>
        <v>Manufacturing, Commercial &amp; Industrial Work Area (High Bay)</v>
      </c>
      <c r="D80" s="376">
        <v>0</v>
      </c>
      <c r="E80" s="376">
        <v>-999</v>
      </c>
      <c r="F80" s="376">
        <v>-999</v>
      </c>
      <c r="G80" s="376">
        <v>-999</v>
      </c>
      <c r="H80" s="376">
        <v>-999</v>
      </c>
      <c r="K80" s="376" t="s">
        <v>250</v>
      </c>
      <c r="L80" s="376" t="e">
        <f ca="1">OFFSET('[2]For CSV - 2022 SpcFuncData'!$B$4,MATCH($C80,'[2]For CSV - 2022 SpcFuncData'!$B$5:$B$88,0),38,1,1)</f>
        <v>#VALUE!</v>
      </c>
    </row>
    <row r="81" spans="3:12" x14ac:dyDescent="0.2">
      <c r="C81" s="376" t="str">
        <f>'[2]2022SpcFunc BEMEnums Gen'!A54</f>
        <v>Manufacturing, Commercial &amp; Industrial Work Area (Precision)</v>
      </c>
      <c r="D81" s="376">
        <v>0</v>
      </c>
      <c r="E81" s="376">
        <v>-999</v>
      </c>
      <c r="F81" s="376">
        <v>-999</v>
      </c>
      <c r="G81" s="376">
        <v>-999</v>
      </c>
      <c r="H81" s="376">
        <v>-999</v>
      </c>
      <c r="K81" s="376" t="s">
        <v>250</v>
      </c>
      <c r="L81" s="376" t="e">
        <f ca="1">OFFSET('[2]For CSV - 2022 SpcFuncData'!$B$4,MATCH($C81,'[2]For CSV - 2022 SpcFuncData'!$B$5:$B$88,0),38,1,1)</f>
        <v>#VALUE!</v>
      </c>
    </row>
    <row r="82" spans="3:12" x14ac:dyDescent="0.2">
      <c r="C82" s="376" t="str">
        <f>'[2]2022SpcFunc BEMEnums Gen'!A56</f>
        <v>Museum Area (Restoration Room)</v>
      </c>
      <c r="D82" s="376">
        <v>0</v>
      </c>
      <c r="E82" s="376">
        <v>-999</v>
      </c>
      <c r="F82" s="376">
        <v>-999</v>
      </c>
      <c r="G82" s="376">
        <v>-999</v>
      </c>
      <c r="H82" s="376">
        <v>-999</v>
      </c>
      <c r="K82" s="376" t="s">
        <v>250</v>
      </c>
      <c r="L82" s="376" t="e">
        <f ca="1">OFFSET('[2]For CSV - 2022 SpcFuncData'!$B$4,MATCH($C82,'[2]For CSV - 2022 SpcFuncData'!$B$5:$B$88,0),38,1,1)</f>
        <v>#VALUE!</v>
      </c>
    </row>
    <row r="83" spans="3:12" x14ac:dyDescent="0.2">
      <c r="C83" s="376" t="str">
        <f>'[2]2022SpcFunc BEMEnums Gen'!A57</f>
        <v>Office Area (&gt;250 square feet)</v>
      </c>
      <c r="D83" s="376">
        <v>0</v>
      </c>
      <c r="E83" s="376">
        <v>-999</v>
      </c>
      <c r="F83" s="376">
        <v>-999</v>
      </c>
      <c r="G83" s="376">
        <v>-999</v>
      </c>
      <c r="H83" s="376">
        <v>-999</v>
      </c>
      <c r="K83" s="376" t="s">
        <v>250</v>
      </c>
      <c r="L83" s="376" t="e">
        <f ca="1">OFFSET('[2]For CSV - 2022 SpcFuncData'!$B$4,MATCH($C83,'[2]For CSV - 2022 SpcFuncData'!$B$5:$B$88,0),38,1,1)</f>
        <v>#VALUE!</v>
      </c>
    </row>
    <row r="84" spans="3:12" x14ac:dyDescent="0.2">
      <c r="C84" s="376" t="str">
        <f>'[2]2022SpcFunc BEMEnums Gen'!A58</f>
        <v>Office Area (&lt;250 square feet)</v>
      </c>
      <c r="D84" s="376">
        <v>0</v>
      </c>
      <c r="E84" s="376">
        <v>-999</v>
      </c>
      <c r="F84" s="376">
        <v>-999</v>
      </c>
      <c r="G84" s="376">
        <v>-999</v>
      </c>
      <c r="H84" s="376">
        <v>-999</v>
      </c>
      <c r="K84" s="376" t="s">
        <v>250</v>
      </c>
      <c r="L84" s="376" t="e">
        <f ca="1">OFFSET('[2]For CSV - 2022 SpcFuncData'!$B$4,MATCH($C84,'[2]For CSV - 2022 SpcFuncData'!$B$5:$B$88,0),38,1,1)</f>
        <v>#VALUE!</v>
      </c>
    </row>
    <row r="85" spans="3:12" x14ac:dyDescent="0.2">
      <c r="C85" s="376" t="str">
        <f>'[2]2022SpcFunc BEMEnums Gen'!A59</f>
        <v>Parking Garage Area (Parking Zone and Ramps)</v>
      </c>
      <c r="D85" s="376">
        <v>0</v>
      </c>
      <c r="E85" s="376">
        <v>-999</v>
      </c>
      <c r="F85" s="376">
        <v>-999</v>
      </c>
      <c r="G85" s="376">
        <v>-999</v>
      </c>
      <c r="H85" s="376">
        <v>-999</v>
      </c>
      <c r="K85" s="376" t="s">
        <v>250</v>
      </c>
      <c r="L85" s="376" t="e">
        <f ca="1">OFFSET('[2]For CSV - 2022 SpcFuncData'!$B$4,MATCH($C85,'[2]For CSV - 2022 SpcFuncData'!$B$5:$B$88,0),38,1,1)</f>
        <v>#VALUE!</v>
      </c>
    </row>
    <row r="86" spans="3:12" x14ac:dyDescent="0.2">
      <c r="C86" s="376" t="str">
        <f>'[2]2022SpcFunc BEMEnums Gen'!A60</f>
        <v>Parking Garage Area (Daylight Adaptation Zones)</v>
      </c>
      <c r="D86" s="376">
        <v>0</v>
      </c>
      <c r="E86" s="376">
        <v>-999</v>
      </c>
      <c r="F86" s="376">
        <v>-999</v>
      </c>
      <c r="G86" s="376">
        <v>-999</v>
      </c>
      <c r="H86" s="376">
        <v>-999</v>
      </c>
      <c r="K86" s="376" t="s">
        <v>250</v>
      </c>
      <c r="L86" s="376" t="e">
        <f ca="1">OFFSET('[2]For CSV - 2022 SpcFuncData'!$B$4,MATCH($C86,'[2]For CSV - 2022 SpcFuncData'!$B$5:$B$88,0),38,1,1)</f>
        <v>#VALUE!</v>
      </c>
    </row>
    <row r="87" spans="3:12" x14ac:dyDescent="0.2">
      <c r="C87" s="376" t="str">
        <f>'[2]2022SpcFunc BEMEnums Gen'!A61</f>
        <v>Pharmacy Area</v>
      </c>
      <c r="D87" s="376">
        <v>0</v>
      </c>
      <c r="E87" s="376">
        <v>-999</v>
      </c>
      <c r="F87" s="376">
        <v>-999</v>
      </c>
      <c r="G87" s="376">
        <v>-999</v>
      </c>
      <c r="H87" s="376">
        <v>-999</v>
      </c>
      <c r="K87" s="376" t="s">
        <v>250</v>
      </c>
      <c r="L87" s="376" t="e">
        <f ca="1">OFFSET('[2]For CSV - 2022 SpcFuncData'!$B$4,MATCH($C87,'[2]For CSV - 2022 SpcFuncData'!$B$5:$B$88,0),38,1,1)</f>
        <v>#VALUE!</v>
      </c>
    </row>
    <row r="88" spans="3:12" x14ac:dyDescent="0.2">
      <c r="C88" s="376" t="str">
        <f>'[2]2022SpcFunc BEMEnums Gen'!A64</f>
        <v>Retail Sales Area (Fitting Room)</v>
      </c>
      <c r="D88" s="376">
        <v>0</v>
      </c>
      <c r="E88" s="376">
        <v>-999</v>
      </c>
      <c r="F88" s="376">
        <v>-999</v>
      </c>
      <c r="G88" s="376">
        <v>-999</v>
      </c>
      <c r="H88" s="376">
        <v>-999</v>
      </c>
      <c r="K88" s="376" t="s">
        <v>250</v>
      </c>
      <c r="L88" s="376" t="e">
        <f ca="1">OFFSET('[2]For CSV - 2022 SpcFuncData'!$B$4,MATCH($C88,'[2]For CSV - 2022 SpcFuncData'!$B$5:$B$88,0),38,1,1)</f>
        <v>#VALUE!</v>
      </c>
    </row>
    <row r="89" spans="3:12" x14ac:dyDescent="0.2">
      <c r="C89" s="376" t="str">
        <f>'[2]2022SpcFunc BEMEnums Gen'!A66</f>
        <v>Restrooms</v>
      </c>
      <c r="D89" s="376">
        <v>0</v>
      </c>
      <c r="E89" s="376">
        <v>-999</v>
      </c>
      <c r="F89" s="376">
        <v>-999</v>
      </c>
      <c r="G89" s="376">
        <v>-999</v>
      </c>
      <c r="H89" s="376">
        <v>-999</v>
      </c>
      <c r="K89" s="376" t="s">
        <v>250</v>
      </c>
      <c r="L89" s="376" t="e">
        <f ca="1">OFFSET('[2]For CSV - 2022 SpcFuncData'!$B$4,MATCH($C89,'[2]For CSV - 2022 SpcFuncData'!$B$5:$B$88,0),38,1,1)</f>
        <v>#VALUE!</v>
      </c>
    </row>
    <row r="90" spans="3:12" x14ac:dyDescent="0.2">
      <c r="C90" s="376" t="str">
        <f>'[2]2022SpcFunc BEMEnums Gen'!A67</f>
        <v>Stairwell</v>
      </c>
      <c r="D90" s="376">
        <v>0</v>
      </c>
      <c r="E90" s="376">
        <v>-999</v>
      </c>
      <c r="F90" s="376">
        <v>-999</v>
      </c>
      <c r="G90" s="376">
        <v>-999</v>
      </c>
      <c r="H90" s="376">
        <v>-999</v>
      </c>
      <c r="K90" s="376" t="s">
        <v>250</v>
      </c>
      <c r="L90" s="376" t="e">
        <f ca="1">OFFSET('[2]For CSV - 2022 SpcFuncData'!$B$4,MATCH($C90,'[2]For CSV - 2022 SpcFuncData'!$B$5:$B$88,0),38,1,1)</f>
        <v>#VALUE!</v>
      </c>
    </row>
    <row r="91" spans="3:12" x14ac:dyDescent="0.2">
      <c r="C91" s="376" t="str">
        <f>'[2]2022SpcFunc BEMEnums Gen'!A68</f>
        <v>Storage, Commercial/Industrial (Warehouse)</v>
      </c>
      <c r="D91" s="376">
        <v>0</v>
      </c>
      <c r="E91" s="376">
        <v>-999</v>
      </c>
      <c r="F91" s="376">
        <v>-999</v>
      </c>
      <c r="G91" s="376">
        <v>-999</v>
      </c>
      <c r="H91" s="376">
        <v>-999</v>
      </c>
      <c r="K91" s="376" t="s">
        <v>250</v>
      </c>
      <c r="L91" s="376" t="e">
        <f ca="1">OFFSET('[2]For CSV - 2022 SpcFuncData'!$B$4,MATCH($C91,'[2]For CSV - 2022 SpcFuncData'!$B$5:$B$88,0),38,1,1)</f>
        <v>#VALUE!</v>
      </c>
    </row>
    <row r="92" spans="3:12" x14ac:dyDescent="0.2">
      <c r="C92" s="376" t="str">
        <f>'[2]2022SpcFunc BEMEnums Gen'!A69</f>
        <v>Storage, Commercial/Industrial (Refrigerated)</v>
      </c>
      <c r="D92" s="376">
        <v>0</v>
      </c>
      <c r="E92" s="376">
        <v>-999</v>
      </c>
      <c r="F92" s="376">
        <v>-999</v>
      </c>
      <c r="G92" s="376">
        <v>-999</v>
      </c>
      <c r="H92" s="376">
        <v>-999</v>
      </c>
      <c r="K92" s="376" t="s">
        <v>250</v>
      </c>
      <c r="L92" s="376" t="e">
        <f ca="1">OFFSET('[2]For CSV - 2022 SpcFuncData'!$B$4,MATCH($C92,'[2]For CSV - 2022 SpcFuncData'!$B$5:$B$88,0),38,1,1)</f>
        <v>#VALUE!</v>
      </c>
    </row>
    <row r="93" spans="3:12" x14ac:dyDescent="0.2">
      <c r="C93" s="376" t="str">
        <f>'[2]2022SpcFunc BEMEnums Gen'!A70</f>
        <v>Storage, Commercial/Industrial (Shipping &amp; Handling)</v>
      </c>
      <c r="D93" s="376">
        <v>0</v>
      </c>
      <c r="E93" s="376">
        <v>-999</v>
      </c>
      <c r="F93" s="376">
        <v>-999</v>
      </c>
      <c r="G93" s="376">
        <v>-999</v>
      </c>
      <c r="H93" s="376">
        <v>-999</v>
      </c>
      <c r="K93" s="376" t="s">
        <v>250</v>
      </c>
      <c r="L93" s="376" t="e">
        <f ca="1">OFFSET('[2]For CSV - 2022 SpcFuncData'!$B$4,MATCH($C93,'[2]For CSV - 2022 SpcFuncData'!$B$5:$B$88,0),38,1,1)</f>
        <v>#VALUE!</v>
      </c>
    </row>
    <row r="94" spans="3:12" x14ac:dyDescent="0.2">
      <c r="C94" s="376" t="str">
        <f>'[2]2022SpcFunc BEMEnums Gen'!A71</f>
        <v>Sports Arena - Playing Area (&gt; 5,000 Spectators)</v>
      </c>
      <c r="D94" s="376">
        <v>0</v>
      </c>
      <c r="E94" s="376">
        <v>-999</v>
      </c>
      <c r="F94" s="376">
        <v>-999</v>
      </c>
      <c r="G94" s="376">
        <v>-999</v>
      </c>
      <c r="H94" s="376">
        <v>-999</v>
      </c>
      <c r="K94" s="376" t="s">
        <v>250</v>
      </c>
      <c r="L94" s="376" t="e">
        <f ca="1">OFFSET('[2]For CSV - 2022 SpcFuncData'!$B$4,MATCH($C94,'[2]For CSV - 2022 SpcFuncData'!$B$5:$B$88,0),38,1,1)</f>
        <v>#VALUE!</v>
      </c>
    </row>
    <row r="95" spans="3:12" x14ac:dyDescent="0.2">
      <c r="C95" s="376" t="str">
        <f>'[2]2022SpcFunc BEMEnums Gen'!A72</f>
        <v>Sports Arena - Playing Area (2,000 - 5,000 Spectators)</v>
      </c>
      <c r="D95" s="376">
        <v>0</v>
      </c>
      <c r="E95" s="376">
        <v>-999</v>
      </c>
      <c r="F95" s="376">
        <v>-999</v>
      </c>
      <c r="G95" s="376">
        <v>-999</v>
      </c>
      <c r="H95" s="376">
        <v>-999</v>
      </c>
      <c r="K95" s="376" t="s">
        <v>250</v>
      </c>
      <c r="L95" s="376" t="e">
        <f ca="1">OFFSET('[2]For CSV - 2022 SpcFuncData'!$B$4,MATCH($C95,'[2]For CSV - 2022 SpcFuncData'!$B$5:$B$88,0),38,1,1)</f>
        <v>#VALUE!</v>
      </c>
    </row>
    <row r="96" spans="3:12" x14ac:dyDescent="0.2">
      <c r="C96" s="376" t="str">
        <f>'[2]2022SpcFunc BEMEnums Gen'!A73</f>
        <v>Sports Arena - Playing Area (&lt; 2,000 Spectators)</v>
      </c>
      <c r="D96" s="376">
        <v>0</v>
      </c>
      <c r="E96" s="376">
        <v>-999</v>
      </c>
      <c r="F96" s="376">
        <v>-999</v>
      </c>
      <c r="G96" s="376">
        <v>-999</v>
      </c>
      <c r="H96" s="376">
        <v>-999</v>
      </c>
      <c r="K96" s="376" t="s">
        <v>250</v>
      </c>
      <c r="L96" s="376" t="e">
        <f ca="1">OFFSET('[2]For CSV - 2022 SpcFuncData'!$B$4,MATCH($C96,'[2]For CSV - 2022 SpcFuncData'!$B$5:$B$88,0),38,1,1)</f>
        <v>#VALUE!</v>
      </c>
    </row>
    <row r="97" spans="2:12" x14ac:dyDescent="0.2">
      <c r="C97" s="376" t="str">
        <f>'[2]2022SpcFunc BEMEnums Gen'!A74</f>
        <v>Sports Arena - Playing Area (Recreational)</v>
      </c>
      <c r="D97" s="376">
        <v>0</v>
      </c>
      <c r="E97" s="376">
        <v>-999</v>
      </c>
      <c r="F97" s="376">
        <v>-999</v>
      </c>
      <c r="G97" s="376">
        <v>-999</v>
      </c>
      <c r="H97" s="376">
        <v>-999</v>
      </c>
      <c r="K97" s="376" t="s">
        <v>250</v>
      </c>
      <c r="L97" s="376" t="e">
        <f ca="1">OFFSET('[2]For CSV - 2022 SpcFuncData'!$B$4,MATCH($C97,'[2]For CSV - 2022 SpcFuncData'!$B$5:$B$88,0),38,1,1)</f>
        <v>#VALUE!</v>
      </c>
    </row>
    <row r="98" spans="2:12" x14ac:dyDescent="0.2">
      <c r="C98" s="376" t="str">
        <f>'[2]2022SpcFunc BEMEnums Gen'!A77</f>
        <v>Transportation Function (Baggage Area)</v>
      </c>
      <c r="D98" s="376">
        <v>0</v>
      </c>
      <c r="E98" s="376">
        <v>-999</v>
      </c>
      <c r="F98" s="376">
        <v>-999</v>
      </c>
      <c r="G98" s="376">
        <v>-999</v>
      </c>
      <c r="H98" s="376">
        <v>-999</v>
      </c>
      <c r="K98" s="376" t="s">
        <v>250</v>
      </c>
      <c r="L98" s="376" t="e">
        <f ca="1">OFFSET('[2]For CSV - 2022 SpcFuncData'!$B$4,MATCH($C98,'[2]For CSV - 2022 SpcFuncData'!$B$5:$B$88,0),38,1,1)</f>
        <v>#VALUE!</v>
      </c>
    </row>
    <row r="99" spans="2:12" x14ac:dyDescent="0.2">
      <c r="C99" s="376" t="str">
        <f>'[2]2022SpcFunc BEMEnums Gen'!A78</f>
        <v>Transportation Function (Ticketing Area)</v>
      </c>
      <c r="D99" s="376">
        <v>0</v>
      </c>
      <c r="E99" s="376">
        <v>-999</v>
      </c>
      <c r="F99" s="376">
        <v>-999</v>
      </c>
      <c r="G99" s="376">
        <v>-999</v>
      </c>
      <c r="H99" s="376">
        <v>-999</v>
      </c>
      <c r="K99" s="376" t="s">
        <v>250</v>
      </c>
      <c r="L99" s="376" t="e">
        <f ca="1">OFFSET('[2]For CSV - 2022 SpcFuncData'!$B$4,MATCH($C99,'[2]For CSV - 2022 SpcFuncData'!$B$5:$B$88,0),38,1,1)</f>
        <v>#VALUE!</v>
      </c>
    </row>
    <row r="100" spans="2:12" x14ac:dyDescent="0.2">
      <c r="C100" s="376" t="str">
        <f>'[2]2022SpcFunc BEMEnums Gen'!A79</f>
        <v>Unleased Tenant Area</v>
      </c>
      <c r="D100" s="376">
        <v>0</v>
      </c>
      <c r="E100" s="376">
        <v>-999</v>
      </c>
      <c r="F100" s="376">
        <v>-999</v>
      </c>
      <c r="G100" s="376">
        <v>-999</v>
      </c>
      <c r="H100" s="376">
        <v>-999</v>
      </c>
      <c r="K100" s="376" t="s">
        <v>250</v>
      </c>
      <c r="L100" s="376" t="e">
        <f ca="1">OFFSET('[2]For CSV - 2022 SpcFuncData'!$B$4,MATCH($C100,'[2]For CSV - 2022 SpcFuncData'!$B$5:$B$88,0),38,1,1)</f>
        <v>#VALUE!</v>
      </c>
    </row>
    <row r="101" spans="2:12" x14ac:dyDescent="0.2">
      <c r="C101" s="376" t="str">
        <f>'[2]2022SpcFunc BEMEnums Gen'!A80</f>
        <v>Unoccupied-Exclude from Gross Floor Area</v>
      </c>
      <c r="D101" s="376">
        <v>0</v>
      </c>
      <c r="E101" s="376">
        <v>-999</v>
      </c>
      <c r="F101" s="376">
        <v>-999</v>
      </c>
      <c r="G101" s="376">
        <v>-999</v>
      </c>
      <c r="H101" s="376">
        <v>-999</v>
      </c>
      <c r="K101" s="376" t="s">
        <v>250</v>
      </c>
      <c r="L101" s="376" t="e">
        <f ca="1">OFFSET('[2]For CSV - 2022 SpcFuncData'!$B$4,MATCH($C101,'[2]For CSV - 2022 SpcFuncData'!$B$5:$B$88,0),38,1,1)</f>
        <v>#VALUE!</v>
      </c>
    </row>
    <row r="102" spans="2:12" x14ac:dyDescent="0.2">
      <c r="C102" s="376" t="str">
        <f>'[2]2022SpcFunc BEMEnums Gen'!A81</f>
        <v>Unoccupied-Include in Gross Floor Area</v>
      </c>
      <c r="D102" s="376">
        <v>0</v>
      </c>
      <c r="E102" s="376">
        <v>-999</v>
      </c>
      <c r="F102" s="376">
        <v>-999</v>
      </c>
      <c r="G102" s="376">
        <v>-999</v>
      </c>
      <c r="H102" s="376">
        <v>-999</v>
      </c>
      <c r="K102" s="376" t="s">
        <v>250</v>
      </c>
      <c r="L102" s="376" t="e">
        <f ca="1">OFFSET('[2]For CSV - 2022 SpcFuncData'!$B$4,MATCH($C102,'[2]For CSV - 2022 SpcFuncData'!$B$5:$B$88,0),38,1,1)</f>
        <v>#VALUE!</v>
      </c>
    </row>
    <row r="103" spans="2:12" x14ac:dyDescent="0.2">
      <c r="C103" s="376" t="str">
        <f>'[2]2022SpcFunc BEMEnums Gen'!A82</f>
        <v>Videoconferencing Studio</v>
      </c>
      <c r="D103" s="376">
        <v>0</v>
      </c>
      <c r="E103" s="376">
        <v>-999</v>
      </c>
      <c r="F103" s="376">
        <v>-999</v>
      </c>
      <c r="G103" s="376">
        <v>-999</v>
      </c>
      <c r="H103" s="376">
        <v>-999</v>
      </c>
      <c r="K103" s="376" t="s">
        <v>250</v>
      </c>
      <c r="L103" s="376" t="e">
        <f ca="1">OFFSET('[2]For CSV - 2022 SpcFuncData'!$B$4,MATCH($C103,'[2]For CSV - 2022 SpcFuncData'!$B$5:$B$88,0),38,1,1)</f>
        <v>#VALUE!</v>
      </c>
    </row>
    <row r="104" spans="2:12" x14ac:dyDescent="0.2">
      <c r="C104" s="376" t="str">
        <f>'[2]2022SpcFunc BEMEnums Gen'!A84</f>
        <v/>
      </c>
      <c r="D104" s="376">
        <v>0</v>
      </c>
      <c r="E104" s="376">
        <v>-999</v>
      </c>
      <c r="F104" s="376">
        <v>-999</v>
      </c>
      <c r="G104" s="376">
        <v>-999</v>
      </c>
      <c r="H104" s="376">
        <v>-999</v>
      </c>
      <c r="K104" s="376" t="s">
        <v>250</v>
      </c>
      <c r="L104" s="376" t="e">
        <f ca="1">OFFSET('[2]For CSV - 2022 SpcFuncData'!$B$4,MATCH($C104,'[2]For CSV - 2022 SpcFuncData'!$B$5:$B$88,0),38,1,1)</f>
        <v>#VALUE!</v>
      </c>
    </row>
    <row r="105" spans="2:12" x14ac:dyDescent="0.2">
      <c r="C105" s="376" t="str">
        <f>'[2]2022SpcFunc BEMEnums Gen'!A85</f>
        <v/>
      </c>
      <c r="D105" s="376">
        <v>0</v>
      </c>
      <c r="E105" s="376">
        <v>-999</v>
      </c>
      <c r="F105" s="376">
        <v>-999</v>
      </c>
      <c r="G105" s="376">
        <v>-999</v>
      </c>
      <c r="H105" s="376">
        <v>-999</v>
      </c>
      <c r="K105" s="376" t="s">
        <v>250</v>
      </c>
      <c r="L105" s="376" t="e">
        <f ca="1">OFFSET('[2]For CSV - 2022 SpcFuncData'!$B$4,MATCH($C105,'[2]For CSV - 2022 SpcFuncData'!$B$5:$B$88,0),38,1,1)</f>
        <v>#VALUE!</v>
      </c>
    </row>
    <row r="106" spans="2:12" x14ac:dyDescent="0.2">
      <c r="B106" s="376" t="s">
        <v>245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FFFF00"/>
  </sheetPr>
  <dimension ref="A1:G37"/>
  <sheetViews>
    <sheetView topLeftCell="A10" workbookViewId="0">
      <selection activeCell="L26" sqref="L26"/>
    </sheetView>
  </sheetViews>
  <sheetFormatPr defaultColWidth="9.140625" defaultRowHeight="15" x14ac:dyDescent="0.25"/>
  <cols>
    <col min="1" max="2" width="9.140625" style="39"/>
    <col min="3" max="3" width="11" style="39" customWidth="1"/>
    <col min="4" max="7" width="10.28515625" style="39" customWidth="1"/>
    <col min="8" max="16384" width="9.140625" style="39"/>
  </cols>
  <sheetData>
    <row r="1" spans="1:5" x14ac:dyDescent="0.25">
      <c r="A1" s="39" t="s">
        <v>250</v>
      </c>
      <c r="B1" s="39" t="s">
        <v>917</v>
      </c>
    </row>
    <row r="2" spans="1:5" x14ac:dyDescent="0.25">
      <c r="A2" s="39" t="s">
        <v>250</v>
      </c>
    </row>
    <row r="3" spans="1:5" x14ac:dyDescent="0.25">
      <c r="A3" s="39" t="s">
        <v>250</v>
      </c>
      <c r="B3" s="39" t="s">
        <v>356</v>
      </c>
    </row>
    <row r="4" spans="1:5" x14ac:dyDescent="0.25">
      <c r="A4" s="39" t="s">
        <v>250</v>
      </c>
      <c r="C4" s="39" t="s">
        <v>445</v>
      </c>
    </row>
    <row r="5" spans="1:5" x14ac:dyDescent="0.25">
      <c r="A5" s="39" t="s">
        <v>250</v>
      </c>
    </row>
    <row r="6" spans="1:5" x14ac:dyDescent="0.25">
      <c r="A6" s="39" t="s">
        <v>250</v>
      </c>
      <c r="B6" s="39" t="s">
        <v>357</v>
      </c>
    </row>
    <row r="7" spans="1:5" x14ac:dyDescent="0.25">
      <c r="A7" s="39" t="s">
        <v>250</v>
      </c>
      <c r="C7" s="39" t="s">
        <v>262</v>
      </c>
      <c r="D7" s="39" t="s">
        <v>263</v>
      </c>
      <c r="E7" s="39" t="s">
        <v>264</v>
      </c>
    </row>
    <row r="8" spans="1:5" x14ac:dyDescent="0.25">
      <c r="A8" s="39" t="s">
        <v>250</v>
      </c>
      <c r="B8" s="17"/>
      <c r="C8" s="25">
        <v>41249</v>
      </c>
      <c r="D8" s="33" t="s">
        <v>410</v>
      </c>
      <c r="E8" s="39" t="s">
        <v>265</v>
      </c>
    </row>
    <row r="9" spans="1:5" x14ac:dyDescent="0.25">
      <c r="A9" s="39" t="s">
        <v>250</v>
      </c>
      <c r="B9" s="17"/>
      <c r="C9" s="25"/>
      <c r="D9" s="33"/>
    </row>
    <row r="10" spans="1:5" x14ac:dyDescent="0.25">
      <c r="A10" s="39" t="s">
        <v>250</v>
      </c>
      <c r="B10" s="17"/>
      <c r="C10" s="25"/>
    </row>
    <row r="11" spans="1:5" x14ac:dyDescent="0.25">
      <c r="A11" s="39" t="s">
        <v>250</v>
      </c>
      <c r="B11" s="39" t="s">
        <v>266</v>
      </c>
    </row>
    <row r="12" spans="1:5" x14ac:dyDescent="0.25">
      <c r="A12" s="39" t="s">
        <v>250</v>
      </c>
      <c r="C12" s="39" t="s">
        <v>446</v>
      </c>
    </row>
    <row r="13" spans="1:5" x14ac:dyDescent="0.25">
      <c r="A13" s="39" t="s">
        <v>250</v>
      </c>
    </row>
    <row r="14" spans="1:5" x14ac:dyDescent="0.25">
      <c r="A14" s="39" t="s">
        <v>250</v>
      </c>
      <c r="B14" s="39" t="s">
        <v>251</v>
      </c>
    </row>
    <row r="15" spans="1:5" x14ac:dyDescent="0.25">
      <c r="A15" s="39" t="s">
        <v>250</v>
      </c>
    </row>
    <row r="16" spans="1:5" x14ac:dyDescent="0.25">
      <c r="A16" s="39" t="s">
        <v>250</v>
      </c>
    </row>
    <row r="17" spans="1:7" x14ac:dyDescent="0.25">
      <c r="A17" s="39" t="s">
        <v>250</v>
      </c>
      <c r="B17" s="39" t="s">
        <v>272</v>
      </c>
    </row>
    <row r="18" spans="1:7" x14ac:dyDescent="0.25">
      <c r="A18" s="39" t="s">
        <v>250</v>
      </c>
      <c r="C18" s="39" t="str">
        <f>C4&amp;"."&amp;D23&amp;"("&amp;C23&amp;"=u:TMGenIlmRnd, RCRCat=u:RCRCat)"</f>
        <v>IlluminanceLevelLPD.LPD(IllumLevel=u:TMGenIlmRnd, RCRCat=u:RCRCat)</v>
      </c>
    </row>
    <row r="19" spans="1:7" x14ac:dyDescent="0.25">
      <c r="A19" s="39" t="s">
        <v>250</v>
      </c>
    </row>
    <row r="20" spans="1:7" x14ac:dyDescent="0.25">
      <c r="A20" s="39" t="s">
        <v>250</v>
      </c>
    </row>
    <row r="21" spans="1:7" x14ac:dyDescent="0.25">
      <c r="A21" s="39" t="s">
        <v>365</v>
      </c>
    </row>
    <row r="22" spans="1:7" x14ac:dyDescent="0.25">
      <c r="B22" s="2" t="str">
        <f>"TABLE "&amp;$C$4</f>
        <v>TABLE IlluminanceLevelLPD</v>
      </c>
      <c r="C22" s="2"/>
    </row>
    <row r="23" spans="1:7" x14ac:dyDescent="0.25">
      <c r="C23" s="140" t="s">
        <v>447</v>
      </c>
      <c r="D23" s="141" t="s">
        <v>456</v>
      </c>
      <c r="E23" s="141" t="s">
        <v>456</v>
      </c>
      <c r="F23" s="141" t="s">
        <v>456</v>
      </c>
      <c r="G23" s="141" t="s">
        <v>456</v>
      </c>
    </row>
    <row r="24" spans="1:7" x14ac:dyDescent="0.25">
      <c r="C24" s="140" t="s">
        <v>543</v>
      </c>
      <c r="D24" s="17" t="s">
        <v>452</v>
      </c>
      <c r="E24" s="17" t="s">
        <v>453</v>
      </c>
      <c r="F24" s="17" t="s">
        <v>454</v>
      </c>
      <c r="G24" s="17" t="s">
        <v>455</v>
      </c>
    </row>
    <row r="25" spans="1:7" x14ac:dyDescent="0.25">
      <c r="A25" s="138" t="s">
        <v>250</v>
      </c>
      <c r="C25" s="138" t="s">
        <v>439</v>
      </c>
      <c r="D25" s="39" t="s">
        <v>448</v>
      </c>
      <c r="E25" s="39" t="s">
        <v>449</v>
      </c>
      <c r="F25" s="39" t="s">
        <v>450</v>
      </c>
      <c r="G25" s="39" t="s">
        <v>451</v>
      </c>
    </row>
    <row r="26" spans="1:7" x14ac:dyDescent="0.25">
      <c r="C26" s="39">
        <v>50</v>
      </c>
      <c r="D26" s="63">
        <v>0.2</v>
      </c>
      <c r="E26" s="64">
        <v>0.3</v>
      </c>
      <c r="F26" s="59">
        <v>0.4</v>
      </c>
      <c r="G26" s="59">
        <v>0.6</v>
      </c>
    </row>
    <row r="27" spans="1:7" x14ac:dyDescent="0.25">
      <c r="C27" s="39">
        <v>100</v>
      </c>
      <c r="D27" s="63">
        <v>0.4</v>
      </c>
      <c r="E27" s="64">
        <v>0.6</v>
      </c>
      <c r="F27" s="59">
        <v>0.8</v>
      </c>
      <c r="G27" s="59">
        <v>1.2</v>
      </c>
    </row>
    <row r="28" spans="1:7" x14ac:dyDescent="0.25">
      <c r="C28" s="39">
        <f>C27+100</f>
        <v>200</v>
      </c>
      <c r="D28" s="63">
        <v>0.6</v>
      </c>
      <c r="E28" s="63">
        <v>0.8</v>
      </c>
      <c r="F28" s="59">
        <v>1.3</v>
      </c>
      <c r="G28" s="59">
        <v>1.9</v>
      </c>
    </row>
    <row r="29" spans="1:7" x14ac:dyDescent="0.25">
      <c r="C29" s="39">
        <f t="shared" ref="C29:C36" si="0">C28+100</f>
        <v>300</v>
      </c>
      <c r="D29" s="63">
        <v>0.8</v>
      </c>
      <c r="E29" s="63">
        <v>1</v>
      </c>
      <c r="F29" s="59">
        <v>1.4</v>
      </c>
      <c r="G29" s="59">
        <v>2</v>
      </c>
    </row>
    <row r="30" spans="1:7" x14ac:dyDescent="0.25">
      <c r="C30" s="39">
        <f t="shared" si="0"/>
        <v>400</v>
      </c>
      <c r="D30" s="63">
        <v>0.9</v>
      </c>
      <c r="E30" s="63">
        <v>1.1000000000000001</v>
      </c>
      <c r="F30" s="59">
        <v>1.5</v>
      </c>
      <c r="G30" s="59">
        <v>2.2000000000000002</v>
      </c>
    </row>
    <row r="31" spans="1:7" x14ac:dyDescent="0.25">
      <c r="C31" s="39">
        <f t="shared" si="0"/>
        <v>500</v>
      </c>
      <c r="D31" s="63">
        <v>1</v>
      </c>
      <c r="E31" s="63">
        <v>1.2</v>
      </c>
      <c r="F31" s="59">
        <v>1.6</v>
      </c>
      <c r="G31" s="59">
        <v>2.4</v>
      </c>
    </row>
    <row r="32" spans="1:7" x14ac:dyDescent="0.25">
      <c r="C32" s="39">
        <f t="shared" si="0"/>
        <v>600</v>
      </c>
      <c r="D32" s="63">
        <v>1.2</v>
      </c>
      <c r="E32" s="63">
        <v>1.4</v>
      </c>
      <c r="F32" s="59">
        <v>2</v>
      </c>
      <c r="G32" s="59">
        <v>2.9</v>
      </c>
    </row>
    <row r="33" spans="2:7" x14ac:dyDescent="0.25">
      <c r="C33" s="39">
        <f t="shared" si="0"/>
        <v>700</v>
      </c>
      <c r="D33" s="63">
        <v>1.4</v>
      </c>
      <c r="E33" s="63">
        <v>1.7</v>
      </c>
      <c r="F33" s="59">
        <v>2.2999999999999998</v>
      </c>
      <c r="G33" s="59">
        <v>3.3</v>
      </c>
    </row>
    <row r="34" spans="2:7" x14ac:dyDescent="0.25">
      <c r="C34" s="39">
        <f t="shared" si="0"/>
        <v>800</v>
      </c>
      <c r="D34" s="63">
        <v>1.6</v>
      </c>
      <c r="E34" s="63">
        <v>1.9</v>
      </c>
      <c r="F34" s="59">
        <v>2.6</v>
      </c>
      <c r="G34" s="59">
        <v>3.8</v>
      </c>
    </row>
    <row r="35" spans="2:7" x14ac:dyDescent="0.25">
      <c r="C35" s="39">
        <f t="shared" si="0"/>
        <v>900</v>
      </c>
      <c r="D35" s="63">
        <v>1.8</v>
      </c>
      <c r="E35" s="63">
        <v>2.2000000000000002</v>
      </c>
      <c r="F35" s="59">
        <v>3</v>
      </c>
      <c r="G35" s="59">
        <v>4.3</v>
      </c>
    </row>
    <row r="36" spans="2:7" x14ac:dyDescent="0.25">
      <c r="C36" s="39">
        <f t="shared" si="0"/>
        <v>1000</v>
      </c>
      <c r="D36" s="63">
        <v>1.9</v>
      </c>
      <c r="E36" s="63">
        <v>2.4</v>
      </c>
      <c r="F36" s="59">
        <v>3.3</v>
      </c>
      <c r="G36" s="59">
        <v>4.8</v>
      </c>
    </row>
    <row r="37" spans="2:7" x14ac:dyDescent="0.25">
      <c r="B37" s="39" t="s">
        <v>245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FF00"/>
  </sheetPr>
  <dimension ref="A1:O37"/>
  <sheetViews>
    <sheetView workbookViewId="0">
      <selection activeCell="B1" sqref="B1"/>
    </sheetView>
  </sheetViews>
  <sheetFormatPr defaultColWidth="9.140625" defaultRowHeight="15" x14ac:dyDescent="0.25"/>
  <cols>
    <col min="1" max="2" width="9.140625" style="138"/>
    <col min="3" max="3" width="11" style="138" customWidth="1"/>
    <col min="4" max="7" width="10.28515625" style="138" customWidth="1"/>
    <col min="8" max="16384" width="9.140625" style="138"/>
  </cols>
  <sheetData>
    <row r="1" spans="1:5" x14ac:dyDescent="0.25">
      <c r="A1" s="138" t="s">
        <v>250</v>
      </c>
      <c r="B1" s="138" t="s">
        <v>918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445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42206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/>
      <c r="D9" s="145"/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446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5" x14ac:dyDescent="0.25">
      <c r="A17" s="138" t="s">
        <v>250</v>
      </c>
      <c r="B17" s="138" t="s">
        <v>272</v>
      </c>
    </row>
    <row r="18" spans="1:15" x14ac:dyDescent="0.25">
      <c r="A18" s="138" t="s">
        <v>250</v>
      </c>
      <c r="C18" s="138" t="str">
        <f>C4&amp;"."&amp;D23&amp;"("&amp;C23&amp;"=u:TMGenIlmRnd, RCRCat=u:RCRCat)"</f>
        <v>IlluminanceLevelLPD.LPD(IllumLevel=u:TMGenIlmRnd, RCRCat=u:RCRCat)</v>
      </c>
    </row>
    <row r="19" spans="1:15" x14ac:dyDescent="0.25">
      <c r="A19" s="138" t="s">
        <v>250</v>
      </c>
    </row>
    <row r="20" spans="1:15" x14ac:dyDescent="0.25">
      <c r="A20" s="138" t="s">
        <v>250</v>
      </c>
    </row>
    <row r="21" spans="1:15" x14ac:dyDescent="0.25">
      <c r="A21" s="138" t="s">
        <v>365</v>
      </c>
    </row>
    <row r="22" spans="1:15" x14ac:dyDescent="0.25">
      <c r="B22" s="140" t="str">
        <f>"TABLE "&amp;$C$4</f>
        <v>TABLE IlluminanceLevelLPD</v>
      </c>
      <c r="C22" s="140"/>
    </row>
    <row r="23" spans="1:15" x14ac:dyDescent="0.25">
      <c r="C23" s="140" t="s">
        <v>447</v>
      </c>
      <c r="D23" s="141" t="s">
        <v>456</v>
      </c>
      <c r="E23" s="141" t="s">
        <v>456</v>
      </c>
      <c r="F23" s="141" t="s">
        <v>456</v>
      </c>
      <c r="G23" s="141" t="s">
        <v>456</v>
      </c>
    </row>
    <row r="24" spans="1:15" x14ac:dyDescent="0.25">
      <c r="C24" s="140" t="s">
        <v>543</v>
      </c>
      <c r="D24" s="141" t="s">
        <v>452</v>
      </c>
      <c r="E24" s="141" t="s">
        <v>453</v>
      </c>
      <c r="F24" s="141" t="s">
        <v>454</v>
      </c>
      <c r="G24" s="141" t="s">
        <v>455</v>
      </c>
    </row>
    <row r="25" spans="1:15" x14ac:dyDescent="0.25">
      <c r="A25" s="138" t="s">
        <v>250</v>
      </c>
      <c r="C25" s="138" t="s">
        <v>439</v>
      </c>
      <c r="D25" s="138" t="s">
        <v>448</v>
      </c>
      <c r="E25" s="138" t="s">
        <v>449</v>
      </c>
      <c r="F25" s="138" t="s">
        <v>450</v>
      </c>
      <c r="G25" s="138" t="s">
        <v>451</v>
      </c>
    </row>
    <row r="26" spans="1:15" x14ac:dyDescent="0.25">
      <c r="C26" s="138">
        <v>50</v>
      </c>
      <c r="D26" s="62">
        <v>0.18</v>
      </c>
      <c r="E26" s="61">
        <v>0.22</v>
      </c>
      <c r="F26" s="42">
        <v>0.32</v>
      </c>
      <c r="G26" s="42">
        <v>0.46</v>
      </c>
      <c r="L26" s="341"/>
      <c r="M26" s="341"/>
      <c r="N26" s="341"/>
      <c r="O26" s="341"/>
    </row>
    <row r="27" spans="1:15" x14ac:dyDescent="0.25">
      <c r="C27" s="138">
        <v>100</v>
      </c>
      <c r="D27" s="62">
        <v>0.3</v>
      </c>
      <c r="E27" s="61">
        <v>0.38</v>
      </c>
      <c r="F27" s="42">
        <v>0.56000000000000005</v>
      </c>
      <c r="G27" s="42">
        <v>0.84</v>
      </c>
      <c r="L27" s="341"/>
      <c r="M27" s="341"/>
      <c r="N27" s="341"/>
      <c r="O27" s="341"/>
    </row>
    <row r="28" spans="1:15" x14ac:dyDescent="0.25">
      <c r="C28" s="138">
        <f>C27+100</f>
        <v>200</v>
      </c>
      <c r="D28" s="62">
        <v>0.48</v>
      </c>
      <c r="E28" s="62">
        <v>0.64</v>
      </c>
      <c r="F28" s="42">
        <v>0.88</v>
      </c>
      <c r="G28" s="42">
        <v>1.34</v>
      </c>
      <c r="L28" s="341"/>
      <c r="M28" s="341"/>
      <c r="N28" s="341"/>
      <c r="O28" s="341"/>
    </row>
    <row r="29" spans="1:15" x14ac:dyDescent="0.25">
      <c r="C29" s="138">
        <f t="shared" ref="C29:C36" si="0">C28+100</f>
        <v>300</v>
      </c>
      <c r="D29" s="62">
        <v>0.64</v>
      </c>
      <c r="E29" s="62">
        <v>0.82</v>
      </c>
      <c r="F29" s="42">
        <v>1.1200000000000001</v>
      </c>
      <c r="G29" s="42">
        <v>1.76</v>
      </c>
      <c r="L29" s="341"/>
      <c r="M29" s="341"/>
      <c r="N29" s="341"/>
      <c r="O29" s="341"/>
    </row>
    <row r="30" spans="1:15" x14ac:dyDescent="0.25">
      <c r="C30" s="138">
        <f t="shared" si="0"/>
        <v>400</v>
      </c>
      <c r="D30" s="62">
        <v>0.78</v>
      </c>
      <c r="E30" s="62">
        <v>0.98</v>
      </c>
      <c r="F30" s="42">
        <v>1.34</v>
      </c>
      <c r="G30" s="42">
        <v>2.08</v>
      </c>
      <c r="L30" s="341"/>
      <c r="M30" s="341"/>
      <c r="N30" s="341"/>
      <c r="O30" s="341"/>
    </row>
    <row r="31" spans="1:15" x14ac:dyDescent="0.25">
      <c r="C31" s="138">
        <f t="shared" si="0"/>
        <v>500</v>
      </c>
      <c r="D31" s="62">
        <v>0.9</v>
      </c>
      <c r="E31" s="62">
        <v>1.1000000000000001</v>
      </c>
      <c r="F31" s="42">
        <v>1.52</v>
      </c>
      <c r="G31" s="42">
        <v>2.3199999999999998</v>
      </c>
      <c r="L31" s="341"/>
      <c r="M31" s="341"/>
      <c r="N31" s="341"/>
      <c r="O31" s="341"/>
    </row>
    <row r="32" spans="1:15" x14ac:dyDescent="0.25">
      <c r="C32" s="138">
        <f t="shared" si="0"/>
        <v>600</v>
      </c>
      <c r="D32" s="62">
        <v>1.06</v>
      </c>
      <c r="E32" s="62">
        <v>1.26</v>
      </c>
      <c r="F32" s="42">
        <v>1.74</v>
      </c>
      <c r="G32" s="42">
        <v>2.6</v>
      </c>
      <c r="L32" s="341"/>
      <c r="M32" s="341"/>
      <c r="N32" s="341"/>
      <c r="O32" s="341"/>
    </row>
    <row r="33" spans="2:15" x14ac:dyDescent="0.25">
      <c r="C33" s="138">
        <f t="shared" si="0"/>
        <v>700</v>
      </c>
      <c r="D33" s="62">
        <v>1.24</v>
      </c>
      <c r="E33" s="62">
        <v>1.46</v>
      </c>
      <c r="F33" s="42">
        <v>1.82</v>
      </c>
      <c r="G33" s="42">
        <v>2.96</v>
      </c>
      <c r="L33" s="341"/>
      <c r="M33" s="341"/>
      <c r="N33" s="341"/>
      <c r="O33" s="341"/>
    </row>
    <row r="34" spans="2:15" x14ac:dyDescent="0.25">
      <c r="C34" s="138">
        <f t="shared" si="0"/>
        <v>800</v>
      </c>
      <c r="D34" s="62">
        <v>1.44</v>
      </c>
      <c r="E34" s="62">
        <v>1.7</v>
      </c>
      <c r="F34" s="42">
        <v>2.2799999999999998</v>
      </c>
      <c r="G34" s="42">
        <v>3.3</v>
      </c>
      <c r="L34" s="341"/>
      <c r="M34" s="341"/>
      <c r="N34" s="341"/>
      <c r="O34" s="341"/>
    </row>
    <row r="35" spans="2:15" x14ac:dyDescent="0.25">
      <c r="C35" s="138">
        <f t="shared" si="0"/>
        <v>900</v>
      </c>
      <c r="D35" s="62">
        <v>1.66</v>
      </c>
      <c r="E35" s="62">
        <v>2</v>
      </c>
      <c r="F35" s="42">
        <v>2.64</v>
      </c>
      <c r="G35" s="42">
        <v>3.74</v>
      </c>
      <c r="L35" s="341"/>
      <c r="M35" s="341"/>
      <c r="N35" s="341"/>
      <c r="O35" s="341"/>
    </row>
    <row r="36" spans="2:15" x14ac:dyDescent="0.25">
      <c r="C36" s="138">
        <f t="shared" si="0"/>
        <v>1000</v>
      </c>
      <c r="D36" s="62">
        <v>1.84</v>
      </c>
      <c r="E36" s="62">
        <v>2.2000000000000002</v>
      </c>
      <c r="F36" s="42">
        <v>2.9</v>
      </c>
      <c r="G36" s="42">
        <v>4.0599999999999996</v>
      </c>
      <c r="L36" s="341"/>
      <c r="M36" s="341"/>
      <c r="N36" s="341"/>
      <c r="O36" s="341"/>
    </row>
    <row r="37" spans="2:15" x14ac:dyDescent="0.25">
      <c r="B37" s="138" t="s">
        <v>245</v>
      </c>
      <c r="E37" s="42"/>
      <c r="F37" s="42"/>
      <c r="G37" s="42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67763-E4E9-449A-82B8-8046DDCF77CD}">
  <sheetPr codeName="Sheet37">
    <tabColor rgb="FFFFFF00"/>
  </sheetPr>
  <dimension ref="A1:O32"/>
  <sheetViews>
    <sheetView topLeftCell="A4" workbookViewId="0">
      <selection activeCell="J36" sqref="J36"/>
    </sheetView>
  </sheetViews>
  <sheetFormatPr defaultColWidth="9.140625" defaultRowHeight="15" x14ac:dyDescent="0.25"/>
  <cols>
    <col min="1" max="2" width="9.140625" style="138"/>
    <col min="3" max="3" width="11" style="138" customWidth="1"/>
    <col min="4" max="7" width="10.28515625" style="138" customWidth="1"/>
    <col min="8" max="16384" width="9.140625" style="138"/>
  </cols>
  <sheetData>
    <row r="1" spans="1:5" x14ac:dyDescent="0.25">
      <c r="A1" s="138" t="s">
        <v>250</v>
      </c>
      <c r="B1" s="138" t="s">
        <v>918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445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42206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/>
      <c r="D9" s="145"/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446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5" x14ac:dyDescent="0.25">
      <c r="A17" s="138" t="s">
        <v>250</v>
      </c>
      <c r="B17" s="138" t="s">
        <v>272</v>
      </c>
    </row>
    <row r="18" spans="1:15" x14ac:dyDescent="0.25">
      <c r="A18" s="138" t="s">
        <v>250</v>
      </c>
      <c r="C18" s="138" t="str">
        <f>C4&amp;"."&amp;D23&amp;"("&amp;C23&amp;"=u:TMGenIlmRnd, RCRCat=u:RCRCat)"</f>
        <v>IlluminanceLevelLPD.LPD(IllumLevel=u:TMGenIlmRnd, RCRCat=u:RCRCat)</v>
      </c>
    </row>
    <row r="19" spans="1:15" x14ac:dyDescent="0.25">
      <c r="A19" s="138" t="s">
        <v>250</v>
      </c>
    </row>
    <row r="20" spans="1:15" x14ac:dyDescent="0.25">
      <c r="A20" s="138" t="s">
        <v>250</v>
      </c>
    </row>
    <row r="21" spans="1:15" x14ac:dyDescent="0.25">
      <c r="A21" s="138" t="s">
        <v>365</v>
      </c>
    </row>
    <row r="22" spans="1:15" x14ac:dyDescent="0.25">
      <c r="B22" s="140" t="str">
        <f>"TABLE "&amp;$C$4</f>
        <v>TABLE IlluminanceLevelLPD</v>
      </c>
      <c r="C22" s="140"/>
    </row>
    <row r="23" spans="1:15" x14ac:dyDescent="0.25">
      <c r="C23" s="140" t="s">
        <v>447</v>
      </c>
      <c r="D23" s="141" t="s">
        <v>456</v>
      </c>
      <c r="E23" s="141" t="s">
        <v>456</v>
      </c>
      <c r="F23" s="141" t="s">
        <v>456</v>
      </c>
      <c r="G23" s="141" t="s">
        <v>456</v>
      </c>
    </row>
    <row r="24" spans="1:15" x14ac:dyDescent="0.25">
      <c r="C24" s="140" t="s">
        <v>543</v>
      </c>
      <c r="D24" s="141" t="s">
        <v>452</v>
      </c>
      <c r="E24" s="141" t="s">
        <v>453</v>
      </c>
      <c r="F24" s="141" t="s">
        <v>454</v>
      </c>
      <c r="G24" s="141" t="s">
        <v>455</v>
      </c>
    </row>
    <row r="25" spans="1:15" x14ac:dyDescent="0.25">
      <c r="A25" s="138" t="s">
        <v>250</v>
      </c>
      <c r="C25" s="138" t="s">
        <v>439</v>
      </c>
      <c r="D25" s="138" t="s">
        <v>448</v>
      </c>
      <c r="E25" s="138" t="s">
        <v>449</v>
      </c>
      <c r="F25" s="138" t="s">
        <v>450</v>
      </c>
      <c r="G25" s="138" t="s">
        <v>451</v>
      </c>
    </row>
    <row r="26" spans="1:15" x14ac:dyDescent="0.25">
      <c r="C26" s="138">
        <v>150</v>
      </c>
      <c r="D26" s="62">
        <v>0.4</v>
      </c>
      <c r="E26" s="61">
        <v>0.45</v>
      </c>
      <c r="F26" s="42">
        <v>0.6</v>
      </c>
      <c r="G26" s="42">
        <v>0.75</v>
      </c>
      <c r="L26" s="341"/>
      <c r="M26" s="341"/>
      <c r="N26" s="341"/>
      <c r="O26" s="341"/>
    </row>
    <row r="27" spans="1:15" x14ac:dyDescent="0.25">
      <c r="C27" s="138">
        <v>200</v>
      </c>
      <c r="D27" s="62">
        <v>0.45</v>
      </c>
      <c r="E27" s="62">
        <v>0.55000000000000004</v>
      </c>
      <c r="F27" s="42">
        <v>0.75</v>
      </c>
      <c r="G27" s="42">
        <v>1</v>
      </c>
      <c r="L27" s="341"/>
      <c r="M27" s="341"/>
      <c r="N27" s="341"/>
      <c r="O27" s="341"/>
    </row>
    <row r="28" spans="1:15" x14ac:dyDescent="0.25">
      <c r="C28" s="138">
        <f>C27+100</f>
        <v>300</v>
      </c>
      <c r="D28" s="62">
        <v>0.65</v>
      </c>
      <c r="E28" s="62">
        <v>0.8</v>
      </c>
      <c r="F28" s="42">
        <v>1</v>
      </c>
      <c r="G28" s="42">
        <v>1.4</v>
      </c>
      <c r="L28" s="341"/>
      <c r="M28" s="341"/>
      <c r="N28" s="341"/>
      <c r="O28" s="341"/>
    </row>
    <row r="29" spans="1:15" x14ac:dyDescent="0.25">
      <c r="C29" s="138">
        <f>C28+100</f>
        <v>400</v>
      </c>
      <c r="D29" s="62">
        <v>0.75</v>
      </c>
      <c r="E29" s="62">
        <v>0.95</v>
      </c>
      <c r="F29" s="42">
        <v>1.25</v>
      </c>
      <c r="G29" s="42">
        <v>1.5</v>
      </c>
      <c r="L29" s="341"/>
      <c r="M29" s="341"/>
      <c r="N29" s="341"/>
      <c r="O29" s="341"/>
    </row>
    <row r="30" spans="1:15" x14ac:dyDescent="0.25">
      <c r="C30" s="138">
        <f>C29+100</f>
        <v>500</v>
      </c>
      <c r="D30" s="62">
        <v>0.9</v>
      </c>
      <c r="E30" s="62">
        <v>1.05</v>
      </c>
      <c r="F30" s="42">
        <v>1.45</v>
      </c>
      <c r="G30" s="42">
        <v>1.85</v>
      </c>
      <c r="L30" s="341"/>
      <c r="M30" s="341"/>
      <c r="N30" s="341"/>
      <c r="O30" s="341"/>
    </row>
    <row r="31" spans="1:15" x14ac:dyDescent="0.25">
      <c r="C31" s="138">
        <f>C30+100</f>
        <v>600</v>
      </c>
      <c r="D31" s="62">
        <v>1.08</v>
      </c>
      <c r="E31" s="62">
        <v>1.24</v>
      </c>
      <c r="F31" s="42">
        <v>1.64</v>
      </c>
      <c r="G31" s="42">
        <v>2.38</v>
      </c>
      <c r="L31" s="341"/>
      <c r="M31" s="341"/>
      <c r="N31" s="341"/>
      <c r="O31" s="341"/>
    </row>
    <row r="32" spans="1:15" x14ac:dyDescent="0.25">
      <c r="B32" s="138" t="s">
        <v>245</v>
      </c>
      <c r="E32" s="42"/>
      <c r="F32" s="42"/>
      <c r="G32" s="42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9DE67-094C-4785-99A4-6B02DFCA1838}">
  <dimension ref="A1:G32"/>
  <sheetViews>
    <sheetView workbookViewId="0">
      <selection activeCell="B1" sqref="B1"/>
    </sheetView>
  </sheetViews>
  <sheetFormatPr defaultRowHeight="15" x14ac:dyDescent="0.25"/>
  <cols>
    <col min="1" max="16384" width="9.140625" style="138"/>
  </cols>
  <sheetData>
    <row r="1" spans="1:5" x14ac:dyDescent="0.25">
      <c r="A1" s="138" t="s">
        <v>250</v>
      </c>
      <c r="B1" s="138" t="s">
        <v>1202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445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C8" s="390">
        <v>42206</v>
      </c>
      <c r="D8" s="138" t="s">
        <v>410</v>
      </c>
      <c r="E8" s="138" t="s">
        <v>265</v>
      </c>
    </row>
    <row r="9" spans="1:5" x14ac:dyDescent="0.25">
      <c r="A9" s="138" t="s">
        <v>250</v>
      </c>
      <c r="C9" s="390">
        <v>44518</v>
      </c>
      <c r="D9" s="138" t="s">
        <v>1192</v>
      </c>
      <c r="E9" s="138" t="s">
        <v>1191</v>
      </c>
    </row>
    <row r="10" spans="1:5" x14ac:dyDescent="0.25">
      <c r="A10" s="138" t="s">
        <v>250</v>
      </c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446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7" x14ac:dyDescent="0.25">
      <c r="A17" s="138" t="s">
        <v>250</v>
      </c>
      <c r="B17" s="138" t="s">
        <v>272</v>
      </c>
    </row>
    <row r="18" spans="1:7" x14ac:dyDescent="0.25">
      <c r="A18" s="138" t="s">
        <v>250</v>
      </c>
      <c r="C18" s="138" t="s">
        <v>1193</v>
      </c>
    </row>
    <row r="19" spans="1:7" x14ac:dyDescent="0.25">
      <c r="A19" s="138" t="s">
        <v>250</v>
      </c>
    </row>
    <row r="20" spans="1:7" x14ac:dyDescent="0.25">
      <c r="A20" s="138" t="s">
        <v>250</v>
      </c>
    </row>
    <row r="21" spans="1:7" x14ac:dyDescent="0.25">
      <c r="A21" s="138" t="s">
        <v>365</v>
      </c>
    </row>
    <row r="22" spans="1:7" x14ac:dyDescent="0.25">
      <c r="B22" s="138" t="s">
        <v>1194</v>
      </c>
    </row>
    <row r="23" spans="1:7" x14ac:dyDescent="0.25">
      <c r="C23" s="138" t="s">
        <v>447</v>
      </c>
      <c r="D23" s="138" t="s">
        <v>456</v>
      </c>
      <c r="E23" s="138" t="s">
        <v>456</v>
      </c>
      <c r="F23" s="138" t="s">
        <v>456</v>
      </c>
      <c r="G23" s="138" t="s">
        <v>456</v>
      </c>
    </row>
    <row r="24" spans="1:7" x14ac:dyDescent="0.25">
      <c r="C24" s="138" t="s">
        <v>543</v>
      </c>
      <c r="D24" s="138" t="s">
        <v>452</v>
      </c>
      <c r="E24" s="138" t="s">
        <v>453</v>
      </c>
      <c r="F24" s="138" t="s">
        <v>454</v>
      </c>
      <c r="G24" s="138" t="s">
        <v>455</v>
      </c>
    </row>
    <row r="25" spans="1:7" x14ac:dyDescent="0.25">
      <c r="A25" s="138" t="s">
        <v>250</v>
      </c>
      <c r="C25" s="138" t="s">
        <v>439</v>
      </c>
      <c r="D25" s="138" t="s">
        <v>448</v>
      </c>
      <c r="E25" s="138" t="s">
        <v>449</v>
      </c>
      <c r="F25" s="138" t="s">
        <v>450</v>
      </c>
      <c r="G25" s="138" t="s">
        <v>451</v>
      </c>
    </row>
    <row r="26" spans="1:7" x14ac:dyDescent="0.25">
      <c r="C26" s="138">
        <v>150</v>
      </c>
      <c r="D26" s="138">
        <v>0.35</v>
      </c>
      <c r="E26" s="138">
        <v>0.4</v>
      </c>
      <c r="F26" s="138">
        <v>0.5</v>
      </c>
      <c r="G26" s="138">
        <v>0.65</v>
      </c>
    </row>
    <row r="27" spans="1:7" x14ac:dyDescent="0.25">
      <c r="C27" s="138">
        <v>200</v>
      </c>
      <c r="D27" s="138">
        <v>0.4</v>
      </c>
      <c r="E27" s="138">
        <v>0.5</v>
      </c>
      <c r="F27" s="138">
        <v>0.65</v>
      </c>
      <c r="G27" s="138">
        <v>0.85</v>
      </c>
    </row>
    <row r="28" spans="1:7" x14ac:dyDescent="0.25">
      <c r="C28" s="138">
        <v>300</v>
      </c>
      <c r="D28" s="138">
        <v>0.55000000000000004</v>
      </c>
      <c r="E28" s="138">
        <v>0.7</v>
      </c>
      <c r="F28" s="138">
        <v>0.85</v>
      </c>
      <c r="G28" s="138">
        <v>1.2</v>
      </c>
    </row>
    <row r="29" spans="1:7" x14ac:dyDescent="0.25">
      <c r="C29" s="138">
        <v>400</v>
      </c>
      <c r="D29" s="138">
        <v>0.65</v>
      </c>
      <c r="E29" s="138">
        <v>0.8</v>
      </c>
      <c r="F29" s="138">
        <v>1.05</v>
      </c>
      <c r="G29" s="138">
        <v>1.25</v>
      </c>
    </row>
    <row r="30" spans="1:7" x14ac:dyDescent="0.25">
      <c r="C30" s="138">
        <v>500</v>
      </c>
      <c r="D30" s="138">
        <v>0.8</v>
      </c>
      <c r="E30" s="138">
        <v>0.9</v>
      </c>
      <c r="F30" s="138">
        <v>1.25</v>
      </c>
      <c r="G30" s="138">
        <v>1.55</v>
      </c>
    </row>
    <row r="31" spans="1:7" x14ac:dyDescent="0.25">
      <c r="C31" s="138">
        <v>600</v>
      </c>
      <c r="D31" s="138">
        <v>0.9</v>
      </c>
      <c r="E31" s="138">
        <v>1.05</v>
      </c>
      <c r="F31" s="138">
        <v>1.4</v>
      </c>
      <c r="G31" s="138">
        <v>2</v>
      </c>
    </row>
    <row r="32" spans="1:7" x14ac:dyDescent="0.25">
      <c r="B32" s="138" t="s">
        <v>245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FF00"/>
  </sheetPr>
  <dimension ref="A1:J55"/>
  <sheetViews>
    <sheetView workbookViewId="0">
      <selection activeCell="B1" sqref="B1"/>
    </sheetView>
  </sheetViews>
  <sheetFormatPr defaultRowHeight="15" x14ac:dyDescent="0.25"/>
  <cols>
    <col min="3" max="4" width="20.85546875" customWidth="1"/>
    <col min="5" max="7" width="15.5703125" customWidth="1"/>
  </cols>
  <sheetData>
    <row r="1" spans="1:10" x14ac:dyDescent="0.25">
      <c r="A1" s="138" t="s">
        <v>250</v>
      </c>
      <c r="B1" s="138" t="s">
        <v>1202</v>
      </c>
      <c r="C1" s="138"/>
      <c r="D1" s="138"/>
      <c r="E1" s="138"/>
      <c r="F1" s="138"/>
      <c r="G1" s="138"/>
      <c r="H1" s="138"/>
      <c r="I1" s="138"/>
      <c r="J1" s="138"/>
    </row>
    <row r="2" spans="1:10" x14ac:dyDescent="0.25">
      <c r="A2" s="138" t="s">
        <v>250</v>
      </c>
      <c r="B2" s="138"/>
      <c r="C2" s="138"/>
      <c r="D2" s="138"/>
      <c r="E2" s="138"/>
      <c r="F2" s="138"/>
      <c r="G2" s="138"/>
      <c r="H2" s="138"/>
      <c r="I2" s="138"/>
      <c r="J2" s="138"/>
    </row>
    <row r="3" spans="1:10" x14ac:dyDescent="0.25">
      <c r="A3" s="138" t="s">
        <v>250</v>
      </c>
      <c r="B3" s="138" t="s">
        <v>356</v>
      </c>
      <c r="C3" s="138"/>
      <c r="D3" s="138"/>
      <c r="E3" s="138"/>
      <c r="F3" s="138"/>
      <c r="G3" s="138"/>
      <c r="H3" s="138"/>
      <c r="I3" s="138"/>
      <c r="J3" s="138"/>
    </row>
    <row r="4" spans="1:10" x14ac:dyDescent="0.25">
      <c r="A4" s="138" t="s">
        <v>250</v>
      </c>
      <c r="B4" s="138"/>
      <c r="C4" s="138" t="s">
        <v>587</v>
      </c>
      <c r="D4" s="138"/>
      <c r="E4" s="138"/>
      <c r="F4" s="138"/>
      <c r="G4" s="138"/>
      <c r="H4" s="138"/>
      <c r="I4" s="138"/>
      <c r="J4" s="138"/>
    </row>
    <row r="5" spans="1:10" x14ac:dyDescent="0.25">
      <c r="A5" s="138" t="s">
        <v>250</v>
      </c>
      <c r="B5" s="138"/>
      <c r="C5" s="138"/>
      <c r="D5" s="138"/>
      <c r="E5" s="138"/>
      <c r="F5" s="138"/>
      <c r="G5" s="138"/>
      <c r="H5" s="138"/>
      <c r="I5" s="138"/>
      <c r="J5" s="138"/>
    </row>
    <row r="6" spans="1:10" x14ac:dyDescent="0.25">
      <c r="A6" s="138" t="s">
        <v>250</v>
      </c>
      <c r="B6" s="138" t="s">
        <v>357</v>
      </c>
      <c r="C6" s="138"/>
      <c r="D6" s="138"/>
      <c r="E6" s="138"/>
      <c r="F6" s="138"/>
      <c r="G6" s="138"/>
      <c r="H6" s="138"/>
      <c r="I6" s="138"/>
      <c r="J6" s="138"/>
    </row>
    <row r="7" spans="1:10" x14ac:dyDescent="0.25">
      <c r="A7" s="138" t="s">
        <v>250</v>
      </c>
      <c r="B7" s="138"/>
      <c r="C7" s="138" t="s">
        <v>262</v>
      </c>
      <c r="D7" s="138" t="s">
        <v>263</v>
      </c>
      <c r="E7" s="138" t="s">
        <v>264</v>
      </c>
      <c r="F7" s="138"/>
      <c r="G7" s="138"/>
      <c r="H7" s="138"/>
      <c r="I7" s="138"/>
      <c r="J7" s="138"/>
    </row>
    <row r="8" spans="1:10" x14ac:dyDescent="0.25">
      <c r="A8" s="138" t="s">
        <v>250</v>
      </c>
      <c r="B8" s="141"/>
      <c r="C8" s="144">
        <v>41841</v>
      </c>
      <c r="D8" s="145" t="s">
        <v>410</v>
      </c>
      <c r="E8" s="138" t="s">
        <v>265</v>
      </c>
      <c r="F8" s="138"/>
      <c r="G8" s="138"/>
      <c r="H8" s="138"/>
      <c r="I8" s="138"/>
      <c r="J8" s="138"/>
    </row>
    <row r="9" spans="1:10" x14ac:dyDescent="0.25">
      <c r="A9" s="138" t="s">
        <v>250</v>
      </c>
      <c r="B9" s="141"/>
      <c r="C9" s="144"/>
      <c r="D9" s="145"/>
      <c r="E9" s="138"/>
      <c r="F9" s="138"/>
      <c r="G9" s="138"/>
      <c r="H9" s="138"/>
      <c r="I9" s="138"/>
      <c r="J9" s="138"/>
    </row>
    <row r="10" spans="1:10" x14ac:dyDescent="0.25">
      <c r="A10" s="138" t="s">
        <v>250</v>
      </c>
      <c r="B10" s="141"/>
      <c r="C10" s="144"/>
      <c r="D10" s="138"/>
      <c r="E10" s="138"/>
      <c r="F10" s="138"/>
      <c r="G10" s="138"/>
      <c r="H10" s="138"/>
      <c r="I10" s="138"/>
      <c r="J10" s="138"/>
    </row>
    <row r="11" spans="1:10" x14ac:dyDescent="0.25">
      <c r="A11" s="138" t="s">
        <v>250</v>
      </c>
      <c r="B11" s="138" t="s">
        <v>266</v>
      </c>
      <c r="C11" s="138"/>
      <c r="D11" s="138"/>
      <c r="E11" s="138"/>
      <c r="F11" s="138"/>
      <c r="G11" s="138"/>
      <c r="H11" s="138"/>
      <c r="I11" s="138"/>
      <c r="J11" s="138"/>
    </row>
    <row r="12" spans="1:10" x14ac:dyDescent="0.25">
      <c r="A12" s="138" t="s">
        <v>250</v>
      </c>
      <c r="B12" s="138"/>
      <c r="C12" s="138" t="s">
        <v>586</v>
      </c>
      <c r="D12" s="138"/>
      <c r="E12" s="138"/>
      <c r="F12" s="138"/>
      <c r="G12" s="138"/>
      <c r="H12" s="138"/>
      <c r="I12" s="138"/>
      <c r="J12" s="138"/>
    </row>
    <row r="13" spans="1:10" x14ac:dyDescent="0.25">
      <c r="A13" s="138" t="s">
        <v>250</v>
      </c>
      <c r="B13" s="138"/>
      <c r="C13" s="138"/>
      <c r="D13" s="138"/>
      <c r="E13" s="138"/>
      <c r="F13" s="138"/>
      <c r="G13" s="138"/>
      <c r="H13" s="138"/>
      <c r="I13" s="138"/>
      <c r="J13" s="138"/>
    </row>
    <row r="14" spans="1:10" x14ac:dyDescent="0.25">
      <c r="A14" s="138" t="s">
        <v>250</v>
      </c>
      <c r="B14" s="138" t="s">
        <v>251</v>
      </c>
      <c r="C14" s="138"/>
      <c r="D14" s="138"/>
      <c r="E14" s="138"/>
      <c r="F14" s="138"/>
      <c r="G14" s="138"/>
      <c r="H14" s="138"/>
      <c r="I14" s="138"/>
      <c r="J14" s="138"/>
    </row>
    <row r="15" spans="1:10" x14ac:dyDescent="0.25">
      <c r="A15" s="138" t="s">
        <v>250</v>
      </c>
      <c r="B15" s="138"/>
      <c r="C15" s="138"/>
      <c r="D15" s="138"/>
      <c r="E15" s="138"/>
      <c r="F15" s="138"/>
      <c r="G15" s="138"/>
      <c r="H15" s="138"/>
      <c r="I15" s="138"/>
      <c r="J15" s="138"/>
    </row>
    <row r="16" spans="1:10" x14ac:dyDescent="0.25">
      <c r="A16" s="138" t="s">
        <v>250</v>
      </c>
      <c r="B16" s="138"/>
      <c r="C16" s="138"/>
      <c r="D16" s="138"/>
      <c r="E16" s="138"/>
      <c r="F16" s="138"/>
      <c r="G16" s="138"/>
      <c r="H16" s="138"/>
      <c r="I16" s="138"/>
      <c r="J16" s="138"/>
    </row>
    <row r="17" spans="1:10" x14ac:dyDescent="0.25">
      <c r="A17" s="138" t="s">
        <v>250</v>
      </c>
      <c r="B17" s="138" t="s">
        <v>272</v>
      </c>
      <c r="C17" s="138"/>
      <c r="D17" s="138"/>
      <c r="E17" s="138"/>
      <c r="F17" s="138"/>
      <c r="G17" s="138"/>
      <c r="H17" s="138"/>
      <c r="I17" s="138"/>
      <c r="J17" s="138"/>
    </row>
    <row r="18" spans="1:10" x14ac:dyDescent="0.25">
      <c r="A18" s="138" t="s">
        <v>250</v>
      </c>
      <c r="B18" s="138"/>
      <c r="C18" s="138" t="str">
        <f>C4&amp;":"&amp;F23&amp;"("&amp;C23&amp;"=u:XXX, "&amp;D23&amp;"=u:XXX, "&amp;E23&amp;"=u:XXX)"</f>
        <v>LightHeatGainDistribution:HtGnSpcFrac(FixtureType=u:XXX, LampType=u:XXX, ReturnType=u:XXX)</v>
      </c>
      <c r="D18" s="138"/>
      <c r="E18" s="138"/>
      <c r="F18" s="138"/>
      <c r="G18" s="138"/>
      <c r="H18" s="138"/>
      <c r="I18" s="138"/>
      <c r="J18" s="138"/>
    </row>
    <row r="19" spans="1:10" x14ac:dyDescent="0.25">
      <c r="A19" s="138" t="s">
        <v>250</v>
      </c>
      <c r="B19" s="138"/>
      <c r="C19" s="138"/>
      <c r="D19" s="138"/>
      <c r="E19" s="138"/>
      <c r="F19" s="138"/>
      <c r="G19" s="138"/>
      <c r="H19" s="138"/>
      <c r="I19" s="138"/>
      <c r="J19" s="138"/>
    </row>
    <row r="20" spans="1:10" x14ac:dyDescent="0.25">
      <c r="A20" s="138" t="s">
        <v>250</v>
      </c>
      <c r="B20" s="138"/>
      <c r="C20" s="138"/>
      <c r="D20" s="138"/>
      <c r="E20" s="138"/>
      <c r="F20" s="138"/>
      <c r="G20" s="138"/>
      <c r="H20" s="138"/>
      <c r="I20" s="138"/>
      <c r="J20" s="138"/>
    </row>
    <row r="21" spans="1:10" x14ac:dyDescent="0.25">
      <c r="A21" s="138" t="s">
        <v>365</v>
      </c>
      <c r="B21" s="138"/>
      <c r="C21" s="138"/>
      <c r="D21" s="138"/>
      <c r="E21" s="138"/>
      <c r="F21" s="138"/>
      <c r="G21" s="138"/>
      <c r="H21" s="138"/>
      <c r="I21" s="138"/>
      <c r="J21" s="138"/>
    </row>
    <row r="22" spans="1:10" x14ac:dyDescent="0.25">
      <c r="A22" s="138"/>
      <c r="B22" s="140" t="str">
        <f>"TABLE "&amp;$C$4</f>
        <v>TABLE LightHeatGainDistribution</v>
      </c>
      <c r="C22" s="140"/>
      <c r="D22" s="138"/>
      <c r="E22" s="138"/>
      <c r="F22" s="138"/>
      <c r="G22" s="138"/>
      <c r="H22" s="138"/>
      <c r="I22" s="138"/>
      <c r="J22" s="138"/>
    </row>
    <row r="23" spans="1:10" x14ac:dyDescent="0.25">
      <c r="A23" s="138"/>
      <c r="B23" s="138"/>
      <c r="C23" s="140" t="s">
        <v>588</v>
      </c>
      <c r="D23" s="141" t="s">
        <v>589</v>
      </c>
      <c r="E23" s="141" t="s">
        <v>590</v>
      </c>
      <c r="F23" s="141" t="s">
        <v>591</v>
      </c>
      <c r="G23" s="141" t="s">
        <v>592</v>
      </c>
      <c r="H23" s="138"/>
      <c r="I23" s="138"/>
      <c r="J23" s="138"/>
    </row>
    <row r="24" spans="1:10" x14ac:dyDescent="0.25">
      <c r="A24" s="138"/>
      <c r="B24" s="138"/>
      <c r="C24" s="140" t="s">
        <v>593</v>
      </c>
      <c r="D24" s="141" t="s">
        <v>594</v>
      </c>
      <c r="E24" s="141" t="s">
        <v>595</v>
      </c>
      <c r="F24" s="158">
        <v>1</v>
      </c>
      <c r="G24" s="158">
        <v>0.67</v>
      </c>
      <c r="H24" s="138"/>
      <c r="I24" s="138"/>
      <c r="J24" s="138"/>
    </row>
    <row r="25" spans="1:10" x14ac:dyDescent="0.25">
      <c r="A25" s="138"/>
      <c r="B25" s="138"/>
      <c r="C25" s="140" t="s">
        <v>593</v>
      </c>
      <c r="D25" s="141" t="s">
        <v>594</v>
      </c>
      <c r="E25" s="138" t="s">
        <v>596</v>
      </c>
      <c r="F25" s="158">
        <v>0.45</v>
      </c>
      <c r="G25" s="158">
        <v>0.67</v>
      </c>
      <c r="H25" s="138"/>
      <c r="I25" s="138"/>
      <c r="J25" s="138"/>
    </row>
    <row r="26" spans="1:10" x14ac:dyDescent="0.25">
      <c r="A26" s="138"/>
      <c r="B26" s="138"/>
      <c r="C26" s="140" t="s">
        <v>604</v>
      </c>
      <c r="D26" s="141" t="s">
        <v>594</v>
      </c>
      <c r="E26" s="141" t="s">
        <v>595</v>
      </c>
      <c r="F26" s="158">
        <v>1</v>
      </c>
      <c r="G26" s="158">
        <v>0.57999999999999996</v>
      </c>
      <c r="H26" s="138"/>
      <c r="I26" s="138"/>
      <c r="J26" s="138"/>
    </row>
    <row r="27" spans="1:10" x14ac:dyDescent="0.25">
      <c r="A27" s="138"/>
      <c r="B27" s="138"/>
      <c r="C27" s="140" t="s">
        <v>604</v>
      </c>
      <c r="D27" s="141" t="s">
        <v>594</v>
      </c>
      <c r="E27" s="138" t="s">
        <v>596</v>
      </c>
      <c r="F27" s="158">
        <v>0.69</v>
      </c>
      <c r="G27" s="158">
        <v>0.57999999999999996</v>
      </c>
      <c r="H27" s="138"/>
      <c r="I27" s="138"/>
      <c r="J27" s="138"/>
    </row>
    <row r="28" spans="1:10" x14ac:dyDescent="0.25">
      <c r="A28" s="138"/>
      <c r="B28" s="138"/>
      <c r="C28" s="140" t="s">
        <v>604</v>
      </c>
      <c r="D28" s="63" t="s">
        <v>597</v>
      </c>
      <c r="E28" s="141" t="s">
        <v>595</v>
      </c>
      <c r="F28" s="158">
        <v>1</v>
      </c>
      <c r="G28" s="158">
        <v>0.97</v>
      </c>
      <c r="H28" s="138"/>
      <c r="I28" s="138"/>
      <c r="J28" s="138"/>
    </row>
    <row r="29" spans="1:10" x14ac:dyDescent="0.25">
      <c r="A29" s="138"/>
      <c r="B29" s="138"/>
      <c r="C29" s="140" t="s">
        <v>604</v>
      </c>
      <c r="D29" s="63" t="s">
        <v>597</v>
      </c>
      <c r="E29" s="138" t="s">
        <v>596</v>
      </c>
      <c r="F29" s="158">
        <v>0.2</v>
      </c>
      <c r="G29" s="158">
        <v>0.97</v>
      </c>
      <c r="H29" s="138"/>
      <c r="I29" s="138"/>
      <c r="J29" s="138"/>
    </row>
    <row r="30" spans="1:10" x14ac:dyDescent="0.25">
      <c r="A30" s="138"/>
      <c r="B30" s="138"/>
      <c r="C30" s="140" t="s">
        <v>604</v>
      </c>
      <c r="D30" s="63" t="s">
        <v>598</v>
      </c>
      <c r="E30" s="141" t="s">
        <v>595</v>
      </c>
      <c r="F30" s="158">
        <v>1</v>
      </c>
      <c r="G30" s="158">
        <v>0.97</v>
      </c>
      <c r="H30" s="138"/>
      <c r="I30" s="138"/>
      <c r="J30" s="138"/>
    </row>
    <row r="31" spans="1:10" x14ac:dyDescent="0.25">
      <c r="A31" s="138"/>
      <c r="B31" s="138"/>
      <c r="C31" s="140" t="s">
        <v>604</v>
      </c>
      <c r="D31" s="63" t="s">
        <v>598</v>
      </c>
      <c r="E31" s="138" t="s">
        <v>596</v>
      </c>
      <c r="F31" s="158">
        <v>0.75</v>
      </c>
      <c r="G31" s="158">
        <v>0.97</v>
      </c>
      <c r="H31" s="138"/>
      <c r="I31" s="138"/>
      <c r="J31" s="138"/>
    </row>
    <row r="32" spans="1:10" x14ac:dyDescent="0.25">
      <c r="A32" s="138"/>
      <c r="B32" s="138"/>
      <c r="C32" s="140" t="s">
        <v>604</v>
      </c>
      <c r="D32" s="63" t="s">
        <v>599</v>
      </c>
      <c r="E32" s="141" t="s">
        <v>595</v>
      </c>
      <c r="F32" s="158">
        <v>1</v>
      </c>
      <c r="G32" s="158">
        <v>0.97</v>
      </c>
      <c r="H32" s="138"/>
      <c r="I32" s="138"/>
      <c r="J32" s="138"/>
    </row>
    <row r="33" spans="1:10" x14ac:dyDescent="0.25">
      <c r="A33" s="138"/>
      <c r="B33" s="138"/>
      <c r="C33" s="140" t="s">
        <v>604</v>
      </c>
      <c r="D33" s="63" t="s">
        <v>599</v>
      </c>
      <c r="E33" s="138" t="s">
        <v>596</v>
      </c>
      <c r="F33" s="158">
        <v>0.2</v>
      </c>
      <c r="G33" s="158">
        <v>0.97</v>
      </c>
      <c r="H33" s="138"/>
      <c r="I33" s="138"/>
      <c r="J33" s="138"/>
    </row>
    <row r="34" spans="1:10" x14ac:dyDescent="0.25">
      <c r="A34" s="138"/>
      <c r="B34" s="138"/>
      <c r="C34" s="140" t="s">
        <v>604</v>
      </c>
      <c r="D34" s="63" t="s">
        <v>600</v>
      </c>
      <c r="E34" s="141" t="s">
        <v>595</v>
      </c>
      <c r="F34" s="158">
        <v>1</v>
      </c>
      <c r="G34" s="158">
        <v>0.97</v>
      </c>
      <c r="H34" s="138"/>
      <c r="I34" s="138"/>
      <c r="J34" s="138"/>
    </row>
    <row r="35" spans="1:10" x14ac:dyDescent="0.25">
      <c r="A35" s="138"/>
      <c r="B35" s="138"/>
      <c r="C35" s="140" t="s">
        <v>604</v>
      </c>
      <c r="D35" s="63" t="s">
        <v>600</v>
      </c>
      <c r="E35" s="138" t="s">
        <v>596</v>
      </c>
      <c r="F35" s="158">
        <v>0.75</v>
      </c>
      <c r="G35" s="158">
        <v>0.97</v>
      </c>
      <c r="H35" s="138"/>
      <c r="I35" s="138"/>
      <c r="J35" s="138"/>
    </row>
    <row r="36" spans="1:10" x14ac:dyDescent="0.25">
      <c r="A36" s="138"/>
      <c r="B36" s="138"/>
      <c r="C36" s="140" t="s">
        <v>603</v>
      </c>
      <c r="D36" s="141" t="s">
        <v>594</v>
      </c>
      <c r="E36" s="141" t="s">
        <v>595</v>
      </c>
      <c r="F36" s="158">
        <v>1</v>
      </c>
      <c r="G36" s="158">
        <v>0.54</v>
      </c>
      <c r="H36" s="138"/>
      <c r="I36" s="138"/>
      <c r="J36" s="138"/>
    </row>
    <row r="37" spans="1:10" x14ac:dyDescent="0.25">
      <c r="A37" s="138"/>
      <c r="C37" s="140" t="s">
        <v>603</v>
      </c>
      <c r="D37" s="141" t="s">
        <v>594</v>
      </c>
      <c r="E37" s="138" t="s">
        <v>596</v>
      </c>
      <c r="F37" s="158">
        <v>1</v>
      </c>
      <c r="G37" s="158">
        <v>0.54</v>
      </c>
      <c r="H37" s="138"/>
      <c r="I37" s="138"/>
      <c r="J37" s="138"/>
    </row>
    <row r="38" spans="1:10" x14ac:dyDescent="0.25">
      <c r="C38" s="140" t="s">
        <v>603</v>
      </c>
      <c r="D38" s="63" t="s">
        <v>597</v>
      </c>
      <c r="E38" s="141" t="s">
        <v>595</v>
      </c>
      <c r="F38" s="158">
        <v>1</v>
      </c>
      <c r="G38" s="158">
        <v>0.54</v>
      </c>
    </row>
    <row r="39" spans="1:10" x14ac:dyDescent="0.25">
      <c r="C39" s="140" t="s">
        <v>603</v>
      </c>
      <c r="D39" s="63" t="s">
        <v>597</v>
      </c>
      <c r="E39" s="138" t="s">
        <v>596</v>
      </c>
      <c r="F39" s="158">
        <v>1</v>
      </c>
      <c r="G39" s="158">
        <v>0.54</v>
      </c>
    </row>
    <row r="40" spans="1:10" x14ac:dyDescent="0.25">
      <c r="C40" s="140" t="s">
        <v>603</v>
      </c>
      <c r="D40" s="63" t="s">
        <v>598</v>
      </c>
      <c r="E40" s="141" t="s">
        <v>595</v>
      </c>
      <c r="F40" s="158">
        <v>1</v>
      </c>
      <c r="G40" s="158">
        <v>0.54</v>
      </c>
    </row>
    <row r="41" spans="1:10" x14ac:dyDescent="0.25">
      <c r="C41" s="140" t="s">
        <v>603</v>
      </c>
      <c r="D41" s="63" t="s">
        <v>598</v>
      </c>
      <c r="E41" s="138" t="s">
        <v>596</v>
      </c>
      <c r="F41" s="158">
        <v>1</v>
      </c>
      <c r="G41" s="158">
        <v>0.54</v>
      </c>
    </row>
    <row r="42" spans="1:10" x14ac:dyDescent="0.25">
      <c r="C42" s="140" t="s">
        <v>603</v>
      </c>
      <c r="D42" s="63" t="s">
        <v>599</v>
      </c>
      <c r="E42" s="141" t="s">
        <v>595</v>
      </c>
      <c r="F42" s="158">
        <v>1</v>
      </c>
      <c r="G42" s="158">
        <v>0.54</v>
      </c>
    </row>
    <row r="43" spans="1:10" x14ac:dyDescent="0.25">
      <c r="C43" s="140" t="s">
        <v>603</v>
      </c>
      <c r="D43" s="63" t="s">
        <v>599</v>
      </c>
      <c r="E43" s="138" t="s">
        <v>596</v>
      </c>
      <c r="F43" s="158">
        <v>1</v>
      </c>
      <c r="G43" s="158">
        <v>0.54</v>
      </c>
    </row>
    <row r="44" spans="1:10" x14ac:dyDescent="0.25">
      <c r="C44" s="140" t="s">
        <v>603</v>
      </c>
      <c r="D44" s="63" t="s">
        <v>600</v>
      </c>
      <c r="E44" s="141" t="s">
        <v>595</v>
      </c>
      <c r="F44" s="158">
        <v>1</v>
      </c>
      <c r="G44" s="158">
        <v>0.54</v>
      </c>
    </row>
    <row r="45" spans="1:10" x14ac:dyDescent="0.25">
      <c r="C45" s="140" t="s">
        <v>603</v>
      </c>
      <c r="D45" s="63" t="s">
        <v>600</v>
      </c>
      <c r="E45" s="138" t="s">
        <v>596</v>
      </c>
      <c r="F45" s="158">
        <v>1</v>
      </c>
      <c r="G45" s="158">
        <v>0.54</v>
      </c>
    </row>
    <row r="46" spans="1:10" x14ac:dyDescent="0.25">
      <c r="C46" s="140" t="s">
        <v>603</v>
      </c>
      <c r="D46" s="63" t="s">
        <v>601</v>
      </c>
      <c r="E46" s="141" t="s">
        <v>595</v>
      </c>
      <c r="F46" s="158">
        <v>1</v>
      </c>
      <c r="G46" s="158">
        <v>0.54</v>
      </c>
    </row>
    <row r="47" spans="1:10" x14ac:dyDescent="0.25">
      <c r="C47" s="140" t="s">
        <v>603</v>
      </c>
      <c r="D47" s="63" t="s">
        <v>601</v>
      </c>
      <c r="E47" s="138" t="s">
        <v>596</v>
      </c>
      <c r="F47" s="158">
        <v>1</v>
      </c>
      <c r="G47" s="158">
        <v>0.54</v>
      </c>
    </row>
    <row r="48" spans="1:10" x14ac:dyDescent="0.25">
      <c r="C48" s="140" t="s">
        <v>603</v>
      </c>
      <c r="D48" s="63" t="s">
        <v>602</v>
      </c>
      <c r="E48" s="141" t="s">
        <v>595</v>
      </c>
      <c r="F48" s="158">
        <v>1</v>
      </c>
      <c r="G48" s="158">
        <v>0.54</v>
      </c>
    </row>
    <row r="49" spans="2:7" x14ac:dyDescent="0.25">
      <c r="C49" s="140" t="s">
        <v>603</v>
      </c>
      <c r="D49" s="63" t="s">
        <v>602</v>
      </c>
      <c r="E49" s="138" t="s">
        <v>596</v>
      </c>
      <c r="F49" s="158">
        <v>1</v>
      </c>
      <c r="G49" s="158">
        <v>0.54</v>
      </c>
    </row>
    <row r="50" spans="2:7" x14ac:dyDescent="0.25">
      <c r="B50" s="138" t="s">
        <v>245</v>
      </c>
      <c r="E50" s="141"/>
    </row>
    <row r="51" spans="2:7" x14ac:dyDescent="0.25">
      <c r="E51" s="138"/>
    </row>
    <row r="52" spans="2:7" x14ac:dyDescent="0.25">
      <c r="E52" s="141"/>
    </row>
    <row r="53" spans="2:7" x14ac:dyDescent="0.25">
      <c r="E53" s="138"/>
    </row>
    <row r="54" spans="2:7" x14ac:dyDescent="0.25">
      <c r="E54" s="141"/>
    </row>
    <row r="55" spans="2:7" x14ac:dyDescent="0.25">
      <c r="E55" s="138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FFC000"/>
  </sheetPr>
  <dimension ref="A1:E31"/>
  <sheetViews>
    <sheetView workbookViewId="0">
      <selection activeCell="B1" sqref="B1"/>
    </sheetView>
  </sheetViews>
  <sheetFormatPr defaultColWidth="9.140625" defaultRowHeight="15" x14ac:dyDescent="0.25"/>
  <cols>
    <col min="1" max="2" width="9.140625" style="138"/>
    <col min="3" max="3" width="21" style="138" customWidth="1"/>
    <col min="4" max="4" width="15.140625" style="138" bestFit="1" customWidth="1"/>
    <col min="5" max="5" width="14.140625" style="138" customWidth="1"/>
    <col min="6" max="16384" width="9.140625" style="138"/>
  </cols>
  <sheetData>
    <row r="1" spans="1:5" x14ac:dyDescent="0.25">
      <c r="A1" s="138" t="s">
        <v>250</v>
      </c>
      <c r="B1" s="138" t="s">
        <v>1202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626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41856</v>
      </c>
      <c r="D8" s="145" t="s">
        <v>410</v>
      </c>
      <c r="E8" s="138" t="s">
        <v>627</v>
      </c>
    </row>
    <row r="9" spans="1:5" x14ac:dyDescent="0.25">
      <c r="A9" s="138" t="s">
        <v>250</v>
      </c>
      <c r="B9" s="141"/>
      <c r="C9" s="144"/>
      <c r="D9" s="145"/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628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5" x14ac:dyDescent="0.25">
      <c r="A17" s="138" t="s">
        <v>250</v>
      </c>
      <c r="B17" s="138" t="s">
        <v>272</v>
      </c>
    </row>
    <row r="18" spans="1:5" x14ac:dyDescent="0.25">
      <c r="A18" s="138" t="s">
        <v>250</v>
      </c>
      <c r="C18" s="138" t="str">
        <f>C4&amp;":"&amp;D23&amp;"("&amp;C23&amp;"=u:XXX)"</f>
        <v>DayltgCtrlParms:MinDimPwrFrac(LampType=u:XXX)</v>
      </c>
    </row>
    <row r="19" spans="1:5" x14ac:dyDescent="0.25">
      <c r="A19" s="138" t="s">
        <v>250</v>
      </c>
    </row>
    <row r="20" spans="1:5" x14ac:dyDescent="0.25">
      <c r="A20" s="138" t="s">
        <v>250</v>
      </c>
    </row>
    <row r="21" spans="1:5" x14ac:dyDescent="0.25">
      <c r="A21" s="138" t="s">
        <v>365</v>
      </c>
    </row>
    <row r="22" spans="1:5" x14ac:dyDescent="0.25">
      <c r="B22" s="140" t="s">
        <v>629</v>
      </c>
      <c r="C22" s="140"/>
    </row>
    <row r="23" spans="1:5" x14ac:dyDescent="0.25">
      <c r="C23" s="138" t="s">
        <v>589</v>
      </c>
      <c r="D23" s="138" t="s">
        <v>630</v>
      </c>
      <c r="E23" s="138" t="s">
        <v>631</v>
      </c>
    </row>
    <row r="24" spans="1:5" x14ac:dyDescent="0.25">
      <c r="C24" s="138" t="s">
        <v>599</v>
      </c>
      <c r="D24" s="138">
        <v>0.1</v>
      </c>
      <c r="E24" s="138">
        <v>0.1</v>
      </c>
    </row>
    <row r="25" spans="1:5" x14ac:dyDescent="0.25">
      <c r="C25" s="138" t="s">
        <v>594</v>
      </c>
      <c r="D25" s="138">
        <v>0.2</v>
      </c>
      <c r="E25" s="138">
        <v>0.2</v>
      </c>
    </row>
    <row r="26" spans="1:5" x14ac:dyDescent="0.25">
      <c r="C26" s="138" t="s">
        <v>601</v>
      </c>
      <c r="D26" s="138">
        <v>0.3</v>
      </c>
      <c r="E26" s="138">
        <v>0.2</v>
      </c>
    </row>
    <row r="27" spans="1:5" x14ac:dyDescent="0.25">
      <c r="C27" s="138" t="s">
        <v>600</v>
      </c>
      <c r="D27" s="138">
        <v>0.45</v>
      </c>
      <c r="E27" s="138">
        <v>0.2</v>
      </c>
    </row>
    <row r="28" spans="1:5" x14ac:dyDescent="0.25">
      <c r="C28" s="138" t="s">
        <v>602</v>
      </c>
      <c r="D28" s="138">
        <v>0.4</v>
      </c>
      <c r="E28" s="138">
        <v>0.2</v>
      </c>
    </row>
    <row r="29" spans="1:5" x14ac:dyDescent="0.25">
      <c r="C29" s="138" t="s">
        <v>597</v>
      </c>
      <c r="D29" s="138">
        <v>0.4</v>
      </c>
      <c r="E29" s="138">
        <v>0.2</v>
      </c>
    </row>
    <row r="30" spans="1:5" x14ac:dyDescent="0.25">
      <c r="C30" s="138" t="s">
        <v>598</v>
      </c>
      <c r="D30" s="138">
        <v>0.5</v>
      </c>
      <c r="E30" s="138">
        <v>0.2</v>
      </c>
    </row>
    <row r="31" spans="1:5" x14ac:dyDescent="0.25">
      <c r="B31" s="138" t="s">
        <v>245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theme="8" tint="0.39997558519241921"/>
  </sheetPr>
  <dimension ref="A1:T37"/>
  <sheetViews>
    <sheetView zoomScale="85" zoomScaleNormal="85" workbookViewId="0">
      <selection activeCell="B1" sqref="B1"/>
    </sheetView>
  </sheetViews>
  <sheetFormatPr defaultRowHeight="15" x14ac:dyDescent="0.25"/>
  <cols>
    <col min="1" max="1" width="3.42578125" style="138" customWidth="1"/>
    <col min="2" max="2" width="9.140625" style="138" customWidth="1"/>
    <col min="3" max="3" width="25" customWidth="1"/>
    <col min="4" max="4" width="22.7109375" bestFit="1" customWidth="1"/>
    <col min="5" max="5" width="16.85546875" bestFit="1" customWidth="1"/>
    <col min="6" max="6" width="12.7109375" customWidth="1"/>
    <col min="7" max="7" width="16.28515625" bestFit="1" customWidth="1"/>
    <col min="8" max="8" width="11.140625" bestFit="1" customWidth="1"/>
    <col min="9" max="9" width="13.140625" bestFit="1" customWidth="1"/>
    <col min="10" max="10" width="29" bestFit="1" customWidth="1"/>
    <col min="11" max="11" width="14.5703125" bestFit="1" customWidth="1"/>
    <col min="12" max="12" width="25.85546875" bestFit="1" customWidth="1"/>
    <col min="13" max="13" width="15.28515625" bestFit="1" customWidth="1"/>
    <col min="14" max="14" width="19" bestFit="1" customWidth="1"/>
    <col min="15" max="15" width="16" bestFit="1" customWidth="1"/>
    <col min="16" max="16" width="15.140625" bestFit="1" customWidth="1"/>
    <col min="17" max="17" width="13.140625" bestFit="1" customWidth="1"/>
    <col min="18" max="18" width="10.5703125" bestFit="1" customWidth="1"/>
    <col min="19" max="19" width="1.5703125" bestFit="1" customWidth="1"/>
    <col min="20" max="20" width="13.140625" bestFit="1" customWidth="1"/>
  </cols>
  <sheetData>
    <row r="1" spans="1:7" x14ac:dyDescent="0.25">
      <c r="A1" s="138" t="s">
        <v>250</v>
      </c>
      <c r="B1" s="138" t="s">
        <v>1202</v>
      </c>
      <c r="C1" s="138"/>
      <c r="D1" s="138"/>
      <c r="E1" s="138"/>
      <c r="F1" s="138"/>
      <c r="G1" s="138"/>
    </row>
    <row r="2" spans="1:7" x14ac:dyDescent="0.25">
      <c r="A2" s="138" t="s">
        <v>250</v>
      </c>
      <c r="C2" s="138"/>
      <c r="D2" s="138"/>
      <c r="E2" s="138"/>
      <c r="F2" s="138"/>
      <c r="G2" s="138"/>
    </row>
    <row r="3" spans="1:7" x14ac:dyDescent="0.25">
      <c r="A3" s="138" t="s">
        <v>250</v>
      </c>
      <c r="B3" s="138" t="s">
        <v>356</v>
      </c>
      <c r="C3" s="138"/>
      <c r="D3" s="138"/>
      <c r="E3" s="138"/>
      <c r="F3" s="138"/>
      <c r="G3" s="138"/>
    </row>
    <row r="4" spans="1:7" x14ac:dyDescent="0.25">
      <c r="A4" s="138" t="s">
        <v>250</v>
      </c>
      <c r="C4" s="138" t="s">
        <v>673</v>
      </c>
      <c r="D4" s="138"/>
      <c r="E4" s="138"/>
      <c r="F4" s="138"/>
      <c r="G4" s="138"/>
    </row>
    <row r="5" spans="1:7" x14ac:dyDescent="0.25">
      <c r="A5" s="138" t="s">
        <v>250</v>
      </c>
      <c r="C5" s="138"/>
      <c r="D5" s="138"/>
      <c r="E5" s="138"/>
      <c r="F5" s="138"/>
      <c r="G5" s="138"/>
    </row>
    <row r="6" spans="1:7" x14ac:dyDescent="0.25">
      <c r="A6" s="138" t="s">
        <v>250</v>
      </c>
      <c r="B6" s="138" t="s">
        <v>357</v>
      </c>
      <c r="C6" s="138"/>
      <c r="D6" s="138"/>
      <c r="E6" s="138"/>
      <c r="F6" s="138"/>
      <c r="G6" s="138"/>
    </row>
    <row r="7" spans="1:7" x14ac:dyDescent="0.25">
      <c r="A7" s="138" t="s">
        <v>250</v>
      </c>
      <c r="C7" s="138" t="s">
        <v>262</v>
      </c>
      <c r="D7" s="138" t="s">
        <v>263</v>
      </c>
      <c r="E7" s="138" t="s">
        <v>264</v>
      </c>
      <c r="G7" s="138"/>
    </row>
    <row r="8" spans="1:7" x14ac:dyDescent="0.25">
      <c r="A8" s="138" t="s">
        <v>250</v>
      </c>
      <c r="B8" s="141"/>
      <c r="C8" s="144">
        <v>41853</v>
      </c>
      <c r="D8" s="145" t="s">
        <v>410</v>
      </c>
      <c r="E8" s="138" t="s">
        <v>622</v>
      </c>
      <c r="G8" s="138"/>
    </row>
    <row r="9" spans="1:7" x14ac:dyDescent="0.25">
      <c r="A9" s="138" t="s">
        <v>250</v>
      </c>
      <c r="B9" s="141"/>
      <c r="C9" s="144"/>
      <c r="D9" s="145"/>
      <c r="E9" s="145"/>
      <c r="F9" s="138"/>
      <c r="G9" s="138"/>
    </row>
    <row r="10" spans="1:7" x14ac:dyDescent="0.25">
      <c r="A10" s="138" t="s">
        <v>250</v>
      </c>
      <c r="B10" s="141"/>
      <c r="C10" s="144"/>
      <c r="D10" s="145"/>
      <c r="E10" s="145"/>
      <c r="F10" s="138"/>
      <c r="G10" s="138"/>
    </row>
    <row r="11" spans="1:7" x14ac:dyDescent="0.25">
      <c r="A11" s="138" t="s">
        <v>250</v>
      </c>
      <c r="B11" s="141"/>
      <c r="C11" s="144"/>
      <c r="D11" s="138"/>
      <c r="E11" s="138"/>
      <c r="F11" s="138"/>
      <c r="G11" s="138"/>
    </row>
    <row r="12" spans="1:7" x14ac:dyDescent="0.25">
      <c r="A12" s="138" t="s">
        <v>250</v>
      </c>
      <c r="B12" s="138" t="s">
        <v>266</v>
      </c>
      <c r="C12" s="138"/>
      <c r="D12" s="138"/>
      <c r="E12" s="138"/>
      <c r="F12" s="138"/>
      <c r="G12" s="138"/>
    </row>
    <row r="13" spans="1:7" x14ac:dyDescent="0.25">
      <c r="A13" s="138" t="s">
        <v>250</v>
      </c>
      <c r="C13" s="138" t="s">
        <v>608</v>
      </c>
      <c r="D13" s="138"/>
      <c r="E13" s="138"/>
      <c r="F13" s="138"/>
      <c r="G13" s="138"/>
    </row>
    <row r="14" spans="1:7" x14ac:dyDescent="0.25">
      <c r="A14" s="138" t="s">
        <v>250</v>
      </c>
      <c r="C14" s="138"/>
      <c r="D14" s="138"/>
      <c r="E14" s="138"/>
      <c r="F14" s="138"/>
      <c r="G14" s="138"/>
    </row>
    <row r="15" spans="1:7" x14ac:dyDescent="0.25">
      <c r="A15" s="138" t="s">
        <v>250</v>
      </c>
      <c r="B15" s="138" t="s">
        <v>251</v>
      </c>
      <c r="C15" s="138"/>
      <c r="D15" s="138"/>
      <c r="E15" s="138"/>
      <c r="F15" s="138"/>
      <c r="G15" s="138"/>
    </row>
    <row r="16" spans="1:7" x14ac:dyDescent="0.25">
      <c r="A16" s="138" t="s">
        <v>250</v>
      </c>
      <c r="C16" s="138"/>
      <c r="D16" s="138"/>
      <c r="E16" s="138"/>
      <c r="F16" s="138"/>
      <c r="G16" s="138"/>
    </row>
    <row r="17" spans="1:20" x14ac:dyDescent="0.25">
      <c r="A17" s="138" t="s">
        <v>250</v>
      </c>
      <c r="C17" s="138"/>
      <c r="D17" s="138"/>
      <c r="E17" s="138"/>
      <c r="F17" s="138"/>
      <c r="G17" s="138"/>
    </row>
    <row r="18" spans="1:20" x14ac:dyDescent="0.25">
      <c r="A18" s="138" t="s">
        <v>250</v>
      </c>
      <c r="B18" s="138" t="s">
        <v>272</v>
      </c>
      <c r="C18" s="138"/>
      <c r="D18" s="138"/>
      <c r="E18" s="138"/>
      <c r="F18" s="138"/>
      <c r="G18" s="138"/>
    </row>
    <row r="19" spans="1:20" x14ac:dyDescent="0.25">
      <c r="A19" s="138" t="s">
        <v>250</v>
      </c>
      <c r="C19" s="138" t="s">
        <v>764</v>
      </c>
      <c r="D19" s="138"/>
      <c r="E19" s="138"/>
      <c r="F19" s="138"/>
      <c r="G19" s="138"/>
    </row>
    <row r="20" spans="1:20" x14ac:dyDescent="0.25">
      <c r="A20" s="138" t="s">
        <v>250</v>
      </c>
      <c r="D20" s="138"/>
      <c r="E20" s="138"/>
      <c r="F20" s="138"/>
      <c r="G20" s="138"/>
    </row>
    <row r="21" spans="1:20" x14ac:dyDescent="0.25">
      <c r="A21" s="138" t="s">
        <v>250</v>
      </c>
      <c r="C21" s="138"/>
      <c r="D21" s="138"/>
      <c r="E21" s="138"/>
      <c r="F21" s="138"/>
      <c r="G21" s="138"/>
    </row>
    <row r="22" spans="1:20" x14ac:dyDescent="0.25">
      <c r="A22" s="138" t="s">
        <v>250</v>
      </c>
      <c r="C22" s="138"/>
      <c r="D22" s="138"/>
      <c r="E22" s="138"/>
      <c r="F22" s="138"/>
      <c r="G22" s="138"/>
    </row>
    <row r="23" spans="1:20" x14ac:dyDescent="0.25">
      <c r="A23" s="138" t="s">
        <v>365</v>
      </c>
      <c r="C23" s="189"/>
      <c r="D23" s="189"/>
      <c r="E23" s="189"/>
      <c r="F23" s="189"/>
      <c r="G23" s="189"/>
      <c r="H23" s="189"/>
      <c r="I23" s="189"/>
      <c r="J23" s="189"/>
      <c r="K23" s="189"/>
      <c r="L23" s="189"/>
      <c r="M23" s="189"/>
      <c r="N23" s="189"/>
      <c r="O23" s="189"/>
      <c r="P23" s="189"/>
      <c r="Q23" s="189"/>
      <c r="R23" s="189"/>
      <c r="S23" s="189"/>
      <c r="T23" s="189"/>
    </row>
    <row r="24" spans="1:20" x14ac:dyDescent="0.25">
      <c r="B24" s="140" t="s">
        <v>675</v>
      </c>
      <c r="C24" s="190"/>
      <c r="D24" s="189"/>
      <c r="E24" s="189"/>
      <c r="F24" s="189"/>
      <c r="G24" s="189"/>
      <c r="H24" s="189"/>
      <c r="I24" s="189"/>
      <c r="J24" s="189"/>
      <c r="K24" s="189"/>
      <c r="L24" s="189"/>
      <c r="M24" s="189"/>
      <c r="N24" s="189"/>
      <c r="O24" s="189"/>
      <c r="P24" s="189"/>
      <c r="Q24" s="189"/>
      <c r="R24" s="189"/>
      <c r="S24" s="189"/>
      <c r="T24" s="189"/>
    </row>
    <row r="25" spans="1:20" ht="15.75" thickBot="1" x14ac:dyDescent="0.3">
      <c r="B25" s="140"/>
      <c r="C25" s="191" t="s">
        <v>606</v>
      </c>
      <c r="D25" s="192" t="s">
        <v>607</v>
      </c>
      <c r="E25" s="192" t="s">
        <v>235</v>
      </c>
      <c r="F25" s="191" t="s">
        <v>609</v>
      </c>
      <c r="G25" s="204" t="s">
        <v>610</v>
      </c>
      <c r="H25" s="191" t="s">
        <v>611</v>
      </c>
      <c r="I25" s="191" t="s">
        <v>612</v>
      </c>
      <c r="J25" s="193" t="s">
        <v>613</v>
      </c>
      <c r="K25" s="191" t="s">
        <v>614</v>
      </c>
      <c r="L25" s="192" t="s">
        <v>615</v>
      </c>
      <c r="M25" s="191" t="s">
        <v>623</v>
      </c>
      <c r="N25" s="194" t="s">
        <v>624</v>
      </c>
      <c r="O25" s="194" t="s">
        <v>625</v>
      </c>
      <c r="P25" s="191" t="s">
        <v>616</v>
      </c>
      <c r="Q25" s="194" t="s">
        <v>617</v>
      </c>
      <c r="R25" s="194" t="s">
        <v>618</v>
      </c>
      <c r="S25" s="194" t="s">
        <v>250</v>
      </c>
      <c r="T25" s="194" t="s">
        <v>619</v>
      </c>
    </row>
    <row r="26" spans="1:20" ht="15.75" thickTop="1" x14ac:dyDescent="0.25">
      <c r="C26" s="185" t="s">
        <v>524</v>
      </c>
      <c r="D26" s="185" t="s">
        <v>620</v>
      </c>
      <c r="E26" s="185" t="s">
        <v>348</v>
      </c>
      <c r="F26" s="195" t="s">
        <v>348</v>
      </c>
      <c r="G26" s="196">
        <v>1</v>
      </c>
      <c r="H26" s="197">
        <v>0</v>
      </c>
      <c r="I26" s="197">
        <v>0</v>
      </c>
      <c r="J26" s="197">
        <v>0</v>
      </c>
      <c r="K26" s="197">
        <v>0</v>
      </c>
      <c r="L26" s="197">
        <v>0</v>
      </c>
      <c r="M26" s="197">
        <v>0</v>
      </c>
      <c r="N26" s="197">
        <v>0</v>
      </c>
      <c r="O26" s="197">
        <v>0</v>
      </c>
      <c r="P26" s="197">
        <v>0</v>
      </c>
      <c r="Q26" s="197">
        <v>0</v>
      </c>
      <c r="R26" s="197">
        <v>0</v>
      </c>
      <c r="S26" s="195" t="s">
        <v>250</v>
      </c>
      <c r="T26" s="189">
        <f>IF(OR(ISBLANK(#REF!),ISBLANK(G26),ISBLANK(#REF!),ISBLANK(H26),ISBLANK(I26),ISBLANK(J26),ISBLANK(K26),ISBLANK(L26),ISBLANK(M26),ISBLANK(N26),ISBLANK(O26),ISBLANK(P26),ISBLANK(Q26),ISBLANK(R26)),0,1)</f>
        <v>1</v>
      </c>
    </row>
    <row r="27" spans="1:20" x14ac:dyDescent="0.25">
      <c r="C27" s="185" t="s">
        <v>524</v>
      </c>
      <c r="D27" s="185" t="s">
        <v>674</v>
      </c>
      <c r="E27" s="185" t="s">
        <v>522</v>
      </c>
      <c r="F27" s="195" t="s">
        <v>621</v>
      </c>
      <c r="G27" s="196">
        <v>1</v>
      </c>
      <c r="H27" s="197">
        <v>1</v>
      </c>
      <c r="I27" s="197">
        <v>1</v>
      </c>
      <c r="J27" s="197">
        <v>1</v>
      </c>
      <c r="K27" s="197">
        <v>1</v>
      </c>
      <c r="L27" s="197">
        <v>1</v>
      </c>
      <c r="M27" s="197">
        <v>1</v>
      </c>
      <c r="N27" s="197">
        <v>0</v>
      </c>
      <c r="O27" s="197">
        <v>0</v>
      </c>
      <c r="P27" s="197">
        <v>0</v>
      </c>
      <c r="Q27" s="197">
        <v>0</v>
      </c>
      <c r="R27" s="197">
        <v>0</v>
      </c>
      <c r="S27" s="195" t="s">
        <v>250</v>
      </c>
      <c r="T27" s="189">
        <f>IF(OR(ISBLANK(#REF!),ISBLANK(G27),ISBLANK(#REF!),ISBLANK(H27),ISBLANK(I27),ISBLANK(J27),ISBLANK(K27),ISBLANK(L27),ISBLANK(M27),ISBLANK(N27),ISBLANK(O27),ISBLANK(P27),ISBLANK(Q27),ISBLANK(R27)),0,1)</f>
        <v>1</v>
      </c>
    </row>
    <row r="28" spans="1:20" x14ac:dyDescent="0.25">
      <c r="C28" s="185" t="s">
        <v>524</v>
      </c>
      <c r="D28" s="185" t="s">
        <v>674</v>
      </c>
      <c r="E28" s="195" t="s">
        <v>348</v>
      </c>
      <c r="F28" s="195" t="s">
        <v>621</v>
      </c>
      <c r="G28" s="196">
        <v>1</v>
      </c>
      <c r="H28" s="197">
        <v>1</v>
      </c>
      <c r="I28" s="197">
        <v>1</v>
      </c>
      <c r="J28" s="198">
        <v>0</v>
      </c>
      <c r="K28" s="197">
        <v>1</v>
      </c>
      <c r="L28" s="197">
        <v>1</v>
      </c>
      <c r="M28" s="197">
        <v>1</v>
      </c>
      <c r="N28" s="197">
        <v>0</v>
      </c>
      <c r="O28" s="197">
        <v>0</v>
      </c>
      <c r="P28" s="197">
        <v>0</v>
      </c>
      <c r="Q28" s="197">
        <v>0</v>
      </c>
      <c r="R28" s="197">
        <v>0</v>
      </c>
      <c r="S28" s="195" t="s">
        <v>250</v>
      </c>
      <c r="T28" s="189">
        <f>IF(OR(ISBLANK(#REF!),ISBLANK(G28),ISBLANK(#REF!),ISBLANK(H28),ISBLANK(I28),ISBLANK(J28),ISBLANK(K28),ISBLANK(L28),ISBLANK(M28),ISBLANK(N28),ISBLANK(O28),ISBLANK(P28),ISBLANK(Q28),ISBLANK(R28)),0,1)</f>
        <v>1</v>
      </c>
    </row>
    <row r="29" spans="1:20" x14ac:dyDescent="0.25">
      <c r="C29" s="185" t="s">
        <v>524</v>
      </c>
      <c r="D29" s="185" t="s">
        <v>674</v>
      </c>
      <c r="E29" s="185" t="s">
        <v>522</v>
      </c>
      <c r="F29" s="195" t="s">
        <v>348</v>
      </c>
      <c r="G29" s="196">
        <v>1</v>
      </c>
      <c r="H29" s="197">
        <v>1</v>
      </c>
      <c r="I29" s="197">
        <v>1</v>
      </c>
      <c r="J29" s="197">
        <v>1</v>
      </c>
      <c r="K29" s="197">
        <v>0</v>
      </c>
      <c r="L29" s="197">
        <v>1</v>
      </c>
      <c r="M29" s="197">
        <v>1</v>
      </c>
      <c r="N29" s="197">
        <v>0</v>
      </c>
      <c r="O29" s="197">
        <v>0</v>
      </c>
      <c r="P29" s="197">
        <v>0</v>
      </c>
      <c r="Q29" s="197">
        <v>0</v>
      </c>
      <c r="R29" s="197">
        <v>0</v>
      </c>
      <c r="S29" s="195" t="s">
        <v>250</v>
      </c>
      <c r="T29" s="189">
        <f>IF(OR(ISBLANK(#REF!),ISBLANK(G29),ISBLANK(#REF!),ISBLANK(H29),ISBLANK(I29),ISBLANK(J29),ISBLANK(K29),ISBLANK(L29),ISBLANK(M29),ISBLANK(N29),ISBLANK(O29),ISBLANK(P29),ISBLANK(Q29),ISBLANK(R29)),0,1)</f>
        <v>1</v>
      </c>
    </row>
    <row r="30" spans="1:20" x14ac:dyDescent="0.25">
      <c r="C30" s="185" t="s">
        <v>524</v>
      </c>
      <c r="D30" s="185" t="s">
        <v>674</v>
      </c>
      <c r="E30" s="195" t="s">
        <v>348</v>
      </c>
      <c r="F30" s="195" t="s">
        <v>348</v>
      </c>
      <c r="G30" s="196">
        <v>1</v>
      </c>
      <c r="H30" s="197">
        <v>1</v>
      </c>
      <c r="I30" s="197">
        <v>1</v>
      </c>
      <c r="J30" s="198">
        <v>0</v>
      </c>
      <c r="K30" s="197">
        <v>0</v>
      </c>
      <c r="L30" s="197">
        <v>1</v>
      </c>
      <c r="M30" s="197">
        <v>1</v>
      </c>
      <c r="N30" s="197">
        <v>0</v>
      </c>
      <c r="O30" s="197">
        <v>0</v>
      </c>
      <c r="P30" s="197">
        <v>0</v>
      </c>
      <c r="Q30" s="197">
        <v>0</v>
      </c>
      <c r="R30" s="197">
        <v>0</v>
      </c>
      <c r="S30" s="195" t="s">
        <v>250</v>
      </c>
      <c r="T30" s="189">
        <f>IF(OR(ISBLANK(#REF!),ISBLANK(G30),ISBLANK(#REF!),ISBLANK(H30),ISBLANK(I30),ISBLANK(J30),ISBLANK(K30),ISBLANK(L30),ISBLANK(M30),ISBLANK(N30),ISBLANK(O30),ISBLANK(P30),ISBLANK(Q30),ISBLANK(R30)),0,1)</f>
        <v>1</v>
      </c>
    </row>
    <row r="31" spans="1:20" x14ac:dyDescent="0.25">
      <c r="C31" s="185" t="s">
        <v>524</v>
      </c>
      <c r="D31" s="185" t="s">
        <v>763</v>
      </c>
      <c r="E31" s="185" t="s">
        <v>522</v>
      </c>
      <c r="F31" s="195" t="s">
        <v>348</v>
      </c>
      <c r="G31" s="196">
        <v>1</v>
      </c>
      <c r="H31" s="197">
        <v>1</v>
      </c>
      <c r="I31" s="197">
        <v>0</v>
      </c>
      <c r="J31" s="197">
        <v>1</v>
      </c>
      <c r="K31" s="197">
        <v>0</v>
      </c>
      <c r="L31" s="197">
        <v>0</v>
      </c>
      <c r="M31" s="197">
        <v>0</v>
      </c>
      <c r="N31" s="197">
        <v>0</v>
      </c>
      <c r="O31" s="197">
        <v>0</v>
      </c>
      <c r="P31" s="197">
        <v>1</v>
      </c>
      <c r="Q31" s="197">
        <v>1</v>
      </c>
      <c r="R31" s="197">
        <v>1</v>
      </c>
      <c r="S31" s="195" t="s">
        <v>250</v>
      </c>
      <c r="T31" s="189">
        <f>IF(OR(ISBLANK(#REF!),ISBLANK(G31),ISBLANK(#REF!),ISBLANK(H31),ISBLANK(I31),ISBLANK(J31),ISBLANK(K31),ISBLANK(L31),ISBLANK(M31),ISBLANK(N31),ISBLANK(O31),ISBLANK(P31),ISBLANK(Q31),ISBLANK(R31)),0,1)</f>
        <v>1</v>
      </c>
    </row>
    <row r="32" spans="1:20" x14ac:dyDescent="0.25">
      <c r="C32" s="188" t="s">
        <v>524</v>
      </c>
      <c r="D32" s="188" t="s">
        <v>763</v>
      </c>
      <c r="E32" s="199" t="s">
        <v>348</v>
      </c>
      <c r="F32" s="199" t="s">
        <v>348</v>
      </c>
      <c r="G32" s="200">
        <v>1</v>
      </c>
      <c r="H32" s="201">
        <v>1</v>
      </c>
      <c r="I32" s="201">
        <v>0</v>
      </c>
      <c r="J32" s="202">
        <v>0</v>
      </c>
      <c r="K32" s="201">
        <v>0</v>
      </c>
      <c r="L32" s="201">
        <v>0</v>
      </c>
      <c r="M32" s="201">
        <v>0</v>
      </c>
      <c r="N32" s="201">
        <v>0</v>
      </c>
      <c r="O32" s="201">
        <v>0</v>
      </c>
      <c r="P32" s="201">
        <v>1</v>
      </c>
      <c r="Q32" s="201">
        <v>1</v>
      </c>
      <c r="R32" s="201">
        <v>1</v>
      </c>
      <c r="S32" s="199" t="s">
        <v>250</v>
      </c>
      <c r="T32" s="188">
        <f>IF(OR(ISBLANK(#REF!),ISBLANK(G32),ISBLANK(#REF!),ISBLANK(H32),ISBLANK(I32),ISBLANK(J32),ISBLANK(K32),ISBLANK(L32),ISBLANK(M32),ISBLANK(N32),ISBLANK(O32),ISBLANK(P32),ISBLANK(Q32),ISBLANK(R32)),0,1)</f>
        <v>1</v>
      </c>
    </row>
    <row r="33" spans="2:20" x14ac:dyDescent="0.25">
      <c r="C33" s="185" t="s">
        <v>238</v>
      </c>
      <c r="D33" s="185" t="s">
        <v>620</v>
      </c>
      <c r="E33" s="185" t="s">
        <v>348</v>
      </c>
      <c r="F33" s="195" t="s">
        <v>348</v>
      </c>
      <c r="G33" s="196">
        <v>0</v>
      </c>
      <c r="H33" s="197">
        <v>0</v>
      </c>
      <c r="I33" s="197">
        <v>0</v>
      </c>
      <c r="J33" s="197">
        <v>0</v>
      </c>
      <c r="K33" s="197">
        <v>0</v>
      </c>
      <c r="L33" s="197">
        <v>0</v>
      </c>
      <c r="M33" s="197">
        <v>0</v>
      </c>
      <c r="N33" s="197">
        <v>1</v>
      </c>
      <c r="O33" s="197">
        <v>1</v>
      </c>
      <c r="P33" s="197">
        <v>0</v>
      </c>
      <c r="Q33" s="197">
        <v>0</v>
      </c>
      <c r="R33" s="197">
        <v>0</v>
      </c>
      <c r="S33" s="195" t="s">
        <v>250</v>
      </c>
      <c r="T33" s="189">
        <f>IF(OR(ISBLANK(#REF!),ISBLANK(G33),ISBLANK(#REF!),ISBLANK(H33),ISBLANK(I33),ISBLANK(J33),ISBLANK(K33),ISBLANK(L33),ISBLANK(M33),ISBLANK(N33),ISBLANK(O33),ISBLANK(P33),ISBLANK(Q33),ISBLANK(R33)),0,1)</f>
        <v>1</v>
      </c>
    </row>
    <row r="34" spans="2:20" s="138" customFormat="1" x14ac:dyDescent="0.25">
      <c r="C34" s="185" t="s">
        <v>238</v>
      </c>
      <c r="D34" s="185" t="s">
        <v>674</v>
      </c>
      <c r="E34" s="195" t="s">
        <v>348</v>
      </c>
      <c r="F34" s="189" t="s">
        <v>621</v>
      </c>
      <c r="G34" s="203">
        <v>1</v>
      </c>
      <c r="H34" s="189">
        <v>1</v>
      </c>
      <c r="I34" s="189">
        <v>1</v>
      </c>
      <c r="J34" s="189">
        <v>0</v>
      </c>
      <c r="K34" s="189">
        <v>1</v>
      </c>
      <c r="L34" s="189">
        <v>0</v>
      </c>
      <c r="M34" s="189">
        <v>1</v>
      </c>
      <c r="N34" s="189">
        <v>1</v>
      </c>
      <c r="O34" s="189">
        <v>1</v>
      </c>
      <c r="P34" s="189">
        <v>0</v>
      </c>
      <c r="Q34" s="189">
        <v>0</v>
      </c>
      <c r="R34" s="189">
        <v>1</v>
      </c>
      <c r="S34" s="195" t="s">
        <v>250</v>
      </c>
      <c r="T34" s="189">
        <f>IF(OR(ISBLANK(#REF!),ISBLANK(G34),ISBLANK(#REF!),ISBLANK(H34),ISBLANK(I34),ISBLANK(J34),ISBLANK(K34),ISBLANK(L34),ISBLANK(M34),ISBLANK(N34),ISBLANK(O34),ISBLANK(P34),ISBLANK(Q34),ISBLANK(R34)),0,1)</f>
        <v>1</v>
      </c>
    </row>
    <row r="35" spans="2:20" s="138" customFormat="1" x14ac:dyDescent="0.25">
      <c r="C35" s="185" t="s">
        <v>238</v>
      </c>
      <c r="D35" s="185" t="s">
        <v>674</v>
      </c>
      <c r="E35" s="195" t="s">
        <v>348</v>
      </c>
      <c r="F35" s="195" t="s">
        <v>348</v>
      </c>
      <c r="G35" s="203">
        <v>1</v>
      </c>
      <c r="H35" s="189">
        <v>1</v>
      </c>
      <c r="I35" s="189">
        <v>1</v>
      </c>
      <c r="J35" s="189">
        <v>0</v>
      </c>
      <c r="K35" s="189">
        <v>0</v>
      </c>
      <c r="L35" s="189">
        <v>0</v>
      </c>
      <c r="M35" s="189">
        <v>1</v>
      </c>
      <c r="N35" s="189">
        <v>1</v>
      </c>
      <c r="O35" s="189">
        <v>1</v>
      </c>
      <c r="P35" s="189">
        <v>0</v>
      </c>
      <c r="Q35" s="189">
        <v>0</v>
      </c>
      <c r="R35" s="189">
        <v>1</v>
      </c>
      <c r="S35" s="195" t="s">
        <v>250</v>
      </c>
      <c r="T35" s="189">
        <f>IF(OR(ISBLANK(#REF!),ISBLANK(G35),ISBLANK(#REF!),ISBLANK(H35),ISBLANK(I35),ISBLANK(J35),ISBLANK(K35),ISBLANK(L35),ISBLANK(M35),ISBLANK(N35),ISBLANK(O35),ISBLANK(P35),ISBLANK(Q35),ISBLANK(R35)),0,1)</f>
        <v>1</v>
      </c>
    </row>
    <row r="36" spans="2:20" x14ac:dyDescent="0.25">
      <c r="C36" s="185" t="s">
        <v>238</v>
      </c>
      <c r="D36" s="185" t="s">
        <v>763</v>
      </c>
      <c r="E36" s="195" t="s">
        <v>348</v>
      </c>
      <c r="F36" s="189" t="s">
        <v>348</v>
      </c>
      <c r="G36" s="203">
        <v>0</v>
      </c>
      <c r="H36" s="189">
        <v>1</v>
      </c>
      <c r="I36" s="189">
        <v>0</v>
      </c>
      <c r="J36" s="189">
        <v>0</v>
      </c>
      <c r="K36" s="189">
        <v>0</v>
      </c>
      <c r="L36" s="189">
        <v>0</v>
      </c>
      <c r="M36" s="189">
        <v>0</v>
      </c>
      <c r="N36" s="189">
        <v>1</v>
      </c>
      <c r="O36" s="189">
        <v>1</v>
      </c>
      <c r="P36" s="189">
        <v>1</v>
      </c>
      <c r="Q36" s="189">
        <v>1</v>
      </c>
      <c r="R36" s="189">
        <v>1</v>
      </c>
      <c r="S36" s="195" t="s">
        <v>250</v>
      </c>
      <c r="T36" s="189">
        <f>IF(OR(ISBLANK(#REF!),ISBLANK(G36),ISBLANK(#REF!),ISBLANK(H36),ISBLANK(I36),ISBLANK(J36),ISBLANK(K36),ISBLANK(L36),ISBLANK(M36),ISBLANK(N36),ISBLANK(O36),ISBLANK(P36),ISBLANK(Q36),ISBLANK(R36)),0,1)</f>
        <v>1</v>
      </c>
    </row>
    <row r="37" spans="2:20" x14ac:dyDescent="0.25">
      <c r="B37" s="138" t="s">
        <v>245</v>
      </c>
    </row>
  </sheetData>
  <conditionalFormatting sqref="G26:R36">
    <cfRule type="expression" dxfId="8" priority="1">
      <formula>G26=1</formula>
    </cfRule>
  </conditionalFormatting>
  <conditionalFormatting sqref="G26:R36">
    <cfRule type="expression" dxfId="7" priority="5">
      <formula>$L26=1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92D050"/>
  </sheetPr>
  <dimension ref="A1:N30"/>
  <sheetViews>
    <sheetView workbookViewId="0">
      <selection activeCell="G32" sqref="G32"/>
    </sheetView>
  </sheetViews>
  <sheetFormatPr defaultColWidth="9.140625" defaultRowHeight="15" x14ac:dyDescent="0.25"/>
  <cols>
    <col min="1" max="1" width="3.42578125" style="138" customWidth="1"/>
    <col min="2" max="2" width="9.140625" style="138" customWidth="1"/>
    <col min="3" max="3" width="25" style="138" customWidth="1"/>
    <col min="4" max="4" width="22.7109375" style="138" bestFit="1" customWidth="1"/>
    <col min="5" max="5" width="12.140625" style="138" bestFit="1" customWidth="1"/>
    <col min="6" max="6" width="6.28515625" style="138" bestFit="1" customWidth="1"/>
    <col min="7" max="7" width="16.28515625" style="138" bestFit="1" customWidth="1"/>
    <col min="8" max="8" width="11.140625" style="138" bestFit="1" customWidth="1"/>
    <col min="9" max="9" width="13.140625" style="138" bestFit="1" customWidth="1"/>
    <col min="10" max="10" width="15.28515625" style="138" bestFit="1" customWidth="1"/>
    <col min="11" max="11" width="19" style="138" bestFit="1" customWidth="1"/>
    <col min="12" max="12" width="16" style="138" bestFit="1" customWidth="1"/>
    <col min="13" max="13" width="1.5703125" style="138" bestFit="1" customWidth="1"/>
    <col min="14" max="14" width="13.140625" style="138" bestFit="1" customWidth="1"/>
    <col min="15" max="16384" width="9.140625" style="138"/>
  </cols>
  <sheetData>
    <row r="1" spans="1:7" x14ac:dyDescent="0.25">
      <c r="A1" s="138" t="s">
        <v>250</v>
      </c>
      <c r="B1" s="138" t="s">
        <v>672</v>
      </c>
    </row>
    <row r="2" spans="1:7" x14ac:dyDescent="0.25">
      <c r="A2" s="138" t="s">
        <v>250</v>
      </c>
    </row>
    <row r="3" spans="1:7" x14ac:dyDescent="0.25">
      <c r="A3" s="138" t="s">
        <v>250</v>
      </c>
      <c r="B3" s="138" t="s">
        <v>356</v>
      </c>
    </row>
    <row r="4" spans="1:7" x14ac:dyDescent="0.25">
      <c r="A4" s="138" t="s">
        <v>250</v>
      </c>
      <c r="C4" s="138" t="s">
        <v>676</v>
      </c>
    </row>
    <row r="5" spans="1:7" x14ac:dyDescent="0.25">
      <c r="A5" s="138" t="s">
        <v>250</v>
      </c>
    </row>
    <row r="6" spans="1:7" x14ac:dyDescent="0.25">
      <c r="A6" s="138" t="s">
        <v>250</v>
      </c>
      <c r="B6" s="138" t="s">
        <v>357</v>
      </c>
    </row>
    <row r="7" spans="1:7" x14ac:dyDescent="0.25">
      <c r="A7" s="138" t="s">
        <v>250</v>
      </c>
      <c r="C7" s="138" t="s">
        <v>262</v>
      </c>
      <c r="D7" s="138" t="s">
        <v>263</v>
      </c>
      <c r="G7" s="138" t="s">
        <v>264</v>
      </c>
    </row>
    <row r="8" spans="1:7" x14ac:dyDescent="0.25">
      <c r="A8" s="138" t="s">
        <v>250</v>
      </c>
      <c r="B8" s="141"/>
      <c r="C8" s="144">
        <v>41904</v>
      </c>
      <c r="D8" s="145" t="s">
        <v>410</v>
      </c>
      <c r="E8" s="145"/>
      <c r="F8" s="145"/>
      <c r="G8" s="138" t="s">
        <v>622</v>
      </c>
    </row>
    <row r="9" spans="1:7" x14ac:dyDescent="0.25">
      <c r="A9" s="138" t="s">
        <v>250</v>
      </c>
      <c r="B9" s="141"/>
      <c r="C9" s="144"/>
      <c r="D9" s="145"/>
      <c r="E9" s="145"/>
      <c r="F9" s="145"/>
    </row>
    <row r="10" spans="1:7" x14ac:dyDescent="0.25">
      <c r="A10" s="138" t="s">
        <v>250</v>
      </c>
      <c r="B10" s="141"/>
      <c r="C10" s="144"/>
      <c r="D10" s="145"/>
      <c r="E10" s="145"/>
      <c r="F10" s="145"/>
    </row>
    <row r="11" spans="1:7" x14ac:dyDescent="0.25">
      <c r="A11" s="138" t="s">
        <v>250</v>
      </c>
      <c r="B11" s="141"/>
      <c r="C11" s="144"/>
    </row>
    <row r="12" spans="1:7" x14ac:dyDescent="0.25">
      <c r="A12" s="138" t="s">
        <v>250</v>
      </c>
      <c r="B12" s="138" t="s">
        <v>266</v>
      </c>
    </row>
    <row r="13" spans="1:7" x14ac:dyDescent="0.25">
      <c r="A13" s="138" t="s">
        <v>250</v>
      </c>
      <c r="C13" s="138" t="s">
        <v>608</v>
      </c>
    </row>
    <row r="14" spans="1:7" x14ac:dyDescent="0.25">
      <c r="A14" s="138" t="s">
        <v>250</v>
      </c>
    </row>
    <row r="15" spans="1:7" x14ac:dyDescent="0.25">
      <c r="A15" s="138" t="s">
        <v>250</v>
      </c>
      <c r="B15" s="138" t="s">
        <v>251</v>
      </c>
    </row>
    <row r="16" spans="1:7" x14ac:dyDescent="0.25">
      <c r="A16" s="138" t="s">
        <v>250</v>
      </c>
    </row>
    <row r="17" spans="1:14" x14ac:dyDescent="0.25">
      <c r="A17" s="138" t="s">
        <v>250</v>
      </c>
    </row>
    <row r="18" spans="1:14" x14ac:dyDescent="0.25">
      <c r="A18" s="138" t="s">
        <v>250</v>
      </c>
      <c r="B18" s="138" t="s">
        <v>272</v>
      </c>
    </row>
    <row r="19" spans="1:14" x14ac:dyDescent="0.25">
      <c r="A19" s="138" t="s">
        <v>250</v>
      </c>
      <c r="C19" s="138" t="s">
        <v>764</v>
      </c>
    </row>
    <row r="20" spans="1:14" x14ac:dyDescent="0.25">
      <c r="A20" s="138" t="s">
        <v>250</v>
      </c>
    </row>
    <row r="21" spans="1:14" x14ac:dyDescent="0.25">
      <c r="A21" s="138" t="s">
        <v>250</v>
      </c>
    </row>
    <row r="22" spans="1:14" x14ac:dyDescent="0.25">
      <c r="A22" s="138" t="s">
        <v>250</v>
      </c>
    </row>
    <row r="23" spans="1:14" x14ac:dyDescent="0.25">
      <c r="A23" s="138" t="s">
        <v>365</v>
      </c>
      <c r="C23" s="189"/>
      <c r="D23" s="189"/>
      <c r="E23" s="189"/>
      <c r="F23" s="189"/>
      <c r="G23" s="189"/>
      <c r="H23" s="189"/>
      <c r="I23" s="189"/>
      <c r="J23" s="189"/>
      <c r="K23" s="189"/>
      <c r="L23" s="189"/>
      <c r="M23" s="189"/>
      <c r="N23" s="189"/>
    </row>
    <row r="24" spans="1:14" x14ac:dyDescent="0.25">
      <c r="B24" s="140" t="s">
        <v>675</v>
      </c>
      <c r="C24" s="190"/>
      <c r="D24" s="189"/>
      <c r="E24" s="189"/>
      <c r="F24" s="189"/>
      <c r="G24" s="189"/>
      <c r="H24" s="189"/>
      <c r="I24" s="189"/>
      <c r="J24" s="189"/>
      <c r="K24" s="189"/>
      <c r="L24" s="189"/>
      <c r="M24" s="189"/>
      <c r="N24" s="189"/>
    </row>
    <row r="25" spans="1:14" ht="15.75" thickBot="1" x14ac:dyDescent="0.3">
      <c r="B25" s="140"/>
      <c r="C25" s="284" t="s">
        <v>606</v>
      </c>
      <c r="D25" s="285" t="s">
        <v>607</v>
      </c>
      <c r="E25" s="285" t="s">
        <v>235</v>
      </c>
      <c r="F25" s="286" t="s">
        <v>609</v>
      </c>
      <c r="G25" s="287" t="s">
        <v>610</v>
      </c>
      <c r="H25" s="286" t="s">
        <v>611</v>
      </c>
      <c r="I25" s="286" t="s">
        <v>612</v>
      </c>
      <c r="J25" s="286" t="s">
        <v>623</v>
      </c>
      <c r="K25" s="288" t="s">
        <v>624</v>
      </c>
      <c r="L25" s="289" t="s">
        <v>625</v>
      </c>
      <c r="M25" s="194" t="s">
        <v>250</v>
      </c>
      <c r="N25" s="194" t="s">
        <v>619</v>
      </c>
    </row>
    <row r="26" spans="1:14" ht="15.75" thickTop="1" x14ac:dyDescent="0.25">
      <c r="C26" s="203" t="s">
        <v>524</v>
      </c>
      <c r="D26" s="185" t="s">
        <v>620</v>
      </c>
      <c r="E26" s="185" t="s">
        <v>348</v>
      </c>
      <c r="F26" s="185" t="s">
        <v>348</v>
      </c>
      <c r="G26" s="196">
        <v>1</v>
      </c>
      <c r="H26" s="215">
        <v>1</v>
      </c>
      <c r="I26" s="215">
        <v>0</v>
      </c>
      <c r="J26" s="215">
        <v>0</v>
      </c>
      <c r="K26" s="215">
        <v>0</v>
      </c>
      <c r="L26" s="227">
        <v>0</v>
      </c>
      <c r="M26" s="195" t="s">
        <v>250</v>
      </c>
      <c r="N26" s="189">
        <f>IF(OR(ISBLANK(#REF!),ISBLANK(G26),ISBLANK(#REF!),ISBLANK(H26),ISBLANK(I26),ISBLANK(#REF!),ISBLANK(#REF!),ISBLANK(#REF!),ISBLANK(J26),ISBLANK(K26),ISBLANK(L26),ISBLANK(#REF!),ISBLANK(#REF!),ISBLANK(#REF!)),0,1)</f>
        <v>1</v>
      </c>
    </row>
    <row r="27" spans="1:14" x14ac:dyDescent="0.25">
      <c r="C27" s="283" t="s">
        <v>524</v>
      </c>
      <c r="D27" s="188" t="s">
        <v>674</v>
      </c>
      <c r="E27" s="188" t="s">
        <v>348</v>
      </c>
      <c r="F27" s="188" t="s">
        <v>348</v>
      </c>
      <c r="G27" s="200">
        <v>1</v>
      </c>
      <c r="H27" s="201">
        <v>1</v>
      </c>
      <c r="I27" s="201">
        <v>1</v>
      </c>
      <c r="J27" s="201">
        <v>1</v>
      </c>
      <c r="K27" s="201">
        <v>0</v>
      </c>
      <c r="L27" s="290">
        <v>0</v>
      </c>
      <c r="M27" s="199" t="s">
        <v>250</v>
      </c>
      <c r="N27" s="188">
        <f>IF(OR(ISBLANK(#REF!),ISBLANK(G27),ISBLANK(#REF!),ISBLANK(H27),ISBLANK(I27),ISBLANK(#REF!),ISBLANK(#REF!),ISBLANK(#REF!),ISBLANK(J27),ISBLANK(K27),ISBLANK(L27),ISBLANK(#REF!),ISBLANK(#REF!),ISBLANK(#REF!)),0,1)</f>
        <v>1</v>
      </c>
    </row>
    <row r="28" spans="1:14" x14ac:dyDescent="0.25">
      <c r="C28" s="203" t="s">
        <v>238</v>
      </c>
      <c r="D28" s="185" t="s">
        <v>620</v>
      </c>
      <c r="E28" s="185" t="s">
        <v>348</v>
      </c>
      <c r="F28" s="185" t="s">
        <v>348</v>
      </c>
      <c r="G28" s="196">
        <v>0</v>
      </c>
      <c r="H28" s="215">
        <v>0</v>
      </c>
      <c r="I28" s="215">
        <v>1</v>
      </c>
      <c r="J28" s="215">
        <v>0</v>
      </c>
      <c r="K28" s="215">
        <v>1</v>
      </c>
      <c r="L28" s="227">
        <v>1</v>
      </c>
      <c r="M28" s="195" t="s">
        <v>250</v>
      </c>
      <c r="N28" s="189">
        <f>IF(OR(ISBLANK(#REF!),ISBLANK(G28),ISBLANK(#REF!),ISBLANK(H28),ISBLANK(I28),ISBLANK(#REF!),ISBLANK(#REF!),ISBLANK(#REF!),ISBLANK(J28),ISBLANK(K28),ISBLANK(L28),ISBLANK(#REF!),ISBLANK(#REF!),ISBLANK(#REF!)),0,1)</f>
        <v>1</v>
      </c>
    </row>
    <row r="29" spans="1:14" x14ac:dyDescent="0.25">
      <c r="C29" s="283" t="s">
        <v>238</v>
      </c>
      <c r="D29" s="188" t="s">
        <v>674</v>
      </c>
      <c r="E29" s="188" t="s">
        <v>348</v>
      </c>
      <c r="F29" s="188" t="s">
        <v>348</v>
      </c>
      <c r="G29" s="283">
        <v>0</v>
      </c>
      <c r="H29" s="188">
        <v>1</v>
      </c>
      <c r="I29" s="188">
        <v>1</v>
      </c>
      <c r="J29" s="188">
        <v>1</v>
      </c>
      <c r="K29" s="188">
        <v>0</v>
      </c>
      <c r="L29" s="291">
        <v>1</v>
      </c>
      <c r="M29" s="195" t="s">
        <v>250</v>
      </c>
      <c r="N29" s="189">
        <f>IF(OR(ISBLANK(#REF!),ISBLANK(G29),ISBLANK(#REF!),ISBLANK(H29),ISBLANK(I29),ISBLANK(#REF!),ISBLANK(#REF!),ISBLANK(#REF!),ISBLANK(J29),ISBLANK(K29),ISBLANK(L29),ISBLANK(#REF!),ISBLANK(#REF!),ISBLANK(#REF!)),0,1)</f>
        <v>1</v>
      </c>
    </row>
    <row r="30" spans="1:14" x14ac:dyDescent="0.25">
      <c r="B30" s="138" t="s">
        <v>245</v>
      </c>
    </row>
  </sheetData>
  <conditionalFormatting sqref="G26:L29">
    <cfRule type="expression" dxfId="6" priority="1">
      <formula>G26=1</formula>
    </cfRule>
  </conditionalFormatting>
  <conditionalFormatting sqref="G26:L29">
    <cfRule type="expression" dxfId="5" priority="8">
      <formula>#REF!=1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theme="8" tint="0.39997558519241921"/>
  </sheetPr>
  <dimension ref="A1:R99"/>
  <sheetViews>
    <sheetView zoomScaleNormal="100" workbookViewId="0">
      <selection activeCell="B1" sqref="B1"/>
    </sheetView>
  </sheetViews>
  <sheetFormatPr defaultRowHeight="15" x14ac:dyDescent="0.25"/>
  <cols>
    <col min="1" max="1" width="1.85546875" customWidth="1"/>
    <col min="2" max="2" width="4.7109375" customWidth="1"/>
    <col min="3" max="3" width="31.42578125" customWidth="1"/>
    <col min="4" max="4" width="15.5703125" customWidth="1"/>
    <col min="5" max="5" width="15.5703125" style="138" customWidth="1"/>
    <col min="6" max="13" width="13.85546875" customWidth="1"/>
    <col min="14" max="16" width="9.140625" customWidth="1"/>
    <col min="18" max="18" width="9.140625" customWidth="1"/>
  </cols>
  <sheetData>
    <row r="1" spans="1:6" x14ac:dyDescent="0.25">
      <c r="A1" s="67" t="s">
        <v>250</v>
      </c>
      <c r="B1" s="67" t="s">
        <v>1202</v>
      </c>
      <c r="C1" s="67"/>
      <c r="D1" s="67"/>
      <c r="F1" s="67"/>
    </row>
    <row r="2" spans="1:6" s="39" customFormat="1" x14ac:dyDescent="0.25">
      <c r="A2" s="67" t="s">
        <v>250</v>
      </c>
      <c r="B2" s="67"/>
      <c r="C2" s="67"/>
      <c r="D2" s="67"/>
      <c r="E2" s="138"/>
      <c r="F2" s="67"/>
    </row>
    <row r="3" spans="1:6" s="39" customFormat="1" x14ac:dyDescent="0.25">
      <c r="A3" s="67" t="s">
        <v>250</v>
      </c>
      <c r="B3" s="67" t="s">
        <v>356</v>
      </c>
      <c r="C3" s="67"/>
      <c r="D3" s="67"/>
      <c r="E3" s="138"/>
      <c r="F3" s="67"/>
    </row>
    <row r="4" spans="1:6" s="39" customFormat="1" x14ac:dyDescent="0.25">
      <c r="A4" s="67" t="s">
        <v>250</v>
      </c>
      <c r="B4" s="67"/>
      <c r="C4" s="67" t="s">
        <v>234</v>
      </c>
      <c r="D4" s="67"/>
      <c r="E4" s="138"/>
      <c r="F4" s="67"/>
    </row>
    <row r="5" spans="1:6" s="39" customFormat="1" x14ac:dyDescent="0.25">
      <c r="A5" s="67" t="s">
        <v>250</v>
      </c>
      <c r="B5" s="67"/>
      <c r="C5" s="67"/>
      <c r="D5" s="67"/>
      <c r="E5" s="138"/>
      <c r="F5" s="67"/>
    </row>
    <row r="6" spans="1:6" s="39" customFormat="1" x14ac:dyDescent="0.25">
      <c r="A6" s="67" t="s">
        <v>250</v>
      </c>
      <c r="B6" s="67" t="s">
        <v>357</v>
      </c>
      <c r="C6" s="67"/>
      <c r="D6" s="67"/>
      <c r="E6" s="138"/>
      <c r="F6" s="67"/>
    </row>
    <row r="7" spans="1:6" x14ac:dyDescent="0.25">
      <c r="A7" s="67" t="s">
        <v>250</v>
      </c>
      <c r="B7" s="67"/>
      <c r="C7" s="67" t="s">
        <v>262</v>
      </c>
      <c r="D7" s="67" t="s">
        <v>263</v>
      </c>
      <c r="F7" s="67" t="s">
        <v>264</v>
      </c>
    </row>
    <row r="8" spans="1:6" x14ac:dyDescent="0.25">
      <c r="A8" s="67" t="s">
        <v>250</v>
      </c>
      <c r="B8" s="69"/>
      <c r="C8" s="70">
        <v>41186</v>
      </c>
      <c r="D8" s="71" t="s">
        <v>386</v>
      </c>
      <c r="E8" s="145"/>
      <c r="F8" s="67" t="s">
        <v>265</v>
      </c>
    </row>
    <row r="9" spans="1:6" s="39" customFormat="1" x14ac:dyDescent="0.25">
      <c r="A9" s="67" t="s">
        <v>250</v>
      </c>
      <c r="B9" s="69"/>
      <c r="C9" s="70">
        <v>41203</v>
      </c>
      <c r="D9" s="71" t="s">
        <v>386</v>
      </c>
      <c r="E9" s="145"/>
      <c r="F9" s="67" t="s">
        <v>338</v>
      </c>
    </row>
    <row r="10" spans="1:6" x14ac:dyDescent="0.25">
      <c r="A10" s="67" t="s">
        <v>250</v>
      </c>
      <c r="B10" s="69"/>
      <c r="C10" s="70">
        <v>41217</v>
      </c>
      <c r="D10" s="71" t="s">
        <v>410</v>
      </c>
      <c r="E10" s="145"/>
      <c r="F10" s="67" t="s">
        <v>471</v>
      </c>
    </row>
    <row r="11" spans="1:6" x14ac:dyDescent="0.25">
      <c r="A11" s="67" t="s">
        <v>250</v>
      </c>
      <c r="B11" s="69"/>
      <c r="C11" s="70"/>
      <c r="D11" s="67"/>
      <c r="F11" s="67"/>
    </row>
    <row r="12" spans="1:6" x14ac:dyDescent="0.25">
      <c r="A12" s="67" t="s">
        <v>250</v>
      </c>
      <c r="B12" s="67" t="s">
        <v>266</v>
      </c>
      <c r="C12" s="67"/>
      <c r="D12" s="67"/>
      <c r="F12" s="67"/>
    </row>
    <row r="13" spans="1:6" x14ac:dyDescent="0.25">
      <c r="A13" s="67" t="s">
        <v>250</v>
      </c>
      <c r="B13" s="67"/>
      <c r="C13" s="67" t="s">
        <v>256</v>
      </c>
      <c r="D13" s="67"/>
      <c r="F13" s="67"/>
    </row>
    <row r="14" spans="1:6" x14ac:dyDescent="0.25">
      <c r="A14" s="67" t="s">
        <v>250</v>
      </c>
      <c r="B14" s="67"/>
      <c r="C14" s="67"/>
      <c r="D14" s="67"/>
      <c r="F14" s="67"/>
    </row>
    <row r="15" spans="1:6" x14ac:dyDescent="0.25">
      <c r="A15" s="67" t="s">
        <v>250</v>
      </c>
      <c r="B15" s="67" t="s">
        <v>251</v>
      </c>
      <c r="C15" s="67"/>
      <c r="D15" s="67"/>
      <c r="F15" s="67"/>
    </row>
    <row r="16" spans="1:6" x14ac:dyDescent="0.25">
      <c r="A16" s="67" t="s">
        <v>250</v>
      </c>
      <c r="B16" s="67"/>
      <c r="C16" s="67"/>
      <c r="D16" s="67"/>
      <c r="F16" s="67"/>
    </row>
    <row r="17" spans="1:13" x14ac:dyDescent="0.25">
      <c r="A17" s="67" t="s">
        <v>250</v>
      </c>
      <c r="B17" s="67"/>
      <c r="C17" s="67"/>
      <c r="D17" s="67"/>
      <c r="F17" s="67"/>
      <c r="G17" s="67"/>
      <c r="H17" s="67"/>
      <c r="I17" s="67"/>
    </row>
    <row r="18" spans="1:13" s="39" customFormat="1" x14ac:dyDescent="0.25">
      <c r="A18" s="67" t="s">
        <v>250</v>
      </c>
      <c r="B18" s="67" t="s">
        <v>272</v>
      </c>
      <c r="C18" s="67"/>
      <c r="D18" s="67"/>
      <c r="E18" s="138"/>
      <c r="F18" s="67"/>
      <c r="G18" s="67"/>
      <c r="H18" s="67"/>
      <c r="I18" s="67"/>
    </row>
    <row r="19" spans="1:13" x14ac:dyDescent="0.25">
      <c r="A19" s="67" t="s">
        <v>250</v>
      </c>
      <c r="B19" s="67"/>
      <c r="C19" s="75" t="s">
        <v>376</v>
      </c>
      <c r="D19" s="67"/>
      <c r="F19" s="67"/>
      <c r="G19" s="67"/>
      <c r="H19" s="67"/>
      <c r="I19" s="67"/>
    </row>
    <row r="20" spans="1:13" x14ac:dyDescent="0.25">
      <c r="A20" s="67" t="s">
        <v>250</v>
      </c>
      <c r="B20" s="67"/>
      <c r="C20" s="67" t="s">
        <v>239</v>
      </c>
      <c r="D20" s="67"/>
      <c r="F20" s="67"/>
      <c r="G20" s="67"/>
      <c r="H20" s="67"/>
      <c r="I20" s="67"/>
    </row>
    <row r="21" spans="1:13" x14ac:dyDescent="0.25">
      <c r="A21" s="67" t="s">
        <v>250</v>
      </c>
      <c r="B21" s="67"/>
      <c r="C21" s="67" t="s">
        <v>240</v>
      </c>
      <c r="D21" s="67"/>
      <c r="F21" s="67"/>
      <c r="G21" s="67"/>
      <c r="H21" s="67"/>
      <c r="I21" s="67"/>
    </row>
    <row r="22" spans="1:13" x14ac:dyDescent="0.25">
      <c r="A22" s="67" t="s">
        <v>250</v>
      </c>
      <c r="B22" s="67"/>
      <c r="C22" s="67"/>
      <c r="D22" s="67"/>
      <c r="F22" s="67"/>
      <c r="G22" s="67"/>
      <c r="H22" s="67"/>
      <c r="I22" s="67"/>
    </row>
    <row r="23" spans="1:13" x14ac:dyDescent="0.25">
      <c r="A23" s="67" t="s">
        <v>365</v>
      </c>
      <c r="B23" s="67"/>
      <c r="C23" s="67"/>
      <c r="D23" s="67"/>
      <c r="F23" s="67"/>
      <c r="G23" s="67"/>
      <c r="H23" s="67"/>
      <c r="I23" s="67"/>
    </row>
    <row r="24" spans="1:13" x14ac:dyDescent="0.25">
      <c r="A24" s="67"/>
      <c r="B24" s="68" t="s">
        <v>472</v>
      </c>
      <c r="C24" s="68"/>
      <c r="D24" s="67"/>
      <c r="F24" s="67"/>
      <c r="G24" s="67"/>
      <c r="H24" s="67"/>
      <c r="I24" s="67"/>
      <c r="J24" s="17"/>
      <c r="K24" s="17"/>
      <c r="L24" s="17"/>
      <c r="M24" s="17"/>
    </row>
    <row r="25" spans="1:13" x14ac:dyDescent="0.25">
      <c r="A25" s="67"/>
      <c r="B25" s="68"/>
      <c r="C25" s="180" t="s">
        <v>473</v>
      </c>
      <c r="D25" s="181" t="s">
        <v>235</v>
      </c>
      <c r="E25" s="181" t="s">
        <v>253</v>
      </c>
      <c r="F25" s="182" t="s">
        <v>236</v>
      </c>
      <c r="G25" s="183" t="s">
        <v>236</v>
      </c>
      <c r="H25" s="184" t="s">
        <v>236</v>
      </c>
      <c r="I25" s="67"/>
      <c r="J25" s="23"/>
      <c r="K25" s="17"/>
      <c r="L25" s="17"/>
      <c r="M25" s="17"/>
    </row>
    <row r="26" spans="1:13" ht="15.75" thickBot="1" x14ac:dyDescent="0.3">
      <c r="A26" s="67"/>
      <c r="B26" s="67"/>
      <c r="C26" s="167" t="s">
        <v>237</v>
      </c>
      <c r="D26" s="159"/>
      <c r="E26" s="159"/>
      <c r="F26" s="161" t="s">
        <v>257</v>
      </c>
      <c r="G26" s="160" t="s">
        <v>621</v>
      </c>
      <c r="H26" s="168" t="s">
        <v>252</v>
      </c>
      <c r="I26" s="67"/>
      <c r="J26" s="17"/>
      <c r="K26" s="17"/>
      <c r="L26" s="17"/>
      <c r="M26" s="17"/>
    </row>
    <row r="27" spans="1:13" ht="15.75" thickTop="1" x14ac:dyDescent="0.25">
      <c r="A27" s="67"/>
      <c r="B27" s="67"/>
      <c r="C27" s="169" t="s">
        <v>474</v>
      </c>
      <c r="D27" s="52" t="s">
        <v>522</v>
      </c>
      <c r="E27" s="185">
        <v>0</v>
      </c>
      <c r="F27" s="162">
        <v>1.28</v>
      </c>
      <c r="G27" s="170">
        <v>0.79</v>
      </c>
      <c r="H27" s="171">
        <v>0.87</v>
      </c>
      <c r="I27" s="67"/>
      <c r="J27" s="65"/>
      <c r="K27" s="66"/>
      <c r="L27" s="66"/>
      <c r="M27" s="66"/>
    </row>
    <row r="28" spans="1:13" x14ac:dyDescent="0.25">
      <c r="A28" s="67"/>
      <c r="B28" s="67"/>
      <c r="C28" s="169" t="s">
        <v>474</v>
      </c>
      <c r="D28" s="52" t="s">
        <v>521</v>
      </c>
      <c r="E28" s="185">
        <v>0</v>
      </c>
      <c r="F28" s="162">
        <v>1.19</v>
      </c>
      <c r="G28" s="170">
        <v>0.71</v>
      </c>
      <c r="H28" s="171">
        <v>0.72</v>
      </c>
      <c r="I28" s="67"/>
      <c r="J28" s="65"/>
      <c r="K28" s="66"/>
      <c r="L28" s="66"/>
      <c r="M28" s="66"/>
    </row>
    <row r="29" spans="1:13" x14ac:dyDescent="0.25">
      <c r="A29" s="67"/>
      <c r="B29" s="67"/>
      <c r="C29" s="172" t="s">
        <v>474</v>
      </c>
      <c r="D29" s="173" t="s">
        <v>523</v>
      </c>
      <c r="E29" s="186">
        <v>0</v>
      </c>
      <c r="F29" s="163">
        <v>1.19</v>
      </c>
      <c r="G29" s="174">
        <v>0.71</v>
      </c>
      <c r="H29" s="175">
        <v>0.72</v>
      </c>
      <c r="I29" s="76" t="s">
        <v>475</v>
      </c>
      <c r="K29" s="66"/>
      <c r="L29" s="66"/>
      <c r="M29" s="65"/>
    </row>
    <row r="30" spans="1:13" x14ac:dyDescent="0.25">
      <c r="A30" s="67"/>
      <c r="B30" s="67"/>
      <c r="C30" s="169" t="s">
        <v>474</v>
      </c>
      <c r="D30" s="149" t="s">
        <v>348</v>
      </c>
      <c r="E30" s="187">
        <v>1</v>
      </c>
      <c r="F30" s="162">
        <v>2.2599999999999998</v>
      </c>
      <c r="G30" s="170">
        <v>1.4</v>
      </c>
      <c r="H30" s="176" t="s">
        <v>331</v>
      </c>
      <c r="I30" s="67" t="s">
        <v>605</v>
      </c>
      <c r="K30" s="66"/>
      <c r="L30" s="66"/>
      <c r="M30" s="65"/>
    </row>
    <row r="31" spans="1:13" x14ac:dyDescent="0.25">
      <c r="A31" s="67"/>
      <c r="B31" s="67"/>
      <c r="C31" s="169" t="s">
        <v>474</v>
      </c>
      <c r="D31" s="52" t="s">
        <v>242</v>
      </c>
      <c r="E31" s="185">
        <v>0</v>
      </c>
      <c r="F31" s="162">
        <v>1.25</v>
      </c>
      <c r="G31" s="170">
        <v>0.77</v>
      </c>
      <c r="H31" s="176" t="s">
        <v>331</v>
      </c>
      <c r="I31" s="67"/>
      <c r="K31" s="66"/>
      <c r="L31" s="66"/>
      <c r="M31" s="65"/>
    </row>
    <row r="32" spans="1:13" s="39" customFormat="1" x14ac:dyDescent="0.25">
      <c r="A32" s="67"/>
      <c r="B32" s="67"/>
      <c r="C32" s="169" t="s">
        <v>474</v>
      </c>
      <c r="D32" s="52" t="s">
        <v>238</v>
      </c>
      <c r="E32" s="185">
        <v>0</v>
      </c>
      <c r="F32" s="162">
        <v>1.98</v>
      </c>
      <c r="G32" s="170">
        <v>1.3</v>
      </c>
      <c r="H32" s="176" t="s">
        <v>331</v>
      </c>
      <c r="I32" s="67"/>
    </row>
    <row r="33" spans="1:18" s="39" customFormat="1" x14ac:dyDescent="0.25">
      <c r="B33" s="67"/>
      <c r="C33" s="169" t="s">
        <v>544</v>
      </c>
      <c r="D33" s="52" t="s">
        <v>522</v>
      </c>
      <c r="E33" s="185">
        <v>0</v>
      </c>
      <c r="F33" s="164" t="s">
        <v>332</v>
      </c>
      <c r="G33" s="170">
        <v>0.66</v>
      </c>
      <c r="H33" s="176" t="s">
        <v>332</v>
      </c>
      <c r="I33" s="67"/>
    </row>
    <row r="34" spans="1:18" x14ac:dyDescent="0.25">
      <c r="B34" s="67"/>
      <c r="C34" s="169" t="s">
        <v>544</v>
      </c>
      <c r="D34" s="52" t="s">
        <v>521</v>
      </c>
      <c r="E34" s="185">
        <v>0</v>
      </c>
      <c r="F34" s="164" t="s">
        <v>332</v>
      </c>
      <c r="G34" s="170">
        <v>0.55000000000000004</v>
      </c>
      <c r="H34" s="176" t="s">
        <v>332</v>
      </c>
      <c r="I34" s="67"/>
    </row>
    <row r="35" spans="1:18" x14ac:dyDescent="0.25">
      <c r="B35" s="67"/>
      <c r="C35" s="172" t="s">
        <v>544</v>
      </c>
      <c r="D35" s="173" t="s">
        <v>523</v>
      </c>
      <c r="E35" s="186">
        <v>0</v>
      </c>
      <c r="F35" s="164" t="s">
        <v>332</v>
      </c>
      <c r="G35" s="174">
        <v>0.55000000000000004</v>
      </c>
      <c r="H35" s="176" t="s">
        <v>332</v>
      </c>
      <c r="I35" s="76" t="s">
        <v>475</v>
      </c>
    </row>
    <row r="36" spans="1:18" x14ac:dyDescent="0.25">
      <c r="A36" s="7"/>
      <c r="B36" s="67"/>
      <c r="C36" s="169" t="s">
        <v>544</v>
      </c>
      <c r="D36" s="149" t="s">
        <v>348</v>
      </c>
      <c r="E36" s="187">
        <v>1</v>
      </c>
      <c r="F36" s="164" t="s">
        <v>332</v>
      </c>
      <c r="G36" s="170">
        <v>1.1200000000000001</v>
      </c>
      <c r="H36" s="176" t="s">
        <v>332</v>
      </c>
      <c r="I36" s="138" t="s">
        <v>605</v>
      </c>
    </row>
    <row r="37" spans="1:18" x14ac:dyDescent="0.25">
      <c r="A37" s="18"/>
      <c r="B37" s="67"/>
      <c r="C37" s="169" t="s">
        <v>544</v>
      </c>
      <c r="D37" s="52" t="s">
        <v>242</v>
      </c>
      <c r="E37" s="185">
        <v>0</v>
      </c>
      <c r="F37" s="164" t="s">
        <v>332</v>
      </c>
      <c r="G37" s="170">
        <v>0.59</v>
      </c>
      <c r="H37" s="176" t="s">
        <v>332</v>
      </c>
      <c r="I37" s="67"/>
      <c r="N37" s="7"/>
      <c r="O37" s="8"/>
      <c r="R37" s="8"/>
    </row>
    <row r="38" spans="1:18" x14ac:dyDescent="0.25">
      <c r="A38" s="8"/>
      <c r="B38" s="67"/>
      <c r="C38" s="169" t="s">
        <v>544</v>
      </c>
      <c r="D38" s="52" t="s">
        <v>238</v>
      </c>
      <c r="E38" s="185">
        <v>0</v>
      </c>
      <c r="F38" s="164" t="s">
        <v>332</v>
      </c>
      <c r="G38" s="170">
        <v>1.1100000000000001</v>
      </c>
      <c r="H38" s="176" t="s">
        <v>332</v>
      </c>
      <c r="I38" s="67"/>
      <c r="N38" s="18"/>
      <c r="O38" s="8"/>
      <c r="R38" s="8"/>
    </row>
    <row r="39" spans="1:18" x14ac:dyDescent="0.25">
      <c r="A39" s="8"/>
      <c r="B39" s="67"/>
      <c r="C39" s="169" t="s">
        <v>476</v>
      </c>
      <c r="D39" s="52" t="s">
        <v>522</v>
      </c>
      <c r="E39" s="185">
        <v>0</v>
      </c>
      <c r="F39" s="162">
        <v>0.99</v>
      </c>
      <c r="G39" s="170">
        <v>0.57999999999999996</v>
      </c>
      <c r="H39" s="171">
        <v>0.6</v>
      </c>
      <c r="I39" s="67"/>
      <c r="N39" s="8"/>
      <c r="O39" s="8"/>
      <c r="R39" s="8"/>
    </row>
    <row r="40" spans="1:18" x14ac:dyDescent="0.25">
      <c r="A40" s="8"/>
      <c r="B40" s="67"/>
      <c r="C40" s="169" t="s">
        <v>476</v>
      </c>
      <c r="D40" s="52" t="s">
        <v>521</v>
      </c>
      <c r="E40" s="185">
        <v>0</v>
      </c>
      <c r="F40" s="162">
        <v>1.04</v>
      </c>
      <c r="G40" s="170">
        <v>0.55000000000000004</v>
      </c>
      <c r="H40" s="171">
        <v>0.56999999999999995</v>
      </c>
      <c r="I40" s="67"/>
      <c r="N40" s="8"/>
      <c r="O40" s="8"/>
      <c r="R40" s="8"/>
    </row>
    <row r="41" spans="1:18" x14ac:dyDescent="0.25">
      <c r="B41" s="67"/>
      <c r="C41" s="172" t="s">
        <v>476</v>
      </c>
      <c r="D41" s="173" t="s">
        <v>523</v>
      </c>
      <c r="E41" s="186">
        <v>0</v>
      </c>
      <c r="F41" s="163">
        <v>1.04</v>
      </c>
      <c r="G41" s="174">
        <v>0.55000000000000004</v>
      </c>
      <c r="H41" s="175">
        <v>0.56999999999999995</v>
      </c>
      <c r="I41" s="76" t="s">
        <v>475</v>
      </c>
      <c r="N41" s="8"/>
      <c r="O41" s="8"/>
      <c r="R41" s="8"/>
    </row>
    <row r="42" spans="1:18" x14ac:dyDescent="0.25">
      <c r="B42" s="67"/>
      <c r="C42" s="169" t="s">
        <v>476</v>
      </c>
      <c r="D42" s="149" t="s">
        <v>348</v>
      </c>
      <c r="E42" s="187">
        <v>1</v>
      </c>
      <c r="F42" s="162">
        <v>1.94</v>
      </c>
      <c r="G42" s="170">
        <v>1.06</v>
      </c>
      <c r="H42" s="176" t="s">
        <v>331</v>
      </c>
      <c r="I42" s="138" t="s">
        <v>605</v>
      </c>
    </row>
    <row r="43" spans="1:18" x14ac:dyDescent="0.25">
      <c r="B43" s="67"/>
      <c r="C43" s="169" t="s">
        <v>476</v>
      </c>
      <c r="D43" s="52" t="s">
        <v>242</v>
      </c>
      <c r="E43" s="185">
        <v>0</v>
      </c>
      <c r="F43" s="162">
        <v>0.99</v>
      </c>
      <c r="G43" s="170">
        <v>0.53</v>
      </c>
      <c r="H43" s="176" t="s">
        <v>331</v>
      </c>
      <c r="Q43" s="67"/>
    </row>
    <row r="44" spans="1:18" x14ac:dyDescent="0.25">
      <c r="B44" s="67"/>
      <c r="C44" s="165" t="s">
        <v>476</v>
      </c>
      <c r="D44" s="166" t="s">
        <v>238</v>
      </c>
      <c r="E44" s="188">
        <v>0</v>
      </c>
      <c r="F44" s="177">
        <v>1.47</v>
      </c>
      <c r="G44" s="178">
        <v>0.84</v>
      </c>
      <c r="H44" s="179" t="s">
        <v>331</v>
      </c>
      <c r="Q44" s="67"/>
    </row>
    <row r="45" spans="1:18" x14ac:dyDescent="0.25">
      <c r="B45" s="67"/>
      <c r="C45" s="73" t="s">
        <v>331</v>
      </c>
      <c r="D45" s="72" t="s">
        <v>333</v>
      </c>
      <c r="E45" s="116"/>
      <c r="F45" s="67"/>
      <c r="G45" s="74"/>
      <c r="H45" s="67"/>
      <c r="I45" s="67"/>
    </row>
    <row r="46" spans="1:18" x14ac:dyDescent="0.25">
      <c r="B46" s="67"/>
      <c r="C46" s="73" t="s">
        <v>332</v>
      </c>
      <c r="D46" s="72" t="s">
        <v>334</v>
      </c>
      <c r="E46" s="116"/>
      <c r="F46" s="67"/>
      <c r="G46" s="74"/>
      <c r="H46" s="67"/>
      <c r="I46" s="67"/>
    </row>
    <row r="47" spans="1:18" x14ac:dyDescent="0.25">
      <c r="B47" s="67" t="s">
        <v>245</v>
      </c>
      <c r="C47" s="67"/>
      <c r="D47" s="67"/>
      <c r="F47" s="67"/>
      <c r="G47" s="67"/>
      <c r="H47" s="67"/>
      <c r="I47" s="67"/>
    </row>
    <row r="77" spans="2:9" x14ac:dyDescent="0.25">
      <c r="B77" s="2"/>
    </row>
    <row r="79" spans="2:9" x14ac:dyDescent="0.25">
      <c r="D79" s="1"/>
      <c r="E79" s="139"/>
      <c r="F79" s="1"/>
      <c r="G79" s="1"/>
      <c r="H79" s="1"/>
      <c r="I79" s="1"/>
    </row>
    <row r="98" spans="3:3" x14ac:dyDescent="0.25">
      <c r="C98" s="20"/>
    </row>
    <row r="99" spans="3:3" x14ac:dyDescent="0.25">
      <c r="C99" s="2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SaveWorksheetAsCSV">
                <anchor>
                  <from>
                    <xdr:col>5</xdr:col>
                    <xdr:colOff>180975</xdr:colOff>
                    <xdr:row>0</xdr:row>
                    <xdr:rowOff>123825</xdr:rowOff>
                  </from>
                  <to>
                    <xdr:col>7</xdr:col>
                    <xdr:colOff>361950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theme="8" tint="0.39997558519241921"/>
  </sheetPr>
  <dimension ref="A1:L51"/>
  <sheetViews>
    <sheetView workbookViewId="0">
      <selection activeCell="B1" sqref="B1"/>
    </sheetView>
  </sheetViews>
  <sheetFormatPr defaultRowHeight="15" x14ac:dyDescent="0.25"/>
  <cols>
    <col min="3" max="3" width="32.28515625" customWidth="1"/>
    <col min="4" max="4" width="18.140625" customWidth="1"/>
    <col min="5" max="5" width="15.7109375" customWidth="1"/>
    <col min="9" max="9" width="9.140625" style="138"/>
  </cols>
  <sheetData>
    <row r="1" spans="1:5" x14ac:dyDescent="0.25">
      <c r="A1" s="77" t="s">
        <v>250</v>
      </c>
      <c r="B1" s="77" t="s">
        <v>1202</v>
      </c>
      <c r="C1" s="77"/>
      <c r="D1" s="77"/>
      <c r="E1" s="77"/>
    </row>
    <row r="2" spans="1:5" x14ac:dyDescent="0.25">
      <c r="A2" s="77" t="s">
        <v>250</v>
      </c>
      <c r="B2" s="77"/>
      <c r="C2" s="77"/>
      <c r="D2" s="77"/>
      <c r="E2" s="77"/>
    </row>
    <row r="3" spans="1:5" x14ac:dyDescent="0.25">
      <c r="A3" s="77" t="s">
        <v>250</v>
      </c>
      <c r="B3" s="77" t="s">
        <v>356</v>
      </c>
      <c r="C3" s="77"/>
      <c r="D3" s="77"/>
      <c r="E3" s="77"/>
    </row>
    <row r="4" spans="1:5" x14ac:dyDescent="0.25">
      <c r="A4" s="77" t="s">
        <v>250</v>
      </c>
      <c r="B4" s="77"/>
      <c r="C4" s="77" t="s">
        <v>477</v>
      </c>
      <c r="D4" s="77"/>
      <c r="E4" s="77"/>
    </row>
    <row r="5" spans="1:5" x14ac:dyDescent="0.25">
      <c r="A5" s="77" t="s">
        <v>250</v>
      </c>
      <c r="B5" s="77"/>
      <c r="C5" s="77"/>
      <c r="D5" s="77"/>
      <c r="E5" s="77"/>
    </row>
    <row r="6" spans="1:5" x14ac:dyDescent="0.25">
      <c r="A6" s="77" t="s">
        <v>250</v>
      </c>
      <c r="B6" s="77" t="s">
        <v>357</v>
      </c>
      <c r="C6" s="77"/>
      <c r="D6" s="77"/>
      <c r="E6" s="77"/>
    </row>
    <row r="7" spans="1:5" x14ac:dyDescent="0.25">
      <c r="A7" s="77" t="s">
        <v>250</v>
      </c>
      <c r="B7" s="77"/>
      <c r="C7" s="77" t="s">
        <v>262</v>
      </c>
      <c r="D7" s="77" t="s">
        <v>263</v>
      </c>
      <c r="E7" s="77" t="s">
        <v>264</v>
      </c>
    </row>
    <row r="8" spans="1:5" x14ac:dyDescent="0.25">
      <c r="A8" s="77" t="s">
        <v>250</v>
      </c>
      <c r="B8" s="79"/>
      <c r="C8" s="81">
        <v>41217</v>
      </c>
      <c r="D8" s="83" t="s">
        <v>410</v>
      </c>
      <c r="E8" s="77" t="s">
        <v>478</v>
      </c>
    </row>
    <row r="9" spans="1:5" x14ac:dyDescent="0.25">
      <c r="A9" s="77" t="s">
        <v>250</v>
      </c>
      <c r="B9" s="79"/>
      <c r="C9" s="81"/>
      <c r="D9" s="77"/>
      <c r="E9" s="77"/>
    </row>
    <row r="10" spans="1:5" x14ac:dyDescent="0.25">
      <c r="A10" s="77" t="s">
        <v>250</v>
      </c>
      <c r="B10" s="77" t="s">
        <v>266</v>
      </c>
      <c r="C10" s="77"/>
      <c r="D10" s="77"/>
      <c r="E10" s="77"/>
    </row>
    <row r="11" spans="1:5" x14ac:dyDescent="0.25">
      <c r="A11" s="77" t="s">
        <v>250</v>
      </c>
      <c r="B11" s="77"/>
      <c r="C11" s="77" t="s">
        <v>479</v>
      </c>
      <c r="D11" s="77"/>
      <c r="E11" s="77"/>
    </row>
    <row r="12" spans="1:5" x14ac:dyDescent="0.25">
      <c r="A12" s="77" t="s">
        <v>250</v>
      </c>
      <c r="B12" s="77"/>
      <c r="C12" s="77"/>
      <c r="D12" s="77"/>
      <c r="E12" s="77"/>
    </row>
    <row r="13" spans="1:5" x14ac:dyDescent="0.25">
      <c r="A13" s="77" t="s">
        <v>250</v>
      </c>
      <c r="B13" s="77" t="s">
        <v>251</v>
      </c>
      <c r="C13" s="77"/>
      <c r="D13" s="77"/>
      <c r="E13" s="77"/>
    </row>
    <row r="14" spans="1:5" x14ac:dyDescent="0.25">
      <c r="A14" s="77" t="s">
        <v>250</v>
      </c>
      <c r="B14" s="77"/>
      <c r="C14" s="77"/>
      <c r="D14" s="77"/>
      <c r="E14" s="77"/>
    </row>
    <row r="15" spans="1:5" x14ac:dyDescent="0.25">
      <c r="A15" s="77" t="s">
        <v>250</v>
      </c>
      <c r="B15" s="77"/>
      <c r="C15" s="77"/>
      <c r="D15" s="77"/>
      <c r="E15" s="77"/>
    </row>
    <row r="16" spans="1:5" x14ac:dyDescent="0.25">
      <c r="A16" s="77" t="s">
        <v>250</v>
      </c>
      <c r="B16" s="77" t="s">
        <v>272</v>
      </c>
      <c r="C16" s="77"/>
      <c r="D16" s="77"/>
      <c r="E16" s="77"/>
    </row>
    <row r="17" spans="1:10" x14ac:dyDescent="0.25">
      <c r="A17" s="77" t="s">
        <v>250</v>
      </c>
      <c r="B17" s="77"/>
      <c r="C17" s="87" t="s">
        <v>376</v>
      </c>
      <c r="D17" s="77"/>
      <c r="E17" s="77"/>
      <c r="F17" s="77"/>
      <c r="G17" s="77"/>
      <c r="H17" s="77"/>
      <c r="J17" s="77"/>
    </row>
    <row r="18" spans="1:10" x14ac:dyDescent="0.25">
      <c r="A18" s="77" t="s">
        <v>250</v>
      </c>
      <c r="B18" s="77"/>
      <c r="C18" s="77"/>
      <c r="D18" s="77"/>
      <c r="E18" s="77"/>
      <c r="F18" s="77"/>
      <c r="G18" s="77"/>
      <c r="H18" s="77"/>
      <c r="J18" s="77"/>
    </row>
    <row r="19" spans="1:10" x14ac:dyDescent="0.25">
      <c r="A19" s="77" t="s">
        <v>250</v>
      </c>
      <c r="B19" s="77"/>
      <c r="C19" s="77"/>
      <c r="D19" s="77"/>
      <c r="E19" s="77"/>
      <c r="F19" s="77"/>
      <c r="G19" s="77"/>
      <c r="H19" s="77"/>
      <c r="J19" s="77"/>
    </row>
    <row r="20" spans="1:10" x14ac:dyDescent="0.25">
      <c r="A20" s="77" t="s">
        <v>250</v>
      </c>
      <c r="B20" s="77"/>
      <c r="C20" s="77"/>
      <c r="D20" s="77"/>
      <c r="E20" s="77"/>
      <c r="F20" s="77"/>
      <c r="G20" s="77"/>
      <c r="H20" s="77"/>
      <c r="J20" s="77"/>
    </row>
    <row r="21" spans="1:10" x14ac:dyDescent="0.25">
      <c r="A21" s="77" t="s">
        <v>365</v>
      </c>
      <c r="B21" s="77"/>
      <c r="C21" s="77"/>
      <c r="D21" s="77"/>
      <c r="E21" s="77"/>
      <c r="F21" s="77"/>
      <c r="G21" s="77"/>
      <c r="H21" s="77"/>
      <c r="J21" s="77"/>
    </row>
    <row r="22" spans="1:10" x14ac:dyDescent="0.25">
      <c r="A22" s="77"/>
      <c r="B22" s="78" t="s">
        <v>480</v>
      </c>
      <c r="C22" s="78"/>
      <c r="D22" s="77"/>
      <c r="E22" s="77"/>
      <c r="F22" s="77"/>
      <c r="G22" s="77"/>
      <c r="H22" s="77"/>
      <c r="J22" s="77"/>
    </row>
    <row r="23" spans="1:10" x14ac:dyDescent="0.25">
      <c r="A23" s="77"/>
      <c r="B23" s="78"/>
      <c r="C23" s="77" t="s">
        <v>473</v>
      </c>
      <c r="D23" s="78" t="s">
        <v>235</v>
      </c>
      <c r="E23" s="77" t="s">
        <v>481</v>
      </c>
      <c r="F23" s="79" t="s">
        <v>209</v>
      </c>
      <c r="G23" s="79" t="s">
        <v>209</v>
      </c>
      <c r="H23" s="79" t="s">
        <v>209</v>
      </c>
      <c r="I23" s="141" t="s">
        <v>209</v>
      </c>
      <c r="J23" s="77"/>
    </row>
    <row r="24" spans="1:10" x14ac:dyDescent="0.25">
      <c r="A24" s="77"/>
      <c r="B24" s="77"/>
      <c r="C24" s="77" t="s">
        <v>237</v>
      </c>
      <c r="D24" s="77"/>
      <c r="E24" s="77"/>
      <c r="F24" s="79" t="s">
        <v>257</v>
      </c>
      <c r="G24" s="79" t="s">
        <v>621</v>
      </c>
      <c r="H24" s="79" t="s">
        <v>252</v>
      </c>
      <c r="I24" s="141" t="s">
        <v>792</v>
      </c>
      <c r="J24" s="141"/>
    </row>
    <row r="25" spans="1:10" x14ac:dyDescent="0.25">
      <c r="A25" s="77"/>
      <c r="B25" s="77"/>
      <c r="C25" s="77" t="s">
        <v>474</v>
      </c>
      <c r="D25" s="77" t="s">
        <v>522</v>
      </c>
      <c r="E25" s="77" t="s">
        <v>482</v>
      </c>
      <c r="F25" s="80">
        <v>0.8</v>
      </c>
      <c r="G25" s="80">
        <v>0.7</v>
      </c>
      <c r="H25" s="80">
        <v>0.7</v>
      </c>
      <c r="I25" s="80">
        <v>0.7</v>
      </c>
      <c r="J25" s="77"/>
    </row>
    <row r="26" spans="1:10" x14ac:dyDescent="0.25">
      <c r="A26" s="77"/>
      <c r="B26" s="77"/>
      <c r="C26" s="77" t="s">
        <v>474</v>
      </c>
      <c r="D26" s="77" t="s">
        <v>521</v>
      </c>
      <c r="E26" s="77" t="s">
        <v>482</v>
      </c>
      <c r="F26" s="80">
        <v>0.83</v>
      </c>
      <c r="G26" s="80">
        <v>0.73</v>
      </c>
      <c r="H26" s="80">
        <v>0.73</v>
      </c>
      <c r="I26" s="80">
        <v>0.73</v>
      </c>
      <c r="J26" s="77"/>
    </row>
    <row r="27" spans="1:10" x14ac:dyDescent="0.25">
      <c r="A27" s="77"/>
      <c r="B27" s="77"/>
      <c r="C27" s="88" t="s">
        <v>474</v>
      </c>
      <c r="D27" s="88" t="s">
        <v>242</v>
      </c>
      <c r="E27" s="88" t="s">
        <v>482</v>
      </c>
      <c r="F27" s="89">
        <v>0.8</v>
      </c>
      <c r="G27" s="89">
        <v>0.7</v>
      </c>
      <c r="H27" s="89">
        <v>0.7</v>
      </c>
      <c r="I27" s="89">
        <v>0.7</v>
      </c>
      <c r="J27" s="88" t="s">
        <v>475</v>
      </c>
    </row>
    <row r="28" spans="1:10" x14ac:dyDescent="0.25">
      <c r="A28" s="77"/>
      <c r="B28" s="77"/>
      <c r="C28" s="88" t="s">
        <v>474</v>
      </c>
      <c r="D28" s="88" t="s">
        <v>523</v>
      </c>
      <c r="E28" s="88" t="s">
        <v>482</v>
      </c>
      <c r="F28" s="89">
        <v>0.83</v>
      </c>
      <c r="G28" s="89">
        <v>0.73</v>
      </c>
      <c r="H28" s="89">
        <v>0.73</v>
      </c>
      <c r="I28" s="89">
        <v>0.73</v>
      </c>
      <c r="J28" s="88" t="s">
        <v>475</v>
      </c>
    </row>
    <row r="29" spans="1:10" x14ac:dyDescent="0.25">
      <c r="A29" s="77"/>
      <c r="B29" s="77"/>
      <c r="C29" s="77" t="s">
        <v>474</v>
      </c>
      <c r="D29" s="138" t="s">
        <v>522</v>
      </c>
      <c r="E29" s="77" t="s">
        <v>483</v>
      </c>
      <c r="F29" s="80">
        <v>0.67</v>
      </c>
      <c r="G29" s="80">
        <v>0.59</v>
      </c>
      <c r="H29" s="82" t="s">
        <v>331</v>
      </c>
      <c r="I29" s="82" t="s">
        <v>331</v>
      </c>
      <c r="J29" s="77"/>
    </row>
    <row r="30" spans="1:10" x14ac:dyDescent="0.25">
      <c r="A30" s="77"/>
      <c r="B30" s="77"/>
      <c r="C30" s="77" t="s">
        <v>474</v>
      </c>
      <c r="D30" s="138" t="s">
        <v>521</v>
      </c>
      <c r="E30" s="77" t="s">
        <v>483</v>
      </c>
      <c r="F30" s="80">
        <v>0.68</v>
      </c>
      <c r="G30" s="80">
        <v>0.6</v>
      </c>
      <c r="H30" s="82" t="s">
        <v>331</v>
      </c>
      <c r="I30" s="82" t="s">
        <v>331</v>
      </c>
      <c r="J30" s="77"/>
    </row>
    <row r="31" spans="1:10" x14ac:dyDescent="0.25">
      <c r="A31" s="77"/>
      <c r="B31" s="77"/>
      <c r="C31" s="88" t="s">
        <v>474</v>
      </c>
      <c r="D31" s="88" t="s">
        <v>242</v>
      </c>
      <c r="E31" s="88" t="s">
        <v>483</v>
      </c>
      <c r="F31" s="89">
        <v>0.67</v>
      </c>
      <c r="G31" s="89">
        <v>0.59</v>
      </c>
      <c r="H31" s="82" t="s">
        <v>331</v>
      </c>
      <c r="I31" s="82" t="s">
        <v>331</v>
      </c>
      <c r="J31" s="88" t="s">
        <v>475</v>
      </c>
    </row>
    <row r="32" spans="1:10" x14ac:dyDescent="0.25">
      <c r="A32" s="77"/>
      <c r="B32" s="77"/>
      <c r="C32" s="88" t="s">
        <v>474</v>
      </c>
      <c r="D32" s="88" t="s">
        <v>523</v>
      </c>
      <c r="E32" s="88" t="s">
        <v>483</v>
      </c>
      <c r="F32" s="89">
        <v>0.68</v>
      </c>
      <c r="G32" s="89">
        <v>0.6</v>
      </c>
      <c r="H32" s="82" t="s">
        <v>331</v>
      </c>
      <c r="I32" s="82" t="s">
        <v>331</v>
      </c>
      <c r="J32" s="88" t="s">
        <v>475</v>
      </c>
    </row>
    <row r="33" spans="1:12" x14ac:dyDescent="0.25">
      <c r="A33" s="77"/>
      <c r="B33" s="77"/>
      <c r="C33" s="138" t="s">
        <v>544</v>
      </c>
      <c r="D33" s="138" t="s">
        <v>522</v>
      </c>
      <c r="E33" s="77" t="s">
        <v>482</v>
      </c>
      <c r="F33" s="82" t="s">
        <v>332</v>
      </c>
      <c r="G33" s="80">
        <v>0.63</v>
      </c>
      <c r="H33" s="82" t="s">
        <v>332</v>
      </c>
      <c r="I33" s="82" t="s">
        <v>332</v>
      </c>
      <c r="J33" s="77"/>
      <c r="K33" s="77"/>
      <c r="L33" s="77"/>
    </row>
    <row r="34" spans="1:12" x14ac:dyDescent="0.25">
      <c r="A34" s="77"/>
      <c r="B34" s="77"/>
      <c r="C34" s="77" t="s">
        <v>544</v>
      </c>
      <c r="D34" s="138" t="s">
        <v>521</v>
      </c>
      <c r="E34" s="77" t="s">
        <v>482</v>
      </c>
      <c r="F34" s="82" t="s">
        <v>332</v>
      </c>
      <c r="G34" s="80">
        <v>0.69</v>
      </c>
      <c r="H34" s="82" t="s">
        <v>332</v>
      </c>
      <c r="I34" s="82" t="s">
        <v>332</v>
      </c>
      <c r="J34" s="77"/>
      <c r="K34" s="77"/>
      <c r="L34" s="77"/>
    </row>
    <row r="35" spans="1:12" x14ac:dyDescent="0.25">
      <c r="A35" s="77"/>
      <c r="B35" s="77"/>
      <c r="C35" s="88" t="s">
        <v>544</v>
      </c>
      <c r="D35" s="88" t="s">
        <v>242</v>
      </c>
      <c r="E35" s="88" t="s">
        <v>482</v>
      </c>
      <c r="F35" s="82" t="s">
        <v>332</v>
      </c>
      <c r="G35" s="89">
        <v>0.63</v>
      </c>
      <c r="H35" s="82" t="s">
        <v>332</v>
      </c>
      <c r="I35" s="82" t="s">
        <v>332</v>
      </c>
      <c r="J35" s="88" t="s">
        <v>475</v>
      </c>
      <c r="K35" s="77"/>
      <c r="L35" s="77"/>
    </row>
    <row r="36" spans="1:12" x14ac:dyDescent="0.25">
      <c r="A36" s="77"/>
      <c r="B36" s="77"/>
      <c r="C36" s="88" t="s">
        <v>544</v>
      </c>
      <c r="D36" s="88" t="s">
        <v>523</v>
      </c>
      <c r="E36" s="88" t="s">
        <v>482</v>
      </c>
      <c r="F36" s="82" t="s">
        <v>332</v>
      </c>
      <c r="G36" s="89">
        <v>0.69</v>
      </c>
      <c r="H36" s="82" t="s">
        <v>332</v>
      </c>
      <c r="I36" s="82" t="s">
        <v>332</v>
      </c>
      <c r="J36" s="88" t="s">
        <v>475</v>
      </c>
      <c r="K36" s="77"/>
      <c r="L36" s="77"/>
    </row>
    <row r="37" spans="1:12" x14ac:dyDescent="0.25">
      <c r="A37" s="77"/>
      <c r="B37" s="77"/>
      <c r="C37" s="77" t="s">
        <v>544</v>
      </c>
      <c r="D37" s="138" t="s">
        <v>522</v>
      </c>
      <c r="E37" s="77" t="s">
        <v>483</v>
      </c>
      <c r="F37" s="82" t="s">
        <v>332</v>
      </c>
      <c r="G37" s="80">
        <v>0.53</v>
      </c>
      <c r="H37" s="82" t="s">
        <v>332</v>
      </c>
      <c r="I37" s="82" t="s">
        <v>332</v>
      </c>
      <c r="J37" s="77"/>
      <c r="K37" s="77"/>
      <c r="L37" s="77"/>
    </row>
    <row r="38" spans="1:12" x14ac:dyDescent="0.25">
      <c r="A38" s="77"/>
      <c r="B38" s="77"/>
      <c r="C38" s="77" t="s">
        <v>544</v>
      </c>
      <c r="D38" s="138" t="s">
        <v>521</v>
      </c>
      <c r="E38" s="77" t="s">
        <v>483</v>
      </c>
      <c r="F38" s="82" t="s">
        <v>332</v>
      </c>
      <c r="G38" s="80">
        <v>0.56999999999999995</v>
      </c>
      <c r="H38" s="82" t="s">
        <v>332</v>
      </c>
      <c r="I38" s="82" t="s">
        <v>332</v>
      </c>
      <c r="J38" s="77"/>
      <c r="K38" s="77"/>
      <c r="L38" s="77"/>
    </row>
    <row r="39" spans="1:12" x14ac:dyDescent="0.25">
      <c r="A39" s="77"/>
      <c r="B39" s="77"/>
      <c r="C39" s="88" t="s">
        <v>544</v>
      </c>
      <c r="D39" s="88" t="s">
        <v>242</v>
      </c>
      <c r="E39" s="88" t="s">
        <v>483</v>
      </c>
      <c r="F39" s="82" t="s">
        <v>332</v>
      </c>
      <c r="G39" s="89">
        <v>0.53</v>
      </c>
      <c r="H39" s="82" t="s">
        <v>332</v>
      </c>
      <c r="I39" s="82" t="s">
        <v>332</v>
      </c>
      <c r="J39" s="88" t="s">
        <v>475</v>
      </c>
      <c r="K39" s="77"/>
      <c r="L39" s="77"/>
    </row>
    <row r="40" spans="1:12" x14ac:dyDescent="0.25">
      <c r="A40" s="77"/>
      <c r="B40" s="77"/>
      <c r="C40" s="88" t="s">
        <v>544</v>
      </c>
      <c r="D40" s="88" t="s">
        <v>523</v>
      </c>
      <c r="E40" s="88" t="s">
        <v>483</v>
      </c>
      <c r="F40" s="82" t="s">
        <v>332</v>
      </c>
      <c r="G40" s="89">
        <v>0.56999999999999995</v>
      </c>
      <c r="H40" s="82" t="s">
        <v>332</v>
      </c>
      <c r="I40" s="82" t="s">
        <v>332</v>
      </c>
      <c r="J40" s="88" t="s">
        <v>475</v>
      </c>
      <c r="K40" s="77"/>
      <c r="L40" s="77"/>
    </row>
    <row r="41" spans="1:12" x14ac:dyDescent="0.25">
      <c r="A41" s="77"/>
      <c r="B41" s="77"/>
      <c r="C41" s="77" t="s">
        <v>476</v>
      </c>
      <c r="D41" s="138" t="s">
        <v>522</v>
      </c>
      <c r="E41" s="77" t="s">
        <v>482</v>
      </c>
      <c r="F41" s="80">
        <v>0.74</v>
      </c>
      <c r="G41" s="80">
        <v>0.65</v>
      </c>
      <c r="H41" s="80">
        <v>0.7</v>
      </c>
      <c r="I41" s="80">
        <v>0.7</v>
      </c>
      <c r="J41" s="77"/>
      <c r="K41" s="77"/>
      <c r="L41" s="77"/>
    </row>
    <row r="42" spans="1:12" x14ac:dyDescent="0.25">
      <c r="A42" s="77"/>
      <c r="B42" s="77"/>
      <c r="C42" s="77" t="s">
        <v>476</v>
      </c>
      <c r="D42" s="138" t="s">
        <v>521</v>
      </c>
      <c r="E42" s="77" t="s">
        <v>482</v>
      </c>
      <c r="F42" s="80">
        <v>0.76</v>
      </c>
      <c r="G42" s="80">
        <v>0.67</v>
      </c>
      <c r="H42" s="80">
        <v>0.67</v>
      </c>
      <c r="I42" s="80">
        <v>0.67</v>
      </c>
      <c r="J42" s="77"/>
      <c r="K42" s="77"/>
      <c r="L42" s="77"/>
    </row>
    <row r="43" spans="1:12" x14ac:dyDescent="0.25">
      <c r="A43" s="77"/>
      <c r="B43" s="77"/>
      <c r="C43" s="88" t="s">
        <v>476</v>
      </c>
      <c r="D43" s="88" t="s">
        <v>242</v>
      </c>
      <c r="E43" s="88" t="s">
        <v>482</v>
      </c>
      <c r="F43" s="89">
        <v>0.74</v>
      </c>
      <c r="G43" s="89">
        <v>0.65</v>
      </c>
      <c r="H43" s="89">
        <v>0.7</v>
      </c>
      <c r="I43" s="89">
        <v>0.7</v>
      </c>
      <c r="J43" s="88" t="s">
        <v>475</v>
      </c>
      <c r="K43" s="77"/>
      <c r="L43" s="77"/>
    </row>
    <row r="44" spans="1:12" x14ac:dyDescent="0.25">
      <c r="A44" s="77"/>
      <c r="B44" s="77"/>
      <c r="C44" s="88" t="s">
        <v>476</v>
      </c>
      <c r="D44" s="88" t="s">
        <v>523</v>
      </c>
      <c r="E44" s="88" t="s">
        <v>482</v>
      </c>
      <c r="F44" s="89">
        <v>0.76</v>
      </c>
      <c r="G44" s="89">
        <v>0.67</v>
      </c>
      <c r="H44" s="89">
        <v>0.67</v>
      </c>
      <c r="I44" s="89">
        <v>0.67</v>
      </c>
      <c r="J44" s="88" t="s">
        <v>475</v>
      </c>
      <c r="K44" s="77"/>
      <c r="L44" s="77"/>
    </row>
    <row r="45" spans="1:12" x14ac:dyDescent="0.25">
      <c r="A45" s="77"/>
      <c r="B45" s="77"/>
      <c r="C45" s="77" t="s">
        <v>476</v>
      </c>
      <c r="D45" s="138" t="s">
        <v>522</v>
      </c>
      <c r="E45" s="77" t="s">
        <v>483</v>
      </c>
      <c r="F45" s="80">
        <v>0.6</v>
      </c>
      <c r="G45" s="80">
        <v>0.53</v>
      </c>
      <c r="H45" s="82" t="s">
        <v>331</v>
      </c>
      <c r="I45" s="82" t="s">
        <v>331</v>
      </c>
      <c r="J45" s="77"/>
      <c r="K45" s="77"/>
      <c r="L45" s="77"/>
    </row>
    <row r="46" spans="1:12" x14ac:dyDescent="0.25">
      <c r="A46" s="77"/>
      <c r="B46" s="77"/>
      <c r="C46" s="77" t="s">
        <v>476</v>
      </c>
      <c r="D46" s="138" t="s">
        <v>521</v>
      </c>
      <c r="E46" s="77" t="s">
        <v>483</v>
      </c>
      <c r="F46" s="80">
        <v>0.63</v>
      </c>
      <c r="G46" s="80">
        <v>0.55000000000000004</v>
      </c>
      <c r="H46" s="82" t="s">
        <v>331</v>
      </c>
      <c r="I46" s="82" t="s">
        <v>331</v>
      </c>
      <c r="J46" s="77"/>
      <c r="K46" s="77"/>
      <c r="L46" s="77"/>
    </row>
    <row r="47" spans="1:12" x14ac:dyDescent="0.25">
      <c r="A47" s="77"/>
      <c r="B47" s="77"/>
      <c r="C47" s="88" t="s">
        <v>476</v>
      </c>
      <c r="D47" s="88" t="s">
        <v>242</v>
      </c>
      <c r="E47" s="88" t="s">
        <v>483</v>
      </c>
      <c r="F47" s="89">
        <v>0.6</v>
      </c>
      <c r="G47" s="89">
        <v>0.53</v>
      </c>
      <c r="H47" s="82" t="s">
        <v>331</v>
      </c>
      <c r="I47" s="82" t="s">
        <v>331</v>
      </c>
      <c r="J47" s="88" t="s">
        <v>475</v>
      </c>
      <c r="K47" s="77"/>
      <c r="L47" s="77"/>
    </row>
    <row r="48" spans="1:12" x14ac:dyDescent="0.25">
      <c r="A48" s="77"/>
      <c r="B48" s="77"/>
      <c r="C48" s="88" t="s">
        <v>476</v>
      </c>
      <c r="D48" s="88" t="s">
        <v>523</v>
      </c>
      <c r="E48" s="88" t="s">
        <v>483</v>
      </c>
      <c r="F48" s="89">
        <v>0.63</v>
      </c>
      <c r="G48" s="89">
        <v>0.55000000000000004</v>
      </c>
      <c r="H48" s="82" t="s">
        <v>331</v>
      </c>
      <c r="I48" s="82" t="s">
        <v>331</v>
      </c>
      <c r="J48" s="88" t="s">
        <v>475</v>
      </c>
      <c r="K48" s="77"/>
      <c r="L48" s="77"/>
    </row>
    <row r="49" spans="1:12" x14ac:dyDescent="0.25">
      <c r="A49" s="77"/>
      <c r="B49" s="77"/>
      <c r="C49" s="85" t="s">
        <v>331</v>
      </c>
      <c r="D49" s="84" t="s">
        <v>484</v>
      </c>
      <c r="E49" s="77"/>
      <c r="F49" s="86"/>
      <c r="G49" s="77"/>
      <c r="H49" s="77"/>
      <c r="J49" s="77"/>
      <c r="K49" s="77"/>
      <c r="L49" s="77"/>
    </row>
    <row r="50" spans="1:12" x14ac:dyDescent="0.25">
      <c r="A50" s="77"/>
      <c r="B50" s="77"/>
      <c r="C50" s="85" t="s">
        <v>332</v>
      </c>
      <c r="D50" s="84" t="s">
        <v>334</v>
      </c>
      <c r="E50" s="77"/>
      <c r="F50" s="86"/>
      <c r="G50" s="77"/>
      <c r="H50" s="77"/>
      <c r="J50" s="77"/>
      <c r="K50" s="77"/>
      <c r="L50" s="77"/>
    </row>
    <row r="51" spans="1:12" x14ac:dyDescent="0.25">
      <c r="A51" s="77"/>
      <c r="B51" s="77" t="s">
        <v>245</v>
      </c>
      <c r="C51" s="77"/>
      <c r="D51" s="77"/>
      <c r="E51" s="77"/>
      <c r="F51" s="77"/>
      <c r="G51" s="77"/>
      <c r="H51" s="77"/>
      <c r="J51" s="77"/>
      <c r="K51" s="77"/>
      <c r="L51" s="7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SaveWorksheetAsCSV">
                <anchor>
                  <from>
                    <xdr:col>5</xdr:col>
                    <xdr:colOff>171450</xdr:colOff>
                    <xdr:row>1</xdr:row>
                    <xdr:rowOff>47625</xdr:rowOff>
                  </from>
                  <to>
                    <xdr:col>8</xdr:col>
                    <xdr:colOff>371475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92D050"/>
  </sheetPr>
  <dimension ref="A1:X46"/>
  <sheetViews>
    <sheetView zoomScale="85" zoomScaleNormal="85" workbookViewId="0">
      <selection activeCell="D36" sqref="D36"/>
    </sheetView>
  </sheetViews>
  <sheetFormatPr defaultRowHeight="15" x14ac:dyDescent="0.25"/>
  <cols>
    <col min="1" max="1" width="2.28515625" customWidth="1"/>
    <col min="2" max="2" width="5.42578125" customWidth="1"/>
    <col min="3" max="3" width="21.42578125" customWidth="1"/>
    <col min="4" max="5" width="20.140625" bestFit="1" customWidth="1"/>
    <col min="6" max="8" width="12.7109375" bestFit="1" customWidth="1"/>
    <col min="9" max="11" width="14.140625" bestFit="1" customWidth="1"/>
  </cols>
  <sheetData>
    <row r="1" spans="1:8" x14ac:dyDescent="0.25">
      <c r="A1" s="138" t="s">
        <v>250</v>
      </c>
      <c r="B1" s="138" t="s">
        <v>672</v>
      </c>
      <c r="C1" s="138"/>
      <c r="D1" s="138"/>
      <c r="E1" s="138"/>
      <c r="F1" s="138"/>
      <c r="G1" s="138"/>
      <c r="H1" s="138"/>
    </row>
    <row r="2" spans="1:8" x14ac:dyDescent="0.25">
      <c r="A2" s="138" t="s">
        <v>250</v>
      </c>
      <c r="B2" s="138"/>
      <c r="C2" s="138"/>
      <c r="D2" s="138"/>
      <c r="E2" s="138"/>
      <c r="F2" s="138"/>
      <c r="G2" s="138"/>
      <c r="H2" s="138"/>
    </row>
    <row r="3" spans="1:8" x14ac:dyDescent="0.25">
      <c r="A3" s="138" t="s">
        <v>250</v>
      </c>
      <c r="B3" s="138" t="s">
        <v>356</v>
      </c>
      <c r="C3" s="138"/>
      <c r="D3" s="138"/>
      <c r="E3" s="138"/>
      <c r="F3" s="138"/>
      <c r="G3" s="138"/>
      <c r="H3" s="138"/>
    </row>
    <row r="4" spans="1:8" x14ac:dyDescent="0.25">
      <c r="A4" s="138" t="s">
        <v>250</v>
      </c>
      <c r="B4" s="138"/>
      <c r="C4" s="138" t="s">
        <v>766</v>
      </c>
      <c r="D4" s="138"/>
      <c r="E4" s="138"/>
      <c r="F4" s="138"/>
      <c r="G4" s="138"/>
      <c r="H4" s="138"/>
    </row>
    <row r="5" spans="1:8" x14ac:dyDescent="0.25">
      <c r="A5" s="138" t="s">
        <v>250</v>
      </c>
      <c r="B5" s="138"/>
      <c r="C5" s="138"/>
      <c r="D5" s="138"/>
      <c r="E5" s="138"/>
      <c r="F5" s="138"/>
      <c r="G5" s="138"/>
      <c r="H5" s="138"/>
    </row>
    <row r="6" spans="1:8" x14ac:dyDescent="0.25">
      <c r="A6" s="138" t="s">
        <v>250</v>
      </c>
      <c r="B6" s="138" t="s">
        <v>357</v>
      </c>
      <c r="C6" s="138"/>
      <c r="D6" s="138"/>
      <c r="E6" s="138"/>
      <c r="F6" s="138"/>
      <c r="G6" s="138"/>
      <c r="H6" s="138"/>
    </row>
    <row r="7" spans="1:8" x14ac:dyDescent="0.25">
      <c r="A7" s="138" t="s">
        <v>250</v>
      </c>
      <c r="B7" s="138"/>
      <c r="C7" s="138" t="s">
        <v>262</v>
      </c>
      <c r="D7" s="138" t="s">
        <v>263</v>
      </c>
      <c r="E7" s="138" t="s">
        <v>264</v>
      </c>
      <c r="G7" s="138"/>
      <c r="H7" s="138"/>
    </row>
    <row r="8" spans="1:8" x14ac:dyDescent="0.25">
      <c r="A8" s="138" t="s">
        <v>250</v>
      </c>
      <c r="B8" s="141"/>
      <c r="C8" s="144">
        <v>41904</v>
      </c>
      <c r="D8" s="145" t="s">
        <v>410</v>
      </c>
      <c r="E8" s="138" t="s">
        <v>677</v>
      </c>
      <c r="G8" s="138"/>
      <c r="H8" s="138"/>
    </row>
    <row r="9" spans="1:8" x14ac:dyDescent="0.25">
      <c r="A9" s="138" t="s">
        <v>250</v>
      </c>
      <c r="B9" s="141"/>
      <c r="C9" s="144"/>
      <c r="D9" s="145"/>
      <c r="E9" s="145"/>
      <c r="F9" s="138"/>
      <c r="G9" s="138"/>
      <c r="H9" s="138"/>
    </row>
    <row r="10" spans="1:8" x14ac:dyDescent="0.25">
      <c r="A10" s="138" t="s">
        <v>250</v>
      </c>
      <c r="B10" s="141"/>
      <c r="C10" s="144"/>
      <c r="D10" s="138"/>
      <c r="E10" s="145"/>
      <c r="F10" s="138"/>
      <c r="G10" s="138"/>
      <c r="H10" s="138"/>
    </row>
    <row r="11" spans="1:8" x14ac:dyDescent="0.25">
      <c r="A11" s="138" t="s">
        <v>250</v>
      </c>
      <c r="B11" s="141"/>
      <c r="C11" s="144"/>
      <c r="D11" s="138"/>
      <c r="E11" s="138"/>
      <c r="F11" s="138"/>
      <c r="G11" s="138"/>
      <c r="H11" s="138"/>
    </row>
    <row r="12" spans="1:8" x14ac:dyDescent="0.25">
      <c r="A12" s="138" t="s">
        <v>250</v>
      </c>
      <c r="B12" s="138" t="s">
        <v>689</v>
      </c>
      <c r="C12" s="138"/>
      <c r="D12" s="138"/>
      <c r="E12" s="138"/>
      <c r="F12" s="138"/>
      <c r="G12" s="138"/>
      <c r="H12" s="138"/>
    </row>
    <row r="13" spans="1:8" x14ac:dyDescent="0.25">
      <c r="A13" s="138" t="s">
        <v>250</v>
      </c>
      <c r="B13" s="138"/>
      <c r="C13" s="138"/>
      <c r="D13" s="138"/>
      <c r="E13" s="138"/>
      <c r="F13" s="138"/>
      <c r="G13" s="138"/>
      <c r="H13" s="138"/>
    </row>
    <row r="14" spans="1:8" x14ac:dyDescent="0.25">
      <c r="A14" s="138" t="s">
        <v>250</v>
      </c>
      <c r="B14" s="138"/>
      <c r="C14" s="138"/>
      <c r="D14" s="138"/>
      <c r="E14" s="138"/>
      <c r="F14" s="138"/>
      <c r="G14" s="138"/>
      <c r="H14" s="138"/>
    </row>
    <row r="15" spans="1:8" x14ac:dyDescent="0.25">
      <c r="A15" s="138" t="s">
        <v>250</v>
      </c>
      <c r="B15" s="138" t="s">
        <v>251</v>
      </c>
      <c r="C15" s="138"/>
      <c r="D15" s="138"/>
      <c r="E15" s="138"/>
      <c r="F15" s="138"/>
      <c r="G15" s="138"/>
      <c r="H15" s="138"/>
    </row>
    <row r="16" spans="1:8" x14ac:dyDescent="0.25">
      <c r="A16" s="138" t="s">
        <v>250</v>
      </c>
      <c r="B16" s="138"/>
      <c r="C16" s="138"/>
      <c r="D16" s="138"/>
      <c r="E16" s="138"/>
      <c r="F16" s="138"/>
      <c r="G16" s="138"/>
      <c r="H16" s="138"/>
    </row>
    <row r="17" spans="1:24" x14ac:dyDescent="0.25">
      <c r="A17" s="138" t="s">
        <v>250</v>
      </c>
      <c r="B17" s="138"/>
      <c r="C17" s="138"/>
      <c r="D17" s="138"/>
      <c r="E17" s="138"/>
      <c r="F17" s="138"/>
      <c r="G17" s="138"/>
      <c r="H17" s="138"/>
    </row>
    <row r="18" spans="1:24" x14ac:dyDescent="0.25">
      <c r="A18" s="138" t="s">
        <v>250</v>
      </c>
      <c r="B18" s="138" t="s">
        <v>272</v>
      </c>
      <c r="C18" s="138"/>
      <c r="D18" s="138"/>
      <c r="E18" s="138"/>
      <c r="F18" s="138"/>
      <c r="G18" s="138"/>
      <c r="H18" s="138"/>
    </row>
    <row r="19" spans="1:24" x14ac:dyDescent="0.25">
      <c r="A19" s="138" t="s">
        <v>250</v>
      </c>
      <c r="B19" s="138"/>
      <c r="C19" s="138" t="s">
        <v>759</v>
      </c>
      <c r="D19" s="138"/>
      <c r="E19" s="138"/>
      <c r="F19" s="138"/>
      <c r="G19" s="138"/>
      <c r="H19" s="138"/>
    </row>
    <row r="20" spans="1:24" x14ac:dyDescent="0.25">
      <c r="A20" s="138" t="s">
        <v>250</v>
      </c>
      <c r="B20" s="138"/>
      <c r="D20" s="138"/>
      <c r="E20" s="138"/>
      <c r="F20" s="138"/>
      <c r="G20" s="138"/>
      <c r="H20" s="138"/>
    </row>
    <row r="21" spans="1:24" x14ac:dyDescent="0.25">
      <c r="A21" s="138" t="s">
        <v>250</v>
      </c>
      <c r="B21" s="138"/>
      <c r="C21" s="138"/>
      <c r="D21" s="138"/>
      <c r="E21" s="138"/>
      <c r="F21" s="138"/>
      <c r="G21" s="138"/>
      <c r="H21" s="138"/>
    </row>
    <row r="22" spans="1:24" x14ac:dyDescent="0.25">
      <c r="A22" s="138" t="s">
        <v>250</v>
      </c>
      <c r="B22" s="138"/>
      <c r="C22" s="138"/>
      <c r="D22" s="138"/>
      <c r="E22" s="138"/>
      <c r="F22" s="138"/>
      <c r="G22" s="138"/>
      <c r="H22" s="138"/>
    </row>
    <row r="23" spans="1:24" x14ac:dyDescent="0.25">
      <c r="A23" s="138" t="s">
        <v>365</v>
      </c>
      <c r="B23" s="138"/>
      <c r="C23" s="138"/>
      <c r="D23" s="138"/>
      <c r="E23" s="138"/>
      <c r="F23" s="138"/>
      <c r="G23" s="138"/>
      <c r="H23" s="138"/>
    </row>
    <row r="24" spans="1:24" x14ac:dyDescent="0.25">
      <c r="A24" s="138"/>
      <c r="B24" s="140" t="s">
        <v>765</v>
      </c>
      <c r="C24" s="140"/>
      <c r="D24" s="138"/>
      <c r="E24" s="138"/>
      <c r="F24" s="138"/>
      <c r="G24" s="138"/>
      <c r="H24" s="138"/>
    </row>
    <row r="25" spans="1:24" x14ac:dyDescent="0.25">
      <c r="C25" s="180" t="s">
        <v>473</v>
      </c>
      <c r="D25" s="232" t="s">
        <v>758</v>
      </c>
      <c r="E25" s="180" t="s">
        <v>679</v>
      </c>
      <c r="F25" s="205" t="s">
        <v>209</v>
      </c>
      <c r="G25" s="205" t="s">
        <v>241</v>
      </c>
      <c r="H25" s="205" t="s">
        <v>236</v>
      </c>
      <c r="I25" s="205" t="s">
        <v>209</v>
      </c>
      <c r="J25" s="232" t="s">
        <v>241</v>
      </c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</row>
    <row r="26" spans="1:24" ht="15.75" thickBot="1" x14ac:dyDescent="0.3">
      <c r="C26" s="212" t="s">
        <v>1040</v>
      </c>
      <c r="D26" s="233"/>
      <c r="E26" s="212" t="s">
        <v>482</v>
      </c>
      <c r="F26" s="213" t="s">
        <v>482</v>
      </c>
      <c r="G26" s="213" t="s">
        <v>482</v>
      </c>
      <c r="H26" s="213" t="s">
        <v>483</v>
      </c>
      <c r="I26" s="213" t="s">
        <v>483</v>
      </c>
      <c r="J26" s="233" t="s">
        <v>483</v>
      </c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</row>
    <row r="27" spans="1:24" ht="15.75" thickTop="1" x14ac:dyDescent="0.25">
      <c r="C27" s="203" t="s">
        <v>348</v>
      </c>
      <c r="D27" s="208" t="s">
        <v>257</v>
      </c>
      <c r="E27" s="234">
        <v>1.25</v>
      </c>
      <c r="F27" s="53">
        <v>0.82</v>
      </c>
      <c r="G27" s="53">
        <v>0.76</v>
      </c>
      <c r="H27" s="235">
        <v>1.25</v>
      </c>
      <c r="I27" s="235">
        <v>0.7</v>
      </c>
      <c r="J27" s="236">
        <v>0.57999999999999996</v>
      </c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</row>
    <row r="28" spans="1:24" x14ac:dyDescent="0.25">
      <c r="C28" s="203" t="s">
        <v>348</v>
      </c>
      <c r="D28" s="208" t="s">
        <v>252</v>
      </c>
      <c r="E28" s="234">
        <v>0.6</v>
      </c>
      <c r="F28" s="53">
        <v>0.56000000000000005</v>
      </c>
      <c r="G28" s="53">
        <v>0.56000000000000005</v>
      </c>
      <c r="H28" s="266" t="s">
        <v>331</v>
      </c>
      <c r="I28" s="266" t="s">
        <v>331</v>
      </c>
      <c r="J28" s="266" t="s">
        <v>331</v>
      </c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</row>
    <row r="29" spans="1:24" x14ac:dyDescent="0.25">
      <c r="C29" s="223" t="s">
        <v>681</v>
      </c>
      <c r="D29" s="208" t="s">
        <v>621</v>
      </c>
      <c r="E29" s="234">
        <v>0.6</v>
      </c>
      <c r="F29" s="53">
        <v>0.59</v>
      </c>
      <c r="G29" s="53">
        <v>0.64</v>
      </c>
      <c r="H29" s="53">
        <v>0.6</v>
      </c>
      <c r="I29" s="53">
        <v>0.42</v>
      </c>
      <c r="J29" s="236">
        <v>0.39</v>
      </c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</row>
    <row r="30" spans="1:24" x14ac:dyDescent="0.25">
      <c r="C30" s="223" t="s">
        <v>682</v>
      </c>
      <c r="D30" s="208" t="s">
        <v>621</v>
      </c>
      <c r="E30" s="234">
        <v>0.6</v>
      </c>
      <c r="F30" s="53">
        <v>0.59</v>
      </c>
      <c r="G30" s="53">
        <v>0.64</v>
      </c>
      <c r="H30" s="53">
        <v>0.6</v>
      </c>
      <c r="I30" s="53">
        <v>0.42</v>
      </c>
      <c r="J30" s="236">
        <v>0.39</v>
      </c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</row>
    <row r="31" spans="1:24" x14ac:dyDescent="0.25">
      <c r="C31" s="223" t="s">
        <v>683</v>
      </c>
      <c r="D31" s="208" t="s">
        <v>621</v>
      </c>
      <c r="E31" s="234">
        <v>0.6</v>
      </c>
      <c r="F31" s="53">
        <v>0.59</v>
      </c>
      <c r="G31" s="53">
        <v>0.64</v>
      </c>
      <c r="H31" s="53">
        <v>0.6</v>
      </c>
      <c r="I31" s="53">
        <v>0.42</v>
      </c>
      <c r="J31" s="236">
        <v>0.39</v>
      </c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</row>
    <row r="32" spans="1:24" x14ac:dyDescent="0.25">
      <c r="C32" s="223" t="s">
        <v>681</v>
      </c>
      <c r="D32" s="208" t="s">
        <v>690</v>
      </c>
      <c r="E32" s="234">
        <v>0.45</v>
      </c>
      <c r="F32" s="53">
        <v>0.52</v>
      </c>
      <c r="G32" s="53">
        <v>0.56999999999999995</v>
      </c>
      <c r="H32" s="53">
        <v>0.45</v>
      </c>
      <c r="I32" s="53">
        <v>0.34</v>
      </c>
      <c r="J32" s="236">
        <v>0.21</v>
      </c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</row>
    <row r="33" spans="2:24" x14ac:dyDescent="0.25">
      <c r="C33" s="223" t="s">
        <v>682</v>
      </c>
      <c r="D33" s="208" t="s">
        <v>690</v>
      </c>
      <c r="E33" s="234">
        <v>0.45</v>
      </c>
      <c r="F33" s="53">
        <v>0.52</v>
      </c>
      <c r="G33" s="53">
        <v>0.56999999999999995</v>
      </c>
      <c r="H33" s="53">
        <v>0.45</v>
      </c>
      <c r="I33" s="53">
        <v>0.34</v>
      </c>
      <c r="J33" s="236">
        <v>0.21</v>
      </c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</row>
    <row r="34" spans="2:24" x14ac:dyDescent="0.25">
      <c r="C34" s="223" t="s">
        <v>683</v>
      </c>
      <c r="D34" s="208" t="s">
        <v>690</v>
      </c>
      <c r="E34" s="234">
        <v>0.45</v>
      </c>
      <c r="F34" s="53">
        <v>0.52</v>
      </c>
      <c r="G34" s="53">
        <v>0.56999999999999995</v>
      </c>
      <c r="H34" s="53">
        <v>0.45</v>
      </c>
      <c r="I34" s="53">
        <v>0.34</v>
      </c>
      <c r="J34" s="236">
        <v>0.21</v>
      </c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</row>
    <row r="35" spans="2:24" x14ac:dyDescent="0.25">
      <c r="C35" s="223" t="s">
        <v>684</v>
      </c>
      <c r="D35" s="208" t="s">
        <v>621</v>
      </c>
      <c r="E35" s="234">
        <v>0.9</v>
      </c>
      <c r="F35" s="53">
        <v>0.68</v>
      </c>
      <c r="G35" s="53">
        <v>0.66</v>
      </c>
      <c r="H35" s="53">
        <v>0.9</v>
      </c>
      <c r="I35" s="53">
        <v>0.5</v>
      </c>
      <c r="J35" s="236">
        <v>0.4</v>
      </c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</row>
    <row r="36" spans="2:24" x14ac:dyDescent="0.25">
      <c r="C36" s="223" t="s">
        <v>685</v>
      </c>
      <c r="D36" s="208" t="s">
        <v>621</v>
      </c>
      <c r="E36" s="234">
        <v>0.9</v>
      </c>
      <c r="F36" s="53">
        <v>0.68</v>
      </c>
      <c r="G36" s="53">
        <v>0.66</v>
      </c>
      <c r="H36" s="53">
        <v>0.9</v>
      </c>
      <c r="I36" s="53">
        <v>0.5</v>
      </c>
      <c r="J36" s="236">
        <v>0.4</v>
      </c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</row>
    <row r="37" spans="2:24" x14ac:dyDescent="0.25">
      <c r="C37" s="223" t="s">
        <v>684</v>
      </c>
      <c r="D37" s="208" t="s">
        <v>690</v>
      </c>
      <c r="E37" s="234">
        <v>0.7</v>
      </c>
      <c r="F37" s="53">
        <v>0.6</v>
      </c>
      <c r="G37" s="53">
        <v>0.59</v>
      </c>
      <c r="H37" s="53">
        <v>0.7</v>
      </c>
      <c r="I37" s="53">
        <v>0.42</v>
      </c>
      <c r="J37" s="236">
        <v>0.22</v>
      </c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</row>
    <row r="38" spans="2:24" x14ac:dyDescent="0.25">
      <c r="C38" s="221" t="s">
        <v>685</v>
      </c>
      <c r="D38" s="209" t="s">
        <v>690</v>
      </c>
      <c r="E38" s="237">
        <v>0.7</v>
      </c>
      <c r="F38" s="238">
        <v>0.6</v>
      </c>
      <c r="G38" s="238">
        <v>0.59</v>
      </c>
      <c r="H38" s="238">
        <v>0.7</v>
      </c>
      <c r="I38" s="238">
        <v>0.42</v>
      </c>
      <c r="J38" s="239">
        <v>0.22</v>
      </c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</row>
    <row r="39" spans="2:24" x14ac:dyDescent="0.25">
      <c r="B39" s="52"/>
      <c r="C39" s="267" t="s">
        <v>331</v>
      </c>
      <c r="D39" s="224" t="s">
        <v>1041</v>
      </c>
      <c r="E39" s="52"/>
      <c r="F39" s="52"/>
      <c r="G39" s="52"/>
      <c r="H39" s="52"/>
      <c r="I39" s="52"/>
      <c r="J39" s="224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</row>
    <row r="40" spans="2:24" x14ac:dyDescent="0.25">
      <c r="B40" t="s">
        <v>245</v>
      </c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</row>
    <row r="41" spans="2:24" x14ac:dyDescent="0.25"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</row>
    <row r="42" spans="2:24" x14ac:dyDescent="0.25"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</row>
    <row r="43" spans="2:24" x14ac:dyDescent="0.25"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</row>
    <row r="44" spans="2:24" x14ac:dyDescent="0.25"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</row>
    <row r="45" spans="2:24" x14ac:dyDescent="0.25"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</row>
    <row r="46" spans="2:24" x14ac:dyDescent="0.25"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SaveWorksheetAsCSV">
                <anchor>
                  <from>
                    <xdr:col>7</xdr:col>
                    <xdr:colOff>295275</xdr:colOff>
                    <xdr:row>2</xdr:row>
                    <xdr:rowOff>47625</xdr:rowOff>
                  </from>
                  <to>
                    <xdr:col>9</xdr:col>
                    <xdr:colOff>523875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92D050"/>
  </sheetPr>
  <dimension ref="A1:AA83"/>
  <sheetViews>
    <sheetView topLeftCell="A2" zoomScale="85" zoomScaleNormal="85" workbookViewId="0">
      <selection activeCell="D80" sqref="D80"/>
    </sheetView>
  </sheetViews>
  <sheetFormatPr defaultColWidth="9.140625" defaultRowHeight="15" x14ac:dyDescent="0.25"/>
  <cols>
    <col min="1" max="1" width="2.28515625" style="138" customWidth="1"/>
    <col min="2" max="2" width="5.42578125" style="138" customWidth="1"/>
    <col min="3" max="3" width="77.5703125" style="138" bestFit="1" customWidth="1"/>
    <col min="4" max="4" width="33.7109375" style="138" bestFit="1" customWidth="1"/>
    <col min="5" max="5" width="30.7109375" style="138" bestFit="1" customWidth="1"/>
    <col min="6" max="6" width="37.85546875" style="138" bestFit="1" customWidth="1"/>
    <col min="7" max="8" width="28.140625" style="138" customWidth="1"/>
    <col min="9" max="9" width="33.7109375" style="138" bestFit="1" customWidth="1"/>
    <col min="10" max="10" width="30.7109375" style="138" bestFit="1" customWidth="1"/>
    <col min="11" max="12" width="30.7109375" style="138" customWidth="1"/>
    <col min="13" max="13" width="31.42578125" style="138" bestFit="1" customWidth="1"/>
    <col min="14" max="14" width="14.140625" style="138" bestFit="1" customWidth="1"/>
    <col min="15" max="16384" width="9.140625" style="138"/>
  </cols>
  <sheetData>
    <row r="1" spans="1:4" x14ac:dyDescent="0.25">
      <c r="A1" s="138" t="s">
        <v>250</v>
      </c>
      <c r="B1" s="138" t="s">
        <v>672</v>
      </c>
    </row>
    <row r="2" spans="1:4" x14ac:dyDescent="0.25">
      <c r="A2" s="138" t="s">
        <v>250</v>
      </c>
    </row>
    <row r="3" spans="1:4" x14ac:dyDescent="0.25">
      <c r="A3" s="138" t="s">
        <v>250</v>
      </c>
      <c r="B3" s="138" t="s">
        <v>356</v>
      </c>
    </row>
    <row r="4" spans="1:4" x14ac:dyDescent="0.25">
      <c r="A4" s="138" t="s">
        <v>250</v>
      </c>
      <c r="C4" s="6" t="s">
        <v>768</v>
      </c>
    </row>
    <row r="5" spans="1:4" x14ac:dyDescent="0.25">
      <c r="A5" s="138" t="s">
        <v>250</v>
      </c>
    </row>
    <row r="6" spans="1:4" x14ac:dyDescent="0.25">
      <c r="A6" s="138" t="s">
        <v>250</v>
      </c>
      <c r="B6" s="138" t="s">
        <v>357</v>
      </c>
    </row>
    <row r="7" spans="1:4" x14ac:dyDescent="0.25">
      <c r="A7" s="138" t="s">
        <v>250</v>
      </c>
      <c r="C7" s="138" t="s">
        <v>262</v>
      </c>
      <c r="D7" s="138" t="s">
        <v>264</v>
      </c>
    </row>
    <row r="8" spans="1:4" x14ac:dyDescent="0.25">
      <c r="A8" s="138" t="s">
        <v>250</v>
      </c>
      <c r="B8" s="141"/>
      <c r="C8" s="144">
        <v>41904</v>
      </c>
      <c r="D8" s="138" t="s">
        <v>677</v>
      </c>
    </row>
    <row r="9" spans="1:4" x14ac:dyDescent="0.25">
      <c r="A9" s="138" t="s">
        <v>250</v>
      </c>
      <c r="B9" s="141"/>
      <c r="C9" s="144"/>
      <c r="D9" s="145"/>
    </row>
    <row r="10" spans="1:4" x14ac:dyDescent="0.25">
      <c r="A10" s="138" t="s">
        <v>250</v>
      </c>
      <c r="B10" s="141"/>
      <c r="C10" s="144"/>
      <c r="D10" s="145"/>
    </row>
    <row r="11" spans="1:4" x14ac:dyDescent="0.25">
      <c r="A11" s="138" t="s">
        <v>250</v>
      </c>
      <c r="B11" s="141"/>
      <c r="C11" s="144"/>
    </row>
    <row r="12" spans="1:4" x14ac:dyDescent="0.25">
      <c r="A12" s="138" t="s">
        <v>250</v>
      </c>
      <c r="B12" s="138" t="s">
        <v>689</v>
      </c>
    </row>
    <row r="13" spans="1:4" x14ac:dyDescent="0.25">
      <c r="A13" s="138" t="s">
        <v>250</v>
      </c>
    </row>
    <row r="14" spans="1:4" x14ac:dyDescent="0.25">
      <c r="A14" s="138" t="s">
        <v>250</v>
      </c>
    </row>
    <row r="15" spans="1:4" x14ac:dyDescent="0.25">
      <c r="A15" s="138" t="s">
        <v>250</v>
      </c>
      <c r="B15" s="138" t="s">
        <v>251</v>
      </c>
    </row>
    <row r="16" spans="1:4" x14ac:dyDescent="0.25">
      <c r="A16" s="138" t="s">
        <v>250</v>
      </c>
    </row>
    <row r="17" spans="1:27" x14ac:dyDescent="0.25">
      <c r="A17" s="138" t="s">
        <v>250</v>
      </c>
    </row>
    <row r="18" spans="1:27" x14ac:dyDescent="0.25">
      <c r="A18" s="138" t="s">
        <v>250</v>
      </c>
      <c r="B18" s="138" t="s">
        <v>272</v>
      </c>
    </row>
    <row r="19" spans="1:27" x14ac:dyDescent="0.25">
      <c r="A19" s="138" t="s">
        <v>250</v>
      </c>
      <c r="C19" s="138" t="s">
        <v>760</v>
      </c>
    </row>
    <row r="20" spans="1:27" x14ac:dyDescent="0.25">
      <c r="A20" s="138" t="s">
        <v>250</v>
      </c>
    </row>
    <row r="21" spans="1:27" x14ac:dyDescent="0.25">
      <c r="A21" s="138" t="s">
        <v>250</v>
      </c>
    </row>
    <row r="22" spans="1:27" x14ac:dyDescent="0.25">
      <c r="A22" s="138" t="s">
        <v>250</v>
      </c>
    </row>
    <row r="23" spans="1:27" x14ac:dyDescent="0.25">
      <c r="A23" s="138" t="s">
        <v>365</v>
      </c>
    </row>
    <row r="24" spans="1:27" x14ac:dyDescent="0.25">
      <c r="B24" s="4" t="s">
        <v>767</v>
      </c>
      <c r="C24" s="4"/>
    </row>
    <row r="25" spans="1:27" x14ac:dyDescent="0.25">
      <c r="C25" s="180" t="s">
        <v>758</v>
      </c>
      <c r="D25" s="228" t="s">
        <v>236</v>
      </c>
      <c r="E25" s="224" t="s">
        <v>236</v>
      </c>
      <c r="F25" s="224" t="s">
        <v>236</v>
      </c>
      <c r="G25" s="224" t="s">
        <v>236</v>
      </c>
      <c r="H25" s="263" t="s">
        <v>236</v>
      </c>
      <c r="I25" s="228" t="s">
        <v>236</v>
      </c>
      <c r="J25" s="224" t="s">
        <v>236</v>
      </c>
      <c r="K25" s="224" t="s">
        <v>236</v>
      </c>
      <c r="L25" s="224" t="s">
        <v>236</v>
      </c>
      <c r="M25" s="263" t="s">
        <v>236</v>
      </c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</row>
    <row r="26" spans="1:27" x14ac:dyDescent="0.25">
      <c r="C26" s="228" t="s">
        <v>574</v>
      </c>
      <c r="D26" s="254" t="s">
        <v>469</v>
      </c>
      <c r="E26" s="255" t="s">
        <v>469</v>
      </c>
      <c r="F26" s="255" t="s">
        <v>469</v>
      </c>
      <c r="G26" s="255" t="s">
        <v>469</v>
      </c>
      <c r="H26" s="256" t="s">
        <v>469</v>
      </c>
      <c r="I26" s="254" t="s">
        <v>470</v>
      </c>
      <c r="J26" s="255" t="s">
        <v>470</v>
      </c>
      <c r="K26" s="255" t="s">
        <v>470</v>
      </c>
      <c r="L26" s="255" t="s">
        <v>470</v>
      </c>
      <c r="M26" s="256" t="s">
        <v>470</v>
      </c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</row>
    <row r="27" spans="1:27" ht="15.75" thickBot="1" x14ac:dyDescent="0.3">
      <c r="C27" s="212" t="s">
        <v>762</v>
      </c>
      <c r="D27" s="167" t="s">
        <v>777</v>
      </c>
      <c r="E27" s="159" t="s">
        <v>776</v>
      </c>
      <c r="F27" s="159" t="s">
        <v>778</v>
      </c>
      <c r="G27" s="159" t="s">
        <v>779</v>
      </c>
      <c r="H27" s="257" t="s">
        <v>780</v>
      </c>
      <c r="I27" s="167" t="s">
        <v>777</v>
      </c>
      <c r="J27" s="159" t="s">
        <v>776</v>
      </c>
      <c r="K27" s="159" t="s">
        <v>778</v>
      </c>
      <c r="L27" s="159" t="s">
        <v>779</v>
      </c>
      <c r="M27" s="257" t="s">
        <v>780</v>
      </c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</row>
    <row r="28" spans="1:27" ht="15.75" thickTop="1" x14ac:dyDescent="0.25">
      <c r="C28" s="258" t="s">
        <v>691</v>
      </c>
      <c r="D28" s="234">
        <v>1.98</v>
      </c>
      <c r="E28" s="53">
        <v>1.89</v>
      </c>
      <c r="F28" s="53">
        <v>1.75</v>
      </c>
      <c r="G28" s="53">
        <v>1.47</v>
      </c>
      <c r="H28" s="300">
        <v>-999</v>
      </c>
      <c r="I28" s="321">
        <v>1.36</v>
      </c>
      <c r="J28" s="235">
        <v>1.25</v>
      </c>
      <c r="K28" s="317">
        <v>-999</v>
      </c>
      <c r="L28" s="317">
        <v>-999</v>
      </c>
      <c r="M28" s="236">
        <v>1.25</v>
      </c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</row>
    <row r="29" spans="1:27" x14ac:dyDescent="0.25">
      <c r="C29" s="258" t="s">
        <v>692</v>
      </c>
      <c r="D29" s="234">
        <v>1.82</v>
      </c>
      <c r="E29" s="53">
        <v>1.73</v>
      </c>
      <c r="F29" s="53">
        <v>1.6</v>
      </c>
      <c r="G29" s="53">
        <v>1.31</v>
      </c>
      <c r="H29" s="300">
        <v>-999</v>
      </c>
      <c r="I29" s="234">
        <v>1.21</v>
      </c>
      <c r="J29" s="53">
        <v>1.1000000000000001</v>
      </c>
      <c r="K29" s="317">
        <v>-999</v>
      </c>
      <c r="L29" s="317">
        <v>-999</v>
      </c>
      <c r="M29" s="236">
        <v>1.1000000000000001</v>
      </c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</row>
    <row r="30" spans="1:27" x14ac:dyDescent="0.25">
      <c r="C30" s="258" t="s">
        <v>693</v>
      </c>
      <c r="D30" s="234">
        <v>1.9</v>
      </c>
      <c r="E30" s="53">
        <v>1.81</v>
      </c>
      <c r="F30" s="53">
        <v>1.68</v>
      </c>
      <c r="G30" s="53">
        <v>0.13900000000000001</v>
      </c>
      <c r="H30" s="300">
        <v>-999</v>
      </c>
      <c r="I30" s="234">
        <v>1.29</v>
      </c>
      <c r="J30" s="53">
        <v>1.18</v>
      </c>
      <c r="K30" s="317">
        <v>-999</v>
      </c>
      <c r="L30" s="317">
        <v>-999</v>
      </c>
      <c r="M30" s="236">
        <v>1.18</v>
      </c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</row>
    <row r="31" spans="1:27" x14ac:dyDescent="0.25">
      <c r="C31" s="229" t="s">
        <v>694</v>
      </c>
      <c r="D31" s="259">
        <v>1.31</v>
      </c>
      <c r="E31" s="260">
        <v>1.1100000000000001</v>
      </c>
      <c r="F31" s="260">
        <v>1.05</v>
      </c>
      <c r="G31" s="260">
        <v>0.84</v>
      </c>
      <c r="H31" s="299">
        <v>-999</v>
      </c>
      <c r="I31" s="259">
        <v>0.82</v>
      </c>
      <c r="J31" s="260">
        <v>0.7</v>
      </c>
      <c r="K31" s="318">
        <v>-999</v>
      </c>
      <c r="L31" s="318">
        <v>-999</v>
      </c>
      <c r="M31" s="261">
        <v>0.66</v>
      </c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</row>
    <row r="32" spans="1:27" x14ac:dyDescent="0.25">
      <c r="C32" s="258" t="s">
        <v>695</v>
      </c>
      <c r="D32" s="234">
        <v>1.3</v>
      </c>
      <c r="E32" s="53">
        <v>1.1000000000000001</v>
      </c>
      <c r="F32" s="53">
        <v>1.04</v>
      </c>
      <c r="G32" s="53">
        <v>0.84</v>
      </c>
      <c r="H32" s="300">
        <v>-999</v>
      </c>
      <c r="I32" s="234">
        <v>0.81</v>
      </c>
      <c r="J32" s="53">
        <v>0.69</v>
      </c>
      <c r="K32" s="317">
        <v>-999</v>
      </c>
      <c r="L32" s="317">
        <v>-999</v>
      </c>
      <c r="M32" s="236">
        <v>0.65</v>
      </c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</row>
    <row r="33" spans="3:27" x14ac:dyDescent="0.25">
      <c r="C33" s="258" t="s">
        <v>696</v>
      </c>
      <c r="D33" s="234">
        <v>1.27</v>
      </c>
      <c r="E33" s="53">
        <v>1.07</v>
      </c>
      <c r="F33" s="53">
        <v>1</v>
      </c>
      <c r="G33" s="53">
        <v>0.8</v>
      </c>
      <c r="H33" s="300">
        <v>-999</v>
      </c>
      <c r="I33" s="234">
        <v>0.77</v>
      </c>
      <c r="J33" s="53">
        <v>0.66</v>
      </c>
      <c r="K33" s="317">
        <v>-999</v>
      </c>
      <c r="L33" s="317">
        <v>-999</v>
      </c>
      <c r="M33" s="236">
        <v>0.62</v>
      </c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</row>
    <row r="34" spans="3:27" x14ac:dyDescent="0.25">
      <c r="C34" s="262" t="s">
        <v>697</v>
      </c>
      <c r="D34" s="237">
        <v>1.27</v>
      </c>
      <c r="E34" s="238">
        <v>1.07</v>
      </c>
      <c r="F34" s="238">
        <v>1</v>
      </c>
      <c r="G34" s="238">
        <v>0.8</v>
      </c>
      <c r="H34" s="301">
        <v>-999</v>
      </c>
      <c r="I34" s="237">
        <v>0.77</v>
      </c>
      <c r="J34" s="238">
        <v>0.66</v>
      </c>
      <c r="K34" s="319">
        <v>-999</v>
      </c>
      <c r="L34" s="319">
        <v>-999</v>
      </c>
      <c r="M34" s="239">
        <v>0.62</v>
      </c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</row>
    <row r="35" spans="3:27" x14ac:dyDescent="0.25">
      <c r="C35" s="258" t="s">
        <v>698</v>
      </c>
      <c r="D35" s="234">
        <v>1.01</v>
      </c>
      <c r="E35" s="53">
        <v>0.78</v>
      </c>
      <c r="F35" s="53">
        <v>0.73</v>
      </c>
      <c r="G35" s="53">
        <v>0.53</v>
      </c>
      <c r="H35" s="300">
        <v>-999</v>
      </c>
      <c r="I35" s="234">
        <v>0.54</v>
      </c>
      <c r="J35" s="53">
        <v>0.43</v>
      </c>
      <c r="K35" s="317">
        <v>-999</v>
      </c>
      <c r="L35" s="317">
        <v>-999</v>
      </c>
      <c r="M35" s="236">
        <v>0.37</v>
      </c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</row>
    <row r="36" spans="3:27" x14ac:dyDescent="0.25">
      <c r="C36" s="258" t="s">
        <v>699</v>
      </c>
      <c r="D36" s="234">
        <v>0.99</v>
      </c>
      <c r="E36" s="53">
        <v>0.76</v>
      </c>
      <c r="F36" s="53">
        <v>0.71</v>
      </c>
      <c r="G36" s="53">
        <v>0.51</v>
      </c>
      <c r="H36" s="300">
        <v>-999</v>
      </c>
      <c r="I36" s="234">
        <v>0.52</v>
      </c>
      <c r="J36" s="53">
        <v>0.41</v>
      </c>
      <c r="K36" s="317">
        <v>-999</v>
      </c>
      <c r="L36" s="317">
        <v>-999</v>
      </c>
      <c r="M36" s="236">
        <v>0.36</v>
      </c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</row>
    <row r="37" spans="3:27" x14ac:dyDescent="0.25">
      <c r="C37" s="258" t="s">
        <v>700</v>
      </c>
      <c r="D37" s="234">
        <v>1.23</v>
      </c>
      <c r="E37" s="53">
        <v>1.03</v>
      </c>
      <c r="F37" s="53">
        <v>0.97</v>
      </c>
      <c r="G37" s="53">
        <v>0.76</v>
      </c>
      <c r="H37" s="300">
        <v>-999</v>
      </c>
      <c r="I37" s="234">
        <v>0.74</v>
      </c>
      <c r="J37" s="53">
        <v>0.63</v>
      </c>
      <c r="K37" s="317">
        <v>-999</v>
      </c>
      <c r="L37" s="317">
        <v>-999</v>
      </c>
      <c r="M37" s="236">
        <v>0.57999999999999996</v>
      </c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</row>
    <row r="38" spans="3:27" x14ac:dyDescent="0.25">
      <c r="C38" s="258" t="s">
        <v>701</v>
      </c>
      <c r="D38" s="234">
        <v>1.23</v>
      </c>
      <c r="E38" s="53">
        <v>1.03</v>
      </c>
      <c r="F38" s="53">
        <v>0.97</v>
      </c>
      <c r="G38" s="53">
        <v>0.76</v>
      </c>
      <c r="H38" s="300">
        <v>-999</v>
      </c>
      <c r="I38" s="234">
        <v>0.74</v>
      </c>
      <c r="J38" s="53">
        <v>0.63</v>
      </c>
      <c r="K38" s="317">
        <v>-999</v>
      </c>
      <c r="L38" s="317">
        <v>-999</v>
      </c>
      <c r="M38" s="236">
        <v>0.57999999999999996</v>
      </c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</row>
    <row r="39" spans="3:27" x14ac:dyDescent="0.25">
      <c r="C39" s="229" t="s">
        <v>702</v>
      </c>
      <c r="D39" s="259">
        <v>1.25</v>
      </c>
      <c r="E39" s="260">
        <v>1.05</v>
      </c>
      <c r="F39" s="260">
        <v>0.99</v>
      </c>
      <c r="G39" s="260">
        <v>0.78</v>
      </c>
      <c r="H39" s="299">
        <v>-999</v>
      </c>
      <c r="I39" s="259">
        <v>0.76</v>
      </c>
      <c r="J39" s="260">
        <v>0.64</v>
      </c>
      <c r="K39" s="318">
        <v>-999</v>
      </c>
      <c r="L39" s="318">
        <v>-999</v>
      </c>
      <c r="M39" s="261">
        <v>0.6</v>
      </c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</row>
    <row r="40" spans="3:27" x14ac:dyDescent="0.25">
      <c r="C40" s="258" t="s">
        <v>703</v>
      </c>
      <c r="D40" s="234">
        <v>1.24</v>
      </c>
      <c r="E40" s="53">
        <v>1.04</v>
      </c>
      <c r="F40" s="53">
        <v>0.98</v>
      </c>
      <c r="G40" s="53">
        <v>0.77</v>
      </c>
      <c r="H40" s="300">
        <v>-999</v>
      </c>
      <c r="I40" s="234">
        <v>0.75</v>
      </c>
      <c r="J40" s="53">
        <v>0.64</v>
      </c>
      <c r="K40" s="317">
        <v>-999</v>
      </c>
      <c r="L40" s="317">
        <v>-999</v>
      </c>
      <c r="M40" s="236">
        <v>0.59</v>
      </c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</row>
    <row r="41" spans="3:27" x14ac:dyDescent="0.25">
      <c r="C41" s="258" t="s">
        <v>704</v>
      </c>
      <c r="D41" s="234">
        <v>1.18</v>
      </c>
      <c r="E41" s="53">
        <v>0.99</v>
      </c>
      <c r="F41" s="53">
        <v>0.92</v>
      </c>
      <c r="G41" s="53">
        <v>0.72</v>
      </c>
      <c r="H41" s="300">
        <v>-999</v>
      </c>
      <c r="I41" s="234">
        <v>0.7</v>
      </c>
      <c r="J41" s="53">
        <v>0.57999999999999996</v>
      </c>
      <c r="K41" s="317">
        <v>-999</v>
      </c>
      <c r="L41" s="317">
        <v>-999</v>
      </c>
      <c r="M41" s="236">
        <v>0.54</v>
      </c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</row>
    <row r="42" spans="3:27" x14ac:dyDescent="0.25">
      <c r="C42" s="262" t="s">
        <v>705</v>
      </c>
      <c r="D42" s="237">
        <v>1.2</v>
      </c>
      <c r="E42" s="238">
        <v>1</v>
      </c>
      <c r="F42" s="238">
        <v>0.94</v>
      </c>
      <c r="G42" s="238">
        <v>0.74</v>
      </c>
      <c r="H42" s="301">
        <v>-999</v>
      </c>
      <c r="I42" s="237">
        <v>0.71</v>
      </c>
      <c r="J42" s="238">
        <v>0.6</v>
      </c>
      <c r="K42" s="319">
        <v>-999</v>
      </c>
      <c r="L42" s="319">
        <v>-999</v>
      </c>
      <c r="M42" s="239">
        <v>0.56000000000000005</v>
      </c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</row>
    <row r="43" spans="3:27" x14ac:dyDescent="0.25">
      <c r="C43" s="229" t="s">
        <v>706</v>
      </c>
      <c r="D43" s="259">
        <v>1.2</v>
      </c>
      <c r="E43" s="260">
        <v>1</v>
      </c>
      <c r="F43" s="260">
        <v>0.94</v>
      </c>
      <c r="G43" s="260">
        <v>0.74</v>
      </c>
      <c r="H43" s="299">
        <v>-999</v>
      </c>
      <c r="I43" s="259">
        <v>0.71</v>
      </c>
      <c r="J43" s="260">
        <v>0.6</v>
      </c>
      <c r="K43" s="318">
        <v>-999</v>
      </c>
      <c r="L43" s="318">
        <v>-999</v>
      </c>
      <c r="M43" s="261">
        <v>0.56000000000000005</v>
      </c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</row>
    <row r="44" spans="3:27" x14ac:dyDescent="0.25">
      <c r="C44" s="258" t="s">
        <v>707</v>
      </c>
      <c r="D44" s="234">
        <v>1.2</v>
      </c>
      <c r="E44" s="53">
        <v>1</v>
      </c>
      <c r="F44" s="53">
        <v>0.94</v>
      </c>
      <c r="G44" s="53">
        <v>0.74</v>
      </c>
      <c r="H44" s="300">
        <v>-999</v>
      </c>
      <c r="I44" s="234">
        <v>0.71</v>
      </c>
      <c r="J44" s="53">
        <v>0.6</v>
      </c>
      <c r="K44" s="317">
        <v>-999</v>
      </c>
      <c r="L44" s="317">
        <v>-999</v>
      </c>
      <c r="M44" s="236">
        <v>0.56000000000000005</v>
      </c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</row>
    <row r="45" spans="3:27" x14ac:dyDescent="0.25">
      <c r="C45" s="258" t="s">
        <v>708</v>
      </c>
      <c r="D45" s="234">
        <v>1.1399999999999999</v>
      </c>
      <c r="E45" s="53">
        <v>0.94</v>
      </c>
      <c r="F45" s="53">
        <v>0.88</v>
      </c>
      <c r="G45" s="53">
        <v>0.68</v>
      </c>
      <c r="H45" s="300">
        <v>-999</v>
      </c>
      <c r="I45" s="234">
        <v>0.65</v>
      </c>
      <c r="J45" s="53">
        <v>0.54</v>
      </c>
      <c r="K45" s="317">
        <v>-999</v>
      </c>
      <c r="L45" s="317">
        <v>-999</v>
      </c>
      <c r="M45" s="236">
        <v>0.5</v>
      </c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</row>
    <row r="46" spans="3:27" x14ac:dyDescent="0.25">
      <c r="C46" s="262" t="s">
        <v>709</v>
      </c>
      <c r="D46" s="237">
        <v>1.1499999999999999</v>
      </c>
      <c r="E46" s="238">
        <v>0.95</v>
      </c>
      <c r="F46" s="238">
        <v>0.89</v>
      </c>
      <c r="G46" s="238">
        <v>0.68</v>
      </c>
      <c r="H46" s="301">
        <v>-999</v>
      </c>
      <c r="I46" s="237">
        <v>0.66</v>
      </c>
      <c r="J46" s="238">
        <v>0.55000000000000004</v>
      </c>
      <c r="K46" s="319">
        <v>-999</v>
      </c>
      <c r="L46" s="319">
        <v>-999</v>
      </c>
      <c r="M46" s="239">
        <v>0.51</v>
      </c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</row>
    <row r="47" spans="3:27" x14ac:dyDescent="0.25">
      <c r="C47" s="229" t="s">
        <v>710</v>
      </c>
      <c r="D47" s="259">
        <v>1.18</v>
      </c>
      <c r="E47" s="260">
        <v>0.99</v>
      </c>
      <c r="F47" s="260">
        <v>0.92</v>
      </c>
      <c r="G47" s="260">
        <v>0.72</v>
      </c>
      <c r="H47" s="299">
        <v>-999</v>
      </c>
      <c r="I47" s="259">
        <v>0.7</v>
      </c>
      <c r="J47" s="260">
        <v>0.57999999999999996</v>
      </c>
      <c r="K47" s="318">
        <v>-999</v>
      </c>
      <c r="L47" s="318">
        <v>-999</v>
      </c>
      <c r="M47" s="261">
        <v>0.54</v>
      </c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</row>
    <row r="48" spans="3:27" x14ac:dyDescent="0.25">
      <c r="C48" s="258" t="s">
        <v>711</v>
      </c>
      <c r="D48" s="234">
        <v>1.18</v>
      </c>
      <c r="E48" s="53">
        <v>0.99</v>
      </c>
      <c r="F48" s="53">
        <v>0.92</v>
      </c>
      <c r="G48" s="53">
        <v>0.72</v>
      </c>
      <c r="H48" s="300">
        <v>-999</v>
      </c>
      <c r="I48" s="234">
        <v>0.7</v>
      </c>
      <c r="J48" s="53">
        <v>0.57999999999999996</v>
      </c>
      <c r="K48" s="317">
        <v>-999</v>
      </c>
      <c r="L48" s="317">
        <v>-999</v>
      </c>
      <c r="M48" s="236">
        <v>0.54</v>
      </c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</row>
    <row r="49" spans="3:27" x14ac:dyDescent="0.25">
      <c r="C49" s="258" t="s">
        <v>712</v>
      </c>
      <c r="D49" s="234">
        <v>1.1100000000000001</v>
      </c>
      <c r="E49" s="53">
        <v>0.91</v>
      </c>
      <c r="F49" s="53">
        <v>0.85</v>
      </c>
      <c r="G49" s="53">
        <v>0.65</v>
      </c>
      <c r="H49" s="300">
        <v>-999</v>
      </c>
      <c r="I49" s="234">
        <v>0.63</v>
      </c>
      <c r="J49" s="53">
        <v>0.52</v>
      </c>
      <c r="K49" s="317">
        <v>-999</v>
      </c>
      <c r="L49" s="317">
        <v>-999</v>
      </c>
      <c r="M49" s="236">
        <v>0.47</v>
      </c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</row>
    <row r="50" spans="3:27" x14ac:dyDescent="0.25">
      <c r="C50" s="262" t="s">
        <v>713</v>
      </c>
      <c r="D50" s="237">
        <v>1.1299999999999999</v>
      </c>
      <c r="E50" s="238">
        <v>0.93</v>
      </c>
      <c r="F50" s="238">
        <v>0.87</v>
      </c>
      <c r="G50" s="238">
        <v>0.67</v>
      </c>
      <c r="H50" s="301">
        <v>-999</v>
      </c>
      <c r="I50" s="237">
        <v>0.65</v>
      </c>
      <c r="J50" s="238">
        <v>0.53</v>
      </c>
      <c r="K50" s="319">
        <v>-999</v>
      </c>
      <c r="L50" s="319">
        <v>-999</v>
      </c>
      <c r="M50" s="239">
        <v>0.49</v>
      </c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</row>
    <row r="51" spans="3:27" x14ac:dyDescent="0.25">
      <c r="C51" s="258" t="s">
        <v>714</v>
      </c>
      <c r="D51" s="234">
        <v>1.17</v>
      </c>
      <c r="E51" s="53">
        <v>0.97</v>
      </c>
      <c r="F51" s="53">
        <v>0.91</v>
      </c>
      <c r="G51" s="53">
        <v>0.7</v>
      </c>
      <c r="H51" s="300">
        <v>-999</v>
      </c>
      <c r="I51" s="234">
        <v>0.68</v>
      </c>
      <c r="J51" s="53">
        <v>0.56999999999999995</v>
      </c>
      <c r="K51" s="317">
        <v>-999</v>
      </c>
      <c r="L51" s="317">
        <v>-999</v>
      </c>
      <c r="M51" s="236">
        <v>0.52</v>
      </c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</row>
    <row r="52" spans="3:27" x14ac:dyDescent="0.25">
      <c r="C52" s="258" t="s">
        <v>715</v>
      </c>
      <c r="D52" s="234">
        <v>1.17</v>
      </c>
      <c r="E52" s="53">
        <v>0.98</v>
      </c>
      <c r="F52" s="53">
        <v>0.91</v>
      </c>
      <c r="G52" s="53">
        <v>0.71</v>
      </c>
      <c r="H52" s="300">
        <v>-999</v>
      </c>
      <c r="I52" s="234">
        <v>0.69</v>
      </c>
      <c r="J52" s="53">
        <v>0.57999999999999996</v>
      </c>
      <c r="K52" s="317">
        <v>-999</v>
      </c>
      <c r="L52" s="317">
        <v>-999</v>
      </c>
      <c r="M52" s="236">
        <v>0.53</v>
      </c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</row>
    <row r="53" spans="3:27" x14ac:dyDescent="0.25">
      <c r="C53" s="258" t="s">
        <v>716</v>
      </c>
      <c r="D53" s="234">
        <v>1.0900000000000001</v>
      </c>
      <c r="E53" s="53">
        <v>0.89</v>
      </c>
      <c r="F53" s="53">
        <v>0.83</v>
      </c>
      <c r="G53" s="53">
        <v>0.63</v>
      </c>
      <c r="H53" s="300">
        <v>-999</v>
      </c>
      <c r="I53" s="234">
        <v>0.61</v>
      </c>
      <c r="J53" s="53">
        <v>0.5</v>
      </c>
      <c r="K53" s="317">
        <v>-999</v>
      </c>
      <c r="L53" s="317">
        <v>-999</v>
      </c>
      <c r="M53" s="236">
        <v>0.45</v>
      </c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</row>
    <row r="54" spans="3:27" x14ac:dyDescent="0.25">
      <c r="C54" s="258" t="s">
        <v>717</v>
      </c>
      <c r="D54" s="234">
        <v>1.1100000000000001</v>
      </c>
      <c r="E54" s="53">
        <v>0.91</v>
      </c>
      <c r="F54" s="53">
        <v>0.85</v>
      </c>
      <c r="G54" s="53">
        <v>0.65</v>
      </c>
      <c r="H54" s="300">
        <v>-999</v>
      </c>
      <c r="I54" s="234">
        <v>0.63</v>
      </c>
      <c r="J54" s="53">
        <v>0.52</v>
      </c>
      <c r="K54" s="317">
        <v>-999</v>
      </c>
      <c r="L54" s="317">
        <v>-999</v>
      </c>
      <c r="M54" s="236">
        <v>0.47</v>
      </c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</row>
    <row r="55" spans="3:27" x14ac:dyDescent="0.25">
      <c r="C55" s="229" t="s">
        <v>718</v>
      </c>
      <c r="D55" s="259">
        <v>1.1200000000000001</v>
      </c>
      <c r="E55" s="260">
        <v>0.89</v>
      </c>
      <c r="F55" s="260">
        <v>0.84</v>
      </c>
      <c r="G55" s="260">
        <v>0.64</v>
      </c>
      <c r="H55" s="299">
        <v>-999</v>
      </c>
      <c r="I55" s="259">
        <v>0.64</v>
      </c>
      <c r="J55" s="260">
        <v>0.53</v>
      </c>
      <c r="K55" s="318">
        <v>-999</v>
      </c>
      <c r="L55" s="318">
        <v>-999</v>
      </c>
      <c r="M55" s="261">
        <v>0.48</v>
      </c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</row>
    <row r="56" spans="3:27" x14ac:dyDescent="0.25">
      <c r="C56" s="258" t="s">
        <v>719</v>
      </c>
      <c r="D56" s="234">
        <v>1.1000000000000001</v>
      </c>
      <c r="E56" s="53">
        <v>0.87</v>
      </c>
      <c r="F56" s="53">
        <v>0.81</v>
      </c>
      <c r="G56" s="53">
        <v>0.61</v>
      </c>
      <c r="H56" s="300">
        <v>-999</v>
      </c>
      <c r="I56" s="234">
        <v>0.62</v>
      </c>
      <c r="J56" s="53">
        <v>0.51</v>
      </c>
      <c r="K56" s="317">
        <v>-999</v>
      </c>
      <c r="L56" s="317">
        <v>-999</v>
      </c>
      <c r="M56" s="236">
        <v>0.45</v>
      </c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</row>
    <row r="57" spans="3:27" x14ac:dyDescent="0.25">
      <c r="C57" s="258" t="s">
        <v>720</v>
      </c>
      <c r="D57" s="234">
        <v>1.0900000000000001</v>
      </c>
      <c r="E57" s="53">
        <v>0.86</v>
      </c>
      <c r="F57" s="53">
        <v>0.8</v>
      </c>
      <c r="G57" s="53">
        <v>0.6</v>
      </c>
      <c r="H57" s="300">
        <v>-999</v>
      </c>
      <c r="I57" s="234">
        <v>0.61</v>
      </c>
      <c r="J57" s="53">
        <v>0.5</v>
      </c>
      <c r="K57" s="317">
        <v>-999</v>
      </c>
      <c r="L57" s="317">
        <v>-999</v>
      </c>
      <c r="M57" s="236">
        <v>0.44</v>
      </c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</row>
    <row r="58" spans="3:27" x14ac:dyDescent="0.25">
      <c r="C58" s="262" t="s">
        <v>721</v>
      </c>
      <c r="D58" s="237">
        <v>1.07</v>
      </c>
      <c r="E58" s="238">
        <v>0.84</v>
      </c>
      <c r="F58" s="238">
        <v>0.79</v>
      </c>
      <c r="G58" s="238">
        <v>0.59</v>
      </c>
      <c r="H58" s="301">
        <v>-999</v>
      </c>
      <c r="I58" s="237">
        <v>0.59</v>
      </c>
      <c r="J58" s="238">
        <v>0.48</v>
      </c>
      <c r="K58" s="319">
        <v>-999</v>
      </c>
      <c r="L58" s="319">
        <v>-999</v>
      </c>
      <c r="M58" s="239">
        <v>0.42</v>
      </c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</row>
    <row r="59" spans="3:27" x14ac:dyDescent="0.25">
      <c r="C59" s="229" t="s">
        <v>722</v>
      </c>
      <c r="D59" s="259">
        <v>1.08</v>
      </c>
      <c r="E59" s="260">
        <v>0.85</v>
      </c>
      <c r="F59" s="260">
        <v>0.79</v>
      </c>
      <c r="G59" s="260">
        <v>0.59</v>
      </c>
      <c r="H59" s="299">
        <v>-999</v>
      </c>
      <c r="I59" s="259">
        <v>0.6</v>
      </c>
      <c r="J59" s="260">
        <v>0.49</v>
      </c>
      <c r="K59" s="318">
        <v>-999</v>
      </c>
      <c r="L59" s="318">
        <v>-999</v>
      </c>
      <c r="M59" s="261">
        <v>0.43</v>
      </c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</row>
    <row r="60" spans="3:27" x14ac:dyDescent="0.25">
      <c r="C60" s="258" t="s">
        <v>723</v>
      </c>
      <c r="D60" s="234">
        <v>1.05</v>
      </c>
      <c r="E60" s="53">
        <v>0.82</v>
      </c>
      <c r="F60" s="53">
        <v>0.77</v>
      </c>
      <c r="G60" s="53">
        <v>0.56999999999999995</v>
      </c>
      <c r="H60" s="300">
        <v>-999</v>
      </c>
      <c r="I60" s="234">
        <v>0.56999999999999995</v>
      </c>
      <c r="J60" s="53">
        <v>0.46</v>
      </c>
      <c r="K60" s="317">
        <v>-999</v>
      </c>
      <c r="L60" s="317">
        <v>-999</v>
      </c>
      <c r="M60" s="236">
        <v>0.41</v>
      </c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</row>
    <row r="61" spans="3:27" x14ac:dyDescent="0.25">
      <c r="C61" s="258" t="s">
        <v>724</v>
      </c>
      <c r="D61" s="234">
        <v>1.02</v>
      </c>
      <c r="E61" s="53">
        <v>0.79</v>
      </c>
      <c r="F61" s="53">
        <v>0.74</v>
      </c>
      <c r="G61" s="53">
        <v>0.54</v>
      </c>
      <c r="H61" s="300">
        <v>-999</v>
      </c>
      <c r="I61" s="234">
        <v>0.55000000000000004</v>
      </c>
      <c r="J61" s="53">
        <v>0.44</v>
      </c>
      <c r="K61" s="317">
        <v>-999</v>
      </c>
      <c r="L61" s="317">
        <v>-999</v>
      </c>
      <c r="M61" s="236">
        <v>0.38</v>
      </c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</row>
    <row r="62" spans="3:27" x14ac:dyDescent="0.25">
      <c r="C62" s="262" t="s">
        <v>725</v>
      </c>
      <c r="D62" s="237">
        <v>1.01</v>
      </c>
      <c r="E62" s="238">
        <v>0.78</v>
      </c>
      <c r="F62" s="238">
        <v>0.73</v>
      </c>
      <c r="G62" s="238">
        <v>0.53</v>
      </c>
      <c r="H62" s="301">
        <v>-999</v>
      </c>
      <c r="I62" s="237">
        <v>0.54</v>
      </c>
      <c r="J62" s="238">
        <v>0.43</v>
      </c>
      <c r="K62" s="319">
        <v>-999</v>
      </c>
      <c r="L62" s="319">
        <v>-999</v>
      </c>
      <c r="M62" s="239">
        <v>0.37</v>
      </c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</row>
    <row r="63" spans="3:27" x14ac:dyDescent="0.25">
      <c r="C63" s="229" t="s">
        <v>726</v>
      </c>
      <c r="D63" s="259">
        <v>1.03</v>
      </c>
      <c r="E63" s="260">
        <v>0.8</v>
      </c>
      <c r="F63" s="260">
        <v>0.75</v>
      </c>
      <c r="G63" s="260">
        <v>0.55000000000000004</v>
      </c>
      <c r="H63" s="299">
        <v>-999</v>
      </c>
      <c r="I63" s="259">
        <v>0.56000000000000005</v>
      </c>
      <c r="J63" s="260">
        <v>0.45</v>
      </c>
      <c r="K63" s="318">
        <v>-999</v>
      </c>
      <c r="L63" s="318">
        <v>-999</v>
      </c>
      <c r="M63" s="261">
        <v>0.39</v>
      </c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</row>
    <row r="64" spans="3:27" x14ac:dyDescent="0.25">
      <c r="C64" s="258" t="s">
        <v>727</v>
      </c>
      <c r="D64" s="234">
        <v>1.01</v>
      </c>
      <c r="E64" s="53">
        <v>0.78</v>
      </c>
      <c r="F64" s="53">
        <v>0.73</v>
      </c>
      <c r="G64" s="53">
        <v>0.53</v>
      </c>
      <c r="H64" s="300">
        <v>-999</v>
      </c>
      <c r="I64" s="234">
        <v>0.54</v>
      </c>
      <c r="J64" s="53">
        <v>0.43</v>
      </c>
      <c r="K64" s="317">
        <v>-999</v>
      </c>
      <c r="L64" s="317">
        <v>-999</v>
      </c>
      <c r="M64" s="236">
        <v>0.37</v>
      </c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</row>
    <row r="65" spans="1:27" x14ac:dyDescent="0.25">
      <c r="C65" s="258" t="s">
        <v>728</v>
      </c>
      <c r="D65" s="234">
        <v>0.99</v>
      </c>
      <c r="E65" s="53">
        <v>0.75</v>
      </c>
      <c r="F65" s="53">
        <v>0.7</v>
      </c>
      <c r="G65" s="53">
        <v>0.5</v>
      </c>
      <c r="H65" s="300">
        <v>-999</v>
      </c>
      <c r="I65" s="234">
        <v>0.51</v>
      </c>
      <c r="J65" s="53">
        <v>0.4</v>
      </c>
      <c r="K65" s="317">
        <v>-999</v>
      </c>
      <c r="L65" s="317">
        <v>-999</v>
      </c>
      <c r="M65" s="236">
        <v>0.35</v>
      </c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/>
    </row>
    <row r="66" spans="1:27" x14ac:dyDescent="0.25">
      <c r="C66" s="262" t="s">
        <v>729</v>
      </c>
      <c r="D66" s="237">
        <v>0.97</v>
      </c>
      <c r="E66" s="238">
        <v>0.74</v>
      </c>
      <c r="F66" s="238">
        <v>0.69</v>
      </c>
      <c r="G66" s="238">
        <v>0.49</v>
      </c>
      <c r="H66" s="301">
        <v>-999</v>
      </c>
      <c r="I66" s="237">
        <v>0.5</v>
      </c>
      <c r="J66" s="238">
        <v>0.39</v>
      </c>
      <c r="K66" s="319">
        <v>-999</v>
      </c>
      <c r="L66" s="319">
        <v>-999</v>
      </c>
      <c r="M66" s="239">
        <v>0.33</v>
      </c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</row>
    <row r="67" spans="1:27" x14ac:dyDescent="0.25">
      <c r="C67" s="229" t="s">
        <v>730</v>
      </c>
      <c r="D67" s="259">
        <v>1.01</v>
      </c>
      <c r="E67" s="260">
        <v>0.78</v>
      </c>
      <c r="F67" s="260">
        <v>0.73</v>
      </c>
      <c r="G67" s="260">
        <v>0.53</v>
      </c>
      <c r="H67" s="299">
        <v>-999</v>
      </c>
      <c r="I67" s="259">
        <v>0.54</v>
      </c>
      <c r="J67" s="260">
        <v>0.43</v>
      </c>
      <c r="K67" s="318">
        <v>-999</v>
      </c>
      <c r="L67" s="318">
        <v>-999</v>
      </c>
      <c r="M67" s="261">
        <v>0.37</v>
      </c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</row>
    <row r="68" spans="1:27" x14ac:dyDescent="0.25">
      <c r="C68" s="258" t="s">
        <v>731</v>
      </c>
      <c r="D68" s="234">
        <v>0.99</v>
      </c>
      <c r="E68" s="53">
        <v>0.76</v>
      </c>
      <c r="F68" s="53">
        <v>0.71</v>
      </c>
      <c r="G68" s="53">
        <v>0.51</v>
      </c>
      <c r="H68" s="300">
        <v>-999</v>
      </c>
      <c r="I68" s="234">
        <v>0.52</v>
      </c>
      <c r="J68" s="53">
        <v>0.41</v>
      </c>
      <c r="K68" s="317">
        <v>-999</v>
      </c>
      <c r="L68" s="317">
        <v>-999</v>
      </c>
      <c r="M68" s="236">
        <v>0.36</v>
      </c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</row>
    <row r="69" spans="1:27" x14ac:dyDescent="0.25">
      <c r="C69" s="258" t="s">
        <v>732</v>
      </c>
      <c r="D69" s="234">
        <v>0.96</v>
      </c>
      <c r="E69" s="53">
        <v>0.73</v>
      </c>
      <c r="F69" s="53">
        <v>0.68</v>
      </c>
      <c r="G69" s="53">
        <v>0.48</v>
      </c>
      <c r="H69" s="300">
        <v>-999</v>
      </c>
      <c r="I69" s="234">
        <v>0.49</v>
      </c>
      <c r="J69" s="53">
        <v>0.38</v>
      </c>
      <c r="K69" s="317">
        <v>-999</v>
      </c>
      <c r="L69" s="317">
        <v>-999</v>
      </c>
      <c r="M69" s="236">
        <v>0.32</v>
      </c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</row>
    <row r="70" spans="1:27" x14ac:dyDescent="0.25">
      <c r="C70" s="262" t="s">
        <v>733</v>
      </c>
      <c r="D70" s="237">
        <v>0.95</v>
      </c>
      <c r="E70" s="238">
        <v>0.72</v>
      </c>
      <c r="F70" s="238">
        <v>0.67</v>
      </c>
      <c r="G70" s="238">
        <v>0.47</v>
      </c>
      <c r="H70" s="301">
        <v>-999</v>
      </c>
      <c r="I70" s="237">
        <v>0.48</v>
      </c>
      <c r="J70" s="238">
        <v>0.37</v>
      </c>
      <c r="K70" s="319">
        <v>-999</v>
      </c>
      <c r="L70" s="319">
        <v>-999</v>
      </c>
      <c r="M70" s="239">
        <v>0.31</v>
      </c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</row>
    <row r="71" spans="1:27" x14ac:dyDescent="0.25">
      <c r="C71" s="229" t="s">
        <v>734</v>
      </c>
      <c r="D71" s="259">
        <v>0.97</v>
      </c>
      <c r="E71" s="260">
        <v>0.74</v>
      </c>
      <c r="F71" s="260">
        <v>0.69</v>
      </c>
      <c r="G71" s="260">
        <v>0.49</v>
      </c>
      <c r="H71" s="299">
        <v>-999</v>
      </c>
      <c r="I71" s="259">
        <v>0.5</v>
      </c>
      <c r="J71" s="260">
        <v>0.39</v>
      </c>
      <c r="K71" s="318">
        <v>-999</v>
      </c>
      <c r="L71" s="318">
        <v>-999</v>
      </c>
      <c r="M71" s="261">
        <v>0.33</v>
      </c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</row>
    <row r="72" spans="1:27" x14ac:dyDescent="0.25">
      <c r="C72" s="258" t="s">
        <v>735</v>
      </c>
      <c r="D72" s="234">
        <v>0.94</v>
      </c>
      <c r="E72" s="53">
        <v>0.71</v>
      </c>
      <c r="F72" s="53">
        <v>0.66</v>
      </c>
      <c r="G72" s="53">
        <v>0.46</v>
      </c>
      <c r="H72" s="300">
        <v>-999</v>
      </c>
      <c r="I72" s="234">
        <v>0.47</v>
      </c>
      <c r="J72" s="53">
        <v>0.36</v>
      </c>
      <c r="K72" s="317">
        <v>-999</v>
      </c>
      <c r="L72" s="317">
        <v>-999</v>
      </c>
      <c r="M72" s="236">
        <v>0.3</v>
      </c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/>
    </row>
    <row r="73" spans="1:27" x14ac:dyDescent="0.25">
      <c r="C73" s="258" t="s">
        <v>736</v>
      </c>
      <c r="D73" s="234">
        <v>0.93</v>
      </c>
      <c r="E73" s="53">
        <v>0.7</v>
      </c>
      <c r="F73" s="53">
        <v>0.65</v>
      </c>
      <c r="G73" s="53">
        <v>0.45</v>
      </c>
      <c r="H73" s="300">
        <v>-999</v>
      </c>
      <c r="I73" s="234">
        <v>0.46</v>
      </c>
      <c r="J73" s="53">
        <v>0.35</v>
      </c>
      <c r="K73" s="317">
        <v>-999</v>
      </c>
      <c r="L73" s="317">
        <v>-999</v>
      </c>
      <c r="M73" s="236">
        <v>0.3</v>
      </c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</row>
    <row r="74" spans="1:27" x14ac:dyDescent="0.25">
      <c r="C74" s="262" t="s">
        <v>737</v>
      </c>
      <c r="D74" s="237">
        <v>0.91</v>
      </c>
      <c r="E74" s="238">
        <v>0.68</v>
      </c>
      <c r="F74" s="238">
        <v>0.63</v>
      </c>
      <c r="G74" s="238">
        <v>0.43</v>
      </c>
      <c r="H74" s="301">
        <v>-999</v>
      </c>
      <c r="I74" s="237">
        <v>0.44</v>
      </c>
      <c r="J74" s="238">
        <v>0.33</v>
      </c>
      <c r="K74" s="319">
        <v>-999</v>
      </c>
      <c r="L74" s="319">
        <v>-999</v>
      </c>
      <c r="M74" s="239">
        <v>0.28000000000000003</v>
      </c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/>
    </row>
    <row r="75" spans="1:27" x14ac:dyDescent="0.25">
      <c r="C75" s="182" t="s">
        <v>738</v>
      </c>
      <c r="D75" s="254">
        <v>0.88</v>
      </c>
      <c r="E75" s="255">
        <v>0.65</v>
      </c>
      <c r="F75" s="255">
        <v>0.6</v>
      </c>
      <c r="G75" s="255">
        <v>0.4</v>
      </c>
      <c r="H75" s="322">
        <v>-999</v>
      </c>
      <c r="I75" s="254">
        <v>0.42</v>
      </c>
      <c r="J75" s="255">
        <v>0.31</v>
      </c>
      <c r="K75" s="320">
        <v>-999</v>
      </c>
      <c r="L75" s="320">
        <v>-999</v>
      </c>
      <c r="M75" s="256">
        <v>0.25</v>
      </c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</row>
    <row r="76" spans="1:27" x14ac:dyDescent="0.25">
      <c r="B76" s="138" t="s">
        <v>245</v>
      </c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</row>
    <row r="77" spans="1:27" x14ac:dyDescent="0.25">
      <c r="A77" s="138" t="s">
        <v>250</v>
      </c>
      <c r="C77" s="323" t="s">
        <v>782</v>
      </c>
      <c r="D77" s="52"/>
      <c r="E77" s="52"/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/>
    </row>
    <row r="78" spans="1:27" x14ac:dyDescent="0.25"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</row>
    <row r="79" spans="1:27" x14ac:dyDescent="0.25"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/>
    </row>
    <row r="80" spans="1:27" x14ac:dyDescent="0.25"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  <c r="AA80" s="52"/>
    </row>
    <row r="81" spans="3:27" x14ac:dyDescent="0.25">
      <c r="C81" s="52"/>
      <c r="D81" s="52"/>
      <c r="E81" s="52"/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  <c r="R81" s="52"/>
      <c r="S81" s="52"/>
      <c r="T81" s="52"/>
      <c r="U81" s="52"/>
      <c r="V81" s="52"/>
      <c r="W81" s="52"/>
      <c r="X81" s="52"/>
      <c r="Y81" s="52"/>
      <c r="Z81" s="52"/>
      <c r="AA81" s="52"/>
    </row>
    <row r="82" spans="3:27" x14ac:dyDescent="0.25">
      <c r="C82" s="52"/>
      <c r="D82" s="52"/>
      <c r="E82" s="52"/>
      <c r="F82" s="52"/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  <c r="AA82" s="52"/>
    </row>
    <row r="83" spans="3:27" x14ac:dyDescent="0.25"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2"/>
      <c r="V83" s="52"/>
      <c r="W83" s="52"/>
      <c r="X83" s="52"/>
      <c r="Y83" s="52"/>
      <c r="Z83" s="52"/>
      <c r="AA83" s="52"/>
    </row>
  </sheetData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rgb="FF92D050"/>
  </sheetPr>
  <dimension ref="A1:AB137"/>
  <sheetViews>
    <sheetView zoomScale="70" zoomScaleNormal="70" workbookViewId="0">
      <selection activeCell="C83" sqref="C83:C136"/>
    </sheetView>
  </sheetViews>
  <sheetFormatPr defaultColWidth="9.140625" defaultRowHeight="15" x14ac:dyDescent="0.25"/>
  <cols>
    <col min="1" max="1" width="2.28515625" style="138" customWidth="1"/>
    <col min="2" max="2" width="5.42578125" style="138" customWidth="1"/>
    <col min="3" max="3" width="23.42578125" style="138" customWidth="1"/>
    <col min="4" max="4" width="77.5703125" style="138" customWidth="1"/>
    <col min="5" max="6" width="31.5703125" style="138" bestFit="1" customWidth="1"/>
    <col min="7" max="8" width="28.28515625" style="138" bestFit="1" customWidth="1"/>
    <col min="9" max="10" width="37.42578125" style="138" bestFit="1" customWidth="1"/>
    <col min="11" max="12" width="25.7109375" style="138" customWidth="1"/>
    <col min="13" max="14" width="22.85546875" style="138" bestFit="1" customWidth="1"/>
    <col min="15" max="15" width="14.140625" style="138" bestFit="1" customWidth="1"/>
    <col min="16" max="16" width="9.140625" style="138"/>
    <col min="17" max="17" width="46.85546875" style="138" bestFit="1" customWidth="1"/>
    <col min="18" max="16384" width="9.140625" style="138"/>
  </cols>
  <sheetData>
    <row r="1" spans="1:5" x14ac:dyDescent="0.25">
      <c r="A1" s="138" t="s">
        <v>250</v>
      </c>
      <c r="B1" s="138" t="s">
        <v>672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6" t="s">
        <v>772</v>
      </c>
      <c r="D4" s="146"/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264</v>
      </c>
    </row>
    <row r="8" spans="1:5" x14ac:dyDescent="0.25">
      <c r="A8" s="138" t="s">
        <v>250</v>
      </c>
      <c r="B8" s="141"/>
      <c r="C8" s="144">
        <v>41904</v>
      </c>
      <c r="D8" s="138" t="s">
        <v>677</v>
      </c>
    </row>
    <row r="9" spans="1:5" x14ac:dyDescent="0.25">
      <c r="A9" s="138" t="s">
        <v>250</v>
      </c>
      <c r="B9" s="141"/>
      <c r="C9" s="144"/>
      <c r="D9" s="144"/>
      <c r="E9" s="145"/>
    </row>
    <row r="10" spans="1:5" x14ac:dyDescent="0.25">
      <c r="A10" s="138" t="s">
        <v>250</v>
      </c>
      <c r="B10" s="141"/>
      <c r="C10" s="144"/>
      <c r="D10" s="144"/>
      <c r="E10" s="145"/>
    </row>
    <row r="11" spans="1:5" x14ac:dyDescent="0.25">
      <c r="A11" s="138" t="s">
        <v>250</v>
      </c>
      <c r="B11" s="141"/>
      <c r="C11" s="144"/>
      <c r="D11" s="144"/>
    </row>
    <row r="12" spans="1:5" x14ac:dyDescent="0.25">
      <c r="A12" s="138" t="s">
        <v>250</v>
      </c>
      <c r="B12" s="138" t="s">
        <v>689</v>
      </c>
    </row>
    <row r="13" spans="1:5" x14ac:dyDescent="0.25">
      <c r="A13" s="138" t="s">
        <v>250</v>
      </c>
    </row>
    <row r="14" spans="1:5" x14ac:dyDescent="0.25">
      <c r="A14" s="138" t="s">
        <v>250</v>
      </c>
    </row>
    <row r="15" spans="1:5" x14ac:dyDescent="0.25">
      <c r="A15" s="138" t="s">
        <v>250</v>
      </c>
      <c r="B15" s="138" t="s">
        <v>251</v>
      </c>
    </row>
    <row r="16" spans="1:5" x14ac:dyDescent="0.25">
      <c r="A16" s="138" t="s">
        <v>250</v>
      </c>
    </row>
    <row r="17" spans="1:28" x14ac:dyDescent="0.25">
      <c r="A17" s="138" t="s">
        <v>250</v>
      </c>
    </row>
    <row r="18" spans="1:28" x14ac:dyDescent="0.25">
      <c r="A18" s="138" t="s">
        <v>250</v>
      </c>
      <c r="B18" s="138" t="s">
        <v>272</v>
      </c>
      <c r="F18" s="138" t="s">
        <v>704</v>
      </c>
    </row>
    <row r="19" spans="1:28" x14ac:dyDescent="0.25">
      <c r="A19" s="138" t="s">
        <v>250</v>
      </c>
      <c r="C19" s="138" t="s">
        <v>773</v>
      </c>
      <c r="D19" s="146"/>
      <c r="F19" s="138">
        <f>MATCH(F18,D27:D135,0)</f>
        <v>15</v>
      </c>
    </row>
    <row r="20" spans="1:28" x14ac:dyDescent="0.25">
      <c r="A20" s="138" t="s">
        <v>250</v>
      </c>
      <c r="F20" s="138" t="s">
        <v>776</v>
      </c>
    </row>
    <row r="21" spans="1:28" x14ac:dyDescent="0.25">
      <c r="A21" s="138" t="s">
        <v>250</v>
      </c>
      <c r="F21" s="138" t="b">
        <f>F20=G26</f>
        <v>1</v>
      </c>
    </row>
    <row r="22" spans="1:28" x14ac:dyDescent="0.25">
      <c r="A22" s="138" t="s">
        <v>250</v>
      </c>
      <c r="M22" s="138" t="s">
        <v>781</v>
      </c>
    </row>
    <row r="23" spans="1:28" x14ac:dyDescent="0.25">
      <c r="A23" s="138" t="s">
        <v>365</v>
      </c>
    </row>
    <row r="24" spans="1:28" x14ac:dyDescent="0.25">
      <c r="B24" s="4" t="s">
        <v>771</v>
      </c>
      <c r="C24" s="140"/>
      <c r="D24" s="140"/>
    </row>
    <row r="25" spans="1:28" x14ac:dyDescent="0.25">
      <c r="C25" s="180" t="s">
        <v>481</v>
      </c>
      <c r="D25" s="180" t="s">
        <v>758</v>
      </c>
      <c r="E25" s="180" t="s">
        <v>209</v>
      </c>
      <c r="F25" s="205" t="s">
        <v>241</v>
      </c>
      <c r="G25" s="205" t="s">
        <v>209</v>
      </c>
      <c r="H25" s="205" t="s">
        <v>241</v>
      </c>
      <c r="I25" s="205" t="s">
        <v>209</v>
      </c>
      <c r="J25" s="232" t="s">
        <v>241</v>
      </c>
      <c r="K25" s="205" t="s">
        <v>209</v>
      </c>
      <c r="L25" s="232" t="s">
        <v>241</v>
      </c>
      <c r="M25" s="205" t="s">
        <v>209</v>
      </c>
      <c r="N25" s="232" t="s">
        <v>241</v>
      </c>
      <c r="O25" s="52"/>
      <c r="P25" s="268" t="s">
        <v>250</v>
      </c>
      <c r="Q25" s="264" t="s">
        <v>739</v>
      </c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</row>
    <row r="26" spans="1:28" ht="15.75" thickBot="1" x14ac:dyDescent="0.3">
      <c r="C26" s="212" t="s">
        <v>762</v>
      </c>
      <c r="D26" s="167"/>
      <c r="E26" s="167" t="s">
        <v>777</v>
      </c>
      <c r="F26" s="159" t="s">
        <v>777</v>
      </c>
      <c r="G26" s="159" t="s">
        <v>776</v>
      </c>
      <c r="H26" s="159" t="s">
        <v>776</v>
      </c>
      <c r="I26" s="159" t="s">
        <v>778</v>
      </c>
      <c r="J26" s="257" t="s">
        <v>778</v>
      </c>
      <c r="K26" s="159" t="s">
        <v>779</v>
      </c>
      <c r="L26" s="257" t="s">
        <v>779</v>
      </c>
      <c r="M26" s="159" t="s">
        <v>780</v>
      </c>
      <c r="N26" s="257" t="s">
        <v>780</v>
      </c>
      <c r="O26" s="52"/>
      <c r="P26" s="268" t="s">
        <v>250</v>
      </c>
      <c r="Q26" s="265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</row>
    <row r="27" spans="1:28" ht="15.75" thickTop="1" x14ac:dyDescent="0.25">
      <c r="C27" s="258" t="s">
        <v>482</v>
      </c>
      <c r="D27" s="258" t="s">
        <v>691</v>
      </c>
      <c r="E27" s="234">
        <v>0.82</v>
      </c>
      <c r="F27" s="53">
        <v>0.76</v>
      </c>
      <c r="G27" s="53">
        <v>0.78</v>
      </c>
      <c r="H27" s="53">
        <v>0.76</v>
      </c>
      <c r="I27" s="235">
        <v>0.73</v>
      </c>
      <c r="J27" s="236">
        <v>0.73</v>
      </c>
      <c r="K27" s="235">
        <v>0.73</v>
      </c>
      <c r="L27" s="236">
        <v>0.73</v>
      </c>
      <c r="M27" s="234">
        <v>0.82</v>
      </c>
      <c r="N27" s="53">
        <v>0.76</v>
      </c>
      <c r="O27" s="52"/>
      <c r="P27" s="268" t="s">
        <v>250</v>
      </c>
      <c r="Q27" s="276" t="s">
        <v>740</v>
      </c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</row>
    <row r="28" spans="1:28" x14ac:dyDescent="0.25">
      <c r="A28" s="138" t="s">
        <v>250</v>
      </c>
      <c r="C28" s="258" t="s">
        <v>482</v>
      </c>
      <c r="D28" s="270"/>
      <c r="E28" s="234">
        <v>0.78</v>
      </c>
      <c r="F28" s="53">
        <v>0.75</v>
      </c>
      <c r="G28" s="53">
        <v>0.74</v>
      </c>
      <c r="H28" s="53">
        <v>0.75</v>
      </c>
      <c r="I28" s="235">
        <v>0.69</v>
      </c>
      <c r="J28" s="236">
        <v>0.72</v>
      </c>
      <c r="K28" s="235">
        <v>0.69</v>
      </c>
      <c r="L28" s="236">
        <v>0.72</v>
      </c>
      <c r="M28" s="234">
        <v>0.78</v>
      </c>
      <c r="N28" s="53">
        <v>0.75</v>
      </c>
      <c r="O28" s="52"/>
      <c r="P28" s="268" t="s">
        <v>250</v>
      </c>
      <c r="Q28" s="277" t="s">
        <v>741</v>
      </c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</row>
    <row r="29" spans="1:28" x14ac:dyDescent="0.25">
      <c r="C29" s="258" t="s">
        <v>482</v>
      </c>
      <c r="D29" s="258" t="s">
        <v>692</v>
      </c>
      <c r="E29" s="234">
        <v>0.83</v>
      </c>
      <c r="F29" s="53">
        <v>0.92</v>
      </c>
      <c r="G29" s="53">
        <v>0.83</v>
      </c>
      <c r="H29" s="53">
        <v>0.92</v>
      </c>
      <c r="I29" s="53">
        <v>0.83</v>
      </c>
      <c r="J29" s="236">
        <v>0.92</v>
      </c>
      <c r="K29" s="53">
        <v>0.83</v>
      </c>
      <c r="L29" s="236">
        <v>0.92</v>
      </c>
      <c r="M29" s="234">
        <v>0.83</v>
      </c>
      <c r="N29" s="53">
        <v>0.92</v>
      </c>
      <c r="O29" s="52"/>
      <c r="P29" s="268" t="s">
        <v>250</v>
      </c>
      <c r="Q29" s="276" t="s">
        <v>742</v>
      </c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</row>
    <row r="30" spans="1:28" x14ac:dyDescent="0.25">
      <c r="C30" s="258" t="s">
        <v>482</v>
      </c>
      <c r="D30" s="258" t="s">
        <v>693</v>
      </c>
      <c r="E30" s="234">
        <v>0.83</v>
      </c>
      <c r="F30" s="53">
        <v>0.92</v>
      </c>
      <c r="G30" s="53">
        <v>0.83</v>
      </c>
      <c r="H30" s="53">
        <v>0.92</v>
      </c>
      <c r="I30" s="53">
        <v>0.83</v>
      </c>
      <c r="J30" s="236">
        <v>0.92</v>
      </c>
      <c r="K30" s="53">
        <v>0.83</v>
      </c>
      <c r="L30" s="236">
        <v>0.92</v>
      </c>
      <c r="M30" s="234">
        <v>0.83</v>
      </c>
      <c r="N30" s="53">
        <v>0.92</v>
      </c>
      <c r="O30" s="52"/>
      <c r="P30" s="268" t="s">
        <v>250</v>
      </c>
      <c r="Q30" s="276" t="s">
        <v>742</v>
      </c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</row>
    <row r="31" spans="1:28" x14ac:dyDescent="0.25">
      <c r="C31" s="229" t="s">
        <v>482</v>
      </c>
      <c r="D31" s="229" t="s">
        <v>694</v>
      </c>
      <c r="E31" s="259">
        <v>0.68</v>
      </c>
      <c r="F31" s="260">
        <v>0.66</v>
      </c>
      <c r="G31" s="260">
        <v>0.64</v>
      </c>
      <c r="H31" s="260">
        <v>0.66</v>
      </c>
      <c r="I31" s="260">
        <v>0.59</v>
      </c>
      <c r="J31" s="261">
        <v>0.64</v>
      </c>
      <c r="K31" s="260">
        <v>0.59</v>
      </c>
      <c r="L31" s="261">
        <v>0.64</v>
      </c>
      <c r="M31" s="259">
        <v>0.68</v>
      </c>
      <c r="N31" s="260">
        <v>0.66</v>
      </c>
      <c r="O31" s="52"/>
      <c r="P31" s="268" t="s">
        <v>250</v>
      </c>
      <c r="Q31" s="278" t="s">
        <v>743</v>
      </c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</row>
    <row r="32" spans="1:28" x14ac:dyDescent="0.25">
      <c r="C32" s="258" t="s">
        <v>482</v>
      </c>
      <c r="D32" s="258" t="s">
        <v>695</v>
      </c>
      <c r="E32" s="234">
        <v>0.68</v>
      </c>
      <c r="F32" s="53">
        <v>0.66</v>
      </c>
      <c r="G32" s="53">
        <v>0.64</v>
      </c>
      <c r="H32" s="53">
        <v>0.66</v>
      </c>
      <c r="I32" s="53">
        <v>0.59</v>
      </c>
      <c r="J32" s="236">
        <v>0.64</v>
      </c>
      <c r="K32" s="53">
        <v>0.59</v>
      </c>
      <c r="L32" s="236">
        <v>0.64</v>
      </c>
      <c r="M32" s="234">
        <v>0.68</v>
      </c>
      <c r="N32" s="53">
        <v>0.66</v>
      </c>
      <c r="O32" s="52"/>
      <c r="P32" s="268" t="s">
        <v>250</v>
      </c>
      <c r="Q32" s="276" t="s">
        <v>743</v>
      </c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</row>
    <row r="33" spans="3:28" x14ac:dyDescent="0.25">
      <c r="C33" s="258" t="s">
        <v>482</v>
      </c>
      <c r="D33" s="258" t="s">
        <v>696</v>
      </c>
      <c r="E33" s="234">
        <v>0.68</v>
      </c>
      <c r="F33" s="53">
        <v>0.66</v>
      </c>
      <c r="G33" s="53">
        <v>0.64</v>
      </c>
      <c r="H33" s="53">
        <v>0.66</v>
      </c>
      <c r="I33" s="53">
        <v>0.59</v>
      </c>
      <c r="J33" s="236">
        <v>0.64</v>
      </c>
      <c r="K33" s="53">
        <v>0.59</v>
      </c>
      <c r="L33" s="236">
        <v>0.64</v>
      </c>
      <c r="M33" s="234">
        <v>0.68</v>
      </c>
      <c r="N33" s="53">
        <v>0.66</v>
      </c>
      <c r="O33" s="52"/>
      <c r="P33" s="268" t="s">
        <v>250</v>
      </c>
      <c r="Q33" s="276" t="s">
        <v>743</v>
      </c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</row>
    <row r="34" spans="3:28" x14ac:dyDescent="0.25">
      <c r="C34" s="262" t="s">
        <v>482</v>
      </c>
      <c r="D34" s="262" t="s">
        <v>697</v>
      </c>
      <c r="E34" s="237">
        <v>0.68</v>
      </c>
      <c r="F34" s="238">
        <v>0.66</v>
      </c>
      <c r="G34" s="238">
        <v>0.64</v>
      </c>
      <c r="H34" s="238">
        <v>0.66</v>
      </c>
      <c r="I34" s="238">
        <v>0.59</v>
      </c>
      <c r="J34" s="239">
        <v>0.64</v>
      </c>
      <c r="K34" s="238">
        <v>0.59</v>
      </c>
      <c r="L34" s="239">
        <v>0.64</v>
      </c>
      <c r="M34" s="237">
        <v>0.68</v>
      </c>
      <c r="N34" s="238">
        <v>0.66</v>
      </c>
      <c r="O34" s="52"/>
      <c r="P34" s="268" t="s">
        <v>250</v>
      </c>
      <c r="Q34" s="279" t="s">
        <v>743</v>
      </c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</row>
    <row r="35" spans="3:28" x14ac:dyDescent="0.25">
      <c r="C35" s="258" t="s">
        <v>482</v>
      </c>
      <c r="D35" s="269" t="s">
        <v>698</v>
      </c>
      <c r="E35" s="234">
        <v>0.68</v>
      </c>
      <c r="F35" s="53">
        <v>0.66</v>
      </c>
      <c r="G35" s="53">
        <v>0.64</v>
      </c>
      <c r="H35" s="53">
        <v>0.66</v>
      </c>
      <c r="I35" s="53">
        <v>0.59</v>
      </c>
      <c r="J35" s="236">
        <v>0.64</v>
      </c>
      <c r="K35" s="53">
        <v>0.59</v>
      </c>
      <c r="L35" s="236">
        <v>0.64</v>
      </c>
      <c r="M35" s="234">
        <v>0.68</v>
      </c>
      <c r="N35" s="53">
        <v>0.66</v>
      </c>
      <c r="O35" s="52"/>
      <c r="P35" s="268" t="s">
        <v>250</v>
      </c>
      <c r="Q35" s="272" t="s">
        <v>743</v>
      </c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</row>
    <row r="36" spans="3:28" x14ac:dyDescent="0.25">
      <c r="C36" s="258" t="s">
        <v>482</v>
      </c>
      <c r="D36" s="269" t="s">
        <v>699</v>
      </c>
      <c r="E36" s="234">
        <v>0.68</v>
      </c>
      <c r="F36" s="53">
        <v>0.66</v>
      </c>
      <c r="G36" s="53">
        <v>0.64</v>
      </c>
      <c r="H36" s="53">
        <v>0.66</v>
      </c>
      <c r="I36" s="53">
        <v>0.59</v>
      </c>
      <c r="J36" s="236">
        <v>0.64</v>
      </c>
      <c r="K36" s="53">
        <v>0.59</v>
      </c>
      <c r="L36" s="236">
        <v>0.64</v>
      </c>
      <c r="M36" s="234">
        <v>0.68</v>
      </c>
      <c r="N36" s="53">
        <v>0.66</v>
      </c>
      <c r="O36" s="52"/>
      <c r="P36" s="268" t="s">
        <v>250</v>
      </c>
      <c r="Q36" s="272" t="s">
        <v>743</v>
      </c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</row>
    <row r="37" spans="3:28" x14ac:dyDescent="0.25">
      <c r="C37" s="258" t="s">
        <v>482</v>
      </c>
      <c r="D37" s="269" t="s">
        <v>700</v>
      </c>
      <c r="E37" s="234">
        <v>0.68</v>
      </c>
      <c r="F37" s="53">
        <v>0.66</v>
      </c>
      <c r="G37" s="53">
        <v>0.64</v>
      </c>
      <c r="H37" s="53">
        <v>0.66</v>
      </c>
      <c r="I37" s="53">
        <v>0.59</v>
      </c>
      <c r="J37" s="236">
        <v>0.64</v>
      </c>
      <c r="K37" s="53">
        <v>0.59</v>
      </c>
      <c r="L37" s="236">
        <v>0.64</v>
      </c>
      <c r="M37" s="234">
        <v>0.68</v>
      </c>
      <c r="N37" s="53">
        <v>0.66</v>
      </c>
      <c r="O37" s="52"/>
      <c r="P37" s="268" t="s">
        <v>250</v>
      </c>
      <c r="Q37" s="272" t="s">
        <v>743</v>
      </c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</row>
    <row r="38" spans="3:28" x14ac:dyDescent="0.25">
      <c r="C38" s="258" t="s">
        <v>482</v>
      </c>
      <c r="D38" s="269" t="s">
        <v>701</v>
      </c>
      <c r="E38" s="234">
        <v>0.68</v>
      </c>
      <c r="F38" s="53">
        <v>0.66</v>
      </c>
      <c r="G38" s="53">
        <v>0.64</v>
      </c>
      <c r="H38" s="53">
        <v>0.66</v>
      </c>
      <c r="I38" s="53">
        <v>0.59</v>
      </c>
      <c r="J38" s="236">
        <v>0.64</v>
      </c>
      <c r="K38" s="53">
        <v>0.59</v>
      </c>
      <c r="L38" s="236">
        <v>0.64</v>
      </c>
      <c r="M38" s="234">
        <v>0.68</v>
      </c>
      <c r="N38" s="53">
        <v>0.66</v>
      </c>
      <c r="O38" s="52"/>
      <c r="P38" s="268" t="s">
        <v>250</v>
      </c>
      <c r="Q38" s="272" t="s">
        <v>743</v>
      </c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</row>
    <row r="39" spans="3:28" x14ac:dyDescent="0.25">
      <c r="C39" s="229" t="s">
        <v>482</v>
      </c>
      <c r="D39" s="229" t="s">
        <v>702</v>
      </c>
      <c r="E39" s="259">
        <v>0.71</v>
      </c>
      <c r="F39" s="260">
        <v>0.65</v>
      </c>
      <c r="G39" s="260">
        <v>0.67</v>
      </c>
      <c r="H39" s="260">
        <v>0.65</v>
      </c>
      <c r="I39" s="260">
        <v>0.62</v>
      </c>
      <c r="J39" s="261">
        <v>0.63</v>
      </c>
      <c r="K39" s="260">
        <v>0.62</v>
      </c>
      <c r="L39" s="261">
        <v>0.63</v>
      </c>
      <c r="M39" s="259">
        <v>0.71</v>
      </c>
      <c r="N39" s="260">
        <v>0.65</v>
      </c>
      <c r="O39" s="52"/>
      <c r="P39" s="268" t="s">
        <v>250</v>
      </c>
      <c r="Q39" s="278" t="s">
        <v>744</v>
      </c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</row>
    <row r="40" spans="3:28" x14ac:dyDescent="0.25">
      <c r="C40" s="258" t="s">
        <v>482</v>
      </c>
      <c r="D40" s="258" t="s">
        <v>703</v>
      </c>
      <c r="E40" s="234">
        <v>0.71</v>
      </c>
      <c r="F40" s="53">
        <v>0.65</v>
      </c>
      <c r="G40" s="53">
        <v>0.67</v>
      </c>
      <c r="H40" s="53">
        <v>0.65</v>
      </c>
      <c r="I40" s="53">
        <v>0.62</v>
      </c>
      <c r="J40" s="236">
        <v>0.63</v>
      </c>
      <c r="K40" s="53">
        <v>0.62</v>
      </c>
      <c r="L40" s="236">
        <v>0.63</v>
      </c>
      <c r="M40" s="234">
        <v>0.71</v>
      </c>
      <c r="N40" s="53">
        <v>0.65</v>
      </c>
      <c r="O40" s="52"/>
      <c r="P40" s="268" t="s">
        <v>250</v>
      </c>
      <c r="Q40" s="276" t="s">
        <v>744</v>
      </c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</row>
    <row r="41" spans="3:28" x14ac:dyDescent="0.25">
      <c r="C41" s="258" t="s">
        <v>482</v>
      </c>
      <c r="D41" s="258" t="s">
        <v>704</v>
      </c>
      <c r="E41" s="234">
        <v>0.71</v>
      </c>
      <c r="F41" s="53">
        <v>0.65</v>
      </c>
      <c r="G41" s="53">
        <v>0.67</v>
      </c>
      <c r="H41" s="53">
        <v>0.65</v>
      </c>
      <c r="I41" s="53">
        <v>0.62</v>
      </c>
      <c r="J41" s="236">
        <v>0.63</v>
      </c>
      <c r="K41" s="53">
        <v>0.62</v>
      </c>
      <c r="L41" s="236">
        <v>0.63</v>
      </c>
      <c r="M41" s="234">
        <v>0.71</v>
      </c>
      <c r="N41" s="53">
        <v>0.65</v>
      </c>
      <c r="O41" s="52"/>
      <c r="P41" s="268" t="s">
        <v>250</v>
      </c>
      <c r="Q41" s="276" t="s">
        <v>744</v>
      </c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</row>
    <row r="42" spans="3:28" x14ac:dyDescent="0.25">
      <c r="C42" s="262" t="s">
        <v>482</v>
      </c>
      <c r="D42" s="262" t="s">
        <v>705</v>
      </c>
      <c r="E42" s="237">
        <v>0.71</v>
      </c>
      <c r="F42" s="238">
        <v>0.65</v>
      </c>
      <c r="G42" s="238">
        <v>0.67</v>
      </c>
      <c r="H42" s="238">
        <v>0.65</v>
      </c>
      <c r="I42" s="238">
        <v>0.62</v>
      </c>
      <c r="J42" s="239">
        <v>0.63</v>
      </c>
      <c r="K42" s="238">
        <v>0.62</v>
      </c>
      <c r="L42" s="239">
        <v>0.63</v>
      </c>
      <c r="M42" s="237">
        <v>0.71</v>
      </c>
      <c r="N42" s="238">
        <v>0.65</v>
      </c>
      <c r="O42" s="52"/>
      <c r="P42" s="268" t="s">
        <v>250</v>
      </c>
      <c r="Q42" s="279" t="s">
        <v>744</v>
      </c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</row>
    <row r="43" spans="3:28" x14ac:dyDescent="0.25">
      <c r="C43" s="229" t="s">
        <v>482</v>
      </c>
      <c r="D43" s="258" t="s">
        <v>706</v>
      </c>
      <c r="E43" s="259">
        <v>0.66</v>
      </c>
      <c r="F43" s="260">
        <v>0.61</v>
      </c>
      <c r="G43" s="260">
        <v>0.62</v>
      </c>
      <c r="H43" s="260">
        <v>0.61</v>
      </c>
      <c r="I43" s="260">
        <v>0.56999999999999995</v>
      </c>
      <c r="J43" s="261">
        <v>0.59</v>
      </c>
      <c r="K43" s="260">
        <v>0.56999999999999995</v>
      </c>
      <c r="L43" s="261">
        <v>0.59</v>
      </c>
      <c r="M43" s="259">
        <v>0.66</v>
      </c>
      <c r="N43" s="260">
        <v>0.61</v>
      </c>
      <c r="O43" s="52"/>
      <c r="P43" s="268" t="s">
        <v>250</v>
      </c>
      <c r="Q43" s="278" t="s">
        <v>745</v>
      </c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/>
    </row>
    <row r="44" spans="3:28" x14ac:dyDescent="0.25">
      <c r="C44" s="258" t="s">
        <v>482</v>
      </c>
      <c r="D44" s="258" t="s">
        <v>707</v>
      </c>
      <c r="E44" s="234">
        <v>0.66</v>
      </c>
      <c r="F44" s="53">
        <v>0.61</v>
      </c>
      <c r="G44" s="53">
        <v>0.62</v>
      </c>
      <c r="H44" s="53">
        <v>0.61</v>
      </c>
      <c r="I44" s="53">
        <v>0.56999999999999995</v>
      </c>
      <c r="J44" s="236">
        <v>0.59</v>
      </c>
      <c r="K44" s="53">
        <v>0.56999999999999995</v>
      </c>
      <c r="L44" s="236">
        <v>0.59</v>
      </c>
      <c r="M44" s="234">
        <v>0.66</v>
      </c>
      <c r="N44" s="53">
        <v>0.61</v>
      </c>
      <c r="O44" s="52"/>
      <c r="P44" s="268" t="s">
        <v>250</v>
      </c>
      <c r="Q44" s="276" t="s">
        <v>745</v>
      </c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</row>
    <row r="45" spans="3:28" x14ac:dyDescent="0.25">
      <c r="C45" s="258" t="s">
        <v>482</v>
      </c>
      <c r="D45" s="258" t="s">
        <v>708</v>
      </c>
      <c r="E45" s="234">
        <v>0.66</v>
      </c>
      <c r="F45" s="53">
        <v>0.61</v>
      </c>
      <c r="G45" s="53">
        <v>0.62</v>
      </c>
      <c r="H45" s="53">
        <v>0.61</v>
      </c>
      <c r="I45" s="53">
        <v>0.56999999999999995</v>
      </c>
      <c r="J45" s="236">
        <v>0.59</v>
      </c>
      <c r="K45" s="53">
        <v>0.56999999999999995</v>
      </c>
      <c r="L45" s="236">
        <v>0.59</v>
      </c>
      <c r="M45" s="234">
        <v>0.66</v>
      </c>
      <c r="N45" s="53">
        <v>0.61</v>
      </c>
      <c r="O45" s="52"/>
      <c r="P45" s="268" t="s">
        <v>250</v>
      </c>
      <c r="Q45" s="276" t="s">
        <v>745</v>
      </c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</row>
    <row r="46" spans="3:28" x14ac:dyDescent="0.25">
      <c r="C46" s="262" t="s">
        <v>482</v>
      </c>
      <c r="D46" s="262" t="s">
        <v>709</v>
      </c>
      <c r="E46" s="237">
        <v>0.66</v>
      </c>
      <c r="F46" s="238">
        <v>0.61</v>
      </c>
      <c r="G46" s="238">
        <v>0.62</v>
      </c>
      <c r="H46" s="238">
        <v>0.61</v>
      </c>
      <c r="I46" s="238">
        <v>0.56999999999999995</v>
      </c>
      <c r="J46" s="239">
        <v>0.59</v>
      </c>
      <c r="K46" s="238">
        <v>0.56999999999999995</v>
      </c>
      <c r="L46" s="239">
        <v>0.59</v>
      </c>
      <c r="M46" s="237">
        <v>0.66</v>
      </c>
      <c r="N46" s="238">
        <v>0.61</v>
      </c>
      <c r="O46" s="52"/>
      <c r="P46" s="268" t="s">
        <v>250</v>
      </c>
      <c r="Q46" s="279" t="s">
        <v>745</v>
      </c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</row>
    <row r="47" spans="3:28" x14ac:dyDescent="0.25">
      <c r="C47" s="229" t="s">
        <v>482</v>
      </c>
      <c r="D47" s="258" t="s">
        <v>710</v>
      </c>
      <c r="E47" s="259">
        <v>0.59</v>
      </c>
      <c r="F47" s="260">
        <v>0.63</v>
      </c>
      <c r="G47" s="260">
        <v>0.55000000000000004</v>
      </c>
      <c r="H47" s="260">
        <v>0.63</v>
      </c>
      <c r="I47" s="260">
        <v>0.51</v>
      </c>
      <c r="J47" s="261">
        <v>0.61</v>
      </c>
      <c r="K47" s="260">
        <v>0.51</v>
      </c>
      <c r="L47" s="261">
        <v>0.61</v>
      </c>
      <c r="M47" s="259">
        <v>0.59</v>
      </c>
      <c r="N47" s="260">
        <v>0.63</v>
      </c>
      <c r="O47" s="52"/>
      <c r="P47" s="268" t="s">
        <v>250</v>
      </c>
      <c r="Q47" s="278" t="s">
        <v>746</v>
      </c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</row>
    <row r="48" spans="3:28" x14ac:dyDescent="0.25">
      <c r="C48" s="258" t="s">
        <v>482</v>
      </c>
      <c r="D48" s="258" t="s">
        <v>711</v>
      </c>
      <c r="E48" s="234">
        <v>0.59</v>
      </c>
      <c r="F48" s="53">
        <v>0.63</v>
      </c>
      <c r="G48" s="53">
        <v>0.55000000000000004</v>
      </c>
      <c r="H48" s="53">
        <v>0.63</v>
      </c>
      <c r="I48" s="53">
        <v>0.51</v>
      </c>
      <c r="J48" s="236">
        <v>0.61</v>
      </c>
      <c r="K48" s="53">
        <v>0.51</v>
      </c>
      <c r="L48" s="236">
        <v>0.61</v>
      </c>
      <c r="M48" s="234">
        <v>0.59</v>
      </c>
      <c r="N48" s="53">
        <v>0.63</v>
      </c>
      <c r="O48" s="52"/>
      <c r="P48" s="268" t="s">
        <v>250</v>
      </c>
      <c r="Q48" s="276" t="s">
        <v>746</v>
      </c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</row>
    <row r="49" spans="1:28" x14ac:dyDescent="0.25">
      <c r="C49" s="258" t="s">
        <v>482</v>
      </c>
      <c r="D49" s="258" t="s">
        <v>712</v>
      </c>
      <c r="E49" s="234">
        <v>0.59</v>
      </c>
      <c r="F49" s="53">
        <v>0.63</v>
      </c>
      <c r="G49" s="53">
        <v>0.55000000000000004</v>
      </c>
      <c r="H49" s="53">
        <v>0.63</v>
      </c>
      <c r="I49" s="53">
        <v>0.51</v>
      </c>
      <c r="J49" s="236">
        <v>0.61</v>
      </c>
      <c r="K49" s="53">
        <v>0.51</v>
      </c>
      <c r="L49" s="236">
        <v>0.61</v>
      </c>
      <c r="M49" s="234">
        <v>0.59</v>
      </c>
      <c r="N49" s="53">
        <v>0.63</v>
      </c>
      <c r="O49" s="52"/>
      <c r="P49" s="268" t="s">
        <v>250</v>
      </c>
      <c r="Q49" s="276" t="s">
        <v>746</v>
      </c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</row>
    <row r="50" spans="1:28" x14ac:dyDescent="0.25">
      <c r="C50" s="262" t="s">
        <v>482</v>
      </c>
      <c r="D50" s="262" t="s">
        <v>713</v>
      </c>
      <c r="E50" s="237">
        <v>0.59</v>
      </c>
      <c r="F50" s="238">
        <v>0.63</v>
      </c>
      <c r="G50" s="238">
        <v>0.55000000000000004</v>
      </c>
      <c r="H50" s="238">
        <v>0.63</v>
      </c>
      <c r="I50" s="238">
        <v>0.51</v>
      </c>
      <c r="J50" s="239">
        <v>0.61</v>
      </c>
      <c r="K50" s="238">
        <v>0.51</v>
      </c>
      <c r="L50" s="239">
        <v>0.61</v>
      </c>
      <c r="M50" s="237">
        <v>0.59</v>
      </c>
      <c r="N50" s="238">
        <v>0.63</v>
      </c>
      <c r="O50" s="52"/>
      <c r="P50" s="268" t="s">
        <v>250</v>
      </c>
      <c r="Q50" s="279" t="s">
        <v>746</v>
      </c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</row>
    <row r="51" spans="1:28" x14ac:dyDescent="0.25">
      <c r="A51" s="138" t="s">
        <v>250</v>
      </c>
      <c r="C51" s="258" t="s">
        <v>482</v>
      </c>
      <c r="D51" s="258"/>
      <c r="E51" s="234">
        <v>0.77</v>
      </c>
      <c r="F51" s="53">
        <v>0.89</v>
      </c>
      <c r="G51" s="53">
        <v>0.77</v>
      </c>
      <c r="H51" s="53">
        <v>0.89</v>
      </c>
      <c r="I51" s="53">
        <v>0.77</v>
      </c>
      <c r="J51" s="236">
        <v>0.89</v>
      </c>
      <c r="K51" s="53">
        <v>0.77</v>
      </c>
      <c r="L51" s="236">
        <v>0.89</v>
      </c>
      <c r="M51" s="234">
        <v>0.77</v>
      </c>
      <c r="N51" s="53">
        <v>0.89</v>
      </c>
      <c r="O51" s="52"/>
      <c r="P51" s="268" t="s">
        <v>250</v>
      </c>
      <c r="Q51" s="280" t="s">
        <v>747</v>
      </c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</row>
    <row r="52" spans="1:28" x14ac:dyDescent="0.25">
      <c r="C52" s="229" t="s">
        <v>482</v>
      </c>
      <c r="D52" s="271" t="s">
        <v>714</v>
      </c>
      <c r="E52" s="259">
        <v>0.59</v>
      </c>
      <c r="F52" s="260">
        <v>0.63</v>
      </c>
      <c r="G52" s="260">
        <v>0.55000000000000004</v>
      </c>
      <c r="H52" s="260">
        <v>0.63</v>
      </c>
      <c r="I52" s="260">
        <v>0.51</v>
      </c>
      <c r="J52" s="261">
        <v>0.61</v>
      </c>
      <c r="K52" s="260">
        <v>0.51</v>
      </c>
      <c r="L52" s="261">
        <v>0.61</v>
      </c>
      <c r="M52" s="259">
        <v>0.59</v>
      </c>
      <c r="N52" s="260">
        <v>0.63</v>
      </c>
      <c r="O52" s="52"/>
      <c r="P52" s="268" t="s">
        <v>250</v>
      </c>
      <c r="Q52" s="273" t="s">
        <v>746</v>
      </c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</row>
    <row r="53" spans="1:28" x14ac:dyDescent="0.25">
      <c r="C53" s="258" t="s">
        <v>482</v>
      </c>
      <c r="D53" s="269" t="s">
        <v>715</v>
      </c>
      <c r="E53" s="234">
        <v>0.59</v>
      </c>
      <c r="F53" s="53">
        <v>0.63</v>
      </c>
      <c r="G53" s="53">
        <v>0.55000000000000004</v>
      </c>
      <c r="H53" s="53">
        <v>0.63</v>
      </c>
      <c r="I53" s="53">
        <v>0.51</v>
      </c>
      <c r="J53" s="236">
        <v>0.61</v>
      </c>
      <c r="K53" s="53">
        <v>0.51</v>
      </c>
      <c r="L53" s="236">
        <v>0.61</v>
      </c>
      <c r="M53" s="234">
        <v>0.59</v>
      </c>
      <c r="N53" s="53">
        <v>0.63</v>
      </c>
      <c r="O53" s="52"/>
      <c r="P53" s="268" t="s">
        <v>250</v>
      </c>
      <c r="Q53" s="272" t="s">
        <v>746</v>
      </c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</row>
    <row r="54" spans="1:28" x14ac:dyDescent="0.25">
      <c r="C54" s="258" t="s">
        <v>482</v>
      </c>
      <c r="D54" s="269" t="s">
        <v>716</v>
      </c>
      <c r="E54" s="234">
        <v>0.59</v>
      </c>
      <c r="F54" s="53">
        <v>0.63</v>
      </c>
      <c r="G54" s="53">
        <v>0.55000000000000004</v>
      </c>
      <c r="H54" s="53">
        <v>0.63</v>
      </c>
      <c r="I54" s="53">
        <v>0.51</v>
      </c>
      <c r="J54" s="236">
        <v>0.61</v>
      </c>
      <c r="K54" s="53">
        <v>0.51</v>
      </c>
      <c r="L54" s="236">
        <v>0.61</v>
      </c>
      <c r="M54" s="234">
        <v>0.59</v>
      </c>
      <c r="N54" s="53">
        <v>0.63</v>
      </c>
      <c r="O54" s="52"/>
      <c r="P54" s="268" t="s">
        <v>250</v>
      </c>
      <c r="Q54" s="272" t="s">
        <v>746</v>
      </c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</row>
    <row r="55" spans="1:28" x14ac:dyDescent="0.25">
      <c r="C55" s="258" t="s">
        <v>482</v>
      </c>
      <c r="D55" s="269" t="s">
        <v>717</v>
      </c>
      <c r="E55" s="237">
        <v>0.59</v>
      </c>
      <c r="F55" s="238">
        <v>0.63</v>
      </c>
      <c r="G55" s="238">
        <v>0.55000000000000004</v>
      </c>
      <c r="H55" s="238">
        <v>0.63</v>
      </c>
      <c r="I55" s="238">
        <v>0.51</v>
      </c>
      <c r="J55" s="239">
        <v>0.61</v>
      </c>
      <c r="K55" s="238">
        <v>0.51</v>
      </c>
      <c r="L55" s="239">
        <v>0.61</v>
      </c>
      <c r="M55" s="237">
        <v>0.59</v>
      </c>
      <c r="N55" s="238">
        <v>0.63</v>
      </c>
      <c r="O55" s="52"/>
      <c r="P55" s="268" t="s">
        <v>250</v>
      </c>
      <c r="Q55" s="272" t="s">
        <v>746</v>
      </c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</row>
    <row r="56" spans="1:28" x14ac:dyDescent="0.25">
      <c r="C56" s="229" t="s">
        <v>482</v>
      </c>
      <c r="D56" s="229" t="s">
        <v>718</v>
      </c>
      <c r="E56" s="259">
        <v>0.6</v>
      </c>
      <c r="F56" s="260">
        <v>0.59</v>
      </c>
      <c r="G56" s="260">
        <v>0.56000000000000005</v>
      </c>
      <c r="H56" s="260">
        <v>0.59</v>
      </c>
      <c r="I56" s="260">
        <v>0.52</v>
      </c>
      <c r="J56" s="261">
        <v>0.56999999999999995</v>
      </c>
      <c r="K56" s="260">
        <v>0.52</v>
      </c>
      <c r="L56" s="261">
        <v>0.56999999999999995</v>
      </c>
      <c r="M56" s="259">
        <v>0.6</v>
      </c>
      <c r="N56" s="260">
        <v>0.59</v>
      </c>
      <c r="O56" s="52"/>
      <c r="P56" s="268" t="s">
        <v>250</v>
      </c>
      <c r="Q56" s="278" t="s">
        <v>748</v>
      </c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</row>
    <row r="57" spans="1:28" x14ac:dyDescent="0.25">
      <c r="C57" s="258" t="s">
        <v>482</v>
      </c>
      <c r="D57" s="258" t="s">
        <v>719</v>
      </c>
      <c r="E57" s="234">
        <v>0.6</v>
      </c>
      <c r="F57" s="53">
        <v>0.59</v>
      </c>
      <c r="G57" s="53">
        <v>0.56000000000000005</v>
      </c>
      <c r="H57" s="53">
        <v>0.59</v>
      </c>
      <c r="I57" s="53">
        <v>0.52</v>
      </c>
      <c r="J57" s="236">
        <v>0.56999999999999995</v>
      </c>
      <c r="K57" s="53">
        <v>0.52</v>
      </c>
      <c r="L57" s="236">
        <v>0.56999999999999995</v>
      </c>
      <c r="M57" s="234">
        <v>0.6</v>
      </c>
      <c r="N57" s="53">
        <v>0.59</v>
      </c>
      <c r="O57" s="52"/>
      <c r="P57" s="268" t="s">
        <v>250</v>
      </c>
      <c r="Q57" s="276" t="s">
        <v>748</v>
      </c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</row>
    <row r="58" spans="1:28" x14ac:dyDescent="0.25">
      <c r="C58" s="258" t="s">
        <v>482</v>
      </c>
      <c r="D58" s="258" t="s">
        <v>720</v>
      </c>
      <c r="E58" s="234">
        <v>0.6</v>
      </c>
      <c r="F58" s="53">
        <v>0.59</v>
      </c>
      <c r="G58" s="53">
        <v>0.56000000000000005</v>
      </c>
      <c r="H58" s="53">
        <v>0.59</v>
      </c>
      <c r="I58" s="53">
        <v>0.52</v>
      </c>
      <c r="J58" s="236">
        <v>0.56999999999999995</v>
      </c>
      <c r="K58" s="53">
        <v>0.52</v>
      </c>
      <c r="L58" s="236">
        <v>0.56999999999999995</v>
      </c>
      <c r="M58" s="234">
        <v>0.6</v>
      </c>
      <c r="N58" s="53">
        <v>0.59</v>
      </c>
      <c r="O58" s="52"/>
      <c r="P58" s="268" t="s">
        <v>250</v>
      </c>
      <c r="Q58" s="276" t="s">
        <v>748</v>
      </c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</row>
    <row r="59" spans="1:28" x14ac:dyDescent="0.25">
      <c r="C59" s="262" t="s">
        <v>482</v>
      </c>
      <c r="D59" s="262" t="s">
        <v>721</v>
      </c>
      <c r="E59" s="237">
        <v>0.6</v>
      </c>
      <c r="F59" s="238">
        <v>0.59</v>
      </c>
      <c r="G59" s="238">
        <v>0.56000000000000005</v>
      </c>
      <c r="H59" s="238">
        <v>0.59</v>
      </c>
      <c r="I59" s="238">
        <v>0.52</v>
      </c>
      <c r="J59" s="239">
        <v>0.56999999999999995</v>
      </c>
      <c r="K59" s="238">
        <v>0.52</v>
      </c>
      <c r="L59" s="239">
        <v>0.56999999999999995</v>
      </c>
      <c r="M59" s="237">
        <v>0.6</v>
      </c>
      <c r="N59" s="238">
        <v>0.59</v>
      </c>
      <c r="O59" s="52"/>
      <c r="P59" s="268" t="s">
        <v>250</v>
      </c>
      <c r="Q59" s="279" t="s">
        <v>748</v>
      </c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</row>
    <row r="60" spans="1:28" x14ac:dyDescent="0.25">
      <c r="A60" s="138" t="s">
        <v>250</v>
      </c>
      <c r="C60" s="258" t="s">
        <v>482</v>
      </c>
      <c r="D60" s="258"/>
      <c r="E60" s="234">
        <v>0.64</v>
      </c>
      <c r="F60" s="53">
        <v>0.6</v>
      </c>
      <c r="G60" s="53">
        <v>0.6</v>
      </c>
      <c r="H60" s="53">
        <v>0.6</v>
      </c>
      <c r="I60" s="53">
        <v>0.56000000000000005</v>
      </c>
      <c r="J60" s="236">
        <v>0.56999999999999995</v>
      </c>
      <c r="K60" s="53">
        <v>0.56000000000000005</v>
      </c>
      <c r="L60" s="236">
        <v>0.56999999999999995</v>
      </c>
      <c r="M60" s="234">
        <v>0.64</v>
      </c>
      <c r="N60" s="53">
        <v>0.6</v>
      </c>
      <c r="O60" s="52"/>
      <c r="P60" s="268" t="s">
        <v>250</v>
      </c>
      <c r="Q60" s="280" t="s">
        <v>749</v>
      </c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</row>
    <row r="61" spans="1:28" x14ac:dyDescent="0.25">
      <c r="C61" s="229" t="s">
        <v>482</v>
      </c>
      <c r="D61" s="229" t="s">
        <v>722</v>
      </c>
      <c r="E61" s="259">
        <v>0.59</v>
      </c>
      <c r="F61" s="260">
        <v>0.55000000000000004</v>
      </c>
      <c r="G61" s="260">
        <v>0.55000000000000004</v>
      </c>
      <c r="H61" s="260">
        <v>0.55000000000000004</v>
      </c>
      <c r="I61" s="260">
        <v>0.51</v>
      </c>
      <c r="J61" s="261">
        <v>0.53</v>
      </c>
      <c r="K61" s="260">
        <v>0.51</v>
      </c>
      <c r="L61" s="261">
        <v>0.53</v>
      </c>
      <c r="M61" s="259">
        <v>0.59</v>
      </c>
      <c r="N61" s="260">
        <v>0.55000000000000004</v>
      </c>
      <c r="O61" s="52"/>
      <c r="P61" s="268" t="s">
        <v>250</v>
      </c>
      <c r="Q61" s="278" t="s">
        <v>750</v>
      </c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</row>
    <row r="62" spans="1:28" x14ac:dyDescent="0.25">
      <c r="C62" s="258" t="s">
        <v>482</v>
      </c>
      <c r="D62" s="258" t="s">
        <v>723</v>
      </c>
      <c r="E62" s="234">
        <v>0.59</v>
      </c>
      <c r="F62" s="53">
        <v>0.55000000000000004</v>
      </c>
      <c r="G62" s="53">
        <v>0.55000000000000004</v>
      </c>
      <c r="H62" s="53">
        <v>0.55000000000000004</v>
      </c>
      <c r="I62" s="53">
        <v>0.51</v>
      </c>
      <c r="J62" s="236">
        <v>0.53</v>
      </c>
      <c r="K62" s="53">
        <v>0.51</v>
      </c>
      <c r="L62" s="236">
        <v>0.53</v>
      </c>
      <c r="M62" s="234">
        <v>0.59</v>
      </c>
      <c r="N62" s="53">
        <v>0.55000000000000004</v>
      </c>
      <c r="O62" s="52"/>
      <c r="P62" s="268" t="s">
        <v>250</v>
      </c>
      <c r="Q62" s="276" t="s">
        <v>750</v>
      </c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</row>
    <row r="63" spans="1:28" x14ac:dyDescent="0.25">
      <c r="C63" s="258" t="s">
        <v>482</v>
      </c>
      <c r="D63" s="258" t="s">
        <v>724</v>
      </c>
      <c r="E63" s="234">
        <v>0.59</v>
      </c>
      <c r="F63" s="53">
        <v>0.55000000000000004</v>
      </c>
      <c r="G63" s="53">
        <v>0.55000000000000004</v>
      </c>
      <c r="H63" s="53">
        <v>0.55000000000000004</v>
      </c>
      <c r="I63" s="53">
        <v>0.51</v>
      </c>
      <c r="J63" s="236">
        <v>0.53</v>
      </c>
      <c r="K63" s="53">
        <v>0.51</v>
      </c>
      <c r="L63" s="236">
        <v>0.53</v>
      </c>
      <c r="M63" s="234">
        <v>0.59</v>
      </c>
      <c r="N63" s="53">
        <v>0.55000000000000004</v>
      </c>
      <c r="O63" s="52"/>
      <c r="P63" s="268" t="s">
        <v>250</v>
      </c>
      <c r="Q63" s="276" t="s">
        <v>750</v>
      </c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/>
    </row>
    <row r="64" spans="1:28" x14ac:dyDescent="0.25">
      <c r="C64" s="262" t="s">
        <v>482</v>
      </c>
      <c r="D64" s="262" t="s">
        <v>725</v>
      </c>
      <c r="E64" s="237">
        <v>0.59</v>
      </c>
      <c r="F64" s="238">
        <v>0.55000000000000004</v>
      </c>
      <c r="G64" s="238">
        <v>0.55000000000000004</v>
      </c>
      <c r="H64" s="238">
        <v>0.55000000000000004</v>
      </c>
      <c r="I64" s="238">
        <v>0.51</v>
      </c>
      <c r="J64" s="239">
        <v>0.53</v>
      </c>
      <c r="K64" s="238">
        <v>0.51</v>
      </c>
      <c r="L64" s="239">
        <v>0.53</v>
      </c>
      <c r="M64" s="237">
        <v>0.59</v>
      </c>
      <c r="N64" s="238">
        <v>0.55000000000000004</v>
      </c>
      <c r="O64" s="52"/>
      <c r="P64" s="268" t="s">
        <v>250</v>
      </c>
      <c r="Q64" s="279" t="s">
        <v>750</v>
      </c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</row>
    <row r="65" spans="1:28" x14ac:dyDescent="0.25">
      <c r="A65" s="138" t="s">
        <v>250</v>
      </c>
      <c r="C65" s="258" t="s">
        <v>482</v>
      </c>
      <c r="D65" s="258"/>
      <c r="E65" s="234">
        <v>0.54</v>
      </c>
      <c r="F65" s="53">
        <v>0.56000000000000005</v>
      </c>
      <c r="G65" s="53">
        <v>0.5</v>
      </c>
      <c r="H65" s="53">
        <v>0.56000000000000005</v>
      </c>
      <c r="I65" s="53">
        <v>0.46</v>
      </c>
      <c r="J65" s="236">
        <v>0.54</v>
      </c>
      <c r="K65" s="53">
        <v>0.46</v>
      </c>
      <c r="L65" s="236">
        <v>0.54</v>
      </c>
      <c r="M65" s="234">
        <v>0.54</v>
      </c>
      <c r="N65" s="53">
        <v>0.56000000000000005</v>
      </c>
      <c r="O65" s="52"/>
      <c r="P65" s="268" t="s">
        <v>250</v>
      </c>
      <c r="Q65" s="280" t="s">
        <v>752</v>
      </c>
      <c r="R65" s="52"/>
      <c r="S65" s="52"/>
      <c r="T65" s="52"/>
      <c r="U65" s="52"/>
      <c r="V65" s="52"/>
      <c r="W65" s="52"/>
      <c r="X65" s="52"/>
      <c r="Y65" s="52"/>
      <c r="Z65" s="52"/>
      <c r="AA65" s="52"/>
      <c r="AB65" s="52"/>
    </row>
    <row r="66" spans="1:28" x14ac:dyDescent="0.25">
      <c r="A66" s="138" t="s">
        <v>250</v>
      </c>
      <c r="C66" s="182" t="s">
        <v>482</v>
      </c>
      <c r="D66" s="182"/>
      <c r="E66" s="254">
        <v>0.62</v>
      </c>
      <c r="F66" s="255">
        <v>0.56999999999999995</v>
      </c>
      <c r="G66" s="255">
        <v>0.57999999999999996</v>
      </c>
      <c r="H66" s="255">
        <v>0.56999999999999995</v>
      </c>
      <c r="I66" s="255">
        <v>0.53</v>
      </c>
      <c r="J66" s="256">
        <v>0.55000000000000004</v>
      </c>
      <c r="K66" s="255">
        <v>0.53</v>
      </c>
      <c r="L66" s="256">
        <v>0.55000000000000004</v>
      </c>
      <c r="M66" s="254">
        <v>0.62</v>
      </c>
      <c r="N66" s="255">
        <v>0.56999999999999995</v>
      </c>
      <c r="O66" s="52"/>
      <c r="P66" s="268" t="s">
        <v>250</v>
      </c>
      <c r="Q66" s="281" t="s">
        <v>751</v>
      </c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</row>
    <row r="67" spans="1:28" x14ac:dyDescent="0.25">
      <c r="C67" s="229" t="s">
        <v>482</v>
      </c>
      <c r="D67" s="229" t="s">
        <v>726</v>
      </c>
      <c r="E67" s="259">
        <v>0.56000000000000005</v>
      </c>
      <c r="F67" s="260">
        <v>0.51</v>
      </c>
      <c r="G67" s="260">
        <v>0.52</v>
      </c>
      <c r="H67" s="260">
        <v>0.51</v>
      </c>
      <c r="I67" s="260">
        <v>0.48</v>
      </c>
      <c r="J67" s="261">
        <v>0.49</v>
      </c>
      <c r="K67" s="260">
        <v>0.48</v>
      </c>
      <c r="L67" s="261">
        <v>0.49</v>
      </c>
      <c r="M67" s="259">
        <v>0.56000000000000005</v>
      </c>
      <c r="N67" s="260">
        <v>0.51</v>
      </c>
      <c r="O67" s="52"/>
      <c r="P67" s="268" t="s">
        <v>250</v>
      </c>
      <c r="Q67" s="278" t="s">
        <v>753</v>
      </c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/>
    </row>
    <row r="68" spans="1:28" x14ac:dyDescent="0.25">
      <c r="C68" s="258" t="s">
        <v>482</v>
      </c>
      <c r="D68" s="258" t="s">
        <v>727</v>
      </c>
      <c r="E68" s="234">
        <v>0.56000000000000005</v>
      </c>
      <c r="F68" s="53">
        <v>0.51</v>
      </c>
      <c r="G68" s="53">
        <v>0.52</v>
      </c>
      <c r="H68" s="53">
        <v>0.51</v>
      </c>
      <c r="I68" s="53">
        <v>0.48</v>
      </c>
      <c r="J68" s="236">
        <v>0.49</v>
      </c>
      <c r="K68" s="53">
        <v>0.48</v>
      </c>
      <c r="L68" s="236">
        <v>0.49</v>
      </c>
      <c r="M68" s="234">
        <v>0.56000000000000005</v>
      </c>
      <c r="N68" s="53">
        <v>0.51</v>
      </c>
      <c r="O68" s="52"/>
      <c r="P68" s="268" t="s">
        <v>250</v>
      </c>
      <c r="Q68" s="276" t="s">
        <v>753</v>
      </c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/>
    </row>
    <row r="69" spans="1:28" x14ac:dyDescent="0.25">
      <c r="C69" s="258" t="s">
        <v>482</v>
      </c>
      <c r="D69" s="258" t="s">
        <v>728</v>
      </c>
      <c r="E69" s="234">
        <v>0.56000000000000005</v>
      </c>
      <c r="F69" s="53">
        <v>0.51</v>
      </c>
      <c r="G69" s="53">
        <v>0.52</v>
      </c>
      <c r="H69" s="53">
        <v>0.51</v>
      </c>
      <c r="I69" s="53">
        <v>0.48</v>
      </c>
      <c r="J69" s="236">
        <v>0.49</v>
      </c>
      <c r="K69" s="53">
        <v>0.48</v>
      </c>
      <c r="L69" s="236">
        <v>0.49</v>
      </c>
      <c r="M69" s="234">
        <v>0.56000000000000005</v>
      </c>
      <c r="N69" s="53">
        <v>0.51</v>
      </c>
      <c r="O69" s="52"/>
      <c r="P69" s="268" t="s">
        <v>250</v>
      </c>
      <c r="Q69" s="276" t="s">
        <v>753</v>
      </c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52"/>
    </row>
    <row r="70" spans="1:28" x14ac:dyDescent="0.25">
      <c r="C70" s="262" t="s">
        <v>482</v>
      </c>
      <c r="D70" s="262" t="s">
        <v>729</v>
      </c>
      <c r="E70" s="237">
        <v>0.56000000000000005</v>
      </c>
      <c r="F70" s="238">
        <v>0.51</v>
      </c>
      <c r="G70" s="238">
        <v>0.52</v>
      </c>
      <c r="H70" s="238">
        <v>0.51</v>
      </c>
      <c r="I70" s="238">
        <v>0.48</v>
      </c>
      <c r="J70" s="239">
        <v>0.49</v>
      </c>
      <c r="K70" s="238">
        <v>0.48</v>
      </c>
      <c r="L70" s="239">
        <v>0.49</v>
      </c>
      <c r="M70" s="237">
        <v>0.56000000000000005</v>
      </c>
      <c r="N70" s="238">
        <v>0.51</v>
      </c>
      <c r="O70" s="52"/>
      <c r="P70" s="268" t="s">
        <v>250</v>
      </c>
      <c r="Q70" s="279" t="s">
        <v>753</v>
      </c>
      <c r="R70" s="52"/>
      <c r="S70" s="52"/>
      <c r="T70" s="52"/>
      <c r="U70" s="52"/>
      <c r="V70" s="52"/>
      <c r="W70" s="52"/>
      <c r="X70" s="52"/>
      <c r="Y70" s="52"/>
      <c r="Z70" s="52"/>
      <c r="AA70" s="52"/>
      <c r="AB70" s="52"/>
    </row>
    <row r="71" spans="1:28" x14ac:dyDescent="0.25">
      <c r="C71" s="229" t="s">
        <v>482</v>
      </c>
      <c r="D71" s="229" t="s">
        <v>730</v>
      </c>
      <c r="E71" s="259">
        <v>0.47</v>
      </c>
      <c r="F71" s="260">
        <v>0.54</v>
      </c>
      <c r="G71" s="260">
        <v>0.43</v>
      </c>
      <c r="H71" s="260">
        <v>0.54</v>
      </c>
      <c r="I71" s="260">
        <v>0.4</v>
      </c>
      <c r="J71" s="261">
        <v>0.52</v>
      </c>
      <c r="K71" s="260">
        <v>0.4</v>
      </c>
      <c r="L71" s="261">
        <v>0.52</v>
      </c>
      <c r="M71" s="259">
        <v>0.47</v>
      </c>
      <c r="N71" s="260">
        <v>0.54</v>
      </c>
      <c r="O71" s="52"/>
      <c r="P71" s="268" t="s">
        <v>250</v>
      </c>
      <c r="Q71" s="278" t="s">
        <v>754</v>
      </c>
      <c r="R71" s="52"/>
      <c r="S71" s="52"/>
      <c r="T71" s="52"/>
      <c r="U71" s="52"/>
      <c r="V71" s="52"/>
      <c r="W71" s="52"/>
      <c r="X71" s="52"/>
      <c r="Y71" s="52"/>
      <c r="Z71" s="52"/>
      <c r="AA71" s="52"/>
      <c r="AB71" s="52"/>
    </row>
    <row r="72" spans="1:28" x14ac:dyDescent="0.25">
      <c r="C72" s="258" t="s">
        <v>482</v>
      </c>
      <c r="D72" s="258" t="s">
        <v>731</v>
      </c>
      <c r="E72" s="234">
        <v>0.47</v>
      </c>
      <c r="F72" s="53">
        <v>0.54</v>
      </c>
      <c r="G72" s="53">
        <v>0.43</v>
      </c>
      <c r="H72" s="53">
        <v>0.54</v>
      </c>
      <c r="I72" s="53">
        <v>0.4</v>
      </c>
      <c r="J72" s="236">
        <v>0.52</v>
      </c>
      <c r="K72" s="53">
        <v>0.4</v>
      </c>
      <c r="L72" s="236">
        <v>0.52</v>
      </c>
      <c r="M72" s="234">
        <v>0.47</v>
      </c>
      <c r="N72" s="53">
        <v>0.54</v>
      </c>
      <c r="O72" s="52"/>
      <c r="P72" s="268" t="s">
        <v>250</v>
      </c>
      <c r="Q72" s="276" t="s">
        <v>754</v>
      </c>
      <c r="R72" s="52"/>
      <c r="S72" s="52"/>
      <c r="T72" s="52"/>
      <c r="U72" s="52"/>
      <c r="V72" s="52"/>
      <c r="W72" s="52"/>
      <c r="X72" s="52"/>
      <c r="Y72" s="52"/>
      <c r="Z72" s="52"/>
      <c r="AA72" s="52"/>
      <c r="AB72" s="52"/>
    </row>
    <row r="73" spans="1:28" x14ac:dyDescent="0.25">
      <c r="C73" s="258" t="s">
        <v>482</v>
      </c>
      <c r="D73" s="258" t="s">
        <v>732</v>
      </c>
      <c r="E73" s="234">
        <v>0.47</v>
      </c>
      <c r="F73" s="53">
        <v>0.54</v>
      </c>
      <c r="G73" s="53">
        <v>0.43</v>
      </c>
      <c r="H73" s="53">
        <v>0.54</v>
      </c>
      <c r="I73" s="53">
        <v>0.4</v>
      </c>
      <c r="J73" s="236">
        <v>0.52</v>
      </c>
      <c r="K73" s="53">
        <v>0.4</v>
      </c>
      <c r="L73" s="236">
        <v>0.52</v>
      </c>
      <c r="M73" s="234">
        <v>0.47</v>
      </c>
      <c r="N73" s="53">
        <v>0.54</v>
      </c>
      <c r="O73" s="52"/>
      <c r="P73" s="268" t="s">
        <v>250</v>
      </c>
      <c r="Q73" s="276" t="s">
        <v>754</v>
      </c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/>
    </row>
    <row r="74" spans="1:28" x14ac:dyDescent="0.25">
      <c r="C74" s="262" t="s">
        <v>482</v>
      </c>
      <c r="D74" s="262" t="s">
        <v>733</v>
      </c>
      <c r="E74" s="237">
        <v>0.47</v>
      </c>
      <c r="F74" s="238">
        <v>0.54</v>
      </c>
      <c r="G74" s="238">
        <v>0.43</v>
      </c>
      <c r="H74" s="238">
        <v>0.54</v>
      </c>
      <c r="I74" s="238">
        <v>0.4</v>
      </c>
      <c r="J74" s="239">
        <v>0.52</v>
      </c>
      <c r="K74" s="238">
        <v>0.4</v>
      </c>
      <c r="L74" s="239">
        <v>0.52</v>
      </c>
      <c r="M74" s="237">
        <v>0.47</v>
      </c>
      <c r="N74" s="238">
        <v>0.54</v>
      </c>
      <c r="O74" s="52"/>
      <c r="P74" s="268" t="s">
        <v>250</v>
      </c>
      <c r="Q74" s="279" t="s">
        <v>754</v>
      </c>
      <c r="R74" s="52"/>
      <c r="S74" s="52"/>
      <c r="T74" s="52"/>
      <c r="U74" s="52"/>
      <c r="V74" s="52"/>
      <c r="W74" s="52"/>
      <c r="X74" s="52"/>
      <c r="Y74" s="52"/>
      <c r="Z74" s="52"/>
      <c r="AA74" s="52"/>
      <c r="AB74" s="52"/>
    </row>
    <row r="75" spans="1:28" x14ac:dyDescent="0.25">
      <c r="A75" s="138" t="s">
        <v>250</v>
      </c>
      <c r="C75" s="258" t="s">
        <v>482</v>
      </c>
      <c r="D75" s="258"/>
      <c r="E75" s="234">
        <v>0.71</v>
      </c>
      <c r="F75" s="53">
        <v>0.85</v>
      </c>
      <c r="G75" s="53">
        <v>0.71</v>
      </c>
      <c r="H75" s="53">
        <v>0.85</v>
      </c>
      <c r="I75" s="53">
        <v>0.71</v>
      </c>
      <c r="J75" s="236">
        <v>0.85</v>
      </c>
      <c r="K75" s="53">
        <v>0.71</v>
      </c>
      <c r="L75" s="236">
        <v>0.85</v>
      </c>
      <c r="M75" s="234">
        <v>0.71</v>
      </c>
      <c r="N75" s="53">
        <v>0.85</v>
      </c>
      <c r="O75" s="52"/>
      <c r="P75" s="268" t="s">
        <v>250</v>
      </c>
      <c r="Q75" s="280" t="s">
        <v>756</v>
      </c>
      <c r="R75" s="52"/>
      <c r="S75" s="52"/>
      <c r="T75" s="52"/>
      <c r="U75" s="52"/>
      <c r="V75" s="52"/>
      <c r="W75" s="52"/>
      <c r="X75" s="52"/>
      <c r="Y75" s="52"/>
      <c r="Z75" s="52"/>
      <c r="AA75" s="52"/>
      <c r="AB75" s="52"/>
    </row>
    <row r="76" spans="1:28" x14ac:dyDescent="0.25">
      <c r="C76" s="229" t="s">
        <v>482</v>
      </c>
      <c r="D76" s="229" t="s">
        <v>734</v>
      </c>
      <c r="E76" s="259">
        <v>0.41</v>
      </c>
      <c r="F76" s="260">
        <v>0.48</v>
      </c>
      <c r="G76" s="260">
        <v>0.37</v>
      </c>
      <c r="H76" s="260">
        <v>0.48</v>
      </c>
      <c r="I76" s="260">
        <v>0.33</v>
      </c>
      <c r="J76" s="261">
        <v>0.46</v>
      </c>
      <c r="K76" s="260">
        <v>0.33</v>
      </c>
      <c r="L76" s="261">
        <v>0.46</v>
      </c>
      <c r="M76" s="259">
        <v>0.41</v>
      </c>
      <c r="N76" s="260">
        <v>0.48</v>
      </c>
      <c r="O76" s="52"/>
      <c r="P76" s="268" t="s">
        <v>250</v>
      </c>
      <c r="Q76" s="278" t="s">
        <v>755</v>
      </c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</row>
    <row r="77" spans="1:28" x14ac:dyDescent="0.25">
      <c r="C77" s="258" t="s">
        <v>482</v>
      </c>
      <c r="D77" s="258" t="s">
        <v>735</v>
      </c>
      <c r="E77" s="234">
        <v>0.41</v>
      </c>
      <c r="F77" s="53">
        <v>0.48</v>
      </c>
      <c r="G77" s="53">
        <v>0.37</v>
      </c>
      <c r="H77" s="53">
        <v>0.48</v>
      </c>
      <c r="I77" s="53">
        <v>0.33</v>
      </c>
      <c r="J77" s="236">
        <v>0.46</v>
      </c>
      <c r="K77" s="53">
        <v>0.33</v>
      </c>
      <c r="L77" s="236">
        <v>0.46</v>
      </c>
      <c r="M77" s="234">
        <v>0.41</v>
      </c>
      <c r="N77" s="53">
        <v>0.48</v>
      </c>
      <c r="O77" s="52"/>
      <c r="P77" s="268" t="s">
        <v>250</v>
      </c>
      <c r="Q77" s="276" t="s">
        <v>755</v>
      </c>
      <c r="R77" s="52"/>
      <c r="S77" s="52"/>
      <c r="T77" s="52"/>
      <c r="U77" s="52"/>
      <c r="V77" s="52"/>
      <c r="W77" s="52"/>
      <c r="X77" s="52"/>
      <c r="Y77" s="52"/>
      <c r="Z77" s="52"/>
      <c r="AA77" s="52"/>
      <c r="AB77" s="52"/>
    </row>
    <row r="78" spans="1:28" x14ac:dyDescent="0.25">
      <c r="C78" s="258" t="s">
        <v>482</v>
      </c>
      <c r="D78" s="258" t="s">
        <v>736</v>
      </c>
      <c r="E78" s="234">
        <v>0.41</v>
      </c>
      <c r="F78" s="53">
        <v>0.48</v>
      </c>
      <c r="G78" s="53">
        <v>0.37</v>
      </c>
      <c r="H78" s="53">
        <v>0.48</v>
      </c>
      <c r="I78" s="53">
        <v>0.33</v>
      </c>
      <c r="J78" s="236">
        <v>0.46</v>
      </c>
      <c r="K78" s="53">
        <v>0.33</v>
      </c>
      <c r="L78" s="236">
        <v>0.46</v>
      </c>
      <c r="M78" s="234">
        <v>0.41</v>
      </c>
      <c r="N78" s="53">
        <v>0.48</v>
      </c>
      <c r="O78" s="52"/>
      <c r="P78" s="268" t="s">
        <v>250</v>
      </c>
      <c r="Q78" s="276" t="s">
        <v>755</v>
      </c>
      <c r="R78" s="52"/>
      <c r="S78" s="52"/>
      <c r="T78" s="52"/>
      <c r="U78" s="52"/>
      <c r="V78" s="52"/>
      <c r="W78" s="52"/>
      <c r="X78" s="52"/>
      <c r="Y78" s="52"/>
      <c r="Z78" s="52"/>
      <c r="AA78" s="52"/>
      <c r="AB78" s="52"/>
    </row>
    <row r="79" spans="1:28" x14ac:dyDescent="0.25">
      <c r="C79" s="262" t="s">
        <v>482</v>
      </c>
      <c r="D79" s="262" t="s">
        <v>737</v>
      </c>
      <c r="E79" s="237">
        <v>0.41</v>
      </c>
      <c r="F79" s="238">
        <v>0.48</v>
      </c>
      <c r="G79" s="238">
        <v>0.37</v>
      </c>
      <c r="H79" s="238">
        <v>0.48</v>
      </c>
      <c r="I79" s="238">
        <v>0.33</v>
      </c>
      <c r="J79" s="239">
        <v>0.46</v>
      </c>
      <c r="K79" s="238">
        <v>0.33</v>
      </c>
      <c r="L79" s="239">
        <v>0.46</v>
      </c>
      <c r="M79" s="237">
        <v>0.41</v>
      </c>
      <c r="N79" s="238">
        <v>0.48</v>
      </c>
      <c r="O79" s="52"/>
      <c r="P79" s="268" t="s">
        <v>250</v>
      </c>
      <c r="Q79" s="279" t="s">
        <v>755</v>
      </c>
      <c r="R79" s="52"/>
      <c r="S79" s="52"/>
      <c r="T79" s="52"/>
      <c r="U79" s="52"/>
      <c r="V79" s="52"/>
      <c r="W79" s="52"/>
      <c r="X79" s="52"/>
      <c r="Y79" s="52"/>
      <c r="Z79" s="52"/>
      <c r="AA79" s="52"/>
      <c r="AB79" s="52"/>
    </row>
    <row r="80" spans="1:28" x14ac:dyDescent="0.25">
      <c r="C80" s="182" t="s">
        <v>482</v>
      </c>
      <c r="D80" s="275" t="s">
        <v>738</v>
      </c>
      <c r="E80" s="237">
        <v>0.41</v>
      </c>
      <c r="F80" s="238">
        <v>0.48</v>
      </c>
      <c r="G80" s="238">
        <v>0.37</v>
      </c>
      <c r="H80" s="238">
        <v>0.48</v>
      </c>
      <c r="I80" s="238">
        <v>0.33</v>
      </c>
      <c r="J80" s="239">
        <v>0.46</v>
      </c>
      <c r="K80" s="238">
        <v>0.33</v>
      </c>
      <c r="L80" s="239">
        <v>0.46</v>
      </c>
      <c r="M80" s="237">
        <v>0.41</v>
      </c>
      <c r="N80" s="238">
        <v>0.48</v>
      </c>
      <c r="O80" s="52"/>
      <c r="P80" s="268" t="s">
        <v>250</v>
      </c>
      <c r="Q80" s="274" t="s">
        <v>755</v>
      </c>
      <c r="R80" s="52"/>
      <c r="S80" s="52"/>
      <c r="T80" s="52"/>
      <c r="U80" s="52"/>
      <c r="V80" s="52"/>
      <c r="W80" s="52"/>
      <c r="X80" s="52"/>
      <c r="Y80" s="52"/>
      <c r="Z80" s="52"/>
      <c r="AA80" s="52"/>
      <c r="AB80" s="52"/>
    </row>
    <row r="81" spans="1:28" x14ac:dyDescent="0.25">
      <c r="A81" s="138" t="s">
        <v>250</v>
      </c>
      <c r="C81" s="182" t="s">
        <v>482</v>
      </c>
      <c r="D81" s="182"/>
      <c r="E81" s="254">
        <v>0.65</v>
      </c>
      <c r="F81" s="255">
        <v>0.81</v>
      </c>
      <c r="G81" s="255">
        <v>0.65</v>
      </c>
      <c r="H81" s="255">
        <v>0.81</v>
      </c>
      <c r="I81" s="255">
        <v>0.65</v>
      </c>
      <c r="J81" s="256">
        <v>0.81</v>
      </c>
      <c r="K81" s="255">
        <v>0.65</v>
      </c>
      <c r="L81" s="256">
        <v>0.81</v>
      </c>
      <c r="M81" s="254">
        <v>0.65</v>
      </c>
      <c r="N81" s="255">
        <v>0.81</v>
      </c>
      <c r="O81" s="52"/>
      <c r="P81" s="268" t="s">
        <v>250</v>
      </c>
      <c r="Q81" s="282" t="s">
        <v>757</v>
      </c>
      <c r="R81" s="52"/>
      <c r="S81" s="52"/>
      <c r="T81" s="52"/>
      <c r="U81" s="52"/>
      <c r="V81" s="52"/>
      <c r="W81" s="52"/>
      <c r="X81" s="52"/>
      <c r="Y81" s="52"/>
      <c r="Z81" s="52"/>
      <c r="AA81" s="52"/>
      <c r="AB81" s="52"/>
    </row>
    <row r="82" spans="1:28" x14ac:dyDescent="0.25">
      <c r="C82" s="258" t="s">
        <v>483</v>
      </c>
      <c r="D82" s="258" t="s">
        <v>691</v>
      </c>
      <c r="E82" s="234">
        <v>0.7</v>
      </c>
      <c r="F82" s="53">
        <v>0.57999999999999996</v>
      </c>
      <c r="G82" s="53">
        <v>0.66</v>
      </c>
      <c r="H82" s="53">
        <v>0.57999999999999996</v>
      </c>
      <c r="I82" s="235">
        <v>0.62</v>
      </c>
      <c r="J82" s="236">
        <v>0.56000000000000005</v>
      </c>
      <c r="K82" s="235">
        <v>0.62</v>
      </c>
      <c r="L82" s="236">
        <v>0.56000000000000005</v>
      </c>
      <c r="M82" s="234">
        <v>0.7</v>
      </c>
      <c r="N82" s="53">
        <v>0.57999999999999996</v>
      </c>
      <c r="O82" s="52"/>
      <c r="P82" s="268" t="s">
        <v>250</v>
      </c>
      <c r="Q82" s="276" t="s">
        <v>740</v>
      </c>
      <c r="R82" s="52"/>
      <c r="S82" s="52"/>
      <c r="T82" s="52"/>
      <c r="U82" s="52"/>
      <c r="V82" s="52"/>
      <c r="W82" s="52"/>
      <c r="X82" s="52"/>
      <c r="Y82" s="52"/>
      <c r="Z82" s="52"/>
      <c r="AA82" s="52"/>
      <c r="AB82" s="52"/>
    </row>
    <row r="83" spans="1:28" x14ac:dyDescent="0.25">
      <c r="A83" s="138" t="s">
        <v>250</v>
      </c>
      <c r="C83" s="258" t="s">
        <v>483</v>
      </c>
      <c r="D83" s="270"/>
      <c r="E83" s="234">
        <v>0.61</v>
      </c>
      <c r="F83" s="53">
        <v>0.45</v>
      </c>
      <c r="G83" s="53">
        <v>0.56000000000000005</v>
      </c>
      <c r="H83" s="53">
        <v>0.45</v>
      </c>
      <c r="I83" s="235">
        <v>0.52</v>
      </c>
      <c r="J83" s="236">
        <v>0.44</v>
      </c>
      <c r="K83" s="235">
        <v>0.52</v>
      </c>
      <c r="L83" s="236">
        <v>0.44</v>
      </c>
      <c r="M83" s="234">
        <v>0.61</v>
      </c>
      <c r="N83" s="53">
        <v>0.45</v>
      </c>
      <c r="O83" s="52"/>
      <c r="P83" s="268" t="s">
        <v>250</v>
      </c>
      <c r="Q83" s="277" t="s">
        <v>741</v>
      </c>
      <c r="R83" s="52"/>
      <c r="S83" s="52"/>
      <c r="T83" s="52"/>
      <c r="U83" s="52"/>
      <c r="V83" s="52"/>
      <c r="W83" s="52"/>
      <c r="X83" s="52"/>
      <c r="Y83" s="52"/>
      <c r="Z83" s="52"/>
      <c r="AA83" s="52"/>
      <c r="AB83" s="52"/>
    </row>
    <row r="84" spans="1:28" x14ac:dyDescent="0.25">
      <c r="C84" s="258" t="s">
        <v>483</v>
      </c>
      <c r="D84" s="258" t="s">
        <v>692</v>
      </c>
      <c r="E84" s="234">
        <v>0.46</v>
      </c>
      <c r="F84" s="53">
        <v>0.27</v>
      </c>
      <c r="G84" s="53">
        <v>0.46</v>
      </c>
      <c r="H84" s="53">
        <v>0.27</v>
      </c>
      <c r="I84" s="53">
        <v>0.46</v>
      </c>
      <c r="J84" s="236">
        <v>0.27</v>
      </c>
      <c r="K84" s="53">
        <v>0.46</v>
      </c>
      <c r="L84" s="236">
        <v>0.27</v>
      </c>
      <c r="M84" s="234">
        <v>0.46</v>
      </c>
      <c r="N84" s="53">
        <v>0.27</v>
      </c>
      <c r="O84" s="52"/>
      <c r="P84" s="268" t="s">
        <v>250</v>
      </c>
      <c r="Q84" s="276" t="s">
        <v>742</v>
      </c>
      <c r="R84" s="52"/>
      <c r="S84" s="52"/>
      <c r="T84" s="52"/>
      <c r="U84" s="52"/>
      <c r="V84" s="52"/>
      <c r="W84" s="52"/>
      <c r="X84" s="52"/>
      <c r="Y84" s="52"/>
      <c r="Z84" s="52"/>
      <c r="AA84" s="52"/>
      <c r="AB84" s="52"/>
    </row>
    <row r="85" spans="1:28" x14ac:dyDescent="0.25">
      <c r="C85" s="258" t="s">
        <v>483</v>
      </c>
      <c r="D85" s="258" t="s">
        <v>693</v>
      </c>
      <c r="E85" s="234">
        <v>0.46</v>
      </c>
      <c r="F85" s="53">
        <v>0.27</v>
      </c>
      <c r="G85" s="53">
        <v>0.46</v>
      </c>
      <c r="H85" s="53">
        <v>0.27</v>
      </c>
      <c r="I85" s="53">
        <v>0.46</v>
      </c>
      <c r="J85" s="236">
        <v>0.27</v>
      </c>
      <c r="K85" s="53">
        <v>0.46</v>
      </c>
      <c r="L85" s="236">
        <v>0.27</v>
      </c>
      <c r="M85" s="234">
        <v>0.46</v>
      </c>
      <c r="N85" s="53">
        <v>0.27</v>
      </c>
      <c r="O85" s="52"/>
      <c r="P85" s="268" t="s">
        <v>250</v>
      </c>
      <c r="Q85" s="276" t="s">
        <v>742</v>
      </c>
      <c r="R85" s="52"/>
      <c r="S85" s="52"/>
      <c r="T85" s="52"/>
      <c r="U85" s="52"/>
      <c r="V85" s="52"/>
      <c r="W85" s="52"/>
      <c r="X85" s="52"/>
      <c r="Y85" s="52"/>
      <c r="Z85" s="52"/>
      <c r="AA85" s="52"/>
      <c r="AB85" s="52"/>
    </row>
    <row r="86" spans="1:28" x14ac:dyDescent="0.25">
      <c r="C86" s="229" t="s">
        <v>483</v>
      </c>
      <c r="D86" s="229" t="s">
        <v>694</v>
      </c>
      <c r="E86" s="259">
        <v>0.5</v>
      </c>
      <c r="F86" s="260">
        <v>0.4</v>
      </c>
      <c r="G86" s="260">
        <v>0.46</v>
      </c>
      <c r="H86" s="260">
        <v>0.4</v>
      </c>
      <c r="I86" s="260">
        <v>0.42</v>
      </c>
      <c r="J86" s="261">
        <v>0.39</v>
      </c>
      <c r="K86" s="260">
        <v>0.42</v>
      </c>
      <c r="L86" s="261">
        <v>0.39</v>
      </c>
      <c r="M86" s="259">
        <v>0.5</v>
      </c>
      <c r="N86" s="260">
        <v>0.4</v>
      </c>
      <c r="O86" s="52"/>
      <c r="P86" s="268" t="s">
        <v>250</v>
      </c>
      <c r="Q86" s="278" t="s">
        <v>743</v>
      </c>
      <c r="R86" s="52"/>
      <c r="S86" s="52"/>
      <c r="T86" s="52"/>
      <c r="U86" s="52"/>
      <c r="V86" s="52"/>
      <c r="W86" s="52"/>
      <c r="X86" s="52"/>
      <c r="Y86" s="52"/>
      <c r="Z86" s="52"/>
      <c r="AA86" s="52"/>
      <c r="AB86" s="52"/>
    </row>
    <row r="87" spans="1:28" x14ac:dyDescent="0.25">
      <c r="C87" s="258" t="s">
        <v>483</v>
      </c>
      <c r="D87" s="258" t="s">
        <v>695</v>
      </c>
      <c r="E87" s="234">
        <v>0.5</v>
      </c>
      <c r="F87" s="53">
        <v>0.4</v>
      </c>
      <c r="G87" s="53">
        <v>0.46</v>
      </c>
      <c r="H87" s="53">
        <v>0.4</v>
      </c>
      <c r="I87" s="53">
        <v>0.42</v>
      </c>
      <c r="J87" s="236">
        <v>0.39</v>
      </c>
      <c r="K87" s="53">
        <v>0.42</v>
      </c>
      <c r="L87" s="236">
        <v>0.39</v>
      </c>
      <c r="M87" s="234">
        <v>0.5</v>
      </c>
      <c r="N87" s="53">
        <v>0.4</v>
      </c>
      <c r="O87" s="52"/>
      <c r="P87" s="268" t="s">
        <v>250</v>
      </c>
      <c r="Q87" s="276" t="s">
        <v>743</v>
      </c>
      <c r="R87" s="52"/>
      <c r="S87" s="52"/>
      <c r="T87" s="52"/>
      <c r="U87" s="52"/>
      <c r="V87" s="52"/>
      <c r="W87" s="52"/>
      <c r="X87" s="52"/>
      <c r="Y87" s="52"/>
      <c r="Z87" s="52"/>
      <c r="AA87" s="52"/>
      <c r="AB87" s="52"/>
    </row>
    <row r="88" spans="1:28" x14ac:dyDescent="0.25">
      <c r="C88" s="258" t="s">
        <v>483</v>
      </c>
      <c r="D88" s="258" t="s">
        <v>696</v>
      </c>
      <c r="E88" s="234">
        <v>0.5</v>
      </c>
      <c r="F88" s="53">
        <v>0.4</v>
      </c>
      <c r="G88" s="53">
        <v>0.46</v>
      </c>
      <c r="H88" s="53">
        <v>0.4</v>
      </c>
      <c r="I88" s="53">
        <v>0.42</v>
      </c>
      <c r="J88" s="236">
        <v>0.39</v>
      </c>
      <c r="K88" s="53">
        <v>0.42</v>
      </c>
      <c r="L88" s="236">
        <v>0.39</v>
      </c>
      <c r="M88" s="234">
        <v>0.5</v>
      </c>
      <c r="N88" s="53">
        <v>0.4</v>
      </c>
      <c r="P88" s="268" t="s">
        <v>250</v>
      </c>
      <c r="Q88" s="276" t="s">
        <v>743</v>
      </c>
    </row>
    <row r="89" spans="1:28" x14ac:dyDescent="0.25">
      <c r="C89" s="262" t="s">
        <v>483</v>
      </c>
      <c r="D89" s="262" t="s">
        <v>697</v>
      </c>
      <c r="E89" s="237">
        <v>0.5</v>
      </c>
      <c r="F89" s="238">
        <v>0.4</v>
      </c>
      <c r="G89" s="238">
        <v>0.46</v>
      </c>
      <c r="H89" s="238">
        <v>0.4</v>
      </c>
      <c r="I89" s="238">
        <v>0.42</v>
      </c>
      <c r="J89" s="239">
        <v>0.39</v>
      </c>
      <c r="K89" s="238">
        <v>0.42</v>
      </c>
      <c r="L89" s="239">
        <v>0.39</v>
      </c>
      <c r="M89" s="237">
        <v>0.5</v>
      </c>
      <c r="N89" s="238">
        <v>0.4</v>
      </c>
      <c r="P89" s="268" t="s">
        <v>250</v>
      </c>
      <c r="Q89" s="279" t="s">
        <v>743</v>
      </c>
    </row>
    <row r="90" spans="1:28" x14ac:dyDescent="0.25">
      <c r="C90" s="258" t="s">
        <v>483</v>
      </c>
      <c r="D90" s="269" t="s">
        <v>698</v>
      </c>
      <c r="E90" s="234">
        <v>0.5</v>
      </c>
      <c r="F90" s="53">
        <v>0.4</v>
      </c>
      <c r="G90" s="53">
        <v>0.46</v>
      </c>
      <c r="H90" s="53">
        <v>0.4</v>
      </c>
      <c r="I90" s="53">
        <v>0.42</v>
      </c>
      <c r="J90" s="236">
        <v>0.39</v>
      </c>
      <c r="K90" s="53">
        <v>0.42</v>
      </c>
      <c r="L90" s="236">
        <v>0.39</v>
      </c>
      <c r="M90" s="234">
        <v>0.5</v>
      </c>
      <c r="N90" s="53">
        <v>0.4</v>
      </c>
      <c r="P90" s="268" t="s">
        <v>250</v>
      </c>
      <c r="Q90" s="272" t="s">
        <v>743</v>
      </c>
    </row>
    <row r="91" spans="1:28" x14ac:dyDescent="0.25">
      <c r="C91" s="258" t="s">
        <v>483</v>
      </c>
      <c r="D91" s="269" t="s">
        <v>699</v>
      </c>
      <c r="E91" s="234">
        <v>0.5</v>
      </c>
      <c r="F91" s="53">
        <v>0.4</v>
      </c>
      <c r="G91" s="53">
        <v>0.46</v>
      </c>
      <c r="H91" s="53">
        <v>0.4</v>
      </c>
      <c r="I91" s="53">
        <v>0.42</v>
      </c>
      <c r="J91" s="236">
        <v>0.39</v>
      </c>
      <c r="K91" s="53">
        <v>0.42</v>
      </c>
      <c r="L91" s="236">
        <v>0.39</v>
      </c>
      <c r="M91" s="234">
        <v>0.5</v>
      </c>
      <c r="N91" s="53">
        <v>0.4</v>
      </c>
      <c r="P91" s="268" t="s">
        <v>250</v>
      </c>
      <c r="Q91" s="272" t="s">
        <v>743</v>
      </c>
    </row>
    <row r="92" spans="1:28" x14ac:dyDescent="0.25">
      <c r="C92" s="258" t="s">
        <v>483</v>
      </c>
      <c r="D92" s="269" t="s">
        <v>700</v>
      </c>
      <c r="E92" s="234">
        <v>0.5</v>
      </c>
      <c r="F92" s="53">
        <v>0.4</v>
      </c>
      <c r="G92" s="53">
        <v>0.46</v>
      </c>
      <c r="H92" s="53">
        <v>0.4</v>
      </c>
      <c r="I92" s="53">
        <v>0.42</v>
      </c>
      <c r="J92" s="236">
        <v>0.39</v>
      </c>
      <c r="K92" s="53">
        <v>0.42</v>
      </c>
      <c r="L92" s="236">
        <v>0.39</v>
      </c>
      <c r="M92" s="234">
        <v>0.5</v>
      </c>
      <c r="N92" s="53">
        <v>0.4</v>
      </c>
      <c r="P92" s="268" t="s">
        <v>250</v>
      </c>
      <c r="Q92" s="272" t="s">
        <v>743</v>
      </c>
    </row>
    <row r="93" spans="1:28" x14ac:dyDescent="0.25">
      <c r="C93" s="258" t="s">
        <v>483</v>
      </c>
      <c r="D93" s="269" t="s">
        <v>701</v>
      </c>
      <c r="E93" s="234">
        <v>0.5</v>
      </c>
      <c r="F93" s="53">
        <v>0.4</v>
      </c>
      <c r="G93" s="53">
        <v>0.46</v>
      </c>
      <c r="H93" s="53">
        <v>0.4</v>
      </c>
      <c r="I93" s="53">
        <v>0.42</v>
      </c>
      <c r="J93" s="236">
        <v>0.39</v>
      </c>
      <c r="K93" s="53">
        <v>0.42</v>
      </c>
      <c r="L93" s="236">
        <v>0.39</v>
      </c>
      <c r="M93" s="234">
        <v>0.5</v>
      </c>
      <c r="N93" s="53">
        <v>0.4</v>
      </c>
      <c r="P93" s="268" t="s">
        <v>250</v>
      </c>
      <c r="Q93" s="272" t="s">
        <v>743</v>
      </c>
    </row>
    <row r="94" spans="1:28" x14ac:dyDescent="0.25">
      <c r="C94" s="229" t="s">
        <v>483</v>
      </c>
      <c r="D94" s="229" t="s">
        <v>702</v>
      </c>
      <c r="E94" s="259">
        <v>0.59</v>
      </c>
      <c r="F94" s="260">
        <v>0.5</v>
      </c>
      <c r="G94" s="260">
        <v>0.55000000000000004</v>
      </c>
      <c r="H94" s="260">
        <v>0.5</v>
      </c>
      <c r="I94" s="260">
        <v>0.5</v>
      </c>
      <c r="J94" s="261">
        <v>0.48</v>
      </c>
      <c r="K94" s="260">
        <v>0.5</v>
      </c>
      <c r="L94" s="261">
        <v>0.48</v>
      </c>
      <c r="M94" s="259">
        <v>0.59</v>
      </c>
      <c r="N94" s="260">
        <v>0.5</v>
      </c>
      <c r="P94" s="268" t="s">
        <v>250</v>
      </c>
      <c r="Q94" s="278" t="s">
        <v>744</v>
      </c>
    </row>
    <row r="95" spans="1:28" x14ac:dyDescent="0.25">
      <c r="C95" s="258" t="s">
        <v>483</v>
      </c>
      <c r="D95" s="258" t="s">
        <v>703</v>
      </c>
      <c r="E95" s="234">
        <v>0.59</v>
      </c>
      <c r="F95" s="53">
        <v>0.5</v>
      </c>
      <c r="G95" s="53">
        <v>0.55000000000000004</v>
      </c>
      <c r="H95" s="53">
        <v>0.5</v>
      </c>
      <c r="I95" s="53">
        <v>0.5</v>
      </c>
      <c r="J95" s="236">
        <v>0.48</v>
      </c>
      <c r="K95" s="53">
        <v>0.5</v>
      </c>
      <c r="L95" s="236">
        <v>0.48</v>
      </c>
      <c r="M95" s="234">
        <v>0.59</v>
      </c>
      <c r="N95" s="53">
        <v>0.5</v>
      </c>
      <c r="P95" s="268" t="s">
        <v>250</v>
      </c>
      <c r="Q95" s="276" t="s">
        <v>744</v>
      </c>
    </row>
    <row r="96" spans="1:28" x14ac:dyDescent="0.25">
      <c r="C96" s="258" t="s">
        <v>483</v>
      </c>
      <c r="D96" s="258" t="s">
        <v>704</v>
      </c>
      <c r="E96" s="234">
        <v>0.59</v>
      </c>
      <c r="F96" s="53">
        <v>0.5</v>
      </c>
      <c r="G96" s="53">
        <v>0.55000000000000004</v>
      </c>
      <c r="H96" s="53">
        <v>0.5</v>
      </c>
      <c r="I96" s="53">
        <v>0.5</v>
      </c>
      <c r="J96" s="236">
        <v>0.48</v>
      </c>
      <c r="K96" s="53">
        <v>0.5</v>
      </c>
      <c r="L96" s="236">
        <v>0.48</v>
      </c>
      <c r="M96" s="234">
        <v>0.59</v>
      </c>
      <c r="N96" s="53">
        <v>0.5</v>
      </c>
      <c r="P96" s="268" t="s">
        <v>250</v>
      </c>
      <c r="Q96" s="276" t="s">
        <v>744</v>
      </c>
    </row>
    <row r="97" spans="1:17" x14ac:dyDescent="0.25">
      <c r="C97" s="262" t="s">
        <v>483</v>
      </c>
      <c r="D97" s="262" t="s">
        <v>705</v>
      </c>
      <c r="E97" s="237">
        <v>0.59</v>
      </c>
      <c r="F97" s="238">
        <v>0.5</v>
      </c>
      <c r="G97" s="238">
        <v>0.55000000000000004</v>
      </c>
      <c r="H97" s="238">
        <v>0.5</v>
      </c>
      <c r="I97" s="238">
        <v>0.5</v>
      </c>
      <c r="J97" s="239">
        <v>0.48</v>
      </c>
      <c r="K97" s="238">
        <v>0.5</v>
      </c>
      <c r="L97" s="239">
        <v>0.48</v>
      </c>
      <c r="M97" s="237">
        <v>0.59</v>
      </c>
      <c r="N97" s="238">
        <v>0.5</v>
      </c>
      <c r="P97" s="268" t="s">
        <v>250</v>
      </c>
      <c r="Q97" s="279" t="s">
        <v>744</v>
      </c>
    </row>
    <row r="98" spans="1:17" x14ac:dyDescent="0.25">
      <c r="C98" s="229" t="s">
        <v>483</v>
      </c>
      <c r="D98" s="258" t="s">
        <v>706</v>
      </c>
      <c r="E98" s="259">
        <v>0.47</v>
      </c>
      <c r="F98" s="260">
        <v>0.37</v>
      </c>
      <c r="G98" s="260">
        <v>0.43</v>
      </c>
      <c r="H98" s="260">
        <v>0.37</v>
      </c>
      <c r="I98" s="260">
        <v>0.39</v>
      </c>
      <c r="J98" s="261">
        <v>0.36</v>
      </c>
      <c r="K98" s="260">
        <v>0.39</v>
      </c>
      <c r="L98" s="261">
        <v>0.36</v>
      </c>
      <c r="M98" s="259">
        <v>0.47</v>
      </c>
      <c r="N98" s="260">
        <v>0.37</v>
      </c>
      <c r="P98" s="268" t="s">
        <v>250</v>
      </c>
      <c r="Q98" s="278" t="s">
        <v>745</v>
      </c>
    </row>
    <row r="99" spans="1:17" x14ac:dyDescent="0.25">
      <c r="C99" s="258" t="s">
        <v>483</v>
      </c>
      <c r="D99" s="258" t="s">
        <v>707</v>
      </c>
      <c r="E99" s="234">
        <v>0.47</v>
      </c>
      <c r="F99" s="53">
        <v>0.37</v>
      </c>
      <c r="G99" s="53">
        <v>0.43</v>
      </c>
      <c r="H99" s="53">
        <v>0.37</v>
      </c>
      <c r="I99" s="53">
        <v>0.39</v>
      </c>
      <c r="J99" s="236">
        <v>0.36</v>
      </c>
      <c r="K99" s="53">
        <v>0.39</v>
      </c>
      <c r="L99" s="236">
        <v>0.36</v>
      </c>
      <c r="M99" s="234">
        <v>0.47</v>
      </c>
      <c r="N99" s="53">
        <v>0.37</v>
      </c>
      <c r="P99" s="268" t="s">
        <v>250</v>
      </c>
      <c r="Q99" s="276" t="s">
        <v>745</v>
      </c>
    </row>
    <row r="100" spans="1:17" x14ac:dyDescent="0.25">
      <c r="C100" s="258" t="s">
        <v>483</v>
      </c>
      <c r="D100" s="258" t="s">
        <v>708</v>
      </c>
      <c r="E100" s="234">
        <v>0.47</v>
      </c>
      <c r="F100" s="53">
        <v>0.37</v>
      </c>
      <c r="G100" s="53">
        <v>0.43</v>
      </c>
      <c r="H100" s="53">
        <v>0.37</v>
      </c>
      <c r="I100" s="53">
        <v>0.39</v>
      </c>
      <c r="J100" s="236">
        <v>0.36</v>
      </c>
      <c r="K100" s="53">
        <v>0.39</v>
      </c>
      <c r="L100" s="236">
        <v>0.36</v>
      </c>
      <c r="M100" s="234">
        <v>0.47</v>
      </c>
      <c r="N100" s="53">
        <v>0.37</v>
      </c>
      <c r="P100" s="268" t="s">
        <v>250</v>
      </c>
      <c r="Q100" s="276" t="s">
        <v>745</v>
      </c>
    </row>
    <row r="101" spans="1:17" x14ac:dyDescent="0.25">
      <c r="C101" s="262" t="s">
        <v>483</v>
      </c>
      <c r="D101" s="262" t="s">
        <v>709</v>
      </c>
      <c r="E101" s="237">
        <v>0.47</v>
      </c>
      <c r="F101" s="238">
        <v>0.37</v>
      </c>
      <c r="G101" s="238">
        <v>0.43</v>
      </c>
      <c r="H101" s="238">
        <v>0.37</v>
      </c>
      <c r="I101" s="238">
        <v>0.39</v>
      </c>
      <c r="J101" s="239">
        <v>0.36</v>
      </c>
      <c r="K101" s="238">
        <v>0.39</v>
      </c>
      <c r="L101" s="239">
        <v>0.36</v>
      </c>
      <c r="M101" s="237">
        <v>0.47</v>
      </c>
      <c r="N101" s="238">
        <v>0.37</v>
      </c>
      <c r="P101" s="268" t="s">
        <v>250</v>
      </c>
      <c r="Q101" s="279" t="s">
        <v>745</v>
      </c>
    </row>
    <row r="102" spans="1:17" x14ac:dyDescent="0.25">
      <c r="C102" s="229" t="s">
        <v>483</v>
      </c>
      <c r="D102" s="258" t="s">
        <v>710</v>
      </c>
      <c r="E102" s="259">
        <v>0.43</v>
      </c>
      <c r="F102" s="260">
        <v>0.38</v>
      </c>
      <c r="G102" s="260">
        <v>0.39</v>
      </c>
      <c r="H102" s="260">
        <v>0.38</v>
      </c>
      <c r="I102" s="260">
        <v>0.35</v>
      </c>
      <c r="J102" s="261">
        <v>0.37</v>
      </c>
      <c r="K102" s="260">
        <v>0.35</v>
      </c>
      <c r="L102" s="261">
        <v>0.37</v>
      </c>
      <c r="M102" s="259">
        <v>0.43</v>
      </c>
      <c r="N102" s="260">
        <v>0.38</v>
      </c>
      <c r="P102" s="268" t="s">
        <v>250</v>
      </c>
      <c r="Q102" s="278" t="s">
        <v>746</v>
      </c>
    </row>
    <row r="103" spans="1:17" x14ac:dyDescent="0.25">
      <c r="C103" s="258" t="s">
        <v>483</v>
      </c>
      <c r="D103" s="258" t="s">
        <v>711</v>
      </c>
      <c r="E103" s="234">
        <v>0.43</v>
      </c>
      <c r="F103" s="53">
        <v>0.38</v>
      </c>
      <c r="G103" s="53">
        <v>0.39</v>
      </c>
      <c r="H103" s="53">
        <v>0.38</v>
      </c>
      <c r="I103" s="53">
        <v>0.35</v>
      </c>
      <c r="J103" s="236">
        <v>0.37</v>
      </c>
      <c r="K103" s="53">
        <v>0.35</v>
      </c>
      <c r="L103" s="236">
        <v>0.37</v>
      </c>
      <c r="M103" s="234">
        <v>0.43</v>
      </c>
      <c r="N103" s="53">
        <v>0.38</v>
      </c>
      <c r="P103" s="268" t="s">
        <v>250</v>
      </c>
      <c r="Q103" s="276" t="s">
        <v>746</v>
      </c>
    </row>
    <row r="104" spans="1:17" x14ac:dyDescent="0.25">
      <c r="C104" s="258" t="s">
        <v>483</v>
      </c>
      <c r="D104" s="258" t="s">
        <v>712</v>
      </c>
      <c r="E104" s="234">
        <v>0.43</v>
      </c>
      <c r="F104" s="53">
        <v>0.38</v>
      </c>
      <c r="G104" s="53">
        <v>0.39</v>
      </c>
      <c r="H104" s="53">
        <v>0.38</v>
      </c>
      <c r="I104" s="53">
        <v>0.35</v>
      </c>
      <c r="J104" s="236">
        <v>0.37</v>
      </c>
      <c r="K104" s="53">
        <v>0.35</v>
      </c>
      <c r="L104" s="236">
        <v>0.37</v>
      </c>
      <c r="M104" s="234">
        <v>0.43</v>
      </c>
      <c r="N104" s="53">
        <v>0.38</v>
      </c>
      <c r="P104" s="268" t="s">
        <v>250</v>
      </c>
      <c r="Q104" s="276" t="s">
        <v>746</v>
      </c>
    </row>
    <row r="105" spans="1:17" x14ac:dyDescent="0.25">
      <c r="C105" s="262" t="s">
        <v>483</v>
      </c>
      <c r="D105" s="262" t="s">
        <v>713</v>
      </c>
      <c r="E105" s="237">
        <v>0.43</v>
      </c>
      <c r="F105" s="238">
        <v>0.38</v>
      </c>
      <c r="G105" s="238">
        <v>0.39</v>
      </c>
      <c r="H105" s="238">
        <v>0.38</v>
      </c>
      <c r="I105" s="238">
        <v>0.35</v>
      </c>
      <c r="J105" s="239">
        <v>0.37</v>
      </c>
      <c r="K105" s="238">
        <v>0.35</v>
      </c>
      <c r="L105" s="239">
        <v>0.37</v>
      </c>
      <c r="M105" s="237">
        <v>0.43</v>
      </c>
      <c r="N105" s="238">
        <v>0.38</v>
      </c>
      <c r="P105" s="268" t="s">
        <v>250</v>
      </c>
      <c r="Q105" s="279" t="s">
        <v>746</v>
      </c>
    </row>
    <row r="106" spans="1:17" x14ac:dyDescent="0.25">
      <c r="A106" s="138" t="s">
        <v>250</v>
      </c>
      <c r="C106" s="258" t="s">
        <v>483</v>
      </c>
      <c r="D106" s="258"/>
      <c r="E106" s="234">
        <v>0.37</v>
      </c>
      <c r="F106" s="53">
        <v>0.25</v>
      </c>
      <c r="G106" s="53">
        <v>0.37</v>
      </c>
      <c r="H106" s="53">
        <v>0.25</v>
      </c>
      <c r="I106" s="53">
        <v>0.37</v>
      </c>
      <c r="J106" s="236">
        <v>0.25</v>
      </c>
      <c r="K106" s="53">
        <v>0.37</v>
      </c>
      <c r="L106" s="236">
        <v>0.25</v>
      </c>
      <c r="M106" s="234">
        <v>0.37</v>
      </c>
      <c r="N106" s="53">
        <v>0.25</v>
      </c>
      <c r="P106" s="268" t="s">
        <v>250</v>
      </c>
      <c r="Q106" s="280" t="s">
        <v>747</v>
      </c>
    </row>
    <row r="107" spans="1:17" x14ac:dyDescent="0.25">
      <c r="C107" s="229" t="s">
        <v>483</v>
      </c>
      <c r="D107" s="271" t="s">
        <v>714</v>
      </c>
      <c r="E107" s="259">
        <v>0.43</v>
      </c>
      <c r="F107" s="260">
        <v>0.38</v>
      </c>
      <c r="G107" s="260">
        <v>0.39</v>
      </c>
      <c r="H107" s="260">
        <v>0.38</v>
      </c>
      <c r="I107" s="260">
        <v>0.35</v>
      </c>
      <c r="J107" s="261">
        <v>0.37</v>
      </c>
      <c r="K107" s="260">
        <v>0.35</v>
      </c>
      <c r="L107" s="261">
        <v>0.37</v>
      </c>
      <c r="M107" s="259">
        <v>0.43</v>
      </c>
      <c r="N107" s="260">
        <v>0.38</v>
      </c>
      <c r="P107" s="268" t="s">
        <v>250</v>
      </c>
      <c r="Q107" s="273" t="s">
        <v>746</v>
      </c>
    </row>
    <row r="108" spans="1:17" x14ac:dyDescent="0.25">
      <c r="C108" s="258" t="s">
        <v>483</v>
      </c>
      <c r="D108" s="269" t="s">
        <v>715</v>
      </c>
      <c r="E108" s="234">
        <v>0.43</v>
      </c>
      <c r="F108" s="53">
        <v>0.38</v>
      </c>
      <c r="G108" s="53">
        <v>0.39</v>
      </c>
      <c r="H108" s="53">
        <v>0.38</v>
      </c>
      <c r="I108" s="53">
        <v>0.35</v>
      </c>
      <c r="J108" s="236">
        <v>0.37</v>
      </c>
      <c r="K108" s="53">
        <v>0.35</v>
      </c>
      <c r="L108" s="236">
        <v>0.37</v>
      </c>
      <c r="M108" s="234">
        <v>0.43</v>
      </c>
      <c r="N108" s="53">
        <v>0.38</v>
      </c>
      <c r="P108" s="268" t="s">
        <v>250</v>
      </c>
      <c r="Q108" s="272" t="s">
        <v>746</v>
      </c>
    </row>
    <row r="109" spans="1:17" x14ac:dyDescent="0.25">
      <c r="C109" s="258" t="s">
        <v>483</v>
      </c>
      <c r="D109" s="269" t="s">
        <v>716</v>
      </c>
      <c r="E109" s="234">
        <v>0.43</v>
      </c>
      <c r="F109" s="53">
        <v>0.38</v>
      </c>
      <c r="G109" s="53">
        <v>0.39</v>
      </c>
      <c r="H109" s="53">
        <v>0.38</v>
      </c>
      <c r="I109" s="53">
        <v>0.35</v>
      </c>
      <c r="J109" s="236">
        <v>0.37</v>
      </c>
      <c r="K109" s="53">
        <v>0.35</v>
      </c>
      <c r="L109" s="236">
        <v>0.37</v>
      </c>
      <c r="M109" s="234">
        <v>0.43</v>
      </c>
      <c r="N109" s="53">
        <v>0.38</v>
      </c>
      <c r="P109" s="268" t="s">
        <v>250</v>
      </c>
      <c r="Q109" s="272" t="s">
        <v>746</v>
      </c>
    </row>
    <row r="110" spans="1:17" x14ac:dyDescent="0.25">
      <c r="C110" s="258" t="s">
        <v>483</v>
      </c>
      <c r="D110" s="269" t="s">
        <v>717</v>
      </c>
      <c r="E110" s="234">
        <v>0.43</v>
      </c>
      <c r="F110" s="53">
        <v>0.38</v>
      </c>
      <c r="G110" s="53">
        <v>0.39</v>
      </c>
      <c r="H110" s="53">
        <v>0.38</v>
      </c>
      <c r="I110" s="53">
        <v>0.35</v>
      </c>
      <c r="J110" s="236">
        <v>0.37</v>
      </c>
      <c r="K110" s="53">
        <v>0.35</v>
      </c>
      <c r="L110" s="236">
        <v>0.37</v>
      </c>
      <c r="M110" s="234">
        <v>0.43</v>
      </c>
      <c r="N110" s="53">
        <v>0.38</v>
      </c>
      <c r="P110" s="268" t="s">
        <v>250</v>
      </c>
      <c r="Q110" s="272" t="s">
        <v>746</v>
      </c>
    </row>
    <row r="111" spans="1:17" x14ac:dyDescent="0.25">
      <c r="C111" s="229" t="s">
        <v>483</v>
      </c>
      <c r="D111" s="229" t="s">
        <v>718</v>
      </c>
      <c r="E111" s="259">
        <v>0.42</v>
      </c>
      <c r="F111" s="260">
        <v>0.22</v>
      </c>
      <c r="G111" s="260">
        <v>0.37</v>
      </c>
      <c r="H111" s="260">
        <v>0.22</v>
      </c>
      <c r="I111" s="260">
        <v>0.34</v>
      </c>
      <c r="J111" s="261">
        <v>0.21</v>
      </c>
      <c r="K111" s="260">
        <v>0.34</v>
      </c>
      <c r="L111" s="261">
        <v>0.21</v>
      </c>
      <c r="M111" s="259">
        <v>0.42</v>
      </c>
      <c r="N111" s="260">
        <v>0.22</v>
      </c>
      <c r="P111" s="268" t="s">
        <v>250</v>
      </c>
      <c r="Q111" s="278" t="s">
        <v>748</v>
      </c>
    </row>
    <row r="112" spans="1:17" x14ac:dyDescent="0.25">
      <c r="C112" s="258" t="s">
        <v>483</v>
      </c>
      <c r="D112" s="258" t="s">
        <v>719</v>
      </c>
      <c r="E112" s="234">
        <v>0.42</v>
      </c>
      <c r="F112" s="53">
        <v>0.22</v>
      </c>
      <c r="G112" s="53">
        <v>0.37</v>
      </c>
      <c r="H112" s="53">
        <v>0.22</v>
      </c>
      <c r="I112" s="53">
        <v>0.34</v>
      </c>
      <c r="J112" s="236">
        <v>0.21</v>
      </c>
      <c r="K112" s="53">
        <v>0.34</v>
      </c>
      <c r="L112" s="236">
        <v>0.21</v>
      </c>
      <c r="M112" s="234">
        <v>0.42</v>
      </c>
      <c r="N112" s="53">
        <v>0.22</v>
      </c>
      <c r="P112" s="268" t="s">
        <v>250</v>
      </c>
      <c r="Q112" s="276" t="s">
        <v>748</v>
      </c>
    </row>
    <row r="113" spans="1:17" x14ac:dyDescent="0.25">
      <c r="C113" s="258" t="s">
        <v>483</v>
      </c>
      <c r="D113" s="258" t="s">
        <v>720</v>
      </c>
      <c r="E113" s="234">
        <v>0.42</v>
      </c>
      <c r="F113" s="53">
        <v>0.22</v>
      </c>
      <c r="G113" s="53">
        <v>0.37</v>
      </c>
      <c r="H113" s="53">
        <v>0.22</v>
      </c>
      <c r="I113" s="53">
        <v>0.34</v>
      </c>
      <c r="J113" s="236">
        <v>0.21</v>
      </c>
      <c r="K113" s="53">
        <v>0.34</v>
      </c>
      <c r="L113" s="236">
        <v>0.21</v>
      </c>
      <c r="M113" s="234">
        <v>0.42</v>
      </c>
      <c r="N113" s="53">
        <v>0.22</v>
      </c>
      <c r="P113" s="268" t="s">
        <v>250</v>
      </c>
      <c r="Q113" s="276" t="s">
        <v>748</v>
      </c>
    </row>
    <row r="114" spans="1:17" x14ac:dyDescent="0.25">
      <c r="C114" s="262" t="s">
        <v>483</v>
      </c>
      <c r="D114" s="262" t="s">
        <v>721</v>
      </c>
      <c r="E114" s="237">
        <v>0.42</v>
      </c>
      <c r="F114" s="238">
        <v>0.22</v>
      </c>
      <c r="G114" s="238">
        <v>0.37</v>
      </c>
      <c r="H114" s="238">
        <v>0.22</v>
      </c>
      <c r="I114" s="238">
        <v>0.34</v>
      </c>
      <c r="J114" s="239">
        <v>0.21</v>
      </c>
      <c r="K114" s="238">
        <v>0.34</v>
      </c>
      <c r="L114" s="239">
        <v>0.21</v>
      </c>
      <c r="M114" s="237">
        <v>0.42</v>
      </c>
      <c r="N114" s="238">
        <v>0.22</v>
      </c>
      <c r="P114" s="268" t="s">
        <v>250</v>
      </c>
      <c r="Q114" s="279" t="s">
        <v>748</v>
      </c>
    </row>
    <row r="115" spans="1:17" x14ac:dyDescent="0.25">
      <c r="A115" s="138" t="s">
        <v>250</v>
      </c>
      <c r="C115" s="258" t="s">
        <v>483</v>
      </c>
      <c r="D115" s="258"/>
      <c r="E115" s="234">
        <v>0.53</v>
      </c>
      <c r="F115" s="53">
        <v>0.45</v>
      </c>
      <c r="G115" s="53">
        <v>0.49</v>
      </c>
      <c r="H115" s="53">
        <v>0.45</v>
      </c>
      <c r="I115" s="53">
        <v>0.45</v>
      </c>
      <c r="J115" s="236">
        <v>0.44</v>
      </c>
      <c r="K115" s="53">
        <v>0.45</v>
      </c>
      <c r="L115" s="236">
        <v>0.44</v>
      </c>
      <c r="M115" s="234">
        <v>0.53</v>
      </c>
      <c r="N115" s="53">
        <v>0.45</v>
      </c>
      <c r="P115" s="268" t="s">
        <v>250</v>
      </c>
      <c r="Q115" s="280" t="s">
        <v>749</v>
      </c>
    </row>
    <row r="116" spans="1:17" x14ac:dyDescent="0.25">
      <c r="C116" s="229" t="s">
        <v>483</v>
      </c>
      <c r="D116" s="229" t="s">
        <v>722</v>
      </c>
      <c r="E116" s="259">
        <v>0.42</v>
      </c>
      <c r="F116" s="260">
        <v>0.33</v>
      </c>
      <c r="G116" s="260">
        <v>0.38</v>
      </c>
      <c r="H116" s="260">
        <v>0.33</v>
      </c>
      <c r="I116" s="260">
        <v>0.35</v>
      </c>
      <c r="J116" s="261">
        <v>0.32</v>
      </c>
      <c r="K116" s="260">
        <v>0.35</v>
      </c>
      <c r="L116" s="261">
        <v>0.32</v>
      </c>
      <c r="M116" s="259">
        <v>0.42</v>
      </c>
      <c r="N116" s="260">
        <v>0.33</v>
      </c>
      <c r="P116" s="268" t="s">
        <v>250</v>
      </c>
      <c r="Q116" s="278" t="s">
        <v>750</v>
      </c>
    </row>
    <row r="117" spans="1:17" x14ac:dyDescent="0.25">
      <c r="C117" s="258" t="s">
        <v>483</v>
      </c>
      <c r="D117" s="258" t="s">
        <v>723</v>
      </c>
      <c r="E117" s="234">
        <v>0.42</v>
      </c>
      <c r="F117" s="53">
        <v>0.33</v>
      </c>
      <c r="G117" s="53">
        <v>0.38</v>
      </c>
      <c r="H117" s="53">
        <v>0.33</v>
      </c>
      <c r="I117" s="53">
        <v>0.35</v>
      </c>
      <c r="J117" s="236">
        <v>0.32</v>
      </c>
      <c r="K117" s="53">
        <v>0.35</v>
      </c>
      <c r="L117" s="236">
        <v>0.32</v>
      </c>
      <c r="M117" s="234">
        <v>0.42</v>
      </c>
      <c r="N117" s="53">
        <v>0.33</v>
      </c>
      <c r="P117" s="268" t="s">
        <v>250</v>
      </c>
      <c r="Q117" s="276" t="s">
        <v>750</v>
      </c>
    </row>
    <row r="118" spans="1:17" x14ac:dyDescent="0.25">
      <c r="C118" s="258" t="s">
        <v>483</v>
      </c>
      <c r="D118" s="258" t="s">
        <v>724</v>
      </c>
      <c r="E118" s="234">
        <v>0.42</v>
      </c>
      <c r="F118" s="53">
        <v>0.33</v>
      </c>
      <c r="G118" s="53">
        <v>0.38</v>
      </c>
      <c r="H118" s="53">
        <v>0.33</v>
      </c>
      <c r="I118" s="53">
        <v>0.35</v>
      </c>
      <c r="J118" s="236">
        <v>0.32</v>
      </c>
      <c r="K118" s="53">
        <v>0.35</v>
      </c>
      <c r="L118" s="236">
        <v>0.32</v>
      </c>
      <c r="M118" s="234">
        <v>0.42</v>
      </c>
      <c r="N118" s="53">
        <v>0.33</v>
      </c>
      <c r="P118" s="268" t="s">
        <v>250</v>
      </c>
      <c r="Q118" s="276" t="s">
        <v>750</v>
      </c>
    </row>
    <row r="119" spans="1:17" x14ac:dyDescent="0.25">
      <c r="C119" s="262" t="s">
        <v>483</v>
      </c>
      <c r="D119" s="262" t="s">
        <v>725</v>
      </c>
      <c r="E119" s="237">
        <v>0.42</v>
      </c>
      <c r="F119" s="238">
        <v>0.33</v>
      </c>
      <c r="G119" s="238">
        <v>0.38</v>
      </c>
      <c r="H119" s="238">
        <v>0.33</v>
      </c>
      <c r="I119" s="238">
        <v>0.35</v>
      </c>
      <c r="J119" s="239">
        <v>0.32</v>
      </c>
      <c r="K119" s="238">
        <v>0.35</v>
      </c>
      <c r="L119" s="239">
        <v>0.32</v>
      </c>
      <c r="M119" s="237">
        <v>0.42</v>
      </c>
      <c r="N119" s="238">
        <v>0.33</v>
      </c>
      <c r="P119" s="268" t="s">
        <v>250</v>
      </c>
      <c r="Q119" s="279" t="s">
        <v>750</v>
      </c>
    </row>
    <row r="120" spans="1:17" x14ac:dyDescent="0.25">
      <c r="A120" s="138" t="s">
        <v>250</v>
      </c>
      <c r="C120" s="258" t="s">
        <v>483</v>
      </c>
      <c r="D120" s="258"/>
      <c r="E120" s="234">
        <v>0.39</v>
      </c>
      <c r="F120" s="53">
        <v>0.34</v>
      </c>
      <c r="G120" s="53">
        <v>0.35</v>
      </c>
      <c r="H120" s="53">
        <v>0.34</v>
      </c>
      <c r="I120" s="53">
        <v>0.31</v>
      </c>
      <c r="J120" s="236">
        <v>0.33</v>
      </c>
      <c r="K120" s="53">
        <v>0.31</v>
      </c>
      <c r="L120" s="236">
        <v>0.33</v>
      </c>
      <c r="M120" s="234">
        <v>0.39</v>
      </c>
      <c r="N120" s="53">
        <v>0.34</v>
      </c>
      <c r="P120" s="268" t="s">
        <v>250</v>
      </c>
      <c r="Q120" s="280" t="s">
        <v>752</v>
      </c>
    </row>
    <row r="121" spans="1:17" x14ac:dyDescent="0.25">
      <c r="A121" s="138" t="s">
        <v>250</v>
      </c>
      <c r="C121" s="182" t="s">
        <v>483</v>
      </c>
      <c r="D121" s="182"/>
      <c r="E121" s="254">
        <v>0.51</v>
      </c>
      <c r="F121" s="255">
        <v>0.43</v>
      </c>
      <c r="G121" s="255">
        <v>0.47</v>
      </c>
      <c r="H121" s="255">
        <v>0.43</v>
      </c>
      <c r="I121" s="255">
        <v>0.43</v>
      </c>
      <c r="J121" s="256">
        <v>0.42</v>
      </c>
      <c r="K121" s="255">
        <v>0.43</v>
      </c>
      <c r="L121" s="256">
        <v>0.42</v>
      </c>
      <c r="M121" s="254">
        <v>0.51</v>
      </c>
      <c r="N121" s="255">
        <v>0.43</v>
      </c>
      <c r="P121" s="268" t="s">
        <v>250</v>
      </c>
      <c r="Q121" s="281" t="s">
        <v>751</v>
      </c>
    </row>
    <row r="122" spans="1:17" x14ac:dyDescent="0.25">
      <c r="C122" s="229" t="s">
        <v>483</v>
      </c>
      <c r="D122" s="229" t="s">
        <v>726</v>
      </c>
      <c r="E122" s="259">
        <v>0.4</v>
      </c>
      <c r="F122" s="260">
        <v>0.31</v>
      </c>
      <c r="G122" s="260">
        <v>0.36</v>
      </c>
      <c r="H122" s="260">
        <v>0.31</v>
      </c>
      <c r="I122" s="260">
        <v>0.32</v>
      </c>
      <c r="J122" s="261">
        <v>0.28999999999999998</v>
      </c>
      <c r="K122" s="260">
        <v>0.32</v>
      </c>
      <c r="L122" s="261">
        <v>0.28999999999999998</v>
      </c>
      <c r="M122" s="259">
        <v>0.4</v>
      </c>
      <c r="N122" s="260">
        <v>0.31</v>
      </c>
      <c r="P122" s="268" t="s">
        <v>250</v>
      </c>
      <c r="Q122" s="278" t="s">
        <v>753</v>
      </c>
    </row>
    <row r="123" spans="1:17" x14ac:dyDescent="0.25">
      <c r="C123" s="258" t="s">
        <v>483</v>
      </c>
      <c r="D123" s="258" t="s">
        <v>727</v>
      </c>
      <c r="E123" s="234">
        <v>0.4</v>
      </c>
      <c r="F123" s="53">
        <v>0.31</v>
      </c>
      <c r="G123" s="53">
        <v>0.36</v>
      </c>
      <c r="H123" s="53">
        <v>0.31</v>
      </c>
      <c r="I123" s="53">
        <v>0.32</v>
      </c>
      <c r="J123" s="236">
        <v>0.28999999999999998</v>
      </c>
      <c r="K123" s="53">
        <v>0.32</v>
      </c>
      <c r="L123" s="236">
        <v>0.28999999999999998</v>
      </c>
      <c r="M123" s="234">
        <v>0.4</v>
      </c>
      <c r="N123" s="53">
        <v>0.31</v>
      </c>
      <c r="P123" s="268" t="s">
        <v>250</v>
      </c>
      <c r="Q123" s="276" t="s">
        <v>753</v>
      </c>
    </row>
    <row r="124" spans="1:17" x14ac:dyDescent="0.25">
      <c r="C124" s="258" t="s">
        <v>483</v>
      </c>
      <c r="D124" s="258" t="s">
        <v>728</v>
      </c>
      <c r="E124" s="234">
        <v>0.4</v>
      </c>
      <c r="F124" s="53">
        <v>0.31</v>
      </c>
      <c r="G124" s="53">
        <v>0.36</v>
      </c>
      <c r="H124" s="53">
        <v>0.31</v>
      </c>
      <c r="I124" s="53">
        <v>0.32</v>
      </c>
      <c r="J124" s="236">
        <v>0.28999999999999998</v>
      </c>
      <c r="K124" s="53">
        <v>0.32</v>
      </c>
      <c r="L124" s="236">
        <v>0.28999999999999998</v>
      </c>
      <c r="M124" s="234">
        <v>0.4</v>
      </c>
      <c r="N124" s="53">
        <v>0.31</v>
      </c>
      <c r="P124" s="268" t="s">
        <v>250</v>
      </c>
      <c r="Q124" s="276" t="s">
        <v>753</v>
      </c>
    </row>
    <row r="125" spans="1:17" x14ac:dyDescent="0.25">
      <c r="C125" s="262" t="s">
        <v>483</v>
      </c>
      <c r="D125" s="262" t="s">
        <v>729</v>
      </c>
      <c r="E125" s="237">
        <v>0.4</v>
      </c>
      <c r="F125" s="238">
        <v>0.31</v>
      </c>
      <c r="G125" s="238">
        <v>0.36</v>
      </c>
      <c r="H125" s="238">
        <v>0.31</v>
      </c>
      <c r="I125" s="238">
        <v>0.32</v>
      </c>
      <c r="J125" s="239">
        <v>0.28999999999999998</v>
      </c>
      <c r="K125" s="238">
        <v>0.32</v>
      </c>
      <c r="L125" s="239">
        <v>0.28999999999999998</v>
      </c>
      <c r="M125" s="237">
        <v>0.4</v>
      </c>
      <c r="N125" s="238">
        <v>0.31</v>
      </c>
      <c r="P125" s="268" t="s">
        <v>250</v>
      </c>
      <c r="Q125" s="279" t="s">
        <v>753</v>
      </c>
    </row>
    <row r="126" spans="1:17" x14ac:dyDescent="0.25">
      <c r="C126" s="229" t="s">
        <v>483</v>
      </c>
      <c r="D126" s="229" t="s">
        <v>730</v>
      </c>
      <c r="E126" s="259">
        <v>0.34</v>
      </c>
      <c r="F126" s="260">
        <v>0.32</v>
      </c>
      <c r="G126" s="260">
        <v>0.3</v>
      </c>
      <c r="H126" s="260">
        <v>0.32</v>
      </c>
      <c r="I126" s="260">
        <v>0.27</v>
      </c>
      <c r="J126" s="261">
        <v>0.31</v>
      </c>
      <c r="K126" s="260">
        <v>0.27</v>
      </c>
      <c r="L126" s="261">
        <v>0.31</v>
      </c>
      <c r="M126" s="259">
        <v>0.34</v>
      </c>
      <c r="N126" s="260">
        <v>0.32</v>
      </c>
      <c r="P126" s="268" t="s">
        <v>250</v>
      </c>
      <c r="Q126" s="278" t="s">
        <v>754</v>
      </c>
    </row>
    <row r="127" spans="1:17" x14ac:dyDescent="0.25">
      <c r="C127" s="258" t="s">
        <v>483</v>
      </c>
      <c r="D127" s="258" t="s">
        <v>731</v>
      </c>
      <c r="E127" s="234">
        <v>0.34</v>
      </c>
      <c r="F127" s="53">
        <v>0.32</v>
      </c>
      <c r="G127" s="53">
        <v>0.3</v>
      </c>
      <c r="H127" s="53">
        <v>0.32</v>
      </c>
      <c r="I127" s="53">
        <v>0.27</v>
      </c>
      <c r="J127" s="236">
        <v>0.31</v>
      </c>
      <c r="K127" s="53">
        <v>0.27</v>
      </c>
      <c r="L127" s="236">
        <v>0.31</v>
      </c>
      <c r="M127" s="234">
        <v>0.34</v>
      </c>
      <c r="N127" s="53">
        <v>0.32</v>
      </c>
      <c r="P127" s="268" t="s">
        <v>250</v>
      </c>
      <c r="Q127" s="276" t="s">
        <v>754</v>
      </c>
    </row>
    <row r="128" spans="1:17" x14ac:dyDescent="0.25">
      <c r="C128" s="258" t="s">
        <v>483</v>
      </c>
      <c r="D128" s="258" t="s">
        <v>732</v>
      </c>
      <c r="E128" s="234">
        <v>0.34</v>
      </c>
      <c r="F128" s="53">
        <v>0.32</v>
      </c>
      <c r="G128" s="53">
        <v>0.3</v>
      </c>
      <c r="H128" s="53">
        <v>0.32</v>
      </c>
      <c r="I128" s="53">
        <v>0.27</v>
      </c>
      <c r="J128" s="236">
        <v>0.31</v>
      </c>
      <c r="K128" s="53">
        <v>0.27</v>
      </c>
      <c r="L128" s="236">
        <v>0.31</v>
      </c>
      <c r="M128" s="234">
        <v>0.34</v>
      </c>
      <c r="N128" s="53">
        <v>0.32</v>
      </c>
      <c r="P128" s="268" t="s">
        <v>250</v>
      </c>
      <c r="Q128" s="276" t="s">
        <v>754</v>
      </c>
    </row>
    <row r="129" spans="1:17" x14ac:dyDescent="0.25">
      <c r="C129" s="262" t="s">
        <v>483</v>
      </c>
      <c r="D129" s="262" t="s">
        <v>733</v>
      </c>
      <c r="E129" s="237">
        <v>0.34</v>
      </c>
      <c r="F129" s="238">
        <v>0.32</v>
      </c>
      <c r="G129" s="238">
        <v>0.3</v>
      </c>
      <c r="H129" s="238">
        <v>0.32</v>
      </c>
      <c r="I129" s="238">
        <v>0.27</v>
      </c>
      <c r="J129" s="239">
        <v>0.31</v>
      </c>
      <c r="K129" s="238">
        <v>0.27</v>
      </c>
      <c r="L129" s="239">
        <v>0.31</v>
      </c>
      <c r="M129" s="237">
        <v>0.34</v>
      </c>
      <c r="N129" s="238">
        <v>0.32</v>
      </c>
      <c r="P129" s="268" t="s">
        <v>250</v>
      </c>
      <c r="Q129" s="279" t="s">
        <v>754</v>
      </c>
    </row>
    <row r="130" spans="1:17" x14ac:dyDescent="0.25">
      <c r="A130" s="138" t="s">
        <v>250</v>
      </c>
      <c r="C130" s="258" t="s">
        <v>483</v>
      </c>
      <c r="D130" s="258"/>
      <c r="E130" s="234">
        <v>0.3</v>
      </c>
      <c r="F130" s="53">
        <v>0.23</v>
      </c>
      <c r="G130" s="53">
        <v>0.3</v>
      </c>
      <c r="H130" s="53">
        <v>0.23</v>
      </c>
      <c r="I130" s="53">
        <v>30</v>
      </c>
      <c r="J130" s="236">
        <v>0.23</v>
      </c>
      <c r="K130" s="53">
        <v>30</v>
      </c>
      <c r="L130" s="236">
        <v>0.23</v>
      </c>
      <c r="M130" s="234">
        <v>0.3</v>
      </c>
      <c r="N130" s="53">
        <v>0.23</v>
      </c>
      <c r="P130" s="268" t="s">
        <v>250</v>
      </c>
      <c r="Q130" s="280" t="s">
        <v>756</v>
      </c>
    </row>
    <row r="131" spans="1:17" x14ac:dyDescent="0.25">
      <c r="C131" s="229" t="s">
        <v>483</v>
      </c>
      <c r="D131" s="229" t="s">
        <v>734</v>
      </c>
      <c r="E131" s="259">
        <v>0.3</v>
      </c>
      <c r="F131" s="260">
        <v>0.28999999999999998</v>
      </c>
      <c r="G131" s="260">
        <v>0.26</v>
      </c>
      <c r="H131" s="260">
        <v>0.28999999999999998</v>
      </c>
      <c r="I131" s="260">
        <v>0.23</v>
      </c>
      <c r="J131" s="261">
        <v>0.28000000000000003</v>
      </c>
      <c r="K131" s="260">
        <v>0.23</v>
      </c>
      <c r="L131" s="261">
        <v>0.28000000000000003</v>
      </c>
      <c r="M131" s="259">
        <v>0.3</v>
      </c>
      <c r="N131" s="260">
        <v>0.28999999999999998</v>
      </c>
      <c r="P131" s="268" t="s">
        <v>250</v>
      </c>
      <c r="Q131" s="278" t="s">
        <v>755</v>
      </c>
    </row>
    <row r="132" spans="1:17" x14ac:dyDescent="0.25">
      <c r="C132" s="258" t="s">
        <v>483</v>
      </c>
      <c r="D132" s="258" t="s">
        <v>735</v>
      </c>
      <c r="E132" s="234">
        <v>0.3</v>
      </c>
      <c r="F132" s="53">
        <v>0.28999999999999998</v>
      </c>
      <c r="G132" s="53">
        <v>0.26</v>
      </c>
      <c r="H132" s="53">
        <v>0.28999999999999998</v>
      </c>
      <c r="I132" s="53">
        <v>0.23</v>
      </c>
      <c r="J132" s="236">
        <v>0.28000000000000003</v>
      </c>
      <c r="K132" s="53">
        <v>0.23</v>
      </c>
      <c r="L132" s="236">
        <v>0.28000000000000003</v>
      </c>
      <c r="M132" s="234">
        <v>0.3</v>
      </c>
      <c r="N132" s="53">
        <v>0.28999999999999998</v>
      </c>
      <c r="P132" s="268" t="s">
        <v>250</v>
      </c>
      <c r="Q132" s="276" t="s">
        <v>755</v>
      </c>
    </row>
    <row r="133" spans="1:17" x14ac:dyDescent="0.25">
      <c r="C133" s="258" t="s">
        <v>483</v>
      </c>
      <c r="D133" s="258" t="s">
        <v>736</v>
      </c>
      <c r="E133" s="234">
        <v>0.3</v>
      </c>
      <c r="F133" s="53">
        <v>0.28999999999999998</v>
      </c>
      <c r="G133" s="53">
        <v>0.26</v>
      </c>
      <c r="H133" s="53">
        <v>0.28999999999999998</v>
      </c>
      <c r="I133" s="53">
        <v>0.23</v>
      </c>
      <c r="J133" s="236">
        <v>0.28000000000000003</v>
      </c>
      <c r="K133" s="53">
        <v>0.23</v>
      </c>
      <c r="L133" s="236">
        <v>0.28000000000000003</v>
      </c>
      <c r="M133" s="234">
        <v>0.3</v>
      </c>
      <c r="N133" s="53">
        <v>0.28999999999999998</v>
      </c>
      <c r="P133" s="268" t="s">
        <v>250</v>
      </c>
      <c r="Q133" s="276" t="s">
        <v>755</v>
      </c>
    </row>
    <row r="134" spans="1:17" x14ac:dyDescent="0.25">
      <c r="C134" s="262" t="s">
        <v>483</v>
      </c>
      <c r="D134" s="262" t="s">
        <v>737</v>
      </c>
      <c r="E134" s="237">
        <v>0.3</v>
      </c>
      <c r="F134" s="238">
        <v>0.28999999999999998</v>
      </c>
      <c r="G134" s="238">
        <v>0.26</v>
      </c>
      <c r="H134" s="238">
        <v>0.28999999999999998</v>
      </c>
      <c r="I134" s="238">
        <v>0.23</v>
      </c>
      <c r="J134" s="239">
        <v>0.28000000000000003</v>
      </c>
      <c r="K134" s="238">
        <v>0.23</v>
      </c>
      <c r="L134" s="239">
        <v>0.28000000000000003</v>
      </c>
      <c r="M134" s="237">
        <v>0.3</v>
      </c>
      <c r="N134" s="238">
        <v>0.28999999999999998</v>
      </c>
      <c r="P134" s="268" t="s">
        <v>250</v>
      </c>
      <c r="Q134" s="279" t="s">
        <v>755</v>
      </c>
    </row>
    <row r="135" spans="1:17" x14ac:dyDescent="0.25">
      <c r="C135" s="182" t="s">
        <v>483</v>
      </c>
      <c r="D135" s="275" t="s">
        <v>738</v>
      </c>
      <c r="E135" s="237">
        <v>0.3</v>
      </c>
      <c r="F135" s="238">
        <v>0.28999999999999998</v>
      </c>
      <c r="G135" s="238">
        <v>0.26</v>
      </c>
      <c r="H135" s="238">
        <v>0.28999999999999998</v>
      </c>
      <c r="I135" s="238">
        <v>0.23</v>
      </c>
      <c r="J135" s="239">
        <v>0.28000000000000003</v>
      </c>
      <c r="K135" s="238">
        <v>0.23</v>
      </c>
      <c r="L135" s="239">
        <v>0.28000000000000003</v>
      </c>
      <c r="M135" s="237">
        <v>0.3</v>
      </c>
      <c r="N135" s="238">
        <v>0.28999999999999998</v>
      </c>
      <c r="P135" s="268" t="s">
        <v>250</v>
      </c>
      <c r="Q135" s="274" t="s">
        <v>755</v>
      </c>
    </row>
    <row r="136" spans="1:17" x14ac:dyDescent="0.25">
      <c r="A136" s="138" t="s">
        <v>250</v>
      </c>
      <c r="C136" s="182" t="s">
        <v>483</v>
      </c>
      <c r="D136" s="182"/>
      <c r="E136" s="254">
        <v>0.27</v>
      </c>
      <c r="F136" s="255">
        <v>0.25</v>
      </c>
      <c r="G136" s="255">
        <v>0.27</v>
      </c>
      <c r="H136" s="255">
        <v>0.25</v>
      </c>
      <c r="I136" s="255">
        <v>0.27</v>
      </c>
      <c r="J136" s="256">
        <v>0.25</v>
      </c>
      <c r="K136" s="255">
        <v>0.27</v>
      </c>
      <c r="L136" s="256">
        <v>0.25</v>
      </c>
      <c r="M136" s="254">
        <v>0.27</v>
      </c>
      <c r="N136" s="255">
        <v>0.25</v>
      </c>
      <c r="P136" s="268" t="s">
        <v>250</v>
      </c>
      <c r="Q136" s="282" t="s">
        <v>757</v>
      </c>
    </row>
    <row r="137" spans="1:17" x14ac:dyDescent="0.25">
      <c r="B137" s="138" t="s">
        <v>245</v>
      </c>
    </row>
  </sheetData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theme="8" tint="0.39997558519241921"/>
  </sheetPr>
  <dimension ref="A1:Q87"/>
  <sheetViews>
    <sheetView zoomScaleNormal="100" workbookViewId="0">
      <selection activeCell="B1" sqref="B1"/>
    </sheetView>
  </sheetViews>
  <sheetFormatPr defaultRowHeight="15" x14ac:dyDescent="0.25"/>
  <cols>
    <col min="1" max="1" width="2.140625" customWidth="1"/>
    <col min="2" max="2" width="3.28515625" customWidth="1"/>
    <col min="3" max="3" width="17" customWidth="1"/>
    <col min="4" max="4" width="17.5703125" customWidth="1"/>
    <col min="5" max="12" width="12.7109375" customWidth="1"/>
    <col min="13" max="15" width="11.28515625" bestFit="1" customWidth="1"/>
    <col min="17" max="17" width="9.140625" customWidth="1"/>
  </cols>
  <sheetData>
    <row r="1" spans="1:5" s="39" customFormat="1" x14ac:dyDescent="0.25">
      <c r="A1" s="126" t="s">
        <v>250</v>
      </c>
      <c r="B1" s="126" t="s">
        <v>1202</v>
      </c>
      <c r="C1" s="126"/>
      <c r="D1" s="126"/>
      <c r="E1" s="126"/>
    </row>
    <row r="2" spans="1:5" s="39" customFormat="1" x14ac:dyDescent="0.25">
      <c r="A2" s="126" t="s">
        <v>250</v>
      </c>
      <c r="B2" s="126"/>
      <c r="C2" s="126"/>
      <c r="D2" s="126"/>
      <c r="E2" s="126"/>
    </row>
    <row r="3" spans="1:5" s="39" customFormat="1" x14ac:dyDescent="0.25">
      <c r="A3" s="126" t="s">
        <v>250</v>
      </c>
      <c r="B3" s="126" t="s">
        <v>356</v>
      </c>
      <c r="C3" s="126"/>
      <c r="D3" s="126"/>
      <c r="E3" s="126"/>
    </row>
    <row r="4" spans="1:5" s="39" customFormat="1" x14ac:dyDescent="0.25">
      <c r="A4" s="126" t="s">
        <v>250</v>
      </c>
      <c r="B4" s="126"/>
      <c r="C4" s="126" t="s">
        <v>502</v>
      </c>
      <c r="D4" s="126"/>
      <c r="E4" s="126"/>
    </row>
    <row r="5" spans="1:5" s="39" customFormat="1" x14ac:dyDescent="0.25">
      <c r="A5" s="126" t="s">
        <v>250</v>
      </c>
      <c r="B5" s="126"/>
      <c r="C5" s="126"/>
      <c r="D5" s="126"/>
      <c r="E5" s="126"/>
    </row>
    <row r="6" spans="1:5" s="39" customFormat="1" x14ac:dyDescent="0.25">
      <c r="A6" s="126" t="s">
        <v>250</v>
      </c>
      <c r="B6" s="126" t="s">
        <v>357</v>
      </c>
      <c r="C6" s="126"/>
      <c r="D6" s="126"/>
      <c r="E6" s="126"/>
    </row>
    <row r="7" spans="1:5" x14ac:dyDescent="0.25">
      <c r="A7" s="126" t="s">
        <v>250</v>
      </c>
      <c r="B7" s="126"/>
      <c r="C7" s="126" t="s">
        <v>262</v>
      </c>
      <c r="D7" s="126" t="s">
        <v>263</v>
      </c>
      <c r="E7" s="126" t="s">
        <v>264</v>
      </c>
    </row>
    <row r="8" spans="1:5" x14ac:dyDescent="0.25">
      <c r="A8" s="126" t="s">
        <v>250</v>
      </c>
      <c r="B8" s="129"/>
      <c r="C8" s="133">
        <v>41186</v>
      </c>
      <c r="D8" s="134" t="s">
        <v>386</v>
      </c>
      <c r="E8" s="126" t="s">
        <v>265</v>
      </c>
    </row>
    <row r="9" spans="1:5" s="39" customFormat="1" x14ac:dyDescent="0.25">
      <c r="A9" s="126" t="s">
        <v>250</v>
      </c>
      <c r="B9" s="129"/>
      <c r="C9" s="133">
        <v>41203</v>
      </c>
      <c r="D9" s="134" t="s">
        <v>386</v>
      </c>
      <c r="E9" s="126" t="s">
        <v>385</v>
      </c>
    </row>
    <row r="10" spans="1:5" s="39" customFormat="1" x14ac:dyDescent="0.25">
      <c r="A10" s="126" t="s">
        <v>250</v>
      </c>
      <c r="B10" s="129"/>
      <c r="C10" s="133">
        <v>41217</v>
      </c>
      <c r="D10" s="134" t="s">
        <v>410</v>
      </c>
      <c r="E10" s="126" t="s">
        <v>503</v>
      </c>
    </row>
    <row r="11" spans="1:5" x14ac:dyDescent="0.25">
      <c r="A11" s="126" t="s">
        <v>250</v>
      </c>
      <c r="B11" s="129"/>
      <c r="C11" s="133"/>
      <c r="D11" s="126"/>
      <c r="E11" s="126"/>
    </row>
    <row r="12" spans="1:5" s="39" customFormat="1" x14ac:dyDescent="0.25">
      <c r="A12" s="126" t="s">
        <v>250</v>
      </c>
      <c r="B12" s="126" t="s">
        <v>358</v>
      </c>
      <c r="C12" s="126"/>
      <c r="D12" s="126"/>
      <c r="E12" s="126"/>
    </row>
    <row r="13" spans="1:5" x14ac:dyDescent="0.25">
      <c r="A13" s="126" t="s">
        <v>250</v>
      </c>
      <c r="B13" s="126"/>
      <c r="C13" s="126" t="s">
        <v>367</v>
      </c>
      <c r="D13" s="126"/>
      <c r="E13" s="126"/>
    </row>
    <row r="14" spans="1:5" s="39" customFormat="1" x14ac:dyDescent="0.25">
      <c r="A14" s="126" t="s">
        <v>250</v>
      </c>
      <c r="B14" s="126"/>
      <c r="C14" s="126" t="s">
        <v>366</v>
      </c>
      <c r="D14" s="126"/>
      <c r="E14" s="126"/>
    </row>
    <row r="15" spans="1:5" s="39" customFormat="1" x14ac:dyDescent="0.25">
      <c r="A15" s="126" t="s">
        <v>250</v>
      </c>
      <c r="B15" s="126"/>
      <c r="C15" s="126" t="s">
        <v>371</v>
      </c>
      <c r="D15" s="126"/>
      <c r="E15" s="126"/>
    </row>
    <row r="16" spans="1:5" x14ac:dyDescent="0.25">
      <c r="A16" s="126" t="s">
        <v>250</v>
      </c>
      <c r="B16" s="126"/>
      <c r="C16" s="126"/>
      <c r="D16" s="126"/>
      <c r="E16" s="126"/>
    </row>
    <row r="17" spans="1:17" s="39" customFormat="1" x14ac:dyDescent="0.25">
      <c r="A17" s="126" t="s">
        <v>250</v>
      </c>
      <c r="B17" s="126" t="s">
        <v>355</v>
      </c>
      <c r="C17" s="126"/>
      <c r="D17" s="126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</row>
    <row r="18" spans="1:17" x14ac:dyDescent="0.25">
      <c r="A18" s="126" t="s">
        <v>250</v>
      </c>
      <c r="B18" s="126"/>
      <c r="C18" s="126" t="s">
        <v>287</v>
      </c>
      <c r="D18" s="126"/>
      <c r="E18" s="126"/>
      <c r="F18" s="126"/>
      <c r="G18" s="126"/>
      <c r="H18" s="126"/>
      <c r="I18" s="126"/>
      <c r="J18" s="126"/>
      <c r="K18" s="126"/>
      <c r="L18" s="126"/>
      <c r="M18" s="126"/>
      <c r="N18" s="126"/>
      <c r="O18" s="126"/>
      <c r="P18" s="126"/>
      <c r="Q18" s="126"/>
    </row>
    <row r="19" spans="1:17" x14ac:dyDescent="0.25">
      <c r="A19" s="126" t="s">
        <v>250</v>
      </c>
      <c r="B19" s="126"/>
      <c r="C19" s="126"/>
      <c r="D19" s="126"/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26"/>
      <c r="P19" s="126"/>
      <c r="Q19" s="126"/>
    </row>
    <row r="20" spans="1:17" s="39" customFormat="1" x14ac:dyDescent="0.25">
      <c r="A20" s="126" t="s">
        <v>250</v>
      </c>
      <c r="B20" s="126" t="s">
        <v>354</v>
      </c>
      <c r="C20" s="126"/>
      <c r="D20" s="126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126"/>
      <c r="Q20" s="126"/>
    </row>
    <row r="21" spans="1:17" s="39" customFormat="1" x14ac:dyDescent="0.25">
      <c r="A21" s="126" t="s">
        <v>250</v>
      </c>
      <c r="B21" s="126"/>
      <c r="C21" s="135" t="s">
        <v>376</v>
      </c>
      <c r="D21" s="126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</row>
    <row r="22" spans="1:17" x14ac:dyDescent="0.25">
      <c r="A22" s="126" t="s">
        <v>250</v>
      </c>
      <c r="B22" s="126"/>
      <c r="C22" s="126" t="s">
        <v>261</v>
      </c>
      <c r="D22" s="131"/>
      <c r="E22" s="131"/>
      <c r="F22" s="131"/>
      <c r="G22" s="131"/>
      <c r="H22" s="131"/>
      <c r="I22" s="126"/>
      <c r="J22" s="126"/>
      <c r="K22" s="126"/>
      <c r="L22" s="126"/>
      <c r="M22" s="126"/>
      <c r="N22" s="126"/>
      <c r="O22" s="126"/>
      <c r="P22" s="126"/>
      <c r="Q22" s="126"/>
    </row>
    <row r="23" spans="1:17" x14ac:dyDescent="0.25">
      <c r="A23" s="126" t="s">
        <v>250</v>
      </c>
      <c r="B23" s="126"/>
      <c r="C23" s="126" t="s">
        <v>260</v>
      </c>
      <c r="D23" s="126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26"/>
      <c r="P23" s="126"/>
      <c r="Q23" s="126"/>
    </row>
    <row r="24" spans="1:17" x14ac:dyDescent="0.25">
      <c r="A24" s="126" t="s">
        <v>250</v>
      </c>
      <c r="B24" s="126"/>
      <c r="C24" s="126" t="s">
        <v>259</v>
      </c>
      <c r="D24" s="126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6"/>
      <c r="Q24" s="126"/>
    </row>
    <row r="25" spans="1:17" x14ac:dyDescent="0.25">
      <c r="A25" s="126" t="s">
        <v>250</v>
      </c>
      <c r="B25" s="126"/>
      <c r="C25" s="126"/>
      <c r="D25" s="126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</row>
    <row r="26" spans="1:17" x14ac:dyDescent="0.25">
      <c r="A26" s="126" t="s">
        <v>365</v>
      </c>
      <c r="B26" s="126"/>
      <c r="C26" s="126"/>
      <c r="D26" s="126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</row>
    <row r="27" spans="1:17" s="17" customFormat="1" x14ac:dyDescent="0.25">
      <c r="A27" s="129"/>
      <c r="B27" s="140" t="s">
        <v>520</v>
      </c>
      <c r="C27" s="129"/>
      <c r="D27" s="129"/>
      <c r="E27" s="129"/>
      <c r="F27" s="129"/>
      <c r="G27" s="129"/>
      <c r="H27" s="129"/>
      <c r="I27" s="129"/>
      <c r="J27" s="129"/>
      <c r="K27" s="129"/>
      <c r="L27" s="129"/>
      <c r="M27" s="129"/>
      <c r="N27" s="129"/>
      <c r="O27" s="129"/>
      <c r="P27" s="129"/>
      <c r="Q27" s="129"/>
    </row>
    <row r="28" spans="1:17" s="17" customFormat="1" x14ac:dyDescent="0.25">
      <c r="A28" s="129"/>
      <c r="B28" s="128"/>
      <c r="C28" s="141" t="s">
        <v>467</v>
      </c>
      <c r="D28" s="129" t="s">
        <v>236</v>
      </c>
      <c r="E28" s="129" t="s">
        <v>209</v>
      </c>
      <c r="F28" s="129" t="s">
        <v>241</v>
      </c>
      <c r="G28" s="129" t="s">
        <v>236</v>
      </c>
      <c r="H28" s="129" t="s">
        <v>209</v>
      </c>
      <c r="I28" s="129" t="s">
        <v>241</v>
      </c>
      <c r="J28" s="129" t="s">
        <v>236</v>
      </c>
      <c r="K28" s="129" t="s">
        <v>209</v>
      </c>
      <c r="L28" s="129" t="s">
        <v>241</v>
      </c>
      <c r="M28" s="129" t="s">
        <v>236</v>
      </c>
      <c r="N28" s="129" t="s">
        <v>209</v>
      </c>
      <c r="O28" s="129" t="s">
        <v>241</v>
      </c>
      <c r="P28" s="130"/>
      <c r="Q28" s="130"/>
    </row>
    <row r="29" spans="1:17" s="17" customFormat="1" x14ac:dyDescent="0.25">
      <c r="A29" s="129"/>
      <c r="B29" s="128"/>
      <c r="C29" s="141" t="s">
        <v>504</v>
      </c>
      <c r="D29" s="129" t="s">
        <v>521</v>
      </c>
      <c r="E29" s="129" t="s">
        <v>521</v>
      </c>
      <c r="F29" s="129" t="s">
        <v>521</v>
      </c>
      <c r="G29" s="129" t="s">
        <v>522</v>
      </c>
      <c r="H29" s="141" t="s">
        <v>522</v>
      </c>
      <c r="I29" s="141" t="s">
        <v>522</v>
      </c>
      <c r="J29" s="129" t="s">
        <v>523</v>
      </c>
      <c r="K29" s="141" t="s">
        <v>523</v>
      </c>
      <c r="L29" s="141" t="s">
        <v>523</v>
      </c>
      <c r="M29" s="137" t="s">
        <v>242</v>
      </c>
      <c r="N29" s="137" t="s">
        <v>242</v>
      </c>
      <c r="O29" s="137" t="s">
        <v>242</v>
      </c>
      <c r="P29" s="130"/>
      <c r="Q29" s="130"/>
    </row>
    <row r="30" spans="1:17" s="17" customFormat="1" x14ac:dyDescent="0.25">
      <c r="A30" s="129"/>
      <c r="B30" s="129"/>
      <c r="C30" s="141" t="s">
        <v>685</v>
      </c>
      <c r="D30" s="129">
        <v>0.36</v>
      </c>
      <c r="E30" s="129">
        <v>0.25</v>
      </c>
      <c r="F30" s="129">
        <v>0.42</v>
      </c>
      <c r="G30" s="129">
        <v>0.46</v>
      </c>
      <c r="H30" s="129">
        <v>0.22</v>
      </c>
      <c r="I30" s="129">
        <v>0.32</v>
      </c>
      <c r="J30" s="129">
        <v>0.41</v>
      </c>
      <c r="K30" s="129">
        <v>0.26</v>
      </c>
      <c r="L30" s="129">
        <v>0.46</v>
      </c>
      <c r="M30" s="129">
        <v>0.45</v>
      </c>
      <c r="N30" s="129">
        <v>0.23</v>
      </c>
      <c r="O30" s="129">
        <v>0.17</v>
      </c>
      <c r="P30" s="130"/>
      <c r="Q30" s="129"/>
    </row>
    <row r="31" spans="1:17" s="17" customFormat="1" x14ac:dyDescent="0.25">
      <c r="B31" s="129"/>
      <c r="C31" s="129" t="s">
        <v>347</v>
      </c>
      <c r="D31" s="129">
        <v>0.47</v>
      </c>
      <c r="E31" s="129">
        <v>0.26</v>
      </c>
      <c r="F31" s="136">
        <v>999</v>
      </c>
      <c r="G31" s="129">
        <v>0.47</v>
      </c>
      <c r="H31" s="129">
        <v>0.26</v>
      </c>
      <c r="I31" s="136">
        <v>999</v>
      </c>
      <c r="J31" s="129">
        <v>0.47</v>
      </c>
      <c r="K31" s="129">
        <v>0.26</v>
      </c>
      <c r="L31" s="136">
        <v>999</v>
      </c>
      <c r="M31" s="129">
        <v>0.45</v>
      </c>
      <c r="N31" s="129">
        <v>0.23</v>
      </c>
      <c r="O31" s="136">
        <v>999</v>
      </c>
    </row>
    <row r="32" spans="1:17" s="17" customFormat="1" x14ac:dyDescent="0.25">
      <c r="B32" s="129" t="s">
        <v>245</v>
      </c>
      <c r="C32" s="129"/>
      <c r="D32" s="129"/>
      <c r="E32" s="129"/>
      <c r="F32" s="129"/>
      <c r="G32" s="129"/>
      <c r="H32" s="129"/>
      <c r="I32" s="129"/>
      <c r="J32" s="129"/>
      <c r="K32" s="129"/>
      <c r="L32" s="129"/>
      <c r="M32" s="129"/>
      <c r="N32" s="129"/>
      <c r="O32" s="129"/>
    </row>
    <row r="33" spans="1:9" s="17" customFormat="1" x14ac:dyDescent="0.25">
      <c r="A33" s="17" t="s">
        <v>250</v>
      </c>
      <c r="B33" s="138"/>
      <c r="C33" s="326" t="s">
        <v>775</v>
      </c>
      <c r="D33" s="138"/>
      <c r="E33" s="138"/>
      <c r="F33" s="138"/>
      <c r="G33" s="138"/>
      <c r="H33" s="138"/>
      <c r="I33" s="138"/>
    </row>
    <row r="34" spans="1:9" s="17" customFormat="1" x14ac:dyDescent="0.25">
      <c r="B34" s="138"/>
      <c r="C34" s="138"/>
      <c r="D34" s="138"/>
      <c r="E34" s="138"/>
      <c r="F34" s="138"/>
      <c r="G34" s="138"/>
      <c r="H34" s="138"/>
      <c r="I34" s="138"/>
    </row>
    <row r="35" spans="1:9" s="17" customFormat="1" x14ac:dyDescent="0.25">
      <c r="B35" s="138"/>
      <c r="C35" s="138"/>
      <c r="D35" s="138"/>
      <c r="E35" s="138"/>
      <c r="F35" s="138"/>
      <c r="G35" s="138"/>
      <c r="H35" s="138"/>
      <c r="I35" s="138"/>
    </row>
    <row r="36" spans="1:9" s="17" customFormat="1" x14ac:dyDescent="0.25">
      <c r="B36" s="138"/>
      <c r="C36" s="138"/>
      <c r="D36" s="138"/>
      <c r="E36" s="138"/>
      <c r="F36" s="138"/>
      <c r="G36" s="138"/>
      <c r="H36" s="138"/>
      <c r="I36" s="138"/>
    </row>
    <row r="37" spans="1:9" s="17" customFormat="1" x14ac:dyDescent="0.25">
      <c r="B37" s="138"/>
      <c r="C37" s="138"/>
      <c r="D37" s="138"/>
      <c r="E37" s="138"/>
      <c r="F37" s="138"/>
      <c r="G37" s="138"/>
      <c r="H37" s="138"/>
      <c r="I37" s="138"/>
    </row>
    <row r="38" spans="1:9" s="17" customFormat="1" x14ac:dyDescent="0.25">
      <c r="B38" s="138"/>
      <c r="C38" s="138"/>
      <c r="D38" s="138"/>
      <c r="E38" s="138"/>
      <c r="F38" s="138"/>
      <c r="G38" s="138"/>
      <c r="H38" s="138"/>
      <c r="I38" s="138"/>
    </row>
    <row r="39" spans="1:9" x14ac:dyDescent="0.25">
      <c r="B39" s="138"/>
      <c r="C39" s="138"/>
      <c r="D39" s="138"/>
      <c r="E39" s="138"/>
      <c r="F39" s="138"/>
      <c r="G39" s="138"/>
      <c r="H39" s="138"/>
      <c r="I39" s="138"/>
    </row>
    <row r="50" spans="2:10" x14ac:dyDescent="0.25">
      <c r="B50" s="126"/>
      <c r="C50" s="126"/>
      <c r="D50" s="126"/>
      <c r="E50" s="126"/>
      <c r="F50" s="126"/>
      <c r="G50" s="126"/>
      <c r="H50" s="126"/>
      <c r="I50" s="126"/>
      <c r="J50" s="126"/>
    </row>
    <row r="56" spans="2:10" x14ac:dyDescent="0.25">
      <c r="J56" s="39"/>
    </row>
    <row r="60" spans="2:10" x14ac:dyDescent="0.25">
      <c r="B60" s="128"/>
      <c r="C60" s="126"/>
      <c r="D60" s="126"/>
      <c r="E60" s="126"/>
      <c r="F60" s="126"/>
      <c r="G60" s="126"/>
      <c r="H60" s="126"/>
      <c r="I60" s="126"/>
      <c r="J60" s="126"/>
    </row>
    <row r="62" spans="2:10" x14ac:dyDescent="0.25">
      <c r="D62" s="127"/>
      <c r="E62" s="127"/>
      <c r="F62" s="127"/>
      <c r="G62" s="127"/>
      <c r="H62" s="127"/>
    </row>
    <row r="66" spans="2:8" x14ac:dyDescent="0.25">
      <c r="B66" s="2"/>
    </row>
    <row r="67" spans="2:8" x14ac:dyDescent="0.25">
      <c r="D67" s="1"/>
      <c r="E67" s="1"/>
      <c r="F67" s="1"/>
      <c r="G67" s="1"/>
      <c r="H67" s="1"/>
    </row>
    <row r="81" spans="3:3" x14ac:dyDescent="0.25">
      <c r="C81" s="132"/>
    </row>
    <row r="82" spans="3:3" x14ac:dyDescent="0.25">
      <c r="C82" s="132"/>
    </row>
    <row r="86" spans="3:3" x14ac:dyDescent="0.25">
      <c r="C86" s="20"/>
    </row>
    <row r="87" spans="3:3" x14ac:dyDescent="0.25">
      <c r="C87" s="20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B5AA5-4292-47E0-AB06-8E1C5F26267B}">
  <sheetPr codeName="Sheet31">
    <tabColor theme="8" tint="0.39997558519241921"/>
  </sheetPr>
  <dimension ref="A1:R106"/>
  <sheetViews>
    <sheetView zoomScaleNormal="100" workbookViewId="0">
      <selection activeCell="B1" sqref="B1"/>
    </sheetView>
  </sheetViews>
  <sheetFormatPr defaultRowHeight="15" x14ac:dyDescent="0.25"/>
  <cols>
    <col min="1" max="1" width="2.140625" style="138" customWidth="1"/>
    <col min="2" max="2" width="3.28515625" style="138" customWidth="1"/>
    <col min="3" max="3" width="17" style="138" customWidth="1"/>
    <col min="4" max="4" width="17.5703125" style="138" customWidth="1"/>
    <col min="5" max="12" width="12.7109375" style="138" customWidth="1"/>
    <col min="13" max="15" width="11.28515625" style="138" bestFit="1" customWidth="1"/>
    <col min="16" max="16" width="11.7109375" style="138" customWidth="1"/>
    <col min="17" max="17" width="9.140625" style="138" customWidth="1"/>
    <col min="18" max="16384" width="9.140625" style="138"/>
  </cols>
  <sheetData>
    <row r="1" spans="1:5" x14ac:dyDescent="0.25">
      <c r="A1" s="138" t="s">
        <v>250</v>
      </c>
      <c r="B1" s="138" t="s">
        <v>1202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502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41186</v>
      </c>
      <c r="D8" s="145" t="s">
        <v>386</v>
      </c>
      <c r="E8" s="138" t="s">
        <v>265</v>
      </c>
    </row>
    <row r="9" spans="1:5" x14ac:dyDescent="0.25">
      <c r="A9" s="138" t="s">
        <v>250</v>
      </c>
      <c r="B9" s="141"/>
      <c r="C9" s="144">
        <v>41203</v>
      </c>
      <c r="D9" s="145" t="s">
        <v>386</v>
      </c>
      <c r="E9" s="138" t="s">
        <v>385</v>
      </c>
    </row>
    <row r="10" spans="1:5" x14ac:dyDescent="0.25">
      <c r="A10" s="138" t="s">
        <v>250</v>
      </c>
      <c r="B10" s="141"/>
      <c r="C10" s="144">
        <v>41217</v>
      </c>
      <c r="D10" s="145" t="s">
        <v>410</v>
      </c>
      <c r="E10" s="138" t="s">
        <v>503</v>
      </c>
    </row>
    <row r="11" spans="1:5" x14ac:dyDescent="0.25">
      <c r="A11" s="138" t="s">
        <v>250</v>
      </c>
      <c r="B11" s="141"/>
      <c r="C11" s="144">
        <v>44526</v>
      </c>
      <c r="D11" s="145" t="s">
        <v>1192</v>
      </c>
      <c r="E11" s="138" t="s">
        <v>1198</v>
      </c>
    </row>
    <row r="12" spans="1:5" x14ac:dyDescent="0.25">
      <c r="A12" s="138" t="s">
        <v>250</v>
      </c>
      <c r="B12" s="141"/>
      <c r="C12" s="144"/>
    </row>
    <row r="13" spans="1:5" x14ac:dyDescent="0.25">
      <c r="A13" s="138" t="s">
        <v>250</v>
      </c>
      <c r="B13" s="138" t="s">
        <v>358</v>
      </c>
    </row>
    <row r="14" spans="1:5" x14ac:dyDescent="0.25">
      <c r="A14" s="138" t="s">
        <v>250</v>
      </c>
      <c r="C14" s="138" t="s">
        <v>367</v>
      </c>
    </row>
    <row r="15" spans="1:5" x14ac:dyDescent="0.25">
      <c r="A15" s="138" t="s">
        <v>250</v>
      </c>
      <c r="C15" s="138" t="s">
        <v>366</v>
      </c>
    </row>
    <row r="16" spans="1:5" x14ac:dyDescent="0.25">
      <c r="A16" s="138" t="s">
        <v>250</v>
      </c>
      <c r="C16" s="138" t="s">
        <v>371</v>
      </c>
    </row>
    <row r="17" spans="1:17" x14ac:dyDescent="0.25">
      <c r="A17" s="138" t="s">
        <v>250</v>
      </c>
    </row>
    <row r="18" spans="1:17" x14ac:dyDescent="0.25">
      <c r="A18" s="138" t="s">
        <v>250</v>
      </c>
      <c r="B18" s="138" t="s">
        <v>355</v>
      </c>
    </row>
    <row r="19" spans="1:17" x14ac:dyDescent="0.25">
      <c r="A19" s="138" t="s">
        <v>250</v>
      </c>
      <c r="C19" s="138" t="s">
        <v>287</v>
      </c>
    </row>
    <row r="20" spans="1:17" x14ac:dyDescent="0.25">
      <c r="A20" s="138" t="s">
        <v>250</v>
      </c>
    </row>
    <row r="21" spans="1:17" x14ac:dyDescent="0.25">
      <c r="A21" s="138" t="s">
        <v>250</v>
      </c>
      <c r="B21" s="138" t="s">
        <v>354</v>
      </c>
    </row>
    <row r="22" spans="1:17" x14ac:dyDescent="0.25">
      <c r="A22" s="138" t="s">
        <v>250</v>
      </c>
      <c r="C22" s="146" t="s">
        <v>376</v>
      </c>
    </row>
    <row r="23" spans="1:17" x14ac:dyDescent="0.25">
      <c r="A23" s="138" t="s">
        <v>250</v>
      </c>
      <c r="C23" s="138" t="s">
        <v>261</v>
      </c>
      <c r="D23" s="142"/>
      <c r="E23" s="142"/>
      <c r="F23" s="142"/>
      <c r="G23" s="142"/>
      <c r="H23" s="142"/>
    </row>
    <row r="24" spans="1:17" x14ac:dyDescent="0.25">
      <c r="A24" s="138" t="s">
        <v>250</v>
      </c>
      <c r="C24" s="138" t="s">
        <v>260</v>
      </c>
    </row>
    <row r="25" spans="1:17" x14ac:dyDescent="0.25">
      <c r="A25" s="138" t="s">
        <v>250</v>
      </c>
      <c r="C25" s="138" t="s">
        <v>259</v>
      </c>
    </row>
    <row r="26" spans="1:17" x14ac:dyDescent="0.25">
      <c r="A26" s="138" t="s">
        <v>250</v>
      </c>
    </row>
    <row r="27" spans="1:17" x14ac:dyDescent="0.25">
      <c r="A27" s="138" t="s">
        <v>365</v>
      </c>
    </row>
    <row r="28" spans="1:17" s="141" customFormat="1" x14ac:dyDescent="0.25">
      <c r="B28" s="140" t="s">
        <v>520</v>
      </c>
    </row>
    <row r="29" spans="1:17" s="141" customFormat="1" x14ac:dyDescent="0.25">
      <c r="B29" s="140"/>
      <c r="C29" s="141" t="s">
        <v>1199</v>
      </c>
      <c r="D29" s="141" t="s">
        <v>680</v>
      </c>
      <c r="E29" s="141" t="s">
        <v>467</v>
      </c>
      <c r="F29" s="141" t="s">
        <v>236</v>
      </c>
      <c r="G29" s="141" t="s">
        <v>209</v>
      </c>
      <c r="H29" s="141" t="s">
        <v>241</v>
      </c>
      <c r="I29" s="141" t="s">
        <v>236</v>
      </c>
      <c r="J29" s="141" t="s">
        <v>209</v>
      </c>
      <c r="K29" s="141" t="s">
        <v>241</v>
      </c>
      <c r="L29" s="141" t="s">
        <v>236</v>
      </c>
      <c r="M29" s="141" t="s">
        <v>209</v>
      </c>
      <c r="N29" s="141" t="s">
        <v>241</v>
      </c>
      <c r="O29" s="141" t="s">
        <v>236</v>
      </c>
      <c r="P29" s="141" t="s">
        <v>209</v>
      </c>
      <c r="Q29" s="141" t="s">
        <v>241</v>
      </c>
    </row>
    <row r="30" spans="1:17" s="141" customFormat="1" ht="30" x14ac:dyDescent="0.25">
      <c r="B30" s="140"/>
      <c r="C30" s="141" t="s">
        <v>504</v>
      </c>
      <c r="F30" s="141" t="s">
        <v>521</v>
      </c>
      <c r="G30" s="141" t="s">
        <v>521</v>
      </c>
      <c r="H30" s="141" t="s">
        <v>521</v>
      </c>
      <c r="I30" s="141" t="s">
        <v>522</v>
      </c>
      <c r="J30" s="141" t="s">
        <v>522</v>
      </c>
      <c r="K30" s="141" t="s">
        <v>522</v>
      </c>
      <c r="L30" s="141" t="s">
        <v>523</v>
      </c>
      <c r="M30" s="141" t="s">
        <v>523</v>
      </c>
      <c r="N30" s="141" t="s">
        <v>523</v>
      </c>
      <c r="O30" s="137" t="s">
        <v>242</v>
      </c>
      <c r="P30" s="137" t="s">
        <v>242</v>
      </c>
      <c r="Q30" s="137" t="s">
        <v>242</v>
      </c>
    </row>
    <row r="31" spans="1:17" s="141" customFormat="1" x14ac:dyDescent="0.25">
      <c r="B31" s="140"/>
      <c r="C31" s="141">
        <v>2022</v>
      </c>
      <c r="D31" s="141">
        <v>1</v>
      </c>
      <c r="E31" s="141" t="s">
        <v>685</v>
      </c>
      <c r="F31" s="141">
        <v>0.36</v>
      </c>
      <c r="G31" s="141">
        <v>0.25</v>
      </c>
      <c r="H31" s="141">
        <v>0.42</v>
      </c>
      <c r="I31" s="141">
        <v>0.46</v>
      </c>
      <c r="J31" s="141">
        <v>0.22</v>
      </c>
      <c r="K31" s="141">
        <v>0.32</v>
      </c>
      <c r="L31" s="141">
        <v>0.38</v>
      </c>
      <c r="M31" s="141">
        <v>0.25</v>
      </c>
      <c r="N31" s="141">
        <v>0.46</v>
      </c>
      <c r="O31" s="141">
        <v>0.45</v>
      </c>
      <c r="P31" s="141">
        <v>0.23</v>
      </c>
      <c r="Q31" s="141">
        <v>0.17</v>
      </c>
    </row>
    <row r="32" spans="1:17" s="141" customFormat="1" x14ac:dyDescent="0.25">
      <c r="B32" s="140"/>
      <c r="C32" s="141">
        <v>2022</v>
      </c>
      <c r="D32" s="141">
        <f>D31+1</f>
        <v>2</v>
      </c>
      <c r="E32" s="141" t="s">
        <v>685</v>
      </c>
      <c r="F32" s="141">
        <v>0.36</v>
      </c>
      <c r="G32" s="141">
        <v>0.25</v>
      </c>
      <c r="H32" s="141">
        <v>0.42</v>
      </c>
      <c r="I32" s="141">
        <v>0.46</v>
      </c>
      <c r="J32" s="141">
        <v>0.22</v>
      </c>
      <c r="K32" s="141">
        <v>0.32</v>
      </c>
      <c r="L32" s="141">
        <v>0.41</v>
      </c>
      <c r="M32" s="141">
        <v>0.26</v>
      </c>
      <c r="N32" s="141">
        <v>0.46</v>
      </c>
      <c r="O32" s="141">
        <v>0.45</v>
      </c>
      <c r="P32" s="141">
        <v>0.23</v>
      </c>
      <c r="Q32" s="141">
        <v>0.17</v>
      </c>
    </row>
    <row r="33" spans="3:17" s="141" customFormat="1" x14ac:dyDescent="0.25">
      <c r="C33" s="141">
        <v>2022</v>
      </c>
      <c r="D33" s="141">
        <f t="shared" ref="D33:D46" si="0">D32+1</f>
        <v>3</v>
      </c>
      <c r="E33" s="141" t="s">
        <v>685</v>
      </c>
      <c r="F33" s="141">
        <v>0.36</v>
      </c>
      <c r="G33" s="141">
        <v>0.25</v>
      </c>
      <c r="H33" s="141">
        <v>0.42</v>
      </c>
      <c r="I33" s="141">
        <v>0.46</v>
      </c>
      <c r="J33" s="141">
        <v>0.22</v>
      </c>
      <c r="K33" s="141">
        <v>0.32</v>
      </c>
      <c r="L33" s="141">
        <v>0.41</v>
      </c>
      <c r="M33" s="141">
        <v>0.26</v>
      </c>
      <c r="N33" s="141">
        <v>0.46</v>
      </c>
      <c r="O33" s="141">
        <v>0.45</v>
      </c>
      <c r="P33" s="141">
        <v>0.23</v>
      </c>
      <c r="Q33" s="141">
        <v>0.17</v>
      </c>
    </row>
    <row r="34" spans="3:17" s="141" customFormat="1" x14ac:dyDescent="0.25">
      <c r="C34" s="141">
        <v>2022</v>
      </c>
      <c r="D34" s="141">
        <f t="shared" si="0"/>
        <v>4</v>
      </c>
      <c r="E34" s="141" t="s">
        <v>685</v>
      </c>
      <c r="F34" s="141">
        <v>0.36</v>
      </c>
      <c r="G34" s="141">
        <v>0.25</v>
      </c>
      <c r="H34" s="141">
        <v>0.42</v>
      </c>
      <c r="I34" s="141">
        <v>0.46</v>
      </c>
      <c r="J34" s="141">
        <v>0.22</v>
      </c>
      <c r="K34" s="141">
        <v>0.32</v>
      </c>
      <c r="L34" s="141">
        <v>0.41</v>
      </c>
      <c r="M34" s="141">
        <v>0.26</v>
      </c>
      <c r="N34" s="141">
        <v>0.46</v>
      </c>
      <c r="O34" s="141">
        <v>0.45</v>
      </c>
      <c r="P34" s="141">
        <v>0.23</v>
      </c>
      <c r="Q34" s="141">
        <v>0.17</v>
      </c>
    </row>
    <row r="35" spans="3:17" s="141" customFormat="1" x14ac:dyDescent="0.25">
      <c r="C35" s="141">
        <v>2022</v>
      </c>
      <c r="D35" s="141">
        <f t="shared" si="0"/>
        <v>5</v>
      </c>
      <c r="E35" s="141" t="s">
        <v>685</v>
      </c>
      <c r="F35" s="141">
        <v>0.36</v>
      </c>
      <c r="G35" s="141">
        <v>0.25</v>
      </c>
      <c r="H35" s="141">
        <v>0.42</v>
      </c>
      <c r="I35" s="141">
        <v>0.46</v>
      </c>
      <c r="J35" s="141">
        <v>0.22</v>
      </c>
      <c r="K35" s="141">
        <v>0.32</v>
      </c>
      <c r="L35" s="141">
        <v>0.41</v>
      </c>
      <c r="M35" s="141">
        <v>0.26</v>
      </c>
      <c r="N35" s="141">
        <v>0.46</v>
      </c>
      <c r="O35" s="141">
        <v>0.45</v>
      </c>
      <c r="P35" s="141">
        <v>0.23</v>
      </c>
      <c r="Q35" s="141">
        <v>0.17</v>
      </c>
    </row>
    <row r="36" spans="3:17" s="141" customFormat="1" x14ac:dyDescent="0.25">
      <c r="C36" s="141">
        <v>2022</v>
      </c>
      <c r="D36" s="141">
        <f t="shared" si="0"/>
        <v>6</v>
      </c>
      <c r="E36" s="141" t="s">
        <v>685</v>
      </c>
      <c r="F36" s="141">
        <v>0.36</v>
      </c>
      <c r="G36" s="141">
        <v>0.25</v>
      </c>
      <c r="H36" s="141">
        <v>0.42</v>
      </c>
      <c r="I36" s="141">
        <v>0.46</v>
      </c>
      <c r="J36" s="141">
        <v>0.22</v>
      </c>
      <c r="K36" s="141">
        <v>0.32</v>
      </c>
      <c r="L36" s="141">
        <v>0.41</v>
      </c>
      <c r="M36" s="141">
        <v>0.26</v>
      </c>
      <c r="N36" s="141">
        <v>0.46</v>
      </c>
      <c r="O36" s="141">
        <v>0.45</v>
      </c>
      <c r="P36" s="141">
        <v>0.23</v>
      </c>
      <c r="Q36" s="141">
        <v>0.17</v>
      </c>
    </row>
    <row r="37" spans="3:17" s="141" customFormat="1" x14ac:dyDescent="0.25">
      <c r="C37" s="141">
        <v>2022</v>
      </c>
      <c r="D37" s="141">
        <f t="shared" si="0"/>
        <v>7</v>
      </c>
      <c r="E37" s="141" t="s">
        <v>685</v>
      </c>
      <c r="F37" s="141">
        <v>0.36</v>
      </c>
      <c r="G37" s="141">
        <v>0.25</v>
      </c>
      <c r="H37" s="141">
        <v>0.42</v>
      </c>
      <c r="I37" s="141">
        <v>0.46</v>
      </c>
      <c r="J37" s="141">
        <v>0.22</v>
      </c>
      <c r="K37" s="141">
        <v>0.32</v>
      </c>
      <c r="L37" s="141">
        <v>0.38</v>
      </c>
      <c r="M37" s="141">
        <v>0.25</v>
      </c>
      <c r="N37" s="141">
        <v>0.46</v>
      </c>
      <c r="O37" s="141">
        <v>0.45</v>
      </c>
      <c r="P37" s="141">
        <v>0.23</v>
      </c>
      <c r="Q37" s="141">
        <v>0.17</v>
      </c>
    </row>
    <row r="38" spans="3:17" s="141" customFormat="1" x14ac:dyDescent="0.25">
      <c r="C38" s="141">
        <v>2022</v>
      </c>
      <c r="D38" s="141">
        <f t="shared" si="0"/>
        <v>8</v>
      </c>
      <c r="E38" s="141" t="s">
        <v>685</v>
      </c>
      <c r="F38" s="141">
        <v>0.36</v>
      </c>
      <c r="G38" s="141">
        <v>0.25</v>
      </c>
      <c r="H38" s="141">
        <v>0.42</v>
      </c>
      <c r="I38" s="141">
        <v>0.46</v>
      </c>
      <c r="J38" s="141">
        <v>0.22</v>
      </c>
      <c r="K38" s="141">
        <v>0.32</v>
      </c>
      <c r="L38" s="141">
        <v>0.41</v>
      </c>
      <c r="M38" s="141">
        <v>0.26</v>
      </c>
      <c r="N38" s="141">
        <v>0.46</v>
      </c>
      <c r="O38" s="141">
        <v>0.45</v>
      </c>
      <c r="P38" s="141">
        <v>0.23</v>
      </c>
      <c r="Q38" s="141">
        <v>0.17</v>
      </c>
    </row>
    <row r="39" spans="3:17" s="141" customFormat="1" x14ac:dyDescent="0.25">
      <c r="C39" s="141">
        <v>2022</v>
      </c>
      <c r="D39" s="141">
        <f t="shared" si="0"/>
        <v>9</v>
      </c>
      <c r="E39" s="141" t="s">
        <v>685</v>
      </c>
      <c r="F39" s="141">
        <v>0.34</v>
      </c>
      <c r="G39" s="141">
        <v>0.22</v>
      </c>
      <c r="H39" s="141">
        <v>0.42</v>
      </c>
      <c r="I39" s="141">
        <v>0.46</v>
      </c>
      <c r="J39" s="141">
        <v>0.22</v>
      </c>
      <c r="K39" s="141">
        <v>0.32</v>
      </c>
      <c r="L39" s="141">
        <v>0.41</v>
      </c>
      <c r="M39" s="141">
        <v>0.26</v>
      </c>
      <c r="N39" s="141">
        <v>0.46</v>
      </c>
      <c r="O39" s="141">
        <v>0.45</v>
      </c>
      <c r="P39" s="141">
        <v>0.23</v>
      </c>
      <c r="Q39" s="141">
        <v>0.17</v>
      </c>
    </row>
    <row r="40" spans="3:17" s="141" customFormat="1" x14ac:dyDescent="0.25">
      <c r="C40" s="141">
        <v>2022</v>
      </c>
      <c r="D40" s="141">
        <f t="shared" si="0"/>
        <v>10</v>
      </c>
      <c r="E40" s="141" t="s">
        <v>685</v>
      </c>
      <c r="F40" s="141">
        <v>0.36</v>
      </c>
      <c r="G40" s="141">
        <v>0.25</v>
      </c>
      <c r="H40" s="141">
        <v>0.42</v>
      </c>
      <c r="I40" s="141">
        <v>0.46</v>
      </c>
      <c r="J40" s="141">
        <v>0.22</v>
      </c>
      <c r="K40" s="141">
        <v>0.32</v>
      </c>
      <c r="L40" s="141">
        <v>0.41</v>
      </c>
      <c r="M40" s="141">
        <v>0.26</v>
      </c>
      <c r="N40" s="141">
        <v>0.46</v>
      </c>
      <c r="O40" s="141">
        <v>0.45</v>
      </c>
      <c r="P40" s="141">
        <v>0.23</v>
      </c>
      <c r="Q40" s="141">
        <v>0.17</v>
      </c>
    </row>
    <row r="41" spans="3:17" s="141" customFormat="1" x14ac:dyDescent="0.25">
      <c r="C41" s="141">
        <v>2022</v>
      </c>
      <c r="D41" s="141">
        <f t="shared" si="0"/>
        <v>11</v>
      </c>
      <c r="E41" s="141" t="s">
        <v>685</v>
      </c>
      <c r="F41" s="141">
        <v>0.34</v>
      </c>
      <c r="G41" s="141">
        <v>0.22</v>
      </c>
      <c r="H41" s="141">
        <v>0.42</v>
      </c>
      <c r="I41" s="141">
        <v>0.46</v>
      </c>
      <c r="J41" s="141">
        <v>0.22</v>
      </c>
      <c r="K41" s="141">
        <v>0.32</v>
      </c>
      <c r="L41" s="141">
        <v>0.41</v>
      </c>
      <c r="M41" s="141">
        <v>0.26</v>
      </c>
      <c r="N41" s="141">
        <v>0.46</v>
      </c>
      <c r="O41" s="141">
        <v>0.45</v>
      </c>
      <c r="P41" s="141">
        <v>0.23</v>
      </c>
      <c r="Q41" s="141">
        <v>0.17</v>
      </c>
    </row>
    <row r="42" spans="3:17" s="141" customFormat="1" x14ac:dyDescent="0.25">
      <c r="C42" s="141">
        <v>2022</v>
      </c>
      <c r="D42" s="141">
        <f t="shared" si="0"/>
        <v>12</v>
      </c>
      <c r="E42" s="141" t="s">
        <v>685</v>
      </c>
      <c r="F42" s="141">
        <v>0.34</v>
      </c>
      <c r="G42" s="141">
        <v>0.22</v>
      </c>
      <c r="H42" s="141">
        <v>0.42</v>
      </c>
      <c r="I42" s="141">
        <v>0.46</v>
      </c>
      <c r="J42" s="141">
        <v>0.22</v>
      </c>
      <c r="K42" s="141">
        <v>0.32</v>
      </c>
      <c r="L42" s="141">
        <v>0.41</v>
      </c>
      <c r="M42" s="141">
        <v>0.26</v>
      </c>
      <c r="N42" s="141">
        <v>0.46</v>
      </c>
      <c r="O42" s="141">
        <v>0.45</v>
      </c>
      <c r="P42" s="141">
        <v>0.23</v>
      </c>
      <c r="Q42" s="141">
        <v>0.17</v>
      </c>
    </row>
    <row r="43" spans="3:17" s="141" customFormat="1" x14ac:dyDescent="0.25">
      <c r="C43" s="141">
        <v>2022</v>
      </c>
      <c r="D43" s="141">
        <f t="shared" si="0"/>
        <v>13</v>
      </c>
      <c r="E43" s="141" t="s">
        <v>685</v>
      </c>
      <c r="F43" s="141">
        <v>0.34</v>
      </c>
      <c r="G43" s="141">
        <v>0.22</v>
      </c>
      <c r="H43" s="141">
        <v>0.42</v>
      </c>
      <c r="I43" s="141">
        <v>0.46</v>
      </c>
      <c r="J43" s="141">
        <v>0.22</v>
      </c>
      <c r="K43" s="141">
        <v>0.32</v>
      </c>
      <c r="L43" s="141">
        <v>0.41</v>
      </c>
      <c r="M43" s="141">
        <v>0.26</v>
      </c>
      <c r="N43" s="141">
        <v>0.46</v>
      </c>
      <c r="O43" s="141">
        <v>0.45</v>
      </c>
      <c r="P43" s="141">
        <v>0.23</v>
      </c>
      <c r="Q43" s="141">
        <v>0.17</v>
      </c>
    </row>
    <row r="44" spans="3:17" s="141" customFormat="1" x14ac:dyDescent="0.25">
      <c r="C44" s="141">
        <v>2022</v>
      </c>
      <c r="D44" s="141">
        <f t="shared" si="0"/>
        <v>14</v>
      </c>
      <c r="E44" s="141" t="s">
        <v>685</v>
      </c>
      <c r="F44" s="141">
        <v>0.34</v>
      </c>
      <c r="G44" s="141">
        <v>0.22</v>
      </c>
      <c r="H44" s="141">
        <v>0.42</v>
      </c>
      <c r="I44" s="141">
        <v>0.46</v>
      </c>
      <c r="J44" s="141">
        <v>0.22</v>
      </c>
      <c r="K44" s="141">
        <v>0.32</v>
      </c>
      <c r="L44" s="141">
        <v>0.41</v>
      </c>
      <c r="M44" s="141">
        <v>0.26</v>
      </c>
      <c r="N44" s="141">
        <v>0.46</v>
      </c>
      <c r="O44" s="141">
        <v>0.45</v>
      </c>
      <c r="P44" s="141">
        <v>0.23</v>
      </c>
      <c r="Q44" s="141">
        <v>0.17</v>
      </c>
    </row>
    <row r="45" spans="3:17" s="141" customFormat="1" x14ac:dyDescent="0.25">
      <c r="C45" s="141">
        <v>2022</v>
      </c>
      <c r="D45" s="141">
        <f t="shared" si="0"/>
        <v>15</v>
      </c>
      <c r="E45" s="141" t="s">
        <v>685</v>
      </c>
      <c r="F45" s="141">
        <v>0.34</v>
      </c>
      <c r="G45" s="141">
        <v>0.22</v>
      </c>
      <c r="H45" s="141">
        <v>0.42</v>
      </c>
      <c r="I45" s="141">
        <v>0.46</v>
      </c>
      <c r="J45" s="141">
        <v>0.22</v>
      </c>
      <c r="K45" s="141">
        <v>0.32</v>
      </c>
      <c r="L45" s="141">
        <v>0.41</v>
      </c>
      <c r="M45" s="141">
        <v>0.26</v>
      </c>
      <c r="N45" s="141">
        <v>0.46</v>
      </c>
      <c r="O45" s="141">
        <v>0.45</v>
      </c>
      <c r="P45" s="141">
        <v>0.23</v>
      </c>
      <c r="Q45" s="141">
        <v>0.17</v>
      </c>
    </row>
    <row r="46" spans="3:17" s="141" customFormat="1" x14ac:dyDescent="0.25">
      <c r="C46" s="141">
        <v>2022</v>
      </c>
      <c r="D46" s="141">
        <f t="shared" si="0"/>
        <v>16</v>
      </c>
      <c r="E46" s="141" t="s">
        <v>685</v>
      </c>
      <c r="F46" s="141">
        <v>0.36</v>
      </c>
      <c r="G46" s="141">
        <v>0.25</v>
      </c>
      <c r="H46" s="141">
        <v>0.42</v>
      </c>
      <c r="I46" s="141">
        <v>0.46</v>
      </c>
      <c r="J46" s="141">
        <v>0.22</v>
      </c>
      <c r="K46" s="141">
        <v>0.32</v>
      </c>
      <c r="L46" s="141">
        <v>0.41</v>
      </c>
      <c r="M46" s="141">
        <v>0.26</v>
      </c>
      <c r="N46" s="141">
        <v>0.46</v>
      </c>
      <c r="O46" s="141">
        <v>0.45</v>
      </c>
      <c r="P46" s="141">
        <v>0.23</v>
      </c>
      <c r="Q46" s="141">
        <v>0.17</v>
      </c>
    </row>
    <row r="47" spans="3:17" s="141" customFormat="1" x14ac:dyDescent="0.25">
      <c r="C47" s="141">
        <v>2022</v>
      </c>
      <c r="D47" s="141" t="s">
        <v>348</v>
      </c>
      <c r="E47" s="141" t="s">
        <v>1200</v>
      </c>
      <c r="F47" s="141">
        <v>0.36</v>
      </c>
      <c r="G47" s="141">
        <v>0.25</v>
      </c>
      <c r="H47" s="141">
        <v>0.42</v>
      </c>
      <c r="I47" s="141">
        <v>0.46</v>
      </c>
      <c r="J47" s="141">
        <v>0.22</v>
      </c>
      <c r="K47" s="141">
        <v>0.32</v>
      </c>
      <c r="L47" s="141">
        <v>0.41</v>
      </c>
      <c r="M47" s="141">
        <v>0.26</v>
      </c>
      <c r="N47" s="141">
        <v>0.46</v>
      </c>
      <c r="O47" s="141">
        <v>0.45</v>
      </c>
      <c r="P47" s="141">
        <v>0.23</v>
      </c>
      <c r="Q47" s="141">
        <v>0.17</v>
      </c>
    </row>
    <row r="48" spans="3:17" s="141" customFormat="1" x14ac:dyDescent="0.25">
      <c r="C48" s="141">
        <v>2022</v>
      </c>
      <c r="D48" s="141" t="s">
        <v>348</v>
      </c>
      <c r="E48" s="141" t="s">
        <v>347</v>
      </c>
      <c r="F48" s="141">
        <v>0.47</v>
      </c>
      <c r="G48" s="141">
        <v>0.26</v>
      </c>
      <c r="H48" s="147">
        <v>999</v>
      </c>
      <c r="I48" s="141">
        <v>0.47</v>
      </c>
      <c r="J48" s="141">
        <v>0.26</v>
      </c>
      <c r="K48" s="147">
        <v>999</v>
      </c>
      <c r="L48" s="141">
        <v>0.47</v>
      </c>
      <c r="M48" s="141">
        <v>0.26</v>
      </c>
      <c r="N48" s="147">
        <v>999</v>
      </c>
      <c r="O48" s="141">
        <v>0.45</v>
      </c>
      <c r="P48" s="141">
        <v>0.23</v>
      </c>
      <c r="Q48" s="147">
        <v>999</v>
      </c>
    </row>
    <row r="49" spans="1:18" s="141" customFormat="1" x14ac:dyDescent="0.25">
      <c r="C49" s="141" t="s">
        <v>348</v>
      </c>
      <c r="D49" s="141" t="s">
        <v>348</v>
      </c>
      <c r="E49" s="141" t="s">
        <v>685</v>
      </c>
      <c r="F49" s="141">
        <v>0.36</v>
      </c>
      <c r="G49" s="141">
        <v>0.25</v>
      </c>
      <c r="H49" s="141">
        <v>0.42</v>
      </c>
      <c r="I49" s="141">
        <v>0.46</v>
      </c>
      <c r="J49" s="141">
        <v>0.22</v>
      </c>
      <c r="K49" s="141">
        <v>0.32</v>
      </c>
      <c r="L49" s="141">
        <v>0.41</v>
      </c>
      <c r="M49" s="141">
        <v>0.26</v>
      </c>
      <c r="N49" s="141">
        <v>0.46</v>
      </c>
      <c r="O49" s="141">
        <v>0.45</v>
      </c>
      <c r="P49" s="141">
        <v>0.23</v>
      </c>
      <c r="Q49" s="141">
        <v>0.17</v>
      </c>
      <c r="R49" s="141" t="s">
        <v>1201</v>
      </c>
    </row>
    <row r="50" spans="1:18" s="141" customFormat="1" x14ac:dyDescent="0.25">
      <c r="C50" s="141" t="s">
        <v>348</v>
      </c>
      <c r="D50" s="141" t="s">
        <v>348</v>
      </c>
      <c r="E50" s="141" t="s">
        <v>347</v>
      </c>
      <c r="F50" s="141">
        <v>0.47</v>
      </c>
      <c r="G50" s="141">
        <v>0.26</v>
      </c>
      <c r="H50" s="147">
        <v>999</v>
      </c>
      <c r="I50" s="141">
        <v>0.47</v>
      </c>
      <c r="J50" s="141">
        <v>0.26</v>
      </c>
      <c r="K50" s="147">
        <v>999</v>
      </c>
      <c r="L50" s="141">
        <v>0.47</v>
      </c>
      <c r="M50" s="141">
        <v>0.26</v>
      </c>
      <c r="N50" s="147">
        <v>999</v>
      </c>
      <c r="O50" s="141">
        <v>0.45</v>
      </c>
      <c r="P50" s="141">
        <v>0.23</v>
      </c>
      <c r="Q50" s="147">
        <v>999</v>
      </c>
      <c r="R50" s="141" t="s">
        <v>1201</v>
      </c>
    </row>
    <row r="51" spans="1:18" s="141" customFormat="1" x14ac:dyDescent="0.25">
      <c r="B51" s="141" t="s">
        <v>245</v>
      </c>
    </row>
    <row r="52" spans="1:18" s="141" customFormat="1" x14ac:dyDescent="0.25">
      <c r="A52" s="141" t="s">
        <v>250</v>
      </c>
      <c r="B52" s="138"/>
      <c r="C52" s="326" t="s">
        <v>775</v>
      </c>
      <c r="D52" s="138"/>
      <c r="E52" s="138"/>
      <c r="F52" s="138"/>
      <c r="G52" s="138"/>
      <c r="H52" s="138"/>
      <c r="I52" s="138"/>
    </row>
    <row r="53" spans="1:18" s="141" customFormat="1" x14ac:dyDescent="0.25">
      <c r="B53" s="138"/>
      <c r="C53" s="138"/>
      <c r="D53" s="138"/>
      <c r="E53" s="138"/>
      <c r="F53" s="138"/>
      <c r="G53" s="138"/>
      <c r="H53" s="138"/>
      <c r="I53" s="138"/>
    </row>
    <row r="54" spans="1:18" s="141" customFormat="1" x14ac:dyDescent="0.25">
      <c r="B54" s="138"/>
    </row>
    <row r="55" spans="1:18" s="141" customFormat="1" x14ac:dyDescent="0.25">
      <c r="B55" s="138"/>
    </row>
    <row r="56" spans="1:18" s="141" customFormat="1" x14ac:dyDescent="0.25">
      <c r="B56" s="138"/>
      <c r="C56" s="138"/>
      <c r="D56" s="138"/>
      <c r="E56" s="138"/>
      <c r="F56" s="138"/>
      <c r="G56" s="138"/>
      <c r="H56" s="138"/>
      <c r="I56" s="138"/>
    </row>
    <row r="57" spans="1:18" s="141" customFormat="1" x14ac:dyDescent="0.25">
      <c r="B57" s="138"/>
      <c r="C57" s="138"/>
      <c r="D57" s="138"/>
      <c r="E57" s="138"/>
      <c r="F57" s="138"/>
      <c r="G57" s="138"/>
      <c r="H57" s="138"/>
      <c r="I57" s="138"/>
    </row>
    <row r="79" spans="2:2" x14ac:dyDescent="0.25">
      <c r="B79" s="140"/>
    </row>
    <row r="81" spans="2:8" x14ac:dyDescent="0.25">
      <c r="D81" s="139"/>
      <c r="E81" s="139"/>
      <c r="F81" s="139"/>
      <c r="G81" s="139"/>
      <c r="H81" s="139"/>
    </row>
    <row r="85" spans="2:8" x14ac:dyDescent="0.25">
      <c r="B85" s="140"/>
    </row>
    <row r="86" spans="2:8" x14ac:dyDescent="0.25">
      <c r="D86" s="139"/>
      <c r="E86" s="139"/>
      <c r="F86" s="139"/>
      <c r="G86" s="139"/>
      <c r="H86" s="139"/>
    </row>
    <row r="100" spans="3:3" x14ac:dyDescent="0.25">
      <c r="C100" s="143"/>
    </row>
    <row r="101" spans="3:3" x14ac:dyDescent="0.25">
      <c r="C101" s="143"/>
    </row>
    <row r="105" spans="3:3" x14ac:dyDescent="0.25">
      <c r="C105" s="143"/>
    </row>
    <row r="106" spans="3:3" x14ac:dyDescent="0.25">
      <c r="C106" s="14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theme="8" tint="0.39997558519241921"/>
  </sheetPr>
  <dimension ref="A1:Q91"/>
  <sheetViews>
    <sheetView zoomScaleNormal="100" workbookViewId="0">
      <selection activeCell="B1" sqref="B1"/>
    </sheetView>
  </sheetViews>
  <sheetFormatPr defaultColWidth="9.140625" defaultRowHeight="15" x14ac:dyDescent="0.25"/>
  <cols>
    <col min="1" max="1" width="2.140625" style="39" customWidth="1"/>
    <col min="2" max="2" width="3.28515625" style="39" customWidth="1"/>
    <col min="3" max="3" width="20.140625" style="39" customWidth="1"/>
    <col min="4" max="4" width="24.28515625" style="39" customWidth="1"/>
    <col min="5" max="5" width="22.28515625" style="39" customWidth="1"/>
    <col min="6" max="10" width="12.7109375" style="39" customWidth="1"/>
    <col min="11" max="16" width="13.7109375" style="39" customWidth="1"/>
    <col min="17" max="17" width="9.140625" style="39" customWidth="1"/>
    <col min="18" max="16384" width="9.140625" style="39"/>
  </cols>
  <sheetData>
    <row r="1" spans="1:5" x14ac:dyDescent="0.25">
      <c r="A1" s="138" t="s">
        <v>250</v>
      </c>
      <c r="B1" s="138" t="s">
        <v>1202</v>
      </c>
      <c r="C1" s="138"/>
      <c r="D1" s="138"/>
      <c r="E1" s="138"/>
    </row>
    <row r="2" spans="1:5" x14ac:dyDescent="0.25">
      <c r="A2" s="138" t="s">
        <v>250</v>
      </c>
      <c r="B2" s="138"/>
      <c r="C2" s="138"/>
      <c r="D2" s="138"/>
      <c r="E2" s="138"/>
    </row>
    <row r="3" spans="1:5" x14ac:dyDescent="0.25">
      <c r="A3" s="138" t="s">
        <v>250</v>
      </c>
      <c r="B3" s="138" t="s">
        <v>356</v>
      </c>
      <c r="C3" s="138"/>
      <c r="D3" s="138"/>
      <c r="E3" s="138"/>
    </row>
    <row r="4" spans="1:5" x14ac:dyDescent="0.25">
      <c r="A4" s="138" t="s">
        <v>250</v>
      </c>
      <c r="B4" s="138"/>
      <c r="C4" s="138" t="s">
        <v>380</v>
      </c>
      <c r="D4" s="138"/>
      <c r="E4" s="138"/>
    </row>
    <row r="5" spans="1:5" x14ac:dyDescent="0.25">
      <c r="A5" s="138" t="s">
        <v>250</v>
      </c>
      <c r="B5" s="138"/>
      <c r="C5" s="138"/>
      <c r="D5" s="138"/>
      <c r="E5" s="138"/>
    </row>
    <row r="6" spans="1:5" x14ac:dyDescent="0.25">
      <c r="A6" s="138" t="s">
        <v>250</v>
      </c>
      <c r="B6" s="138" t="s">
        <v>357</v>
      </c>
      <c r="C6" s="138"/>
      <c r="D6" s="138"/>
      <c r="E6" s="138"/>
    </row>
    <row r="7" spans="1:5" x14ac:dyDescent="0.25">
      <c r="A7" s="138" t="s">
        <v>250</v>
      </c>
      <c r="B7" s="138"/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41186</v>
      </c>
      <c r="D8" s="145" t="s">
        <v>386</v>
      </c>
      <c r="E8" s="138" t="s">
        <v>265</v>
      </c>
    </row>
    <row r="9" spans="1:5" x14ac:dyDescent="0.25">
      <c r="A9" s="138" t="s">
        <v>250</v>
      </c>
      <c r="B9" s="141"/>
      <c r="C9" s="144">
        <v>41203</v>
      </c>
      <c r="D9" s="145" t="s">
        <v>386</v>
      </c>
      <c r="E9" s="138" t="s">
        <v>385</v>
      </c>
    </row>
    <row r="10" spans="1:5" x14ac:dyDescent="0.25">
      <c r="A10" s="138" t="s">
        <v>250</v>
      </c>
      <c r="B10" s="141"/>
      <c r="C10" s="144">
        <v>41217</v>
      </c>
      <c r="D10" s="145" t="s">
        <v>410</v>
      </c>
      <c r="E10" s="138" t="s">
        <v>505</v>
      </c>
    </row>
    <row r="11" spans="1:5" s="138" customFormat="1" x14ac:dyDescent="0.25">
      <c r="A11" s="138" t="s">
        <v>250</v>
      </c>
      <c r="B11" s="141"/>
      <c r="C11" s="144">
        <v>41522</v>
      </c>
      <c r="D11" s="145" t="s">
        <v>572</v>
      </c>
      <c r="E11" s="138" t="s">
        <v>573</v>
      </c>
    </row>
    <row r="12" spans="1:5" x14ac:dyDescent="0.25">
      <c r="A12" s="138" t="s">
        <v>250</v>
      </c>
      <c r="B12" s="141"/>
      <c r="C12" s="144"/>
      <c r="D12" s="138"/>
      <c r="E12" s="138"/>
    </row>
    <row r="13" spans="1:5" x14ac:dyDescent="0.25">
      <c r="A13" s="138" t="s">
        <v>250</v>
      </c>
      <c r="B13" s="138" t="s">
        <v>358</v>
      </c>
      <c r="C13" s="138"/>
      <c r="D13" s="138"/>
      <c r="E13" s="138"/>
    </row>
    <row r="14" spans="1:5" x14ac:dyDescent="0.25">
      <c r="A14" s="138" t="s">
        <v>250</v>
      </c>
      <c r="B14" s="138"/>
      <c r="C14" s="138" t="s">
        <v>372</v>
      </c>
      <c r="D14" s="138"/>
      <c r="E14" s="138"/>
    </row>
    <row r="15" spans="1:5" x14ac:dyDescent="0.25">
      <c r="A15" s="138" t="s">
        <v>250</v>
      </c>
      <c r="B15" s="138"/>
      <c r="C15" s="138" t="s">
        <v>373</v>
      </c>
      <c r="D15" s="138"/>
      <c r="E15" s="138"/>
    </row>
    <row r="16" spans="1:5" x14ac:dyDescent="0.25">
      <c r="A16" s="138" t="s">
        <v>250</v>
      </c>
      <c r="B16" s="138"/>
      <c r="C16" s="138" t="s">
        <v>374</v>
      </c>
      <c r="D16" s="138"/>
      <c r="E16" s="138"/>
    </row>
    <row r="17" spans="1:17" x14ac:dyDescent="0.25">
      <c r="A17" s="138" t="s">
        <v>250</v>
      </c>
      <c r="B17" s="138"/>
      <c r="C17" s="138"/>
      <c r="D17" s="138"/>
      <c r="E17" s="138"/>
    </row>
    <row r="18" spans="1:17" x14ac:dyDescent="0.25">
      <c r="A18" s="138" t="s">
        <v>250</v>
      </c>
      <c r="B18" s="138" t="s">
        <v>355</v>
      </c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</row>
    <row r="19" spans="1:17" x14ac:dyDescent="0.25">
      <c r="A19" s="138" t="s">
        <v>250</v>
      </c>
      <c r="B19" s="138"/>
      <c r="C19" s="138" t="s">
        <v>288</v>
      </c>
      <c r="D19" s="138"/>
      <c r="E19" s="138"/>
      <c r="F19" s="138"/>
      <c r="G19" s="138"/>
      <c r="H19" s="138"/>
      <c r="I19" s="138"/>
      <c r="J19" s="138"/>
      <c r="K19" s="138"/>
      <c r="L19" s="138"/>
      <c r="M19" s="138"/>
      <c r="N19" s="138"/>
      <c r="O19" s="138"/>
      <c r="P19" s="138"/>
    </row>
    <row r="20" spans="1:17" x14ac:dyDescent="0.25">
      <c r="A20" s="138" t="s">
        <v>250</v>
      </c>
      <c r="B20" s="138"/>
      <c r="C20" s="138"/>
      <c r="D20" s="138"/>
      <c r="E20" s="138"/>
      <c r="F20" s="138"/>
      <c r="G20" s="138"/>
      <c r="H20" s="138"/>
      <c r="I20" s="138"/>
      <c r="J20" s="138"/>
      <c r="K20" s="138"/>
      <c r="L20" s="138"/>
      <c r="M20" s="138"/>
      <c r="N20" s="138"/>
      <c r="O20" s="138"/>
      <c r="P20" s="138"/>
    </row>
    <row r="21" spans="1:17" x14ac:dyDescent="0.25">
      <c r="A21" s="138" t="s">
        <v>250</v>
      </c>
      <c r="B21" s="138" t="s">
        <v>354</v>
      </c>
      <c r="C21" s="138"/>
      <c r="D21" s="138"/>
      <c r="E21" s="138"/>
      <c r="F21" s="138"/>
      <c r="G21" s="138"/>
      <c r="H21" s="138"/>
      <c r="I21" s="138"/>
      <c r="J21" s="138"/>
      <c r="K21" s="138"/>
      <c r="L21" s="138"/>
      <c r="M21" s="138"/>
      <c r="N21" s="138"/>
      <c r="O21" s="138"/>
      <c r="P21" s="138"/>
    </row>
    <row r="22" spans="1:17" x14ac:dyDescent="0.25">
      <c r="A22" s="138" t="s">
        <v>250</v>
      </c>
      <c r="B22" s="138"/>
      <c r="C22" s="146" t="s">
        <v>376</v>
      </c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</row>
    <row r="23" spans="1:17" x14ac:dyDescent="0.25">
      <c r="A23" s="138" t="s">
        <v>250</v>
      </c>
      <c r="B23" s="138"/>
      <c r="C23" s="138" t="s">
        <v>284</v>
      </c>
      <c r="D23" s="142"/>
      <c r="E23" s="142"/>
      <c r="F23" s="142"/>
      <c r="G23" s="142"/>
      <c r="H23" s="142"/>
      <c r="I23" s="138"/>
      <c r="J23" s="138"/>
      <c r="K23" s="138"/>
      <c r="L23" s="138"/>
      <c r="M23" s="138"/>
      <c r="N23" s="138"/>
      <c r="O23" s="138"/>
      <c r="P23" s="138"/>
    </row>
    <row r="24" spans="1:17" x14ac:dyDescent="0.25">
      <c r="A24" s="138" t="s">
        <v>250</v>
      </c>
      <c r="B24" s="138"/>
      <c r="C24" s="138" t="s">
        <v>285</v>
      </c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</row>
    <row r="25" spans="1:17" x14ac:dyDescent="0.25">
      <c r="A25" s="138" t="s">
        <v>250</v>
      </c>
      <c r="B25" s="138"/>
      <c r="C25" s="138" t="s">
        <v>286</v>
      </c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</row>
    <row r="26" spans="1:17" x14ac:dyDescent="0.25">
      <c r="A26" s="138" t="s">
        <v>250</v>
      </c>
      <c r="B26" s="138"/>
      <c r="C26" s="138"/>
      <c r="D26" s="138"/>
      <c r="E26" s="138"/>
      <c r="F26" s="138"/>
      <c r="G26" s="138"/>
      <c r="H26" s="138"/>
      <c r="I26" s="138"/>
      <c r="J26" s="138"/>
      <c r="K26" s="138"/>
      <c r="L26" s="138"/>
      <c r="M26" s="138"/>
      <c r="N26" s="138"/>
      <c r="O26" s="138"/>
      <c r="P26" s="138"/>
    </row>
    <row r="27" spans="1:17" x14ac:dyDescent="0.25">
      <c r="A27" s="138" t="s">
        <v>365</v>
      </c>
      <c r="B27" s="138"/>
      <c r="C27" s="138"/>
      <c r="D27" s="138"/>
      <c r="E27" s="138"/>
      <c r="F27" s="138"/>
      <c r="G27" s="138"/>
      <c r="H27" s="138"/>
      <c r="I27" s="138"/>
      <c r="J27" s="138"/>
      <c r="K27" s="138"/>
      <c r="L27" s="138"/>
      <c r="M27" s="138"/>
      <c r="N27" s="138"/>
      <c r="O27" s="138"/>
      <c r="P27" s="138"/>
    </row>
    <row r="28" spans="1:17" x14ac:dyDescent="0.25">
      <c r="A28" s="138"/>
      <c r="B28" s="140" t="s">
        <v>506</v>
      </c>
      <c r="C28" s="138"/>
      <c r="D28" s="138"/>
      <c r="E28" s="138"/>
      <c r="F28" s="138"/>
      <c r="G28" s="138"/>
      <c r="H28" s="138"/>
      <c r="I28" s="138"/>
      <c r="J28" s="138"/>
      <c r="K28" s="138"/>
      <c r="L28" s="138"/>
      <c r="M28" s="138"/>
      <c r="N28" s="138"/>
      <c r="O28" s="138"/>
      <c r="P28" s="138"/>
    </row>
    <row r="29" spans="1:17" x14ac:dyDescent="0.25">
      <c r="A29" s="138"/>
      <c r="B29" s="140"/>
      <c r="C29" s="138" t="s">
        <v>467</v>
      </c>
      <c r="D29" s="138" t="s">
        <v>577</v>
      </c>
      <c r="E29" s="141" t="s">
        <v>236</v>
      </c>
      <c r="F29" s="141" t="s">
        <v>209</v>
      </c>
      <c r="G29" s="141" t="s">
        <v>241</v>
      </c>
      <c r="H29" s="141" t="s">
        <v>236</v>
      </c>
      <c r="I29" s="141" t="s">
        <v>209</v>
      </c>
      <c r="J29" s="141" t="s">
        <v>241</v>
      </c>
      <c r="K29" s="141" t="s">
        <v>236</v>
      </c>
      <c r="L29" s="141" t="s">
        <v>209</v>
      </c>
      <c r="M29" s="141" t="s">
        <v>241</v>
      </c>
      <c r="N29" s="141" t="s">
        <v>236</v>
      </c>
      <c r="O29" s="141" t="s">
        <v>209</v>
      </c>
      <c r="P29" s="141" t="s">
        <v>241</v>
      </c>
      <c r="Q29" s="8"/>
    </row>
    <row r="30" spans="1:17" x14ac:dyDescent="0.25">
      <c r="A30" s="138"/>
      <c r="B30" s="140"/>
      <c r="C30" s="138" t="s">
        <v>507</v>
      </c>
      <c r="D30" s="138"/>
      <c r="E30" s="141" t="s">
        <v>465</v>
      </c>
      <c r="F30" s="141" t="s">
        <v>465</v>
      </c>
      <c r="G30" s="141" t="s">
        <v>465</v>
      </c>
      <c r="H30" s="141" t="s">
        <v>465</v>
      </c>
      <c r="I30" s="141" t="s">
        <v>465</v>
      </c>
      <c r="J30" s="141" t="s">
        <v>465</v>
      </c>
      <c r="K30" s="141" t="s">
        <v>466</v>
      </c>
      <c r="L30" s="141" t="s">
        <v>466</v>
      </c>
      <c r="M30" s="141" t="s">
        <v>466</v>
      </c>
      <c r="N30" s="141" t="s">
        <v>466</v>
      </c>
      <c r="O30" s="141" t="s">
        <v>466</v>
      </c>
      <c r="P30" s="141" t="s">
        <v>466</v>
      </c>
      <c r="Q30" s="8"/>
    </row>
    <row r="31" spans="1:17" x14ac:dyDescent="0.25">
      <c r="A31" s="138"/>
      <c r="B31" s="140"/>
      <c r="C31" s="138" t="s">
        <v>574</v>
      </c>
      <c r="D31" s="138"/>
      <c r="E31" s="141" t="s">
        <v>469</v>
      </c>
      <c r="F31" s="141" t="s">
        <v>469</v>
      </c>
      <c r="G31" s="141" t="s">
        <v>469</v>
      </c>
      <c r="H31" s="141" t="s">
        <v>470</v>
      </c>
      <c r="I31" s="141" t="s">
        <v>470</v>
      </c>
      <c r="J31" s="141" t="s">
        <v>470</v>
      </c>
      <c r="K31" s="141" t="s">
        <v>469</v>
      </c>
      <c r="L31" s="141" t="s">
        <v>469</v>
      </c>
      <c r="M31" s="141" t="s">
        <v>469</v>
      </c>
      <c r="N31" s="141" t="s">
        <v>470</v>
      </c>
      <c r="O31" s="141" t="s">
        <v>470</v>
      </c>
      <c r="P31" s="141" t="s">
        <v>470</v>
      </c>
      <c r="Q31" s="8"/>
    </row>
    <row r="32" spans="1:17" x14ac:dyDescent="0.25">
      <c r="A32" s="138"/>
      <c r="B32" s="138"/>
      <c r="C32" s="141" t="s">
        <v>685</v>
      </c>
      <c r="D32" s="138" t="s">
        <v>348</v>
      </c>
      <c r="E32" s="141">
        <v>0.57999999999999996</v>
      </c>
      <c r="F32" s="141">
        <v>0.25</v>
      </c>
      <c r="G32" s="141">
        <v>0.49</v>
      </c>
      <c r="H32" s="141">
        <v>0.46</v>
      </c>
      <c r="I32" s="141">
        <v>0.25</v>
      </c>
      <c r="J32" s="141">
        <v>0.49</v>
      </c>
      <c r="K32" s="141">
        <v>0.88</v>
      </c>
      <c r="L32" s="147">
        <v>999</v>
      </c>
      <c r="M32" s="141">
        <v>0.64</v>
      </c>
      <c r="N32" s="157" t="s">
        <v>331</v>
      </c>
      <c r="O32" s="157" t="s">
        <v>331</v>
      </c>
      <c r="P32" s="157" t="s">
        <v>331</v>
      </c>
      <c r="Q32" s="8"/>
    </row>
    <row r="33" spans="2:17" x14ac:dyDescent="0.25">
      <c r="B33" s="138"/>
      <c r="C33" s="141" t="s">
        <v>347</v>
      </c>
      <c r="D33" s="138" t="s">
        <v>575</v>
      </c>
      <c r="E33" s="141">
        <v>0.99</v>
      </c>
      <c r="F33" s="141">
        <v>0.46</v>
      </c>
      <c r="G33" s="147">
        <v>999</v>
      </c>
      <c r="H33" s="141">
        <v>0.56999999999999995</v>
      </c>
      <c r="I33" s="141">
        <v>0.46</v>
      </c>
      <c r="J33" s="147">
        <v>999</v>
      </c>
      <c r="K33" s="141">
        <v>0.87</v>
      </c>
      <c r="L33" s="141">
        <v>0.69</v>
      </c>
      <c r="M33" s="147">
        <v>999</v>
      </c>
      <c r="N33" s="157" t="s">
        <v>331</v>
      </c>
      <c r="O33" s="157" t="s">
        <v>331</v>
      </c>
      <c r="P33" s="157" t="s">
        <v>331</v>
      </c>
      <c r="Q33" s="8"/>
    </row>
    <row r="34" spans="2:17" x14ac:dyDescent="0.25">
      <c r="B34" s="138"/>
      <c r="C34" s="141" t="s">
        <v>347</v>
      </c>
      <c r="D34" s="138" t="s">
        <v>576</v>
      </c>
      <c r="E34" s="141">
        <v>0.99</v>
      </c>
      <c r="F34" s="141">
        <v>0.36</v>
      </c>
      <c r="G34" s="147">
        <v>999</v>
      </c>
      <c r="H34" s="141">
        <v>0.56999999999999995</v>
      </c>
      <c r="I34" s="141">
        <v>0.36</v>
      </c>
      <c r="J34" s="147">
        <v>999</v>
      </c>
      <c r="K34" s="141">
        <v>0.87</v>
      </c>
      <c r="L34" s="141">
        <v>0.56999999999999995</v>
      </c>
      <c r="M34" s="147">
        <v>999</v>
      </c>
      <c r="N34" s="157" t="s">
        <v>331</v>
      </c>
      <c r="O34" s="157" t="s">
        <v>331</v>
      </c>
      <c r="P34" s="157" t="s">
        <v>331</v>
      </c>
      <c r="Q34" s="8"/>
    </row>
    <row r="35" spans="2:17" x14ac:dyDescent="0.25">
      <c r="C35" s="157" t="s">
        <v>331</v>
      </c>
      <c r="D35" s="138" t="s">
        <v>578</v>
      </c>
      <c r="E35" s="138"/>
      <c r="F35" s="138"/>
      <c r="G35" s="138"/>
      <c r="H35" s="138"/>
      <c r="I35" s="138"/>
      <c r="J35" s="138"/>
      <c r="K35" s="138"/>
      <c r="L35" s="138"/>
      <c r="M35" s="138"/>
      <c r="N35" s="138"/>
      <c r="O35" s="138"/>
      <c r="P35" s="138"/>
      <c r="Q35" s="8"/>
    </row>
    <row r="36" spans="2:17" x14ac:dyDescent="0.25">
      <c r="B36" s="138" t="s">
        <v>245</v>
      </c>
      <c r="C36" s="17"/>
      <c r="G36" s="17"/>
      <c r="H36" s="17"/>
      <c r="I36" s="156"/>
      <c r="M36" s="8"/>
      <c r="N36" s="8"/>
      <c r="O36" s="8"/>
      <c r="P36" s="8"/>
      <c r="Q36" s="8"/>
    </row>
    <row r="37" spans="2:17" x14ac:dyDescent="0.25">
      <c r="C37" s="326" t="s">
        <v>775</v>
      </c>
      <c r="G37" s="17"/>
      <c r="H37" s="17"/>
      <c r="I37" s="156"/>
      <c r="M37" s="8"/>
      <c r="N37" s="8"/>
      <c r="O37" s="8"/>
      <c r="P37" s="8"/>
      <c r="Q37" s="8"/>
    </row>
    <row r="38" spans="2:17" x14ac:dyDescent="0.25">
      <c r="C38" s="17"/>
      <c r="G38" s="17"/>
      <c r="H38" s="17"/>
      <c r="I38" s="156"/>
      <c r="M38" s="8"/>
      <c r="N38" s="8"/>
      <c r="O38" s="8"/>
      <c r="P38" s="8"/>
      <c r="Q38" s="8"/>
    </row>
    <row r="39" spans="2:17" x14ac:dyDescent="0.25">
      <c r="C39" s="17"/>
      <c r="G39" s="17"/>
      <c r="H39" s="17"/>
      <c r="I39" s="156"/>
      <c r="M39" s="8"/>
      <c r="N39" s="8"/>
      <c r="O39" s="8"/>
      <c r="P39" s="8"/>
      <c r="Q39" s="8"/>
    </row>
    <row r="40" spans="2:17" s="17" customFormat="1" x14ac:dyDescent="0.25">
      <c r="C40" s="156"/>
    </row>
    <row r="63" spans="2:2" x14ac:dyDescent="0.25">
      <c r="B63" s="140"/>
    </row>
    <row r="65" spans="2:8" x14ac:dyDescent="0.25">
      <c r="D65" s="139"/>
      <c r="E65" s="139"/>
      <c r="F65" s="139"/>
      <c r="G65" s="139"/>
      <c r="H65" s="139"/>
    </row>
    <row r="69" spans="2:8" x14ac:dyDescent="0.25">
      <c r="B69" s="2"/>
    </row>
    <row r="71" spans="2:8" x14ac:dyDescent="0.25">
      <c r="D71" s="40"/>
      <c r="E71" s="40"/>
      <c r="F71" s="40"/>
      <c r="G71" s="40"/>
      <c r="H71" s="40"/>
    </row>
    <row r="84" spans="3:3" x14ac:dyDescent="0.25">
      <c r="C84" s="143"/>
    </row>
    <row r="85" spans="3:3" x14ac:dyDescent="0.25">
      <c r="C85" s="143"/>
    </row>
    <row r="90" spans="3:3" x14ac:dyDescent="0.25">
      <c r="C90" s="20"/>
    </row>
    <row r="91" spans="3:3" x14ac:dyDescent="0.25">
      <c r="C91" s="20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>
    <tabColor rgb="FF92D050"/>
  </sheetPr>
  <dimension ref="A1:V183"/>
  <sheetViews>
    <sheetView topLeftCell="B1" zoomScale="70" zoomScaleNormal="70" workbookViewId="0">
      <selection activeCell="I14" sqref="I14"/>
    </sheetView>
  </sheetViews>
  <sheetFormatPr defaultColWidth="9.140625" defaultRowHeight="15" x14ac:dyDescent="0.25"/>
  <cols>
    <col min="1" max="1" width="1.85546875" style="138" customWidth="1"/>
    <col min="2" max="2" width="4.7109375" style="138" customWidth="1"/>
    <col min="3" max="3" width="39.140625" style="138" bestFit="1" customWidth="1"/>
    <col min="4" max="4" width="20.5703125" style="138" bestFit="1" customWidth="1"/>
    <col min="5" max="5" width="21" style="138" bestFit="1" customWidth="1"/>
    <col min="6" max="6" width="25.85546875" style="138" bestFit="1" customWidth="1"/>
    <col min="7" max="7" width="14.5703125" style="138" bestFit="1" customWidth="1"/>
    <col min="8" max="8" width="15.85546875" style="138" bestFit="1" customWidth="1"/>
    <col min="9" max="9" width="21.7109375" style="138" bestFit="1" customWidth="1"/>
    <col min="10" max="11" width="15.7109375" style="138" bestFit="1" customWidth="1"/>
    <col min="12" max="12" width="15.7109375" style="138" customWidth="1"/>
    <col min="13" max="15" width="13.85546875" style="138" customWidth="1"/>
    <col min="16" max="18" width="12.85546875" style="138" bestFit="1" customWidth="1"/>
    <col min="19" max="19" width="9.140625" style="138"/>
    <col min="20" max="20" width="9.140625" style="138" customWidth="1"/>
    <col min="21" max="16384" width="9.140625" style="138"/>
  </cols>
  <sheetData>
    <row r="1" spans="1:6" x14ac:dyDescent="0.25">
      <c r="A1" s="138" t="s">
        <v>250</v>
      </c>
      <c r="B1" s="138" t="s">
        <v>672</v>
      </c>
    </row>
    <row r="2" spans="1:6" x14ac:dyDescent="0.25">
      <c r="A2" s="138" t="s">
        <v>250</v>
      </c>
    </row>
    <row r="3" spans="1:6" x14ac:dyDescent="0.25">
      <c r="A3" s="138" t="s">
        <v>250</v>
      </c>
      <c r="B3" s="138" t="s">
        <v>356</v>
      </c>
    </row>
    <row r="4" spans="1:6" x14ac:dyDescent="0.25">
      <c r="A4" s="138" t="s">
        <v>250</v>
      </c>
      <c r="C4" s="138" t="s">
        <v>770</v>
      </c>
    </row>
    <row r="5" spans="1:6" x14ac:dyDescent="0.25">
      <c r="A5" s="138" t="s">
        <v>250</v>
      </c>
    </row>
    <row r="6" spans="1:6" x14ac:dyDescent="0.25">
      <c r="A6" s="138" t="s">
        <v>250</v>
      </c>
      <c r="B6" s="138" t="s">
        <v>357</v>
      </c>
    </row>
    <row r="7" spans="1:6" x14ac:dyDescent="0.25">
      <c r="A7" s="138" t="s">
        <v>250</v>
      </c>
      <c r="C7" s="138" t="s">
        <v>262</v>
      </c>
      <c r="D7" s="138" t="s">
        <v>263</v>
      </c>
      <c r="F7" s="138" t="s">
        <v>264</v>
      </c>
    </row>
    <row r="8" spans="1:6" x14ac:dyDescent="0.25">
      <c r="A8" s="138" t="s">
        <v>250</v>
      </c>
      <c r="B8" s="141"/>
      <c r="C8" s="144">
        <v>41904</v>
      </c>
      <c r="D8" s="145" t="s">
        <v>410</v>
      </c>
      <c r="E8" s="145"/>
      <c r="F8" s="138" t="s">
        <v>677</v>
      </c>
    </row>
    <row r="9" spans="1:6" x14ac:dyDescent="0.25">
      <c r="A9" s="138" t="s">
        <v>250</v>
      </c>
      <c r="B9" s="141"/>
      <c r="C9" s="144"/>
      <c r="D9" s="145"/>
      <c r="E9" s="145"/>
    </row>
    <row r="10" spans="1:6" x14ac:dyDescent="0.25">
      <c r="A10" s="138" t="s">
        <v>250</v>
      </c>
      <c r="B10" s="141"/>
      <c r="C10" s="144"/>
      <c r="E10" s="145"/>
    </row>
    <row r="11" spans="1:6" x14ac:dyDescent="0.25">
      <c r="A11" s="138" t="s">
        <v>250</v>
      </c>
      <c r="B11" s="141"/>
      <c r="C11" s="144"/>
    </row>
    <row r="12" spans="1:6" x14ac:dyDescent="0.25">
      <c r="A12" s="138" t="s">
        <v>250</v>
      </c>
      <c r="B12" s="138" t="s">
        <v>689</v>
      </c>
    </row>
    <row r="13" spans="1:6" x14ac:dyDescent="0.25">
      <c r="A13" s="138" t="s">
        <v>250</v>
      </c>
    </row>
    <row r="14" spans="1:6" x14ac:dyDescent="0.25">
      <c r="A14" s="138" t="s">
        <v>250</v>
      </c>
    </row>
    <row r="15" spans="1:6" x14ac:dyDescent="0.25">
      <c r="A15" s="138" t="s">
        <v>250</v>
      </c>
      <c r="B15" s="138" t="s">
        <v>251</v>
      </c>
    </row>
    <row r="16" spans="1:6" x14ac:dyDescent="0.25">
      <c r="A16" s="138" t="s">
        <v>250</v>
      </c>
    </row>
    <row r="17" spans="1:18" x14ac:dyDescent="0.25">
      <c r="A17" s="138" t="s">
        <v>250</v>
      </c>
    </row>
    <row r="18" spans="1:18" x14ac:dyDescent="0.25">
      <c r="A18" s="138" t="s">
        <v>250</v>
      </c>
      <c r="B18" s="138" t="s">
        <v>272</v>
      </c>
    </row>
    <row r="19" spans="1:18" x14ac:dyDescent="0.25">
      <c r="A19" s="138" t="s">
        <v>250</v>
      </c>
      <c r="C19" s="116" t="s">
        <v>770</v>
      </c>
    </row>
    <row r="20" spans="1:18" x14ac:dyDescent="0.25">
      <c r="A20" s="138" t="s">
        <v>250</v>
      </c>
      <c r="C20" s="138" t="s">
        <v>680</v>
      </c>
    </row>
    <row r="21" spans="1:18" x14ac:dyDescent="0.25">
      <c r="A21" s="138" t="s">
        <v>250</v>
      </c>
    </row>
    <row r="22" spans="1:18" x14ac:dyDescent="0.25">
      <c r="A22" s="138" t="s">
        <v>250</v>
      </c>
    </row>
    <row r="23" spans="1:18" x14ac:dyDescent="0.25">
      <c r="A23" s="138" t="s">
        <v>365</v>
      </c>
    </row>
    <row r="24" spans="1:18" x14ac:dyDescent="0.25">
      <c r="B24" s="140" t="s">
        <v>769</v>
      </c>
      <c r="C24" s="140"/>
      <c r="J24" s="141"/>
      <c r="K24" s="141"/>
      <c r="L24" s="141"/>
      <c r="M24" s="141"/>
      <c r="N24" s="141"/>
      <c r="O24" s="141"/>
    </row>
    <row r="25" spans="1:18" x14ac:dyDescent="0.25">
      <c r="B25" s="140"/>
      <c r="C25" s="210" t="s">
        <v>680</v>
      </c>
      <c r="D25" s="205" t="s">
        <v>490</v>
      </c>
      <c r="E25" s="181" t="s">
        <v>473</v>
      </c>
      <c r="F25" s="181" t="s">
        <v>497</v>
      </c>
      <c r="G25" s="181" t="s">
        <v>468</v>
      </c>
      <c r="H25" s="183" t="s">
        <v>678</v>
      </c>
      <c r="I25" s="183" t="s">
        <v>688</v>
      </c>
      <c r="J25" s="182" t="s">
        <v>236</v>
      </c>
      <c r="K25" s="211" t="s">
        <v>209</v>
      </c>
      <c r="L25" s="292" t="s">
        <v>241</v>
      </c>
      <c r="M25" s="182" t="s">
        <v>236</v>
      </c>
      <c r="N25" s="211" t="s">
        <v>209</v>
      </c>
      <c r="O25" s="292" t="s">
        <v>241</v>
      </c>
      <c r="P25" s="182" t="s">
        <v>236</v>
      </c>
      <c r="Q25" s="183" t="s">
        <v>209</v>
      </c>
      <c r="R25" s="292" t="s">
        <v>241</v>
      </c>
    </row>
    <row r="26" spans="1:18" x14ac:dyDescent="0.25">
      <c r="C26" s="228" t="s">
        <v>761</v>
      </c>
      <c r="D26" s="224"/>
      <c r="F26" s="224"/>
      <c r="G26" s="224"/>
      <c r="H26" s="206"/>
      <c r="I26" s="206"/>
      <c r="J26" s="229" t="s">
        <v>519</v>
      </c>
      <c r="K26" s="206" t="s">
        <v>519</v>
      </c>
      <c r="L26" s="207" t="s">
        <v>519</v>
      </c>
      <c r="M26" s="228" t="s">
        <v>346</v>
      </c>
      <c r="N26" s="224" t="s">
        <v>346</v>
      </c>
      <c r="O26" s="263" t="s">
        <v>346</v>
      </c>
      <c r="P26" s="229" t="s">
        <v>791</v>
      </c>
      <c r="Q26" s="183" t="s">
        <v>791</v>
      </c>
      <c r="R26" s="184" t="s">
        <v>791</v>
      </c>
    </row>
    <row r="27" spans="1:18" x14ac:dyDescent="0.25">
      <c r="C27" s="228">
        <v>1</v>
      </c>
      <c r="D27" s="230" t="s">
        <v>524</v>
      </c>
      <c r="E27" s="230" t="s">
        <v>681</v>
      </c>
      <c r="F27" s="230" t="s">
        <v>774</v>
      </c>
      <c r="G27" s="231" t="s">
        <v>348</v>
      </c>
      <c r="H27" s="231" t="s">
        <v>348</v>
      </c>
      <c r="I27" s="231" t="s">
        <v>348</v>
      </c>
      <c r="J27" s="248">
        <v>1.2</v>
      </c>
      <c r="K27" s="249">
        <v>0.25</v>
      </c>
      <c r="L27" s="309">
        <v>999</v>
      </c>
      <c r="M27" s="315">
        <v>1.2</v>
      </c>
      <c r="N27" s="250">
        <v>0.25</v>
      </c>
      <c r="O27" s="299">
        <v>999</v>
      </c>
      <c r="P27" s="248">
        <v>1.2</v>
      </c>
      <c r="Q27" s="302">
        <v>999</v>
      </c>
      <c r="R27" s="299">
        <v>999</v>
      </c>
    </row>
    <row r="28" spans="1:18" x14ac:dyDescent="0.25">
      <c r="C28" s="169">
        <f>C27</f>
        <v>1</v>
      </c>
      <c r="D28" s="214" t="s">
        <v>524</v>
      </c>
      <c r="E28" s="214" t="s">
        <v>682</v>
      </c>
      <c r="F28" s="214" t="s">
        <v>774</v>
      </c>
      <c r="G28" s="215" t="s">
        <v>348</v>
      </c>
      <c r="H28" s="215" t="s">
        <v>348</v>
      </c>
      <c r="I28" s="215" t="s">
        <v>348</v>
      </c>
      <c r="J28" s="240">
        <v>1.2</v>
      </c>
      <c r="K28" s="251">
        <v>0.25</v>
      </c>
      <c r="L28" s="310">
        <v>999</v>
      </c>
      <c r="M28" s="241">
        <v>1.2</v>
      </c>
      <c r="N28" s="252">
        <v>0.25</v>
      </c>
      <c r="O28" s="300">
        <v>999</v>
      </c>
      <c r="P28" s="240">
        <v>1.2</v>
      </c>
      <c r="Q28" s="295">
        <v>999</v>
      </c>
      <c r="R28" s="300">
        <v>999</v>
      </c>
    </row>
    <row r="29" spans="1:18" x14ac:dyDescent="0.25">
      <c r="C29" s="169">
        <f t="shared" ref="C29:C39" si="0">C28</f>
        <v>1</v>
      </c>
      <c r="D29" s="214" t="s">
        <v>524</v>
      </c>
      <c r="E29" s="214" t="s">
        <v>683</v>
      </c>
      <c r="F29" s="214" t="s">
        <v>774</v>
      </c>
      <c r="G29" s="215" t="s">
        <v>348</v>
      </c>
      <c r="H29" s="215" t="s">
        <v>348</v>
      </c>
      <c r="I29" s="215" t="s">
        <v>348</v>
      </c>
      <c r="J29" s="240">
        <v>1.2</v>
      </c>
      <c r="K29" s="251">
        <v>0.25</v>
      </c>
      <c r="L29" s="310">
        <v>999</v>
      </c>
      <c r="M29" s="253">
        <v>1.2</v>
      </c>
      <c r="N29" s="252">
        <v>0.25</v>
      </c>
      <c r="O29" s="300">
        <v>999</v>
      </c>
      <c r="P29" s="240">
        <v>1.2</v>
      </c>
      <c r="Q29" s="295">
        <v>999</v>
      </c>
      <c r="R29" s="300">
        <v>999</v>
      </c>
    </row>
    <row r="30" spans="1:18" x14ac:dyDescent="0.25">
      <c r="C30" s="169">
        <f t="shared" si="0"/>
        <v>1</v>
      </c>
      <c r="D30" s="214" t="s">
        <v>524</v>
      </c>
      <c r="E30" s="216" t="s">
        <v>685</v>
      </c>
      <c r="F30" s="214" t="s">
        <v>774</v>
      </c>
      <c r="G30" s="217" t="s">
        <v>348</v>
      </c>
      <c r="H30" s="217" t="s">
        <v>348</v>
      </c>
      <c r="I30" s="217" t="s">
        <v>348</v>
      </c>
      <c r="J30" s="241">
        <v>1.2</v>
      </c>
      <c r="K30" s="251">
        <v>0.25</v>
      </c>
      <c r="L30" s="310">
        <v>999</v>
      </c>
      <c r="M30" s="253">
        <v>1.2</v>
      </c>
      <c r="N30" s="252">
        <v>0.25</v>
      </c>
      <c r="O30" s="300">
        <v>999</v>
      </c>
      <c r="P30" s="240">
        <v>1.2</v>
      </c>
      <c r="Q30" s="295">
        <v>999</v>
      </c>
      <c r="R30" s="300">
        <v>999</v>
      </c>
    </row>
    <row r="31" spans="1:18" x14ac:dyDescent="0.25">
      <c r="C31" s="169">
        <f t="shared" si="0"/>
        <v>1</v>
      </c>
      <c r="D31" s="214" t="s">
        <v>524</v>
      </c>
      <c r="E31" s="218" t="s">
        <v>684</v>
      </c>
      <c r="F31" s="218" t="s">
        <v>686</v>
      </c>
      <c r="G31" s="215" t="s">
        <v>348</v>
      </c>
      <c r="H31" s="215" t="s">
        <v>348</v>
      </c>
      <c r="I31" s="215" t="s">
        <v>348</v>
      </c>
      <c r="J31" s="241">
        <v>1.2</v>
      </c>
      <c r="K31" s="252">
        <v>0.25</v>
      </c>
      <c r="L31" s="311">
        <v>999</v>
      </c>
      <c r="M31" s="253">
        <v>1.2</v>
      </c>
      <c r="N31" s="252">
        <v>0.25</v>
      </c>
      <c r="O31" s="300">
        <v>999</v>
      </c>
      <c r="P31" s="240">
        <v>1.2</v>
      </c>
      <c r="Q31" s="295">
        <v>999</v>
      </c>
      <c r="R31" s="300">
        <v>999</v>
      </c>
    </row>
    <row r="32" spans="1:18" x14ac:dyDescent="0.25">
      <c r="C32" s="169">
        <f t="shared" si="0"/>
        <v>1</v>
      </c>
      <c r="D32" s="214" t="s">
        <v>524</v>
      </c>
      <c r="E32" s="218" t="s">
        <v>684</v>
      </c>
      <c r="F32" s="216" t="s">
        <v>687</v>
      </c>
      <c r="G32" s="215" t="s">
        <v>348</v>
      </c>
      <c r="H32" s="215" t="s">
        <v>348</v>
      </c>
      <c r="I32" s="215" t="s">
        <v>348</v>
      </c>
      <c r="J32" s="241">
        <v>1.2</v>
      </c>
      <c r="K32" s="252">
        <v>0.25</v>
      </c>
      <c r="L32" s="311">
        <v>999</v>
      </c>
      <c r="M32" s="253">
        <v>1.2</v>
      </c>
      <c r="N32" s="251">
        <v>0.25</v>
      </c>
      <c r="O32" s="300">
        <v>999</v>
      </c>
      <c r="P32" s="253">
        <v>1.2</v>
      </c>
      <c r="Q32" s="295">
        <v>999</v>
      </c>
      <c r="R32" s="300">
        <v>999</v>
      </c>
    </row>
    <row r="33" spans="1:22" x14ac:dyDescent="0.25">
      <c r="C33" s="169">
        <f t="shared" si="0"/>
        <v>1</v>
      </c>
      <c r="D33" s="214" t="s">
        <v>524</v>
      </c>
      <c r="E33" s="218" t="s">
        <v>684</v>
      </c>
      <c r="F33" s="216" t="s">
        <v>774</v>
      </c>
      <c r="G33" s="215" t="s">
        <v>348</v>
      </c>
      <c r="H33" s="215" t="s">
        <v>348</v>
      </c>
      <c r="I33" s="215" t="s">
        <v>348</v>
      </c>
      <c r="J33" s="241">
        <v>1.2</v>
      </c>
      <c r="K33" s="252">
        <v>0.25</v>
      </c>
      <c r="L33" s="311">
        <v>999</v>
      </c>
      <c r="M33" s="253">
        <v>1.2</v>
      </c>
      <c r="N33" s="251">
        <v>0.25</v>
      </c>
      <c r="O33" s="300">
        <v>999</v>
      </c>
      <c r="P33" s="253">
        <v>1.2</v>
      </c>
      <c r="Q33" s="295">
        <v>999</v>
      </c>
      <c r="R33" s="300">
        <v>999</v>
      </c>
    </row>
    <row r="34" spans="1:22" x14ac:dyDescent="0.25">
      <c r="C34" s="169">
        <f t="shared" si="0"/>
        <v>1</v>
      </c>
      <c r="D34" s="216" t="s">
        <v>238</v>
      </c>
      <c r="E34" s="215" t="s">
        <v>348</v>
      </c>
      <c r="F34" s="215" t="s">
        <v>348</v>
      </c>
      <c r="G34" s="215" t="s">
        <v>469</v>
      </c>
      <c r="H34" s="219" t="s">
        <v>465</v>
      </c>
      <c r="I34" s="307" t="s">
        <v>575</v>
      </c>
      <c r="J34" s="241">
        <v>1.98</v>
      </c>
      <c r="K34" s="251">
        <v>0.36</v>
      </c>
      <c r="L34" s="310">
        <v>999</v>
      </c>
      <c r="M34" s="253">
        <v>1.98</v>
      </c>
      <c r="N34" s="251">
        <v>0.19</v>
      </c>
      <c r="O34" s="300">
        <v>999</v>
      </c>
      <c r="P34" s="253">
        <v>1.98</v>
      </c>
      <c r="Q34" s="295">
        <v>999</v>
      </c>
      <c r="R34" s="300">
        <v>999</v>
      </c>
    </row>
    <row r="35" spans="1:22" x14ac:dyDescent="0.25">
      <c r="C35" s="169">
        <f t="shared" si="0"/>
        <v>1</v>
      </c>
      <c r="D35" s="216" t="s">
        <v>238</v>
      </c>
      <c r="E35" s="215" t="s">
        <v>348</v>
      </c>
      <c r="F35" s="215" t="s">
        <v>348</v>
      </c>
      <c r="G35" s="215" t="s">
        <v>469</v>
      </c>
      <c r="H35" s="219" t="s">
        <v>465</v>
      </c>
      <c r="I35" s="307" t="s">
        <v>576</v>
      </c>
      <c r="J35" s="241">
        <v>1.98</v>
      </c>
      <c r="K35" s="251">
        <v>0.19</v>
      </c>
      <c r="L35" s="310">
        <v>999</v>
      </c>
      <c r="M35" s="253">
        <v>1.98</v>
      </c>
      <c r="N35" s="251">
        <v>0.16</v>
      </c>
      <c r="O35" s="300">
        <v>999</v>
      </c>
      <c r="P35" s="253">
        <v>1.98</v>
      </c>
      <c r="Q35" s="295">
        <v>999</v>
      </c>
      <c r="R35" s="300">
        <v>999</v>
      </c>
    </row>
    <row r="36" spans="1:22" x14ac:dyDescent="0.25">
      <c r="C36" s="169">
        <f t="shared" si="0"/>
        <v>1</v>
      </c>
      <c r="D36" s="216" t="s">
        <v>238</v>
      </c>
      <c r="E36" s="215" t="s">
        <v>348</v>
      </c>
      <c r="F36" s="215" t="s">
        <v>348</v>
      </c>
      <c r="G36" s="215" t="s">
        <v>469</v>
      </c>
      <c r="H36" s="219" t="s">
        <v>466</v>
      </c>
      <c r="I36" s="307" t="s">
        <v>575</v>
      </c>
      <c r="J36" s="241">
        <v>1.9</v>
      </c>
      <c r="K36" s="251">
        <v>0.34</v>
      </c>
      <c r="L36" s="310">
        <v>999</v>
      </c>
      <c r="M36" s="253">
        <v>1.9</v>
      </c>
      <c r="N36" s="251">
        <v>0.27</v>
      </c>
      <c r="O36" s="300">
        <v>999</v>
      </c>
      <c r="P36" s="253">
        <v>1.9</v>
      </c>
      <c r="Q36" s="295">
        <v>999</v>
      </c>
      <c r="R36" s="300">
        <v>999</v>
      </c>
    </row>
    <row r="37" spans="1:22" x14ac:dyDescent="0.25">
      <c r="A37" s="7"/>
      <c r="C37" s="169">
        <f t="shared" si="0"/>
        <v>1</v>
      </c>
      <c r="D37" s="216" t="s">
        <v>238</v>
      </c>
      <c r="E37" s="217" t="s">
        <v>348</v>
      </c>
      <c r="F37" s="217" t="s">
        <v>348</v>
      </c>
      <c r="G37" s="215" t="s">
        <v>469</v>
      </c>
      <c r="H37" s="219" t="s">
        <v>466</v>
      </c>
      <c r="I37" s="307" t="s">
        <v>576</v>
      </c>
      <c r="J37" s="241">
        <v>1.9</v>
      </c>
      <c r="K37" s="251">
        <v>0.27</v>
      </c>
      <c r="L37" s="310">
        <v>999</v>
      </c>
      <c r="M37" s="253">
        <v>1.9</v>
      </c>
      <c r="N37" s="251">
        <v>0.27</v>
      </c>
      <c r="O37" s="300">
        <v>999</v>
      </c>
      <c r="P37" s="253">
        <v>1.9</v>
      </c>
      <c r="Q37" s="295">
        <v>999</v>
      </c>
      <c r="R37" s="300">
        <v>999</v>
      </c>
    </row>
    <row r="38" spans="1:22" x14ac:dyDescent="0.25">
      <c r="A38" s="130"/>
      <c r="C38" s="169">
        <f t="shared" si="0"/>
        <v>1</v>
      </c>
      <c r="D38" s="216" t="s">
        <v>238</v>
      </c>
      <c r="E38" s="215" t="s">
        <v>348</v>
      </c>
      <c r="F38" s="215" t="s">
        <v>348</v>
      </c>
      <c r="G38" s="215" t="s">
        <v>470</v>
      </c>
      <c r="H38" s="220" t="s">
        <v>348</v>
      </c>
      <c r="I38" s="307" t="s">
        <v>575</v>
      </c>
      <c r="J38" s="241">
        <v>1.36</v>
      </c>
      <c r="K38" s="251">
        <v>0.36</v>
      </c>
      <c r="L38" s="310">
        <v>999</v>
      </c>
      <c r="M38" s="253">
        <v>1.36</v>
      </c>
      <c r="N38" s="251">
        <v>0.19</v>
      </c>
      <c r="O38" s="303">
        <v>999</v>
      </c>
      <c r="P38" s="253">
        <v>1.36</v>
      </c>
      <c r="Q38" s="295">
        <v>999</v>
      </c>
      <c r="R38" s="303">
        <v>999</v>
      </c>
      <c r="S38" s="8"/>
      <c r="V38" s="8"/>
    </row>
    <row r="39" spans="1:22" x14ac:dyDescent="0.25">
      <c r="A39" s="8"/>
      <c r="C39" s="169">
        <f t="shared" si="0"/>
        <v>1</v>
      </c>
      <c r="D39" s="216" t="s">
        <v>238</v>
      </c>
      <c r="E39" s="215" t="s">
        <v>348</v>
      </c>
      <c r="F39" s="215" t="s">
        <v>348</v>
      </c>
      <c r="G39" s="215" t="s">
        <v>470</v>
      </c>
      <c r="H39" s="220" t="s">
        <v>348</v>
      </c>
      <c r="I39" s="307" t="s">
        <v>576</v>
      </c>
      <c r="J39" s="241">
        <v>1.36</v>
      </c>
      <c r="K39" s="251">
        <v>0.19</v>
      </c>
      <c r="L39" s="310">
        <v>999</v>
      </c>
      <c r="M39" s="253">
        <v>1.36</v>
      </c>
      <c r="N39" s="251">
        <v>0.19</v>
      </c>
      <c r="O39" s="304">
        <v>999</v>
      </c>
      <c r="P39" s="253">
        <v>1.36</v>
      </c>
      <c r="Q39" s="295">
        <v>999</v>
      </c>
      <c r="R39" s="304">
        <v>999</v>
      </c>
      <c r="S39" s="8"/>
      <c r="V39" s="8"/>
    </row>
    <row r="40" spans="1:22" x14ac:dyDescent="0.25">
      <c r="C40" s="228">
        <v>2</v>
      </c>
      <c r="D40" s="230" t="s">
        <v>524</v>
      </c>
      <c r="E40" s="230" t="s">
        <v>681</v>
      </c>
      <c r="F40" s="230" t="s">
        <v>774</v>
      </c>
      <c r="G40" s="231" t="s">
        <v>348</v>
      </c>
      <c r="H40" s="231" t="s">
        <v>348</v>
      </c>
      <c r="I40" s="231" t="s">
        <v>348</v>
      </c>
      <c r="J40" s="248">
        <v>0.75</v>
      </c>
      <c r="K40" s="249">
        <v>0.25</v>
      </c>
      <c r="L40" s="309">
        <v>999</v>
      </c>
      <c r="M40" s="316">
        <v>0.75</v>
      </c>
      <c r="N40" s="249">
        <v>0.25</v>
      </c>
      <c r="O40" s="305">
        <v>999</v>
      </c>
      <c r="P40" s="316">
        <v>1.2</v>
      </c>
      <c r="Q40" s="293">
        <v>999</v>
      </c>
      <c r="R40" s="305">
        <v>999</v>
      </c>
      <c r="S40" s="8"/>
      <c r="V40" s="8"/>
    </row>
    <row r="41" spans="1:22" x14ac:dyDescent="0.25">
      <c r="C41" s="169">
        <f>C40</f>
        <v>2</v>
      </c>
      <c r="D41" s="214" t="s">
        <v>524</v>
      </c>
      <c r="E41" s="214" t="s">
        <v>682</v>
      </c>
      <c r="F41" s="214" t="s">
        <v>774</v>
      </c>
      <c r="G41" s="215" t="s">
        <v>348</v>
      </c>
      <c r="H41" s="215" t="s">
        <v>348</v>
      </c>
      <c r="I41" s="215" t="s">
        <v>348</v>
      </c>
      <c r="J41" s="240">
        <v>0.75</v>
      </c>
      <c r="K41" s="251">
        <v>0.25</v>
      </c>
      <c r="L41" s="310">
        <v>999</v>
      </c>
      <c r="M41" s="253">
        <v>0.75</v>
      </c>
      <c r="N41" s="251">
        <v>0.25</v>
      </c>
      <c r="O41" s="306">
        <v>999</v>
      </c>
      <c r="P41" s="253">
        <v>1.2</v>
      </c>
      <c r="Q41" s="294">
        <v>999</v>
      </c>
      <c r="R41" s="306">
        <v>999</v>
      </c>
      <c r="S41" s="8"/>
      <c r="V41" s="8"/>
    </row>
    <row r="42" spans="1:22" x14ac:dyDescent="0.25">
      <c r="C42" s="169">
        <f t="shared" ref="C42:C52" si="1">C41</f>
        <v>2</v>
      </c>
      <c r="D42" s="214" t="s">
        <v>524</v>
      </c>
      <c r="E42" s="214" t="s">
        <v>683</v>
      </c>
      <c r="F42" s="214" t="s">
        <v>774</v>
      </c>
      <c r="G42" s="215" t="s">
        <v>348</v>
      </c>
      <c r="H42" s="215" t="s">
        <v>348</v>
      </c>
      <c r="I42" s="215" t="s">
        <v>348</v>
      </c>
      <c r="J42" s="240">
        <v>0.75</v>
      </c>
      <c r="K42" s="251">
        <v>0.25</v>
      </c>
      <c r="L42" s="310">
        <v>999</v>
      </c>
      <c r="M42" s="253">
        <v>0.75</v>
      </c>
      <c r="N42" s="251">
        <v>0.25</v>
      </c>
      <c r="O42" s="306">
        <v>999</v>
      </c>
      <c r="P42" s="253">
        <v>1.2</v>
      </c>
      <c r="Q42" s="294">
        <v>999</v>
      </c>
      <c r="R42" s="306">
        <v>999</v>
      </c>
      <c r="S42" s="8"/>
      <c r="V42" s="8"/>
    </row>
    <row r="43" spans="1:22" x14ac:dyDescent="0.25">
      <c r="C43" s="169">
        <f t="shared" si="1"/>
        <v>2</v>
      </c>
      <c r="D43" s="214" t="s">
        <v>524</v>
      </c>
      <c r="E43" s="216" t="s">
        <v>685</v>
      </c>
      <c r="F43" s="214" t="s">
        <v>774</v>
      </c>
      <c r="G43" s="217" t="s">
        <v>348</v>
      </c>
      <c r="H43" s="217" t="s">
        <v>348</v>
      </c>
      <c r="I43" s="217" t="s">
        <v>348</v>
      </c>
      <c r="J43" s="241">
        <v>0.75</v>
      </c>
      <c r="K43" s="251">
        <v>0.25</v>
      </c>
      <c r="L43" s="310">
        <v>999</v>
      </c>
      <c r="M43" s="253">
        <v>0.75</v>
      </c>
      <c r="N43" s="251">
        <v>0.25</v>
      </c>
      <c r="O43" s="306">
        <v>999</v>
      </c>
      <c r="P43" s="253">
        <v>1.2</v>
      </c>
      <c r="Q43" s="294">
        <v>999</v>
      </c>
      <c r="R43" s="306">
        <v>999</v>
      </c>
    </row>
    <row r="44" spans="1:22" x14ac:dyDescent="0.25">
      <c r="C44" s="169">
        <f t="shared" si="1"/>
        <v>2</v>
      </c>
      <c r="D44" s="214" t="s">
        <v>524</v>
      </c>
      <c r="E44" s="218" t="s">
        <v>684</v>
      </c>
      <c r="F44" s="218" t="s">
        <v>686</v>
      </c>
      <c r="G44" s="215" t="s">
        <v>348</v>
      </c>
      <c r="H44" s="215" t="s">
        <v>348</v>
      </c>
      <c r="I44" s="215" t="s">
        <v>348</v>
      </c>
      <c r="J44" s="241">
        <v>0.7</v>
      </c>
      <c r="K44" s="251">
        <v>0.25</v>
      </c>
      <c r="L44" s="310">
        <v>999</v>
      </c>
      <c r="M44" s="253">
        <v>0.7</v>
      </c>
      <c r="N44" s="251">
        <v>0.25</v>
      </c>
      <c r="O44" s="306">
        <v>999</v>
      </c>
      <c r="P44" s="253">
        <v>1.2</v>
      </c>
      <c r="Q44" s="294">
        <v>999</v>
      </c>
      <c r="R44" s="306">
        <v>999</v>
      </c>
    </row>
    <row r="45" spans="1:22" x14ac:dyDescent="0.25">
      <c r="C45" s="169">
        <f t="shared" si="1"/>
        <v>2</v>
      </c>
      <c r="D45" s="214" t="s">
        <v>524</v>
      </c>
      <c r="E45" s="218" t="s">
        <v>684</v>
      </c>
      <c r="F45" s="216" t="s">
        <v>687</v>
      </c>
      <c r="G45" s="215" t="s">
        <v>348</v>
      </c>
      <c r="H45" s="215" t="s">
        <v>348</v>
      </c>
      <c r="I45" s="215" t="s">
        <v>348</v>
      </c>
      <c r="J45" s="241">
        <v>1.1000000000000001</v>
      </c>
      <c r="K45" s="251">
        <v>0.25</v>
      </c>
      <c r="L45" s="310">
        <v>999</v>
      </c>
      <c r="M45" s="253">
        <v>1.1000000000000001</v>
      </c>
      <c r="N45" s="251">
        <v>0.25</v>
      </c>
      <c r="O45" s="306">
        <v>999</v>
      </c>
      <c r="P45" s="253">
        <v>1.2</v>
      </c>
      <c r="Q45" s="294">
        <v>999</v>
      </c>
      <c r="R45" s="306">
        <v>999</v>
      </c>
    </row>
    <row r="46" spans="1:22" x14ac:dyDescent="0.25">
      <c r="C46" s="169">
        <f t="shared" si="1"/>
        <v>2</v>
      </c>
      <c r="D46" s="214" t="s">
        <v>524</v>
      </c>
      <c r="E46" s="218" t="s">
        <v>684</v>
      </c>
      <c r="F46" s="216" t="s">
        <v>774</v>
      </c>
      <c r="G46" s="215" t="s">
        <v>348</v>
      </c>
      <c r="H46" s="215" t="s">
        <v>348</v>
      </c>
      <c r="I46" s="215" t="s">
        <v>348</v>
      </c>
      <c r="J46" s="241">
        <v>0.75</v>
      </c>
      <c r="K46" s="251">
        <v>0.25</v>
      </c>
      <c r="L46" s="310">
        <v>999</v>
      </c>
      <c r="M46" s="253">
        <v>0.75</v>
      </c>
      <c r="N46" s="251">
        <v>0.25</v>
      </c>
      <c r="O46" s="306">
        <v>999</v>
      </c>
      <c r="P46" s="253">
        <v>1.2</v>
      </c>
      <c r="Q46" s="294">
        <v>999</v>
      </c>
      <c r="R46" s="306">
        <v>999</v>
      </c>
    </row>
    <row r="47" spans="1:22" x14ac:dyDescent="0.25">
      <c r="C47" s="169">
        <f t="shared" si="1"/>
        <v>2</v>
      </c>
      <c r="D47" s="216" t="s">
        <v>238</v>
      </c>
      <c r="E47" s="215" t="s">
        <v>348</v>
      </c>
      <c r="F47" s="215" t="s">
        <v>348</v>
      </c>
      <c r="G47" s="215" t="s">
        <v>469</v>
      </c>
      <c r="H47" s="219" t="s">
        <v>465</v>
      </c>
      <c r="I47" s="307" t="s">
        <v>575</v>
      </c>
      <c r="J47" s="253">
        <v>1.98</v>
      </c>
      <c r="K47" s="251">
        <v>0.36</v>
      </c>
      <c r="L47" s="310">
        <v>999</v>
      </c>
      <c r="M47" s="253">
        <v>1.98</v>
      </c>
      <c r="N47" s="251">
        <v>0.19</v>
      </c>
      <c r="O47" s="306">
        <v>999</v>
      </c>
      <c r="P47" s="253">
        <v>1.98</v>
      </c>
      <c r="Q47" s="294">
        <v>999</v>
      </c>
      <c r="R47" s="306">
        <v>999</v>
      </c>
    </row>
    <row r="48" spans="1:22" x14ac:dyDescent="0.25">
      <c r="C48" s="169">
        <f t="shared" si="1"/>
        <v>2</v>
      </c>
      <c r="D48" s="216" t="s">
        <v>238</v>
      </c>
      <c r="E48" s="215" t="s">
        <v>348</v>
      </c>
      <c r="F48" s="215" t="s">
        <v>348</v>
      </c>
      <c r="G48" s="215" t="s">
        <v>469</v>
      </c>
      <c r="H48" s="219" t="s">
        <v>465</v>
      </c>
      <c r="I48" s="307" t="s">
        <v>576</v>
      </c>
      <c r="J48" s="253">
        <v>1.98</v>
      </c>
      <c r="K48" s="251">
        <v>0.19</v>
      </c>
      <c r="L48" s="310">
        <v>999</v>
      </c>
      <c r="M48" s="253">
        <v>1.98</v>
      </c>
      <c r="N48" s="251">
        <v>0.19</v>
      </c>
      <c r="O48" s="306">
        <v>999</v>
      </c>
      <c r="P48" s="253">
        <v>1.98</v>
      </c>
      <c r="Q48" s="294">
        <v>999</v>
      </c>
      <c r="R48" s="306">
        <v>999</v>
      </c>
    </row>
    <row r="49" spans="1:18" x14ac:dyDescent="0.25">
      <c r="C49" s="169">
        <f t="shared" si="1"/>
        <v>2</v>
      </c>
      <c r="D49" s="216" t="s">
        <v>238</v>
      </c>
      <c r="E49" s="215" t="s">
        <v>348</v>
      </c>
      <c r="F49" s="215" t="s">
        <v>348</v>
      </c>
      <c r="G49" s="215" t="s">
        <v>469</v>
      </c>
      <c r="H49" s="219" t="s">
        <v>466</v>
      </c>
      <c r="I49" s="307" t="s">
        <v>575</v>
      </c>
      <c r="J49" s="253">
        <v>1.9</v>
      </c>
      <c r="K49" s="251">
        <v>0.39</v>
      </c>
      <c r="L49" s="310">
        <v>999</v>
      </c>
      <c r="M49" s="253">
        <v>1.9</v>
      </c>
      <c r="N49" s="251">
        <v>0.27</v>
      </c>
      <c r="O49" s="306">
        <v>999</v>
      </c>
      <c r="P49" s="253">
        <v>1.9</v>
      </c>
      <c r="Q49" s="294">
        <v>999</v>
      </c>
      <c r="R49" s="306">
        <v>999</v>
      </c>
    </row>
    <row r="50" spans="1:18" x14ac:dyDescent="0.25">
      <c r="A50" s="7"/>
      <c r="C50" s="169">
        <f t="shared" si="1"/>
        <v>2</v>
      </c>
      <c r="D50" s="216" t="s">
        <v>238</v>
      </c>
      <c r="E50" s="217" t="s">
        <v>348</v>
      </c>
      <c r="F50" s="217" t="s">
        <v>348</v>
      </c>
      <c r="G50" s="215" t="s">
        <v>469</v>
      </c>
      <c r="H50" s="219" t="s">
        <v>466</v>
      </c>
      <c r="I50" s="307" t="s">
        <v>576</v>
      </c>
      <c r="J50" s="253">
        <v>1.9</v>
      </c>
      <c r="K50" s="251">
        <v>0.34</v>
      </c>
      <c r="L50" s="310">
        <v>999</v>
      </c>
      <c r="M50" s="253">
        <v>1.9</v>
      </c>
      <c r="N50" s="251">
        <v>0.27</v>
      </c>
      <c r="O50" s="306">
        <v>999</v>
      </c>
      <c r="P50" s="253">
        <v>1.9</v>
      </c>
      <c r="Q50" s="294">
        <v>999</v>
      </c>
      <c r="R50" s="306">
        <v>999</v>
      </c>
    </row>
    <row r="51" spans="1:18" x14ac:dyDescent="0.25">
      <c r="A51" s="130"/>
      <c r="C51" s="169">
        <f t="shared" si="1"/>
        <v>2</v>
      </c>
      <c r="D51" s="216" t="s">
        <v>238</v>
      </c>
      <c r="E51" s="215" t="s">
        <v>348</v>
      </c>
      <c r="F51" s="215" t="s">
        <v>348</v>
      </c>
      <c r="G51" s="215" t="s">
        <v>470</v>
      </c>
      <c r="H51" s="220" t="s">
        <v>348</v>
      </c>
      <c r="I51" s="307" t="s">
        <v>575</v>
      </c>
      <c r="J51" s="245">
        <v>1.36</v>
      </c>
      <c r="K51" s="243">
        <v>0.36</v>
      </c>
      <c r="L51" s="312">
        <v>999</v>
      </c>
      <c r="M51" s="245">
        <v>1.36</v>
      </c>
      <c r="N51" s="243">
        <v>0.19</v>
      </c>
      <c r="O51" s="300">
        <v>999</v>
      </c>
      <c r="P51" s="245">
        <v>1.36</v>
      </c>
      <c r="Q51" s="296">
        <v>999</v>
      </c>
      <c r="R51" s="300">
        <v>999</v>
      </c>
    </row>
    <row r="52" spans="1:18" x14ac:dyDescent="0.25">
      <c r="A52" s="8"/>
      <c r="C52" s="165">
        <f t="shared" si="1"/>
        <v>2</v>
      </c>
      <c r="D52" s="225" t="s">
        <v>238</v>
      </c>
      <c r="E52" s="201" t="s">
        <v>348</v>
      </c>
      <c r="F52" s="201" t="s">
        <v>348</v>
      </c>
      <c r="G52" s="201" t="s">
        <v>470</v>
      </c>
      <c r="H52" s="226" t="s">
        <v>348</v>
      </c>
      <c r="I52" s="308" t="s">
        <v>576</v>
      </c>
      <c r="J52" s="246">
        <v>1.36</v>
      </c>
      <c r="K52" s="244">
        <v>0.19</v>
      </c>
      <c r="L52" s="313">
        <v>999</v>
      </c>
      <c r="M52" s="246">
        <v>1.36</v>
      </c>
      <c r="N52" s="244">
        <v>0.19</v>
      </c>
      <c r="O52" s="301">
        <v>999</v>
      </c>
      <c r="P52" s="246">
        <v>1.36</v>
      </c>
      <c r="Q52" s="297">
        <v>999</v>
      </c>
      <c r="R52" s="301">
        <v>999</v>
      </c>
    </row>
    <row r="53" spans="1:18" x14ac:dyDescent="0.25">
      <c r="C53" s="228">
        <v>3</v>
      </c>
      <c r="D53" s="230" t="s">
        <v>524</v>
      </c>
      <c r="E53" s="230" t="s">
        <v>681</v>
      </c>
      <c r="F53" s="230" t="s">
        <v>774</v>
      </c>
      <c r="G53" s="231" t="s">
        <v>348</v>
      </c>
      <c r="H53" s="231" t="s">
        <v>348</v>
      </c>
      <c r="I53" s="231" t="s">
        <v>348</v>
      </c>
      <c r="J53" s="247">
        <v>0.65</v>
      </c>
      <c r="K53" s="242">
        <v>0.25</v>
      </c>
      <c r="L53" s="314">
        <v>999</v>
      </c>
      <c r="M53" s="247">
        <v>0.65</v>
      </c>
      <c r="N53" s="242">
        <v>0.25</v>
      </c>
      <c r="O53" s="299">
        <v>999</v>
      </c>
      <c r="P53" s="247">
        <v>1.2</v>
      </c>
      <c r="Q53" s="298">
        <v>999</v>
      </c>
      <c r="R53" s="299">
        <v>999</v>
      </c>
    </row>
    <row r="54" spans="1:18" x14ac:dyDescent="0.25">
      <c r="C54" s="169">
        <f>C53</f>
        <v>3</v>
      </c>
      <c r="D54" s="214" t="s">
        <v>524</v>
      </c>
      <c r="E54" s="214" t="s">
        <v>682</v>
      </c>
      <c r="F54" s="214" t="s">
        <v>774</v>
      </c>
      <c r="G54" s="215" t="s">
        <v>348</v>
      </c>
      <c r="H54" s="215" t="s">
        <v>348</v>
      </c>
      <c r="I54" s="215" t="s">
        <v>348</v>
      </c>
      <c r="J54" s="245">
        <v>0.65</v>
      </c>
      <c r="K54" s="243">
        <v>0.25</v>
      </c>
      <c r="L54" s="312">
        <v>999</v>
      </c>
      <c r="M54" s="245">
        <v>0.65</v>
      </c>
      <c r="N54" s="243">
        <v>0.25</v>
      </c>
      <c r="O54" s="300">
        <v>999</v>
      </c>
      <c r="P54" s="245">
        <v>1.2</v>
      </c>
      <c r="Q54" s="296">
        <v>999</v>
      </c>
      <c r="R54" s="300">
        <v>999</v>
      </c>
    </row>
    <row r="55" spans="1:18" x14ac:dyDescent="0.25">
      <c r="C55" s="169">
        <f t="shared" ref="C55:C65" si="2">C54</f>
        <v>3</v>
      </c>
      <c r="D55" s="214" t="s">
        <v>524</v>
      </c>
      <c r="E55" s="214" t="s">
        <v>683</v>
      </c>
      <c r="F55" s="214" t="s">
        <v>774</v>
      </c>
      <c r="G55" s="215" t="s">
        <v>348</v>
      </c>
      <c r="H55" s="215" t="s">
        <v>348</v>
      </c>
      <c r="I55" s="215" t="s">
        <v>348</v>
      </c>
      <c r="J55" s="245">
        <v>0.65</v>
      </c>
      <c r="K55" s="243">
        <v>0.25</v>
      </c>
      <c r="L55" s="312">
        <v>999</v>
      </c>
      <c r="M55" s="245">
        <v>0.65</v>
      </c>
      <c r="N55" s="243">
        <v>0.25</v>
      </c>
      <c r="O55" s="300">
        <v>999</v>
      </c>
      <c r="P55" s="245">
        <v>1.2</v>
      </c>
      <c r="Q55" s="296">
        <v>999</v>
      </c>
      <c r="R55" s="300">
        <v>999</v>
      </c>
    </row>
    <row r="56" spans="1:18" x14ac:dyDescent="0.25">
      <c r="C56" s="169">
        <f t="shared" si="2"/>
        <v>3</v>
      </c>
      <c r="D56" s="214" t="s">
        <v>524</v>
      </c>
      <c r="E56" s="216" t="s">
        <v>685</v>
      </c>
      <c r="F56" s="214" t="s">
        <v>774</v>
      </c>
      <c r="G56" s="217" t="s">
        <v>348</v>
      </c>
      <c r="H56" s="217" t="s">
        <v>348</v>
      </c>
      <c r="I56" s="217" t="s">
        <v>348</v>
      </c>
      <c r="J56" s="245">
        <v>0.65</v>
      </c>
      <c r="K56" s="243">
        <v>0.25</v>
      </c>
      <c r="L56" s="312">
        <v>999</v>
      </c>
      <c r="M56" s="245">
        <v>0.65</v>
      </c>
      <c r="N56" s="243">
        <v>0.25</v>
      </c>
      <c r="O56" s="300">
        <v>999</v>
      </c>
      <c r="P56" s="245">
        <v>1.2</v>
      </c>
      <c r="Q56" s="296">
        <v>999</v>
      </c>
      <c r="R56" s="300">
        <v>999</v>
      </c>
    </row>
    <row r="57" spans="1:18" x14ac:dyDescent="0.25">
      <c r="C57" s="169">
        <f t="shared" si="2"/>
        <v>3</v>
      </c>
      <c r="D57" s="214" t="s">
        <v>524</v>
      </c>
      <c r="E57" s="218" t="s">
        <v>684</v>
      </c>
      <c r="F57" s="218" t="s">
        <v>686</v>
      </c>
      <c r="G57" s="215" t="s">
        <v>348</v>
      </c>
      <c r="H57" s="215" t="s">
        <v>348</v>
      </c>
      <c r="I57" s="215" t="s">
        <v>348</v>
      </c>
      <c r="J57" s="245">
        <v>0.6</v>
      </c>
      <c r="K57" s="243">
        <v>0.25</v>
      </c>
      <c r="L57" s="312">
        <v>999</v>
      </c>
      <c r="M57" s="245">
        <v>0.6</v>
      </c>
      <c r="N57" s="243">
        <v>0.25</v>
      </c>
      <c r="O57" s="300">
        <v>999</v>
      </c>
      <c r="P57" s="245">
        <v>1.2</v>
      </c>
      <c r="Q57" s="296">
        <v>999</v>
      </c>
      <c r="R57" s="300">
        <v>999</v>
      </c>
    </row>
    <row r="58" spans="1:18" x14ac:dyDescent="0.25">
      <c r="C58" s="169">
        <f t="shared" si="2"/>
        <v>3</v>
      </c>
      <c r="D58" s="214" t="s">
        <v>524</v>
      </c>
      <c r="E58" s="218" t="s">
        <v>684</v>
      </c>
      <c r="F58" s="216" t="s">
        <v>687</v>
      </c>
      <c r="G58" s="215" t="s">
        <v>348</v>
      </c>
      <c r="H58" s="215" t="s">
        <v>348</v>
      </c>
      <c r="I58" s="215" t="s">
        <v>348</v>
      </c>
      <c r="J58" s="245">
        <v>0.9</v>
      </c>
      <c r="K58" s="243">
        <v>0.25</v>
      </c>
      <c r="L58" s="312">
        <v>999</v>
      </c>
      <c r="M58" s="245">
        <v>0.9</v>
      </c>
      <c r="N58" s="243">
        <v>0.25</v>
      </c>
      <c r="O58" s="300">
        <v>999</v>
      </c>
      <c r="P58" s="245">
        <v>1.2</v>
      </c>
      <c r="Q58" s="296">
        <v>999</v>
      </c>
      <c r="R58" s="300">
        <v>999</v>
      </c>
    </row>
    <row r="59" spans="1:18" x14ac:dyDescent="0.25">
      <c r="C59" s="169">
        <f t="shared" si="2"/>
        <v>3</v>
      </c>
      <c r="D59" s="214" t="s">
        <v>524</v>
      </c>
      <c r="E59" s="218" t="s">
        <v>684</v>
      </c>
      <c r="F59" s="216" t="s">
        <v>774</v>
      </c>
      <c r="G59" s="215" t="s">
        <v>348</v>
      </c>
      <c r="H59" s="215" t="s">
        <v>348</v>
      </c>
      <c r="I59" s="215" t="s">
        <v>348</v>
      </c>
      <c r="J59" s="245">
        <v>0.65</v>
      </c>
      <c r="K59" s="243">
        <v>0.25</v>
      </c>
      <c r="L59" s="312">
        <v>999</v>
      </c>
      <c r="M59" s="245">
        <v>0.65</v>
      </c>
      <c r="N59" s="243">
        <v>0.25</v>
      </c>
      <c r="O59" s="300">
        <v>999</v>
      </c>
      <c r="P59" s="245">
        <v>1.2</v>
      </c>
      <c r="Q59" s="296">
        <v>999</v>
      </c>
      <c r="R59" s="300">
        <v>999</v>
      </c>
    </row>
    <row r="60" spans="1:18" x14ac:dyDescent="0.25">
      <c r="C60" s="169">
        <f t="shared" si="2"/>
        <v>3</v>
      </c>
      <c r="D60" s="216" t="s">
        <v>238</v>
      </c>
      <c r="E60" s="215" t="s">
        <v>348</v>
      </c>
      <c r="F60" s="215" t="s">
        <v>348</v>
      </c>
      <c r="G60" s="215" t="s">
        <v>469</v>
      </c>
      <c r="H60" s="219" t="s">
        <v>465</v>
      </c>
      <c r="I60" s="307" t="s">
        <v>575</v>
      </c>
      <c r="J60" s="245">
        <v>1.17</v>
      </c>
      <c r="K60" s="243">
        <v>0.39</v>
      </c>
      <c r="L60" s="312">
        <v>999</v>
      </c>
      <c r="M60" s="245">
        <v>1.17</v>
      </c>
      <c r="N60" s="243">
        <v>0.36</v>
      </c>
      <c r="O60" s="300">
        <v>999</v>
      </c>
      <c r="P60" s="245">
        <v>1.98</v>
      </c>
      <c r="Q60" s="296">
        <v>999</v>
      </c>
      <c r="R60" s="300">
        <v>999</v>
      </c>
    </row>
    <row r="61" spans="1:18" x14ac:dyDescent="0.25">
      <c r="C61" s="169">
        <f t="shared" si="2"/>
        <v>3</v>
      </c>
      <c r="D61" s="216" t="s">
        <v>238</v>
      </c>
      <c r="E61" s="215" t="s">
        <v>348</v>
      </c>
      <c r="F61" s="215" t="s">
        <v>348</v>
      </c>
      <c r="G61" s="215" t="s">
        <v>469</v>
      </c>
      <c r="H61" s="219" t="s">
        <v>465</v>
      </c>
      <c r="I61" s="307" t="s">
        <v>576</v>
      </c>
      <c r="J61" s="245">
        <v>1.17</v>
      </c>
      <c r="K61" s="243">
        <v>0.19</v>
      </c>
      <c r="L61" s="312">
        <v>999</v>
      </c>
      <c r="M61" s="245">
        <v>1.17</v>
      </c>
      <c r="N61" s="243">
        <v>0.19</v>
      </c>
      <c r="O61" s="300">
        <v>999</v>
      </c>
      <c r="P61" s="245">
        <v>1.98</v>
      </c>
      <c r="Q61" s="296">
        <v>999</v>
      </c>
      <c r="R61" s="300">
        <v>999</v>
      </c>
    </row>
    <row r="62" spans="1:18" x14ac:dyDescent="0.25">
      <c r="C62" s="169">
        <f t="shared" si="2"/>
        <v>3</v>
      </c>
      <c r="D62" s="216" t="s">
        <v>238</v>
      </c>
      <c r="E62" s="215" t="s">
        <v>348</v>
      </c>
      <c r="F62" s="215" t="s">
        <v>348</v>
      </c>
      <c r="G62" s="215" t="s">
        <v>469</v>
      </c>
      <c r="H62" s="219" t="s">
        <v>466</v>
      </c>
      <c r="I62" s="307" t="s">
        <v>575</v>
      </c>
      <c r="J62" s="245">
        <v>1.3</v>
      </c>
      <c r="K62" s="243">
        <v>0.65</v>
      </c>
      <c r="L62" s="312">
        <v>999</v>
      </c>
      <c r="M62" s="245">
        <v>1.3</v>
      </c>
      <c r="N62" s="243">
        <v>0.27</v>
      </c>
      <c r="O62" s="300">
        <v>999</v>
      </c>
      <c r="P62" s="245">
        <v>1.9</v>
      </c>
      <c r="Q62" s="296">
        <v>999</v>
      </c>
      <c r="R62" s="300">
        <v>999</v>
      </c>
    </row>
    <row r="63" spans="1:18" x14ac:dyDescent="0.25">
      <c r="A63" s="7"/>
      <c r="C63" s="169">
        <f t="shared" si="2"/>
        <v>3</v>
      </c>
      <c r="D63" s="216" t="s">
        <v>238</v>
      </c>
      <c r="E63" s="217" t="s">
        <v>348</v>
      </c>
      <c r="F63" s="217" t="s">
        <v>348</v>
      </c>
      <c r="G63" s="215" t="s">
        <v>469</v>
      </c>
      <c r="H63" s="219" t="s">
        <v>466</v>
      </c>
      <c r="I63" s="307" t="s">
        <v>576</v>
      </c>
      <c r="J63" s="245">
        <v>1.3</v>
      </c>
      <c r="K63" s="243">
        <v>0.34</v>
      </c>
      <c r="L63" s="312">
        <v>999</v>
      </c>
      <c r="M63" s="245">
        <v>1.3</v>
      </c>
      <c r="N63" s="243">
        <v>0.27</v>
      </c>
      <c r="O63" s="300">
        <v>999</v>
      </c>
      <c r="P63" s="245">
        <v>1.9</v>
      </c>
      <c r="Q63" s="296">
        <v>999</v>
      </c>
      <c r="R63" s="300">
        <v>999</v>
      </c>
    </row>
    <row r="64" spans="1:18" x14ac:dyDescent="0.25">
      <c r="A64" s="130"/>
      <c r="C64" s="169">
        <f t="shared" si="2"/>
        <v>3</v>
      </c>
      <c r="D64" s="216" t="s">
        <v>238</v>
      </c>
      <c r="E64" s="215" t="s">
        <v>348</v>
      </c>
      <c r="F64" s="215" t="s">
        <v>348</v>
      </c>
      <c r="G64" s="215" t="s">
        <v>470</v>
      </c>
      <c r="H64" s="220" t="s">
        <v>348</v>
      </c>
      <c r="I64" s="307" t="s">
        <v>575</v>
      </c>
      <c r="J64" s="245">
        <v>0.69</v>
      </c>
      <c r="K64" s="243">
        <v>0.39</v>
      </c>
      <c r="L64" s="312">
        <v>999</v>
      </c>
      <c r="M64" s="245">
        <v>0.69</v>
      </c>
      <c r="N64" s="243">
        <v>0.36</v>
      </c>
      <c r="O64" s="300">
        <v>999</v>
      </c>
      <c r="P64" s="245">
        <v>1.36</v>
      </c>
      <c r="Q64" s="296">
        <v>999</v>
      </c>
      <c r="R64" s="300">
        <v>999</v>
      </c>
    </row>
    <row r="65" spans="1:18" x14ac:dyDescent="0.25">
      <c r="A65" s="8"/>
      <c r="C65" s="165">
        <f t="shared" si="2"/>
        <v>3</v>
      </c>
      <c r="D65" s="225" t="s">
        <v>238</v>
      </c>
      <c r="E65" s="201" t="s">
        <v>348</v>
      </c>
      <c r="F65" s="201" t="s">
        <v>348</v>
      </c>
      <c r="G65" s="201" t="s">
        <v>470</v>
      </c>
      <c r="H65" s="226" t="s">
        <v>348</v>
      </c>
      <c r="I65" s="308" t="s">
        <v>576</v>
      </c>
      <c r="J65" s="246">
        <v>0.69</v>
      </c>
      <c r="K65" s="244">
        <v>0.19</v>
      </c>
      <c r="L65" s="313">
        <v>999</v>
      </c>
      <c r="M65" s="246">
        <v>0.69</v>
      </c>
      <c r="N65" s="244">
        <v>0.19</v>
      </c>
      <c r="O65" s="301">
        <v>999</v>
      </c>
      <c r="P65" s="246">
        <v>1.36</v>
      </c>
      <c r="Q65" s="297">
        <v>999</v>
      </c>
      <c r="R65" s="301">
        <v>999</v>
      </c>
    </row>
    <row r="66" spans="1:18" x14ac:dyDescent="0.25">
      <c r="C66" s="228">
        <v>4</v>
      </c>
      <c r="D66" s="230" t="s">
        <v>524</v>
      </c>
      <c r="E66" s="230" t="s">
        <v>681</v>
      </c>
      <c r="F66" s="230" t="s">
        <v>774</v>
      </c>
      <c r="G66" s="231" t="s">
        <v>348</v>
      </c>
      <c r="H66" s="231" t="s">
        <v>348</v>
      </c>
      <c r="I66" s="231" t="s">
        <v>348</v>
      </c>
      <c r="J66" s="247">
        <v>0.4</v>
      </c>
      <c r="K66" s="242">
        <v>0.4</v>
      </c>
      <c r="L66" s="314">
        <v>999</v>
      </c>
      <c r="M66" s="247">
        <v>0.4</v>
      </c>
      <c r="N66" s="242">
        <v>0.4</v>
      </c>
      <c r="O66" s="299">
        <v>999</v>
      </c>
      <c r="P66" s="247">
        <v>1.2</v>
      </c>
      <c r="Q66" s="298">
        <v>999</v>
      </c>
      <c r="R66" s="299">
        <v>999</v>
      </c>
    </row>
    <row r="67" spans="1:18" x14ac:dyDescent="0.25">
      <c r="C67" s="169">
        <f>C66</f>
        <v>4</v>
      </c>
      <c r="D67" s="214" t="s">
        <v>524</v>
      </c>
      <c r="E67" s="214" t="s">
        <v>682</v>
      </c>
      <c r="F67" s="214" t="s">
        <v>774</v>
      </c>
      <c r="G67" s="215" t="s">
        <v>348</v>
      </c>
      <c r="H67" s="215" t="s">
        <v>348</v>
      </c>
      <c r="I67" s="215" t="s">
        <v>348</v>
      </c>
      <c r="J67" s="245">
        <v>0.4</v>
      </c>
      <c r="K67" s="243">
        <v>0.4</v>
      </c>
      <c r="L67" s="312">
        <v>999</v>
      </c>
      <c r="M67" s="245">
        <v>0.4</v>
      </c>
      <c r="N67" s="243">
        <v>0.4</v>
      </c>
      <c r="O67" s="300">
        <v>999</v>
      </c>
      <c r="P67" s="245">
        <v>1.2</v>
      </c>
      <c r="Q67" s="296">
        <v>999</v>
      </c>
      <c r="R67" s="300">
        <v>999</v>
      </c>
    </row>
    <row r="68" spans="1:18" x14ac:dyDescent="0.25">
      <c r="C68" s="169">
        <f t="shared" ref="C68:C78" si="3">C67</f>
        <v>4</v>
      </c>
      <c r="D68" s="214" t="s">
        <v>524</v>
      </c>
      <c r="E68" s="214" t="s">
        <v>683</v>
      </c>
      <c r="F68" s="214" t="s">
        <v>774</v>
      </c>
      <c r="G68" s="215" t="s">
        <v>348</v>
      </c>
      <c r="H68" s="215" t="s">
        <v>348</v>
      </c>
      <c r="I68" s="215" t="s">
        <v>348</v>
      </c>
      <c r="J68" s="245">
        <v>0.4</v>
      </c>
      <c r="K68" s="243">
        <v>0.4</v>
      </c>
      <c r="L68" s="312">
        <v>999</v>
      </c>
      <c r="M68" s="245">
        <v>0.4</v>
      </c>
      <c r="N68" s="243">
        <v>0.4</v>
      </c>
      <c r="O68" s="300">
        <v>999</v>
      </c>
      <c r="P68" s="245">
        <v>1.2</v>
      </c>
      <c r="Q68" s="296">
        <v>999</v>
      </c>
      <c r="R68" s="300">
        <v>999</v>
      </c>
    </row>
    <row r="69" spans="1:18" x14ac:dyDescent="0.25">
      <c r="C69" s="169">
        <f t="shared" si="3"/>
        <v>4</v>
      </c>
      <c r="D69" s="214" t="s">
        <v>524</v>
      </c>
      <c r="E69" s="216" t="s">
        <v>685</v>
      </c>
      <c r="F69" s="214" t="s">
        <v>774</v>
      </c>
      <c r="G69" s="217" t="s">
        <v>348</v>
      </c>
      <c r="H69" s="217" t="s">
        <v>348</v>
      </c>
      <c r="I69" s="217" t="s">
        <v>348</v>
      </c>
      <c r="J69" s="245">
        <v>0.4</v>
      </c>
      <c r="K69" s="243">
        <v>0.4</v>
      </c>
      <c r="L69" s="312">
        <v>999</v>
      </c>
      <c r="M69" s="245">
        <v>0.4</v>
      </c>
      <c r="N69" s="243">
        <v>0.4</v>
      </c>
      <c r="O69" s="300">
        <v>999</v>
      </c>
      <c r="P69" s="245">
        <v>1.2</v>
      </c>
      <c r="Q69" s="296">
        <v>999</v>
      </c>
      <c r="R69" s="300">
        <v>999</v>
      </c>
    </row>
    <row r="70" spans="1:18" x14ac:dyDescent="0.25">
      <c r="C70" s="169">
        <f t="shared" si="3"/>
        <v>4</v>
      </c>
      <c r="D70" s="214" t="s">
        <v>524</v>
      </c>
      <c r="E70" s="218" t="s">
        <v>684</v>
      </c>
      <c r="F70" s="218" t="s">
        <v>686</v>
      </c>
      <c r="G70" s="215" t="s">
        <v>348</v>
      </c>
      <c r="H70" s="215" t="s">
        <v>348</v>
      </c>
      <c r="I70" s="215" t="s">
        <v>348</v>
      </c>
      <c r="J70" s="245">
        <v>0.5</v>
      </c>
      <c r="K70" s="243">
        <v>0.4</v>
      </c>
      <c r="L70" s="312">
        <v>999</v>
      </c>
      <c r="M70" s="245">
        <v>0.5</v>
      </c>
      <c r="N70" s="243">
        <v>0.4</v>
      </c>
      <c r="O70" s="300">
        <v>999</v>
      </c>
      <c r="P70" s="245">
        <v>1.2</v>
      </c>
      <c r="Q70" s="296">
        <v>999</v>
      </c>
      <c r="R70" s="300">
        <v>999</v>
      </c>
    </row>
    <row r="71" spans="1:18" x14ac:dyDescent="0.25">
      <c r="C71" s="169">
        <f t="shared" si="3"/>
        <v>4</v>
      </c>
      <c r="D71" s="214" t="s">
        <v>524</v>
      </c>
      <c r="E71" s="218" t="s">
        <v>684</v>
      </c>
      <c r="F71" s="216" t="s">
        <v>687</v>
      </c>
      <c r="G71" s="215" t="s">
        <v>348</v>
      </c>
      <c r="H71" s="215" t="s">
        <v>348</v>
      </c>
      <c r="I71" s="215" t="s">
        <v>348</v>
      </c>
      <c r="J71" s="245">
        <v>0.85</v>
      </c>
      <c r="K71" s="243">
        <v>0.4</v>
      </c>
      <c r="L71" s="312">
        <v>999</v>
      </c>
      <c r="M71" s="245">
        <v>0.85</v>
      </c>
      <c r="N71" s="243">
        <v>0.4</v>
      </c>
      <c r="O71" s="300">
        <v>999</v>
      </c>
      <c r="P71" s="245">
        <v>1.2</v>
      </c>
      <c r="Q71" s="296">
        <v>999</v>
      </c>
      <c r="R71" s="300">
        <v>999</v>
      </c>
    </row>
    <row r="72" spans="1:18" x14ac:dyDescent="0.25">
      <c r="C72" s="169">
        <f t="shared" si="3"/>
        <v>4</v>
      </c>
      <c r="D72" s="214" t="s">
        <v>524</v>
      </c>
      <c r="E72" s="218" t="s">
        <v>684</v>
      </c>
      <c r="F72" s="216" t="s">
        <v>774</v>
      </c>
      <c r="G72" s="215" t="s">
        <v>348</v>
      </c>
      <c r="H72" s="215" t="s">
        <v>348</v>
      </c>
      <c r="I72" s="215" t="s">
        <v>348</v>
      </c>
      <c r="J72" s="245">
        <v>0.55000000000000004</v>
      </c>
      <c r="K72" s="243">
        <v>0.4</v>
      </c>
      <c r="L72" s="312">
        <v>999</v>
      </c>
      <c r="M72" s="245">
        <v>0.55000000000000004</v>
      </c>
      <c r="N72" s="243">
        <v>0.4</v>
      </c>
      <c r="O72" s="300">
        <v>999</v>
      </c>
      <c r="P72" s="245">
        <v>1.2</v>
      </c>
      <c r="Q72" s="296">
        <v>999</v>
      </c>
      <c r="R72" s="300">
        <v>999</v>
      </c>
    </row>
    <row r="73" spans="1:18" x14ac:dyDescent="0.25">
      <c r="C73" s="169">
        <f t="shared" si="3"/>
        <v>4</v>
      </c>
      <c r="D73" s="216" t="s">
        <v>238</v>
      </c>
      <c r="E73" s="215" t="s">
        <v>348</v>
      </c>
      <c r="F73" s="215" t="s">
        <v>348</v>
      </c>
      <c r="G73" s="215" t="s">
        <v>469</v>
      </c>
      <c r="H73" s="219" t="s">
        <v>465</v>
      </c>
      <c r="I73" s="307" t="s">
        <v>575</v>
      </c>
      <c r="J73" s="245">
        <v>1.17</v>
      </c>
      <c r="K73" s="243">
        <v>0.49</v>
      </c>
      <c r="L73" s="312">
        <v>999</v>
      </c>
      <c r="M73" s="245">
        <v>0.98</v>
      </c>
      <c r="N73" s="243">
        <v>0.36</v>
      </c>
      <c r="O73" s="300">
        <v>999</v>
      </c>
      <c r="P73" s="245">
        <v>1.98</v>
      </c>
      <c r="Q73" s="296">
        <v>999</v>
      </c>
      <c r="R73" s="300">
        <v>999</v>
      </c>
    </row>
    <row r="74" spans="1:18" x14ac:dyDescent="0.25">
      <c r="C74" s="169">
        <f t="shared" si="3"/>
        <v>4</v>
      </c>
      <c r="D74" s="216" t="s">
        <v>238</v>
      </c>
      <c r="E74" s="215" t="s">
        <v>348</v>
      </c>
      <c r="F74" s="215" t="s">
        <v>348</v>
      </c>
      <c r="G74" s="215" t="s">
        <v>469</v>
      </c>
      <c r="H74" s="219" t="s">
        <v>465</v>
      </c>
      <c r="I74" s="307" t="s">
        <v>576</v>
      </c>
      <c r="J74" s="245">
        <v>1.17</v>
      </c>
      <c r="K74" s="243">
        <v>0.39</v>
      </c>
      <c r="L74" s="312">
        <v>999</v>
      </c>
      <c r="M74" s="245">
        <v>0.98</v>
      </c>
      <c r="N74" s="243">
        <v>0.19</v>
      </c>
      <c r="O74" s="300">
        <v>999</v>
      </c>
      <c r="P74" s="245">
        <v>1.98</v>
      </c>
      <c r="Q74" s="296">
        <v>999</v>
      </c>
      <c r="R74" s="300">
        <v>999</v>
      </c>
    </row>
    <row r="75" spans="1:18" x14ac:dyDescent="0.25">
      <c r="C75" s="169">
        <f t="shared" si="3"/>
        <v>4</v>
      </c>
      <c r="D75" s="216" t="s">
        <v>238</v>
      </c>
      <c r="E75" s="215" t="s">
        <v>348</v>
      </c>
      <c r="F75" s="215" t="s">
        <v>348</v>
      </c>
      <c r="G75" s="215" t="s">
        <v>469</v>
      </c>
      <c r="H75" s="219" t="s">
        <v>466</v>
      </c>
      <c r="I75" s="307" t="s">
        <v>575</v>
      </c>
      <c r="J75" s="245">
        <v>1.3</v>
      </c>
      <c r="K75" s="243">
        <v>0.65</v>
      </c>
      <c r="L75" s="312">
        <v>999</v>
      </c>
      <c r="M75" s="245">
        <v>1.3</v>
      </c>
      <c r="N75" s="243">
        <v>0.62</v>
      </c>
      <c r="O75" s="300">
        <v>999</v>
      </c>
      <c r="P75" s="245">
        <v>1.9</v>
      </c>
      <c r="Q75" s="296">
        <v>999</v>
      </c>
      <c r="R75" s="300">
        <v>999</v>
      </c>
    </row>
    <row r="76" spans="1:18" x14ac:dyDescent="0.25">
      <c r="A76" s="7"/>
      <c r="C76" s="169">
        <f t="shared" si="3"/>
        <v>4</v>
      </c>
      <c r="D76" s="216" t="s">
        <v>238</v>
      </c>
      <c r="E76" s="217" t="s">
        <v>348</v>
      </c>
      <c r="F76" s="217" t="s">
        <v>348</v>
      </c>
      <c r="G76" s="215" t="s">
        <v>469</v>
      </c>
      <c r="H76" s="219" t="s">
        <v>466</v>
      </c>
      <c r="I76" s="307" t="s">
        <v>576</v>
      </c>
      <c r="J76" s="245">
        <v>1.3</v>
      </c>
      <c r="K76" s="243">
        <v>0.34</v>
      </c>
      <c r="L76" s="312">
        <v>999</v>
      </c>
      <c r="M76" s="245">
        <v>1.3</v>
      </c>
      <c r="N76" s="243">
        <v>0.27</v>
      </c>
      <c r="O76" s="300">
        <v>999</v>
      </c>
      <c r="P76" s="245">
        <v>1.9</v>
      </c>
      <c r="Q76" s="296">
        <v>999</v>
      </c>
      <c r="R76" s="300">
        <v>999</v>
      </c>
    </row>
    <row r="77" spans="1:18" x14ac:dyDescent="0.25">
      <c r="A77" s="130"/>
      <c r="C77" s="169">
        <f t="shared" si="3"/>
        <v>4</v>
      </c>
      <c r="D77" s="216" t="s">
        <v>238</v>
      </c>
      <c r="E77" s="215" t="s">
        <v>348</v>
      </c>
      <c r="F77" s="215" t="s">
        <v>348</v>
      </c>
      <c r="G77" s="215" t="s">
        <v>470</v>
      </c>
      <c r="H77" s="220" t="s">
        <v>348</v>
      </c>
      <c r="I77" s="307" t="s">
        <v>575</v>
      </c>
      <c r="J77" s="245">
        <v>0.69</v>
      </c>
      <c r="K77" s="243">
        <v>0.49</v>
      </c>
      <c r="L77" s="312">
        <v>999</v>
      </c>
      <c r="M77" s="245">
        <v>0.57999999999999996</v>
      </c>
      <c r="N77" s="243">
        <v>0.36</v>
      </c>
      <c r="O77" s="300">
        <v>999</v>
      </c>
      <c r="P77" s="245">
        <v>1.36</v>
      </c>
      <c r="Q77" s="296">
        <v>999</v>
      </c>
      <c r="R77" s="300">
        <v>999</v>
      </c>
    </row>
    <row r="78" spans="1:18" x14ac:dyDescent="0.25">
      <c r="A78" s="8"/>
      <c r="C78" s="165">
        <f t="shared" si="3"/>
        <v>4</v>
      </c>
      <c r="D78" s="225" t="s">
        <v>238</v>
      </c>
      <c r="E78" s="201" t="s">
        <v>348</v>
      </c>
      <c r="F78" s="201" t="s">
        <v>348</v>
      </c>
      <c r="G78" s="201" t="s">
        <v>470</v>
      </c>
      <c r="H78" s="226" t="s">
        <v>348</v>
      </c>
      <c r="I78" s="308" t="s">
        <v>576</v>
      </c>
      <c r="J78" s="246">
        <v>0.69</v>
      </c>
      <c r="K78" s="244">
        <v>0.39</v>
      </c>
      <c r="L78" s="313">
        <v>999</v>
      </c>
      <c r="M78" s="246">
        <v>0.57999999999999996</v>
      </c>
      <c r="N78" s="244">
        <v>0.19</v>
      </c>
      <c r="O78" s="301">
        <v>999</v>
      </c>
      <c r="P78" s="246">
        <v>1.36</v>
      </c>
      <c r="Q78" s="297">
        <v>999</v>
      </c>
      <c r="R78" s="301">
        <v>999</v>
      </c>
    </row>
    <row r="79" spans="1:18" x14ac:dyDescent="0.25">
      <c r="C79" s="228">
        <v>5</v>
      </c>
      <c r="D79" s="230" t="s">
        <v>524</v>
      </c>
      <c r="E79" s="230" t="s">
        <v>681</v>
      </c>
      <c r="F79" s="230" t="s">
        <v>774</v>
      </c>
      <c r="G79" s="231" t="s">
        <v>348</v>
      </c>
      <c r="H79" s="231" t="s">
        <v>348</v>
      </c>
      <c r="I79" s="231" t="s">
        <v>348</v>
      </c>
      <c r="J79" s="247">
        <v>0.35</v>
      </c>
      <c r="K79" s="242">
        <v>0.4</v>
      </c>
      <c r="L79" s="314">
        <v>999</v>
      </c>
      <c r="M79" s="247">
        <v>0.35</v>
      </c>
      <c r="N79" s="242">
        <v>0.4</v>
      </c>
      <c r="O79" s="299">
        <v>999</v>
      </c>
      <c r="P79" s="247">
        <v>1.2</v>
      </c>
      <c r="Q79" s="298">
        <v>999</v>
      </c>
      <c r="R79" s="299">
        <v>999</v>
      </c>
    </row>
    <row r="80" spans="1:18" x14ac:dyDescent="0.25">
      <c r="C80" s="169">
        <f>C79</f>
        <v>5</v>
      </c>
      <c r="D80" s="214" t="s">
        <v>524</v>
      </c>
      <c r="E80" s="214" t="s">
        <v>682</v>
      </c>
      <c r="F80" s="214" t="s">
        <v>774</v>
      </c>
      <c r="G80" s="215" t="s">
        <v>348</v>
      </c>
      <c r="H80" s="215" t="s">
        <v>348</v>
      </c>
      <c r="I80" s="215" t="s">
        <v>348</v>
      </c>
      <c r="J80" s="245">
        <v>0.35</v>
      </c>
      <c r="K80" s="243">
        <v>0.4</v>
      </c>
      <c r="L80" s="312">
        <v>999</v>
      </c>
      <c r="M80" s="245">
        <v>0.35</v>
      </c>
      <c r="N80" s="243">
        <v>0.4</v>
      </c>
      <c r="O80" s="300">
        <v>999</v>
      </c>
      <c r="P80" s="245">
        <v>1.2</v>
      </c>
      <c r="Q80" s="296">
        <v>999</v>
      </c>
      <c r="R80" s="300">
        <v>999</v>
      </c>
    </row>
    <row r="81" spans="1:18" x14ac:dyDescent="0.25">
      <c r="C81" s="169">
        <f t="shared" ref="C81:C91" si="4">C80</f>
        <v>5</v>
      </c>
      <c r="D81" s="214" t="s">
        <v>524</v>
      </c>
      <c r="E81" s="214" t="s">
        <v>683</v>
      </c>
      <c r="F81" s="214" t="s">
        <v>774</v>
      </c>
      <c r="G81" s="215" t="s">
        <v>348</v>
      </c>
      <c r="H81" s="215" t="s">
        <v>348</v>
      </c>
      <c r="I81" s="215" t="s">
        <v>348</v>
      </c>
      <c r="J81" s="245">
        <v>0.35</v>
      </c>
      <c r="K81" s="243">
        <v>0.4</v>
      </c>
      <c r="L81" s="312">
        <v>999</v>
      </c>
      <c r="M81" s="245">
        <v>0.35</v>
      </c>
      <c r="N81" s="243">
        <v>0.4</v>
      </c>
      <c r="O81" s="300">
        <v>999</v>
      </c>
      <c r="P81" s="245">
        <v>1.2</v>
      </c>
      <c r="Q81" s="296">
        <v>999</v>
      </c>
      <c r="R81" s="300">
        <v>999</v>
      </c>
    </row>
    <row r="82" spans="1:18" x14ac:dyDescent="0.25">
      <c r="C82" s="169">
        <f t="shared" si="4"/>
        <v>5</v>
      </c>
      <c r="D82" s="214" t="s">
        <v>524</v>
      </c>
      <c r="E82" s="216" t="s">
        <v>685</v>
      </c>
      <c r="F82" s="214" t="s">
        <v>774</v>
      </c>
      <c r="G82" s="217" t="s">
        <v>348</v>
      </c>
      <c r="H82" s="217" t="s">
        <v>348</v>
      </c>
      <c r="I82" s="217" t="s">
        <v>348</v>
      </c>
      <c r="J82" s="245">
        <v>0.35</v>
      </c>
      <c r="K82" s="243">
        <v>0.4</v>
      </c>
      <c r="L82" s="312">
        <v>999</v>
      </c>
      <c r="M82" s="245">
        <v>0.35</v>
      </c>
      <c r="N82" s="243">
        <v>0.4</v>
      </c>
      <c r="O82" s="300">
        <v>999</v>
      </c>
      <c r="P82" s="245">
        <v>1.2</v>
      </c>
      <c r="Q82" s="296">
        <v>999</v>
      </c>
      <c r="R82" s="300">
        <v>999</v>
      </c>
    </row>
    <row r="83" spans="1:18" x14ac:dyDescent="0.25">
      <c r="C83" s="169">
        <f t="shared" si="4"/>
        <v>5</v>
      </c>
      <c r="D83" s="214" t="s">
        <v>524</v>
      </c>
      <c r="E83" s="218" t="s">
        <v>684</v>
      </c>
      <c r="F83" s="218" t="s">
        <v>686</v>
      </c>
      <c r="G83" s="215" t="s">
        <v>348</v>
      </c>
      <c r="H83" s="215" t="s">
        <v>348</v>
      </c>
      <c r="I83" s="215" t="s">
        <v>348</v>
      </c>
      <c r="J83" s="245">
        <v>0.45</v>
      </c>
      <c r="K83" s="243">
        <v>0.4</v>
      </c>
      <c r="L83" s="312">
        <v>999</v>
      </c>
      <c r="M83" s="245">
        <v>0.45</v>
      </c>
      <c r="N83" s="243">
        <v>0.4</v>
      </c>
      <c r="O83" s="300">
        <v>999</v>
      </c>
      <c r="P83" s="245">
        <v>1.2</v>
      </c>
      <c r="Q83" s="296">
        <v>999</v>
      </c>
      <c r="R83" s="300">
        <v>999</v>
      </c>
    </row>
    <row r="84" spans="1:18" x14ac:dyDescent="0.25">
      <c r="C84" s="169">
        <f t="shared" si="4"/>
        <v>5</v>
      </c>
      <c r="D84" s="214" t="s">
        <v>524</v>
      </c>
      <c r="E84" s="218" t="s">
        <v>684</v>
      </c>
      <c r="F84" s="216" t="s">
        <v>687</v>
      </c>
      <c r="G84" s="215" t="s">
        <v>348</v>
      </c>
      <c r="H84" s="215" t="s">
        <v>348</v>
      </c>
      <c r="I84" s="215" t="s">
        <v>348</v>
      </c>
      <c r="J84" s="245">
        <v>0.8</v>
      </c>
      <c r="K84" s="243">
        <v>0.4</v>
      </c>
      <c r="L84" s="312">
        <v>999</v>
      </c>
      <c r="M84" s="245">
        <v>0.8</v>
      </c>
      <c r="N84" s="243">
        <v>0.4</v>
      </c>
      <c r="O84" s="300">
        <v>999</v>
      </c>
      <c r="P84" s="245">
        <v>1.2</v>
      </c>
      <c r="Q84" s="296">
        <v>999</v>
      </c>
      <c r="R84" s="300">
        <v>999</v>
      </c>
    </row>
    <row r="85" spans="1:18" x14ac:dyDescent="0.25">
      <c r="C85" s="169">
        <f t="shared" si="4"/>
        <v>5</v>
      </c>
      <c r="D85" s="214" t="s">
        <v>524</v>
      </c>
      <c r="E85" s="218" t="s">
        <v>684</v>
      </c>
      <c r="F85" s="216" t="s">
        <v>774</v>
      </c>
      <c r="G85" s="215" t="s">
        <v>348</v>
      </c>
      <c r="H85" s="215" t="s">
        <v>348</v>
      </c>
      <c r="I85" s="215" t="s">
        <v>348</v>
      </c>
      <c r="J85" s="245">
        <v>0.55000000000000004</v>
      </c>
      <c r="K85" s="243">
        <v>0.4</v>
      </c>
      <c r="L85" s="312">
        <v>999</v>
      </c>
      <c r="M85" s="245">
        <v>0.55000000000000004</v>
      </c>
      <c r="N85" s="243">
        <v>0.4</v>
      </c>
      <c r="O85" s="300">
        <v>999</v>
      </c>
      <c r="P85" s="245">
        <v>1.2</v>
      </c>
      <c r="Q85" s="296">
        <v>999</v>
      </c>
      <c r="R85" s="300">
        <v>999</v>
      </c>
    </row>
    <row r="86" spans="1:18" x14ac:dyDescent="0.25">
      <c r="C86" s="169">
        <f t="shared" si="4"/>
        <v>5</v>
      </c>
      <c r="D86" s="216" t="s">
        <v>238</v>
      </c>
      <c r="E86" s="215" t="s">
        <v>348</v>
      </c>
      <c r="F86" s="215" t="s">
        <v>348</v>
      </c>
      <c r="G86" s="215" t="s">
        <v>469</v>
      </c>
      <c r="H86" s="219" t="s">
        <v>465</v>
      </c>
      <c r="I86" s="307" t="s">
        <v>575</v>
      </c>
      <c r="J86" s="245">
        <v>1.17</v>
      </c>
      <c r="K86" s="243">
        <v>0.49</v>
      </c>
      <c r="L86" s="312">
        <v>999</v>
      </c>
      <c r="M86" s="245">
        <v>1.17</v>
      </c>
      <c r="N86" s="243">
        <v>0.49</v>
      </c>
      <c r="O86" s="300">
        <v>999</v>
      </c>
      <c r="P86" s="245">
        <v>1.98</v>
      </c>
      <c r="Q86" s="296">
        <v>999</v>
      </c>
      <c r="R86" s="300">
        <v>999</v>
      </c>
    </row>
    <row r="87" spans="1:18" x14ac:dyDescent="0.25">
      <c r="C87" s="169">
        <f t="shared" si="4"/>
        <v>5</v>
      </c>
      <c r="D87" s="216" t="s">
        <v>238</v>
      </c>
      <c r="E87" s="215" t="s">
        <v>348</v>
      </c>
      <c r="F87" s="215" t="s">
        <v>348</v>
      </c>
      <c r="G87" s="215" t="s">
        <v>469</v>
      </c>
      <c r="H87" s="219" t="s">
        <v>465</v>
      </c>
      <c r="I87" s="307" t="s">
        <v>576</v>
      </c>
      <c r="J87" s="245">
        <v>1.17</v>
      </c>
      <c r="K87" s="243">
        <v>0.39</v>
      </c>
      <c r="L87" s="312">
        <v>999</v>
      </c>
      <c r="M87" s="245">
        <v>1.17</v>
      </c>
      <c r="N87" s="243">
        <v>0.39</v>
      </c>
      <c r="O87" s="300">
        <v>999</v>
      </c>
      <c r="P87" s="245">
        <v>1.98</v>
      </c>
      <c r="Q87" s="296">
        <v>999</v>
      </c>
      <c r="R87" s="300">
        <v>999</v>
      </c>
    </row>
    <row r="88" spans="1:18" x14ac:dyDescent="0.25">
      <c r="C88" s="169">
        <f t="shared" si="4"/>
        <v>5</v>
      </c>
      <c r="D88" s="216" t="s">
        <v>238</v>
      </c>
      <c r="E88" s="215" t="s">
        <v>348</v>
      </c>
      <c r="F88" s="215" t="s">
        <v>348</v>
      </c>
      <c r="G88" s="215" t="s">
        <v>469</v>
      </c>
      <c r="H88" s="219" t="s">
        <v>466</v>
      </c>
      <c r="I88" s="307" t="s">
        <v>575</v>
      </c>
      <c r="J88" s="245">
        <v>1.1000000000000001</v>
      </c>
      <c r="K88" s="243">
        <v>0.77</v>
      </c>
      <c r="L88" s="312">
        <v>999</v>
      </c>
      <c r="M88" s="245">
        <v>1.1000000000000001</v>
      </c>
      <c r="N88" s="243">
        <v>0.77</v>
      </c>
      <c r="O88" s="300">
        <v>999</v>
      </c>
      <c r="P88" s="245">
        <v>1.9</v>
      </c>
      <c r="Q88" s="296">
        <v>999</v>
      </c>
      <c r="R88" s="300">
        <v>999</v>
      </c>
    </row>
    <row r="89" spans="1:18" x14ac:dyDescent="0.25">
      <c r="A89" s="7"/>
      <c r="C89" s="169">
        <f t="shared" si="4"/>
        <v>5</v>
      </c>
      <c r="D89" s="216" t="s">
        <v>238</v>
      </c>
      <c r="E89" s="217" t="s">
        <v>348</v>
      </c>
      <c r="F89" s="217" t="s">
        <v>348</v>
      </c>
      <c r="G89" s="215" t="s">
        <v>469</v>
      </c>
      <c r="H89" s="219" t="s">
        <v>466</v>
      </c>
      <c r="I89" s="307" t="s">
        <v>576</v>
      </c>
      <c r="J89" s="245">
        <v>1.1000000000000001</v>
      </c>
      <c r="K89" s="243">
        <v>0.62</v>
      </c>
      <c r="L89" s="312">
        <v>999</v>
      </c>
      <c r="M89" s="245">
        <v>1.1000000000000001</v>
      </c>
      <c r="N89" s="243">
        <v>0.62</v>
      </c>
      <c r="O89" s="300">
        <v>999</v>
      </c>
      <c r="P89" s="245">
        <v>1.9</v>
      </c>
      <c r="Q89" s="296">
        <v>999</v>
      </c>
      <c r="R89" s="300">
        <v>999</v>
      </c>
    </row>
    <row r="90" spans="1:18" x14ac:dyDescent="0.25">
      <c r="A90" s="130"/>
      <c r="C90" s="169">
        <f t="shared" si="4"/>
        <v>5</v>
      </c>
      <c r="D90" s="216" t="s">
        <v>238</v>
      </c>
      <c r="E90" s="215" t="s">
        <v>348</v>
      </c>
      <c r="F90" s="215" t="s">
        <v>348</v>
      </c>
      <c r="G90" s="215" t="s">
        <v>470</v>
      </c>
      <c r="H90" s="220" t="s">
        <v>348</v>
      </c>
      <c r="I90" s="307" t="s">
        <v>575</v>
      </c>
      <c r="J90" s="245">
        <v>0.69</v>
      </c>
      <c r="K90" s="243">
        <v>0.49</v>
      </c>
      <c r="L90" s="312">
        <v>999</v>
      </c>
      <c r="M90" s="245">
        <v>0.69</v>
      </c>
      <c r="N90" s="243">
        <v>0.49</v>
      </c>
      <c r="O90" s="300">
        <v>999</v>
      </c>
      <c r="P90" s="245">
        <v>1.36</v>
      </c>
      <c r="Q90" s="296">
        <v>999</v>
      </c>
      <c r="R90" s="300">
        <v>999</v>
      </c>
    </row>
    <row r="91" spans="1:18" x14ac:dyDescent="0.25">
      <c r="A91" s="8"/>
      <c r="C91" s="165">
        <f t="shared" si="4"/>
        <v>5</v>
      </c>
      <c r="D91" s="225" t="s">
        <v>238</v>
      </c>
      <c r="E91" s="201" t="s">
        <v>348</v>
      </c>
      <c r="F91" s="201" t="s">
        <v>348</v>
      </c>
      <c r="G91" s="201" t="s">
        <v>470</v>
      </c>
      <c r="H91" s="226" t="s">
        <v>348</v>
      </c>
      <c r="I91" s="308" t="s">
        <v>576</v>
      </c>
      <c r="J91" s="246">
        <v>0.69</v>
      </c>
      <c r="K91" s="244">
        <v>0.39</v>
      </c>
      <c r="L91" s="313">
        <v>999</v>
      </c>
      <c r="M91" s="246">
        <v>0.69</v>
      </c>
      <c r="N91" s="244">
        <v>0.39</v>
      </c>
      <c r="O91" s="301">
        <v>999</v>
      </c>
      <c r="P91" s="246">
        <v>1.36</v>
      </c>
      <c r="Q91" s="297">
        <v>999</v>
      </c>
      <c r="R91" s="301">
        <v>999</v>
      </c>
    </row>
    <row r="92" spans="1:18" x14ac:dyDescent="0.25">
      <c r="C92" s="228">
        <v>6</v>
      </c>
      <c r="D92" s="230" t="s">
        <v>524</v>
      </c>
      <c r="E92" s="230" t="s">
        <v>681</v>
      </c>
      <c r="F92" s="230" t="s">
        <v>774</v>
      </c>
      <c r="G92" s="231" t="s">
        <v>348</v>
      </c>
      <c r="H92" s="231" t="s">
        <v>348</v>
      </c>
      <c r="I92" s="231" t="s">
        <v>348</v>
      </c>
      <c r="J92" s="247">
        <v>0.35</v>
      </c>
      <c r="K92" s="242">
        <v>0.4</v>
      </c>
      <c r="L92" s="314">
        <v>999</v>
      </c>
      <c r="M92" s="247">
        <v>0.35</v>
      </c>
      <c r="N92" s="242">
        <v>0.4</v>
      </c>
      <c r="O92" s="299">
        <v>999</v>
      </c>
      <c r="P92" s="247">
        <v>0.65</v>
      </c>
      <c r="Q92" s="298">
        <v>999</v>
      </c>
      <c r="R92" s="299">
        <v>999</v>
      </c>
    </row>
    <row r="93" spans="1:18" x14ac:dyDescent="0.25">
      <c r="C93" s="169">
        <f>C92</f>
        <v>6</v>
      </c>
      <c r="D93" s="214" t="s">
        <v>524</v>
      </c>
      <c r="E93" s="214" t="s">
        <v>682</v>
      </c>
      <c r="F93" s="214" t="s">
        <v>774</v>
      </c>
      <c r="G93" s="215" t="s">
        <v>348</v>
      </c>
      <c r="H93" s="215" t="s">
        <v>348</v>
      </c>
      <c r="I93" s="215" t="s">
        <v>348</v>
      </c>
      <c r="J93" s="245">
        <v>0.35</v>
      </c>
      <c r="K93" s="243">
        <v>0.4</v>
      </c>
      <c r="L93" s="312">
        <v>999</v>
      </c>
      <c r="M93" s="245">
        <v>0.35</v>
      </c>
      <c r="N93" s="243">
        <v>0.4</v>
      </c>
      <c r="O93" s="300">
        <v>999</v>
      </c>
      <c r="P93" s="245">
        <v>0.65</v>
      </c>
      <c r="Q93" s="296">
        <v>999</v>
      </c>
      <c r="R93" s="300">
        <v>999</v>
      </c>
    </row>
    <row r="94" spans="1:18" x14ac:dyDescent="0.25">
      <c r="C94" s="169">
        <f t="shared" ref="C94:C104" si="5">C93</f>
        <v>6</v>
      </c>
      <c r="D94" s="214" t="s">
        <v>524</v>
      </c>
      <c r="E94" s="214" t="s">
        <v>683</v>
      </c>
      <c r="F94" s="214" t="s">
        <v>774</v>
      </c>
      <c r="G94" s="215" t="s">
        <v>348</v>
      </c>
      <c r="H94" s="215" t="s">
        <v>348</v>
      </c>
      <c r="I94" s="215" t="s">
        <v>348</v>
      </c>
      <c r="J94" s="245">
        <v>0.35</v>
      </c>
      <c r="K94" s="243">
        <v>0.4</v>
      </c>
      <c r="L94" s="312">
        <v>999</v>
      </c>
      <c r="M94" s="245">
        <v>0.35</v>
      </c>
      <c r="N94" s="243">
        <v>0.4</v>
      </c>
      <c r="O94" s="300">
        <v>999</v>
      </c>
      <c r="P94" s="245">
        <v>0.65</v>
      </c>
      <c r="Q94" s="296">
        <v>999</v>
      </c>
      <c r="R94" s="300">
        <v>999</v>
      </c>
    </row>
    <row r="95" spans="1:18" x14ac:dyDescent="0.25">
      <c r="C95" s="169">
        <f t="shared" si="5"/>
        <v>6</v>
      </c>
      <c r="D95" s="214" t="s">
        <v>524</v>
      </c>
      <c r="E95" s="216" t="s">
        <v>685</v>
      </c>
      <c r="F95" s="214" t="s">
        <v>774</v>
      </c>
      <c r="G95" s="217" t="s">
        <v>348</v>
      </c>
      <c r="H95" s="217" t="s">
        <v>348</v>
      </c>
      <c r="I95" s="217" t="s">
        <v>348</v>
      </c>
      <c r="J95" s="245">
        <v>0.35</v>
      </c>
      <c r="K95" s="243">
        <v>0.4</v>
      </c>
      <c r="L95" s="312">
        <v>999</v>
      </c>
      <c r="M95" s="245">
        <v>0.35</v>
      </c>
      <c r="N95" s="243">
        <v>0.4</v>
      </c>
      <c r="O95" s="300">
        <v>999</v>
      </c>
      <c r="P95" s="245">
        <v>0.65</v>
      </c>
      <c r="Q95" s="296">
        <v>999</v>
      </c>
      <c r="R95" s="300">
        <v>999</v>
      </c>
    </row>
    <row r="96" spans="1:18" x14ac:dyDescent="0.25">
      <c r="C96" s="169">
        <f t="shared" si="5"/>
        <v>6</v>
      </c>
      <c r="D96" s="214" t="s">
        <v>524</v>
      </c>
      <c r="E96" s="218" t="s">
        <v>684</v>
      </c>
      <c r="F96" s="218" t="s">
        <v>686</v>
      </c>
      <c r="G96" s="215" t="s">
        <v>348</v>
      </c>
      <c r="H96" s="215" t="s">
        <v>348</v>
      </c>
      <c r="I96" s="215" t="s">
        <v>348</v>
      </c>
      <c r="J96" s="245">
        <v>0.45</v>
      </c>
      <c r="K96" s="243">
        <v>0.4</v>
      </c>
      <c r="L96" s="312">
        <v>999</v>
      </c>
      <c r="M96" s="245">
        <v>0.45</v>
      </c>
      <c r="N96" s="243">
        <v>0.4</v>
      </c>
      <c r="O96" s="300">
        <v>999</v>
      </c>
      <c r="P96" s="245">
        <v>0.6</v>
      </c>
      <c r="Q96" s="296">
        <v>999</v>
      </c>
      <c r="R96" s="300">
        <v>999</v>
      </c>
    </row>
    <row r="97" spans="1:18" x14ac:dyDescent="0.25">
      <c r="C97" s="169">
        <f t="shared" si="5"/>
        <v>6</v>
      </c>
      <c r="D97" s="214" t="s">
        <v>524</v>
      </c>
      <c r="E97" s="218" t="s">
        <v>684</v>
      </c>
      <c r="F97" s="216" t="s">
        <v>687</v>
      </c>
      <c r="G97" s="215" t="s">
        <v>348</v>
      </c>
      <c r="H97" s="215" t="s">
        <v>348</v>
      </c>
      <c r="I97" s="215" t="s">
        <v>348</v>
      </c>
      <c r="J97" s="245">
        <v>0.8</v>
      </c>
      <c r="K97" s="243">
        <v>0.4</v>
      </c>
      <c r="L97" s="312">
        <v>999</v>
      </c>
      <c r="M97" s="245">
        <v>0.8</v>
      </c>
      <c r="N97" s="243">
        <v>0.4</v>
      </c>
      <c r="O97" s="300">
        <v>999</v>
      </c>
      <c r="P97" s="245">
        <v>0.9</v>
      </c>
      <c r="Q97" s="296">
        <v>999</v>
      </c>
      <c r="R97" s="300">
        <v>999</v>
      </c>
    </row>
    <row r="98" spans="1:18" x14ac:dyDescent="0.25">
      <c r="C98" s="169">
        <f t="shared" si="5"/>
        <v>6</v>
      </c>
      <c r="D98" s="214" t="s">
        <v>524</v>
      </c>
      <c r="E98" s="218" t="s">
        <v>684</v>
      </c>
      <c r="F98" s="216" t="s">
        <v>774</v>
      </c>
      <c r="G98" s="215" t="s">
        <v>348</v>
      </c>
      <c r="H98" s="215" t="s">
        <v>348</v>
      </c>
      <c r="I98" s="215" t="s">
        <v>348</v>
      </c>
      <c r="J98" s="245">
        <v>0.55000000000000004</v>
      </c>
      <c r="K98" s="243">
        <v>0.4</v>
      </c>
      <c r="L98" s="312">
        <v>999</v>
      </c>
      <c r="M98" s="245">
        <v>0.55000000000000004</v>
      </c>
      <c r="N98" s="243">
        <v>0.4</v>
      </c>
      <c r="O98" s="300">
        <v>999</v>
      </c>
      <c r="P98" s="245">
        <v>0.65</v>
      </c>
      <c r="Q98" s="296">
        <v>999</v>
      </c>
      <c r="R98" s="300">
        <v>999</v>
      </c>
    </row>
    <row r="99" spans="1:18" x14ac:dyDescent="0.25">
      <c r="C99" s="169">
        <f t="shared" si="5"/>
        <v>6</v>
      </c>
      <c r="D99" s="216" t="s">
        <v>238</v>
      </c>
      <c r="E99" s="215" t="s">
        <v>348</v>
      </c>
      <c r="F99" s="215" t="s">
        <v>348</v>
      </c>
      <c r="G99" s="215" t="s">
        <v>469</v>
      </c>
      <c r="H99" s="219" t="s">
        <v>465</v>
      </c>
      <c r="I99" s="307" t="s">
        <v>575</v>
      </c>
      <c r="J99" s="245">
        <v>1.17</v>
      </c>
      <c r="K99" s="243">
        <v>0.49</v>
      </c>
      <c r="L99" s="312">
        <v>999</v>
      </c>
      <c r="M99" s="245">
        <v>0.98</v>
      </c>
      <c r="N99" s="243">
        <v>0.46</v>
      </c>
      <c r="O99" s="300">
        <v>999</v>
      </c>
      <c r="P99" s="245">
        <v>1.98</v>
      </c>
      <c r="Q99" s="296">
        <v>999</v>
      </c>
      <c r="R99" s="300">
        <v>999</v>
      </c>
    </row>
    <row r="100" spans="1:18" x14ac:dyDescent="0.25">
      <c r="C100" s="169">
        <f t="shared" si="5"/>
        <v>6</v>
      </c>
      <c r="D100" s="216" t="s">
        <v>238</v>
      </c>
      <c r="E100" s="215" t="s">
        <v>348</v>
      </c>
      <c r="F100" s="215" t="s">
        <v>348</v>
      </c>
      <c r="G100" s="215" t="s">
        <v>469</v>
      </c>
      <c r="H100" s="219" t="s">
        <v>465</v>
      </c>
      <c r="I100" s="307" t="s">
        <v>576</v>
      </c>
      <c r="J100" s="245">
        <v>1.17</v>
      </c>
      <c r="K100" s="243">
        <v>0.49</v>
      </c>
      <c r="L100" s="312">
        <v>999</v>
      </c>
      <c r="M100" s="245">
        <v>0.98</v>
      </c>
      <c r="N100" s="243">
        <v>0.36</v>
      </c>
      <c r="O100" s="300">
        <v>999</v>
      </c>
      <c r="P100" s="245">
        <v>1.98</v>
      </c>
      <c r="Q100" s="296">
        <v>999</v>
      </c>
      <c r="R100" s="300">
        <v>999</v>
      </c>
    </row>
    <row r="101" spans="1:18" x14ac:dyDescent="0.25">
      <c r="C101" s="169">
        <f t="shared" si="5"/>
        <v>6</v>
      </c>
      <c r="D101" s="216" t="s">
        <v>238</v>
      </c>
      <c r="E101" s="215" t="s">
        <v>348</v>
      </c>
      <c r="F101" s="215" t="s">
        <v>348</v>
      </c>
      <c r="G101" s="215" t="s">
        <v>469</v>
      </c>
      <c r="H101" s="219" t="s">
        <v>466</v>
      </c>
      <c r="I101" s="307" t="s">
        <v>575</v>
      </c>
      <c r="J101" s="245">
        <v>0.87</v>
      </c>
      <c r="K101" s="243">
        <v>0.71</v>
      </c>
      <c r="L101" s="312">
        <v>999</v>
      </c>
      <c r="M101" s="245">
        <v>0.74</v>
      </c>
      <c r="N101" s="243">
        <v>0.65</v>
      </c>
      <c r="O101" s="300">
        <v>999</v>
      </c>
      <c r="P101" s="245">
        <v>1.9</v>
      </c>
      <c r="Q101" s="296">
        <v>999</v>
      </c>
      <c r="R101" s="300">
        <v>999</v>
      </c>
    </row>
    <row r="102" spans="1:18" x14ac:dyDescent="0.25">
      <c r="A102" s="7"/>
      <c r="C102" s="169">
        <f t="shared" si="5"/>
        <v>6</v>
      </c>
      <c r="D102" s="216" t="s">
        <v>238</v>
      </c>
      <c r="E102" s="217" t="s">
        <v>348</v>
      </c>
      <c r="F102" s="217" t="s">
        <v>348</v>
      </c>
      <c r="G102" s="215" t="s">
        <v>469</v>
      </c>
      <c r="H102" s="219" t="s">
        <v>466</v>
      </c>
      <c r="I102" s="307" t="s">
        <v>576</v>
      </c>
      <c r="J102" s="245">
        <v>0.87</v>
      </c>
      <c r="K102" s="243">
        <v>0.57999999999999996</v>
      </c>
      <c r="L102" s="312">
        <v>999</v>
      </c>
      <c r="M102" s="245">
        <v>0.74</v>
      </c>
      <c r="N102" s="243">
        <v>0.55000000000000004</v>
      </c>
      <c r="O102" s="300">
        <v>999</v>
      </c>
      <c r="P102" s="245">
        <v>1.9</v>
      </c>
      <c r="Q102" s="296">
        <v>999</v>
      </c>
      <c r="R102" s="300">
        <v>999</v>
      </c>
    </row>
    <row r="103" spans="1:18" x14ac:dyDescent="0.25">
      <c r="A103" s="130"/>
      <c r="C103" s="169">
        <f t="shared" si="5"/>
        <v>6</v>
      </c>
      <c r="D103" s="216" t="s">
        <v>238</v>
      </c>
      <c r="E103" s="215" t="s">
        <v>348</v>
      </c>
      <c r="F103" s="215" t="s">
        <v>348</v>
      </c>
      <c r="G103" s="215" t="s">
        <v>470</v>
      </c>
      <c r="H103" s="220" t="s">
        <v>348</v>
      </c>
      <c r="I103" s="307" t="s">
        <v>575</v>
      </c>
      <c r="J103" s="245">
        <v>0.69</v>
      </c>
      <c r="K103" s="243">
        <v>0.49</v>
      </c>
      <c r="L103" s="312">
        <v>999</v>
      </c>
      <c r="M103" s="245">
        <v>0.57999999999999996</v>
      </c>
      <c r="N103" s="243">
        <v>0.49</v>
      </c>
      <c r="O103" s="300">
        <v>999</v>
      </c>
      <c r="P103" s="245">
        <v>1.36</v>
      </c>
      <c r="Q103" s="296">
        <v>999</v>
      </c>
      <c r="R103" s="300">
        <v>999</v>
      </c>
    </row>
    <row r="104" spans="1:18" x14ac:dyDescent="0.25">
      <c r="A104" s="8"/>
      <c r="C104" s="165">
        <f t="shared" si="5"/>
        <v>6</v>
      </c>
      <c r="D104" s="225" t="s">
        <v>238</v>
      </c>
      <c r="E104" s="201" t="s">
        <v>348</v>
      </c>
      <c r="F104" s="201" t="s">
        <v>348</v>
      </c>
      <c r="G104" s="201" t="s">
        <v>470</v>
      </c>
      <c r="H104" s="226" t="s">
        <v>348</v>
      </c>
      <c r="I104" s="308" t="s">
        <v>576</v>
      </c>
      <c r="J104" s="246">
        <v>0.69</v>
      </c>
      <c r="K104" s="244">
        <v>0.49</v>
      </c>
      <c r="L104" s="313">
        <v>999</v>
      </c>
      <c r="M104" s="246">
        <v>0.57999999999999996</v>
      </c>
      <c r="N104" s="244">
        <v>0.39</v>
      </c>
      <c r="O104" s="301">
        <v>999</v>
      </c>
      <c r="P104" s="246">
        <v>1.36</v>
      </c>
      <c r="Q104" s="297">
        <v>999</v>
      </c>
      <c r="R104" s="301">
        <v>999</v>
      </c>
    </row>
    <row r="105" spans="1:18" x14ac:dyDescent="0.25">
      <c r="C105" s="228">
        <v>7</v>
      </c>
      <c r="D105" s="230" t="s">
        <v>524</v>
      </c>
      <c r="E105" s="230" t="s">
        <v>681</v>
      </c>
      <c r="F105" s="230" t="s">
        <v>774</v>
      </c>
      <c r="G105" s="231" t="s">
        <v>348</v>
      </c>
      <c r="H105" s="231" t="s">
        <v>348</v>
      </c>
      <c r="I105" s="231" t="s">
        <v>348</v>
      </c>
      <c r="J105" s="247">
        <v>0.35</v>
      </c>
      <c r="K105" s="242">
        <v>0.45</v>
      </c>
      <c r="L105" s="314">
        <v>999</v>
      </c>
      <c r="M105" s="247">
        <v>0.35</v>
      </c>
      <c r="N105" s="298">
        <v>999</v>
      </c>
      <c r="O105" s="299">
        <v>999</v>
      </c>
      <c r="P105" s="247">
        <v>0.65</v>
      </c>
      <c r="Q105" s="298">
        <v>999</v>
      </c>
      <c r="R105" s="299">
        <v>999</v>
      </c>
    </row>
    <row r="106" spans="1:18" x14ac:dyDescent="0.25">
      <c r="C106" s="169">
        <f>C105</f>
        <v>7</v>
      </c>
      <c r="D106" s="214" t="s">
        <v>524</v>
      </c>
      <c r="E106" s="214" t="s">
        <v>682</v>
      </c>
      <c r="F106" s="214" t="s">
        <v>774</v>
      </c>
      <c r="G106" s="215" t="s">
        <v>348</v>
      </c>
      <c r="H106" s="215" t="s">
        <v>348</v>
      </c>
      <c r="I106" s="215" t="s">
        <v>348</v>
      </c>
      <c r="J106" s="245">
        <v>0.35</v>
      </c>
      <c r="K106" s="243">
        <v>0.45</v>
      </c>
      <c r="L106" s="312">
        <v>999</v>
      </c>
      <c r="M106" s="245">
        <v>0.35</v>
      </c>
      <c r="N106" s="296">
        <v>999</v>
      </c>
      <c r="O106" s="300">
        <v>999</v>
      </c>
      <c r="P106" s="245">
        <v>0.65</v>
      </c>
      <c r="Q106" s="296">
        <v>999</v>
      </c>
      <c r="R106" s="300">
        <v>999</v>
      </c>
    </row>
    <row r="107" spans="1:18" x14ac:dyDescent="0.25">
      <c r="C107" s="169">
        <f t="shared" ref="C107:C117" si="6">C106</f>
        <v>7</v>
      </c>
      <c r="D107" s="214" t="s">
        <v>524</v>
      </c>
      <c r="E107" s="214" t="s">
        <v>683</v>
      </c>
      <c r="F107" s="214" t="s">
        <v>774</v>
      </c>
      <c r="G107" s="215" t="s">
        <v>348</v>
      </c>
      <c r="H107" s="215" t="s">
        <v>348</v>
      </c>
      <c r="I107" s="215" t="s">
        <v>348</v>
      </c>
      <c r="J107" s="245">
        <v>0.35</v>
      </c>
      <c r="K107" s="243">
        <v>0.45</v>
      </c>
      <c r="L107" s="312">
        <v>999</v>
      </c>
      <c r="M107" s="245">
        <v>0.35</v>
      </c>
      <c r="N107" s="296">
        <v>999</v>
      </c>
      <c r="O107" s="300">
        <v>999</v>
      </c>
      <c r="P107" s="245">
        <v>0.65</v>
      </c>
      <c r="Q107" s="296">
        <v>999</v>
      </c>
      <c r="R107" s="300">
        <v>999</v>
      </c>
    </row>
    <row r="108" spans="1:18" x14ac:dyDescent="0.25">
      <c r="C108" s="169">
        <f t="shared" si="6"/>
        <v>7</v>
      </c>
      <c r="D108" s="214" t="s">
        <v>524</v>
      </c>
      <c r="E108" s="216" t="s">
        <v>685</v>
      </c>
      <c r="F108" s="214" t="s">
        <v>774</v>
      </c>
      <c r="G108" s="217" t="s">
        <v>348</v>
      </c>
      <c r="H108" s="217" t="s">
        <v>348</v>
      </c>
      <c r="I108" s="217" t="s">
        <v>348</v>
      </c>
      <c r="J108" s="245">
        <v>0.35</v>
      </c>
      <c r="K108" s="243">
        <v>0.45</v>
      </c>
      <c r="L108" s="312">
        <v>999</v>
      </c>
      <c r="M108" s="245">
        <v>0.35</v>
      </c>
      <c r="N108" s="296">
        <v>999</v>
      </c>
      <c r="O108" s="300">
        <v>999</v>
      </c>
      <c r="P108" s="245">
        <v>0.65</v>
      </c>
      <c r="Q108" s="296">
        <v>999</v>
      </c>
      <c r="R108" s="300">
        <v>999</v>
      </c>
    </row>
    <row r="109" spans="1:18" x14ac:dyDescent="0.25">
      <c r="C109" s="169">
        <f t="shared" si="6"/>
        <v>7</v>
      </c>
      <c r="D109" s="214" t="s">
        <v>524</v>
      </c>
      <c r="E109" s="218" t="s">
        <v>684</v>
      </c>
      <c r="F109" s="218" t="s">
        <v>686</v>
      </c>
      <c r="G109" s="215" t="s">
        <v>348</v>
      </c>
      <c r="H109" s="215" t="s">
        <v>348</v>
      </c>
      <c r="I109" s="215" t="s">
        <v>348</v>
      </c>
      <c r="J109" s="245">
        <v>0.4</v>
      </c>
      <c r="K109" s="243">
        <v>0.45</v>
      </c>
      <c r="L109" s="312">
        <v>999</v>
      </c>
      <c r="M109" s="245">
        <v>0.4</v>
      </c>
      <c r="N109" s="296">
        <v>999</v>
      </c>
      <c r="O109" s="300">
        <v>999</v>
      </c>
      <c r="P109" s="245">
        <v>0.6</v>
      </c>
      <c r="Q109" s="296">
        <v>999</v>
      </c>
      <c r="R109" s="300">
        <v>999</v>
      </c>
    </row>
    <row r="110" spans="1:18" x14ac:dyDescent="0.25">
      <c r="C110" s="169">
        <f t="shared" si="6"/>
        <v>7</v>
      </c>
      <c r="D110" s="214" t="s">
        <v>524</v>
      </c>
      <c r="E110" s="218" t="s">
        <v>684</v>
      </c>
      <c r="F110" s="216" t="s">
        <v>687</v>
      </c>
      <c r="G110" s="215" t="s">
        <v>348</v>
      </c>
      <c r="H110" s="215" t="s">
        <v>348</v>
      </c>
      <c r="I110" s="215" t="s">
        <v>348</v>
      </c>
      <c r="J110" s="245">
        <v>0.8</v>
      </c>
      <c r="K110" s="243">
        <v>0.45</v>
      </c>
      <c r="L110" s="312">
        <v>999</v>
      </c>
      <c r="M110" s="245">
        <v>0.8</v>
      </c>
      <c r="N110" s="296">
        <v>999</v>
      </c>
      <c r="O110" s="300">
        <v>999</v>
      </c>
      <c r="P110" s="245">
        <v>0.9</v>
      </c>
      <c r="Q110" s="296">
        <v>999</v>
      </c>
      <c r="R110" s="300">
        <v>999</v>
      </c>
    </row>
    <row r="111" spans="1:18" x14ac:dyDescent="0.25">
      <c r="C111" s="169">
        <f t="shared" si="6"/>
        <v>7</v>
      </c>
      <c r="D111" s="214" t="s">
        <v>524</v>
      </c>
      <c r="E111" s="218" t="s">
        <v>684</v>
      </c>
      <c r="F111" s="216" t="s">
        <v>774</v>
      </c>
      <c r="G111" s="215" t="s">
        <v>348</v>
      </c>
      <c r="H111" s="215" t="s">
        <v>348</v>
      </c>
      <c r="I111" s="215" t="s">
        <v>348</v>
      </c>
      <c r="J111" s="245">
        <v>0.45</v>
      </c>
      <c r="K111" s="243">
        <v>0.45</v>
      </c>
      <c r="L111" s="312">
        <v>999</v>
      </c>
      <c r="M111" s="245">
        <v>0.45</v>
      </c>
      <c r="N111" s="296">
        <v>999</v>
      </c>
      <c r="O111" s="300">
        <v>999</v>
      </c>
      <c r="P111" s="245">
        <v>0.65</v>
      </c>
      <c r="Q111" s="296">
        <v>999</v>
      </c>
      <c r="R111" s="300">
        <v>999</v>
      </c>
    </row>
    <row r="112" spans="1:18" x14ac:dyDescent="0.25">
      <c r="C112" s="169">
        <f t="shared" si="6"/>
        <v>7</v>
      </c>
      <c r="D112" s="216" t="s">
        <v>238</v>
      </c>
      <c r="E112" s="215" t="s">
        <v>348</v>
      </c>
      <c r="F112" s="215" t="s">
        <v>348</v>
      </c>
      <c r="G112" s="215" t="s">
        <v>469</v>
      </c>
      <c r="H112" s="219" t="s">
        <v>465</v>
      </c>
      <c r="I112" s="307" t="s">
        <v>575</v>
      </c>
      <c r="J112" s="245">
        <v>1.17</v>
      </c>
      <c r="K112" s="243">
        <v>0.68</v>
      </c>
      <c r="L112" s="312">
        <v>999</v>
      </c>
      <c r="M112" s="245">
        <v>1.17</v>
      </c>
      <c r="N112" s="243">
        <v>0.64</v>
      </c>
      <c r="O112" s="300">
        <v>999</v>
      </c>
      <c r="P112" s="245">
        <v>1.98</v>
      </c>
      <c r="Q112" s="296">
        <v>999</v>
      </c>
      <c r="R112" s="300">
        <v>999</v>
      </c>
    </row>
    <row r="113" spans="1:18" x14ac:dyDescent="0.25">
      <c r="C113" s="169">
        <f t="shared" si="6"/>
        <v>7</v>
      </c>
      <c r="D113" s="216" t="s">
        <v>238</v>
      </c>
      <c r="E113" s="215" t="s">
        <v>348</v>
      </c>
      <c r="F113" s="215" t="s">
        <v>348</v>
      </c>
      <c r="G113" s="215" t="s">
        <v>469</v>
      </c>
      <c r="H113" s="219" t="s">
        <v>465</v>
      </c>
      <c r="I113" s="307" t="s">
        <v>576</v>
      </c>
      <c r="J113" s="245">
        <v>1.17</v>
      </c>
      <c r="K113" s="243">
        <v>0.64</v>
      </c>
      <c r="L113" s="312">
        <v>999</v>
      </c>
      <c r="M113" s="245">
        <v>1.17</v>
      </c>
      <c r="N113" s="243">
        <v>0.64</v>
      </c>
      <c r="O113" s="300">
        <v>999</v>
      </c>
      <c r="P113" s="245">
        <v>1.98</v>
      </c>
      <c r="Q113" s="296">
        <v>999</v>
      </c>
      <c r="R113" s="300">
        <v>999</v>
      </c>
    </row>
    <row r="114" spans="1:18" x14ac:dyDescent="0.25">
      <c r="C114" s="169">
        <f t="shared" si="6"/>
        <v>7</v>
      </c>
      <c r="D114" s="216" t="s">
        <v>238</v>
      </c>
      <c r="E114" s="215" t="s">
        <v>348</v>
      </c>
      <c r="F114" s="215" t="s">
        <v>348</v>
      </c>
      <c r="G114" s="215" t="s">
        <v>469</v>
      </c>
      <c r="H114" s="219" t="s">
        <v>466</v>
      </c>
      <c r="I114" s="307" t="s">
        <v>575</v>
      </c>
      <c r="J114" s="245">
        <v>0.87</v>
      </c>
      <c r="K114" s="243">
        <v>0.77</v>
      </c>
      <c r="L114" s="312">
        <v>999</v>
      </c>
      <c r="M114" s="245">
        <v>0.61</v>
      </c>
      <c r="N114" s="243">
        <v>0.77</v>
      </c>
      <c r="O114" s="300">
        <v>999</v>
      </c>
      <c r="P114" s="245">
        <v>1.9</v>
      </c>
      <c r="Q114" s="296">
        <v>999</v>
      </c>
      <c r="R114" s="300">
        <v>999</v>
      </c>
    </row>
    <row r="115" spans="1:18" x14ac:dyDescent="0.25">
      <c r="A115" s="7"/>
      <c r="C115" s="169">
        <f t="shared" si="6"/>
        <v>7</v>
      </c>
      <c r="D115" s="216" t="s">
        <v>238</v>
      </c>
      <c r="E115" s="217" t="s">
        <v>348</v>
      </c>
      <c r="F115" s="217" t="s">
        <v>348</v>
      </c>
      <c r="G115" s="215" t="s">
        <v>469</v>
      </c>
      <c r="H115" s="219" t="s">
        <v>466</v>
      </c>
      <c r="I115" s="307" t="s">
        <v>576</v>
      </c>
      <c r="J115" s="245">
        <v>0.87</v>
      </c>
      <c r="K115" s="243">
        <v>0.71</v>
      </c>
      <c r="L115" s="312">
        <v>999</v>
      </c>
      <c r="M115" s="245">
        <v>0.61</v>
      </c>
      <c r="N115" s="243">
        <v>0.77</v>
      </c>
      <c r="O115" s="300">
        <v>999</v>
      </c>
      <c r="P115" s="245">
        <v>1.9</v>
      </c>
      <c r="Q115" s="296">
        <v>999</v>
      </c>
      <c r="R115" s="300">
        <v>999</v>
      </c>
    </row>
    <row r="116" spans="1:18" x14ac:dyDescent="0.25">
      <c r="A116" s="130"/>
      <c r="C116" s="169">
        <f t="shared" si="6"/>
        <v>7</v>
      </c>
      <c r="D116" s="216" t="s">
        <v>238</v>
      </c>
      <c r="E116" s="215" t="s">
        <v>348</v>
      </c>
      <c r="F116" s="215" t="s">
        <v>348</v>
      </c>
      <c r="G116" s="215" t="s">
        <v>470</v>
      </c>
      <c r="H116" s="220" t="s">
        <v>348</v>
      </c>
      <c r="I116" s="307" t="s">
        <v>575</v>
      </c>
      <c r="J116" s="245">
        <v>0.69</v>
      </c>
      <c r="K116" s="243">
        <v>0.68</v>
      </c>
      <c r="L116" s="312">
        <v>999</v>
      </c>
      <c r="M116" s="245">
        <v>0.69</v>
      </c>
      <c r="N116" s="243">
        <v>0.64</v>
      </c>
      <c r="O116" s="300">
        <v>999</v>
      </c>
      <c r="P116" s="245">
        <v>1.36</v>
      </c>
      <c r="Q116" s="296">
        <v>999</v>
      </c>
      <c r="R116" s="300">
        <v>999</v>
      </c>
    </row>
    <row r="117" spans="1:18" x14ac:dyDescent="0.25">
      <c r="A117" s="8"/>
      <c r="C117" s="165">
        <f t="shared" si="6"/>
        <v>7</v>
      </c>
      <c r="D117" s="225" t="s">
        <v>238</v>
      </c>
      <c r="E117" s="201" t="s">
        <v>348</v>
      </c>
      <c r="F117" s="201" t="s">
        <v>348</v>
      </c>
      <c r="G117" s="201" t="s">
        <v>470</v>
      </c>
      <c r="H117" s="226" t="s">
        <v>348</v>
      </c>
      <c r="I117" s="308" t="s">
        <v>576</v>
      </c>
      <c r="J117" s="246">
        <v>0.69</v>
      </c>
      <c r="K117" s="244">
        <v>0.64</v>
      </c>
      <c r="L117" s="313">
        <v>999</v>
      </c>
      <c r="M117" s="246">
        <v>0.69</v>
      </c>
      <c r="N117" s="244">
        <v>0.64</v>
      </c>
      <c r="O117" s="301">
        <v>999</v>
      </c>
      <c r="P117" s="246">
        <v>1.36</v>
      </c>
      <c r="Q117" s="297">
        <v>999</v>
      </c>
      <c r="R117" s="301">
        <v>999</v>
      </c>
    </row>
    <row r="118" spans="1:18" x14ac:dyDescent="0.25">
      <c r="C118" s="228">
        <v>8</v>
      </c>
      <c r="D118" s="230" t="s">
        <v>524</v>
      </c>
      <c r="E118" s="230" t="s">
        <v>681</v>
      </c>
      <c r="F118" s="230" t="s">
        <v>774</v>
      </c>
      <c r="G118" s="231" t="s">
        <v>348</v>
      </c>
      <c r="H118" s="231" t="s">
        <v>348</v>
      </c>
      <c r="I118" s="231" t="s">
        <v>348</v>
      </c>
      <c r="J118" s="247">
        <v>0.35</v>
      </c>
      <c r="K118" s="242">
        <v>0.45</v>
      </c>
      <c r="L118" s="314">
        <v>999</v>
      </c>
      <c r="M118" s="247">
        <v>0.35</v>
      </c>
      <c r="N118" s="298">
        <v>999</v>
      </c>
      <c r="O118" s="299">
        <v>999</v>
      </c>
      <c r="P118" s="247">
        <v>0.65</v>
      </c>
      <c r="Q118" s="298">
        <v>999</v>
      </c>
      <c r="R118" s="299">
        <v>999</v>
      </c>
    </row>
    <row r="119" spans="1:18" x14ac:dyDescent="0.25">
      <c r="C119" s="169">
        <f>C118</f>
        <v>8</v>
      </c>
      <c r="D119" s="214" t="s">
        <v>524</v>
      </c>
      <c r="E119" s="214" t="s">
        <v>682</v>
      </c>
      <c r="F119" s="214" t="s">
        <v>774</v>
      </c>
      <c r="G119" s="215" t="s">
        <v>348</v>
      </c>
      <c r="H119" s="215" t="s">
        <v>348</v>
      </c>
      <c r="I119" s="215" t="s">
        <v>348</v>
      </c>
      <c r="J119" s="245">
        <v>0.35</v>
      </c>
      <c r="K119" s="243">
        <v>0.45</v>
      </c>
      <c r="L119" s="312">
        <v>999</v>
      </c>
      <c r="M119" s="245">
        <v>0.35</v>
      </c>
      <c r="N119" s="296">
        <v>999</v>
      </c>
      <c r="O119" s="300">
        <v>999</v>
      </c>
      <c r="P119" s="245">
        <v>0.65</v>
      </c>
      <c r="Q119" s="296">
        <v>999</v>
      </c>
      <c r="R119" s="300">
        <v>999</v>
      </c>
    </row>
    <row r="120" spans="1:18" x14ac:dyDescent="0.25">
      <c r="C120" s="169">
        <f t="shared" ref="C120:C129" si="7">C119</f>
        <v>8</v>
      </c>
      <c r="D120" s="214" t="s">
        <v>524</v>
      </c>
      <c r="E120" s="214" t="s">
        <v>683</v>
      </c>
      <c r="F120" s="214" t="s">
        <v>774</v>
      </c>
      <c r="G120" s="215" t="s">
        <v>348</v>
      </c>
      <c r="H120" s="215" t="s">
        <v>348</v>
      </c>
      <c r="I120" s="215" t="s">
        <v>348</v>
      </c>
      <c r="J120" s="245">
        <v>0.35</v>
      </c>
      <c r="K120" s="243">
        <v>0.45</v>
      </c>
      <c r="L120" s="312">
        <v>999</v>
      </c>
      <c r="M120" s="245">
        <v>0.35</v>
      </c>
      <c r="N120" s="296">
        <v>999</v>
      </c>
      <c r="O120" s="300">
        <v>999</v>
      </c>
      <c r="P120" s="245">
        <v>0.65</v>
      </c>
      <c r="Q120" s="296">
        <v>999</v>
      </c>
      <c r="R120" s="300">
        <v>999</v>
      </c>
    </row>
    <row r="121" spans="1:18" x14ac:dyDescent="0.25">
      <c r="C121" s="169">
        <f t="shared" si="7"/>
        <v>8</v>
      </c>
      <c r="D121" s="214" t="s">
        <v>524</v>
      </c>
      <c r="E121" s="216" t="s">
        <v>685</v>
      </c>
      <c r="F121" s="214" t="s">
        <v>774</v>
      </c>
      <c r="G121" s="217" t="s">
        <v>348</v>
      </c>
      <c r="H121" s="217" t="s">
        <v>348</v>
      </c>
      <c r="I121" s="217" t="s">
        <v>348</v>
      </c>
      <c r="J121" s="245">
        <v>0.35</v>
      </c>
      <c r="K121" s="243">
        <v>0.45</v>
      </c>
      <c r="L121" s="312">
        <v>999</v>
      </c>
      <c r="M121" s="245">
        <v>0.35</v>
      </c>
      <c r="N121" s="296">
        <v>999</v>
      </c>
      <c r="O121" s="300">
        <v>999</v>
      </c>
      <c r="P121" s="245">
        <v>0.65</v>
      </c>
      <c r="Q121" s="296">
        <v>999</v>
      </c>
      <c r="R121" s="300">
        <v>999</v>
      </c>
    </row>
    <row r="122" spans="1:18" x14ac:dyDescent="0.25">
      <c r="C122" s="169">
        <f t="shared" si="7"/>
        <v>8</v>
      </c>
      <c r="D122" s="214" t="s">
        <v>524</v>
      </c>
      <c r="E122" s="218" t="s">
        <v>684</v>
      </c>
      <c r="F122" s="218" t="s">
        <v>686</v>
      </c>
      <c r="G122" s="215" t="s">
        <v>348</v>
      </c>
      <c r="H122" s="215" t="s">
        <v>348</v>
      </c>
      <c r="I122" s="215" t="s">
        <v>348</v>
      </c>
      <c r="J122" s="245">
        <v>0.4</v>
      </c>
      <c r="K122" s="243">
        <v>0.45</v>
      </c>
      <c r="L122" s="312">
        <v>999</v>
      </c>
      <c r="M122" s="245">
        <v>0.4</v>
      </c>
      <c r="N122" s="296">
        <v>999</v>
      </c>
      <c r="O122" s="300">
        <v>999</v>
      </c>
      <c r="P122" s="245">
        <v>0.6</v>
      </c>
      <c r="Q122" s="296">
        <v>999</v>
      </c>
      <c r="R122" s="300">
        <v>999</v>
      </c>
    </row>
    <row r="123" spans="1:18" x14ac:dyDescent="0.25">
      <c r="C123" s="169">
        <f t="shared" si="7"/>
        <v>8</v>
      </c>
      <c r="D123" s="214" t="s">
        <v>524</v>
      </c>
      <c r="E123" s="218" t="s">
        <v>684</v>
      </c>
      <c r="F123" s="216" t="s">
        <v>687</v>
      </c>
      <c r="G123" s="215" t="s">
        <v>348</v>
      </c>
      <c r="H123" s="215" t="s">
        <v>348</v>
      </c>
      <c r="I123" s="215" t="s">
        <v>348</v>
      </c>
      <c r="J123" s="245">
        <v>0.8</v>
      </c>
      <c r="K123" s="243">
        <v>0.45</v>
      </c>
      <c r="L123" s="312">
        <v>999</v>
      </c>
      <c r="M123" s="245">
        <v>0.8</v>
      </c>
      <c r="N123" s="296">
        <v>999</v>
      </c>
      <c r="O123" s="300">
        <v>999</v>
      </c>
      <c r="P123" s="245">
        <v>0.9</v>
      </c>
      <c r="Q123" s="296">
        <v>999</v>
      </c>
      <c r="R123" s="300">
        <v>999</v>
      </c>
    </row>
    <row r="124" spans="1:18" x14ac:dyDescent="0.25">
      <c r="C124" s="169">
        <f t="shared" si="7"/>
        <v>8</v>
      </c>
      <c r="D124" s="214" t="s">
        <v>524</v>
      </c>
      <c r="E124" s="218" t="s">
        <v>684</v>
      </c>
      <c r="F124" s="216" t="s">
        <v>774</v>
      </c>
      <c r="G124" s="215" t="s">
        <v>348</v>
      </c>
      <c r="H124" s="215" t="s">
        <v>348</v>
      </c>
      <c r="I124" s="215" t="s">
        <v>348</v>
      </c>
      <c r="J124" s="245">
        <v>0.45</v>
      </c>
      <c r="K124" s="243">
        <v>0.45</v>
      </c>
      <c r="L124" s="312">
        <v>999</v>
      </c>
      <c r="M124" s="245">
        <v>0.45</v>
      </c>
      <c r="N124" s="296">
        <v>999</v>
      </c>
      <c r="O124" s="300">
        <v>999</v>
      </c>
      <c r="P124" s="245">
        <v>0.65</v>
      </c>
      <c r="Q124" s="296">
        <v>999</v>
      </c>
      <c r="R124" s="300">
        <v>999</v>
      </c>
    </row>
    <row r="125" spans="1:18" x14ac:dyDescent="0.25">
      <c r="C125" s="169">
        <f t="shared" si="7"/>
        <v>8</v>
      </c>
      <c r="D125" s="216" t="s">
        <v>238</v>
      </c>
      <c r="E125" s="215" t="s">
        <v>348</v>
      </c>
      <c r="F125" s="215" t="s">
        <v>348</v>
      </c>
      <c r="G125" s="215" t="s">
        <v>469</v>
      </c>
      <c r="H125" s="219" t="s">
        <v>465</v>
      </c>
      <c r="I125" s="307" t="s">
        <v>575</v>
      </c>
      <c r="J125" s="245">
        <v>0.98</v>
      </c>
      <c r="K125" s="296">
        <v>999</v>
      </c>
      <c r="L125" s="312">
        <v>999</v>
      </c>
      <c r="M125" s="245">
        <v>0.98</v>
      </c>
      <c r="N125" s="296">
        <v>999</v>
      </c>
      <c r="O125" s="300">
        <v>999</v>
      </c>
      <c r="P125" s="245">
        <v>1.3</v>
      </c>
      <c r="Q125" s="296">
        <v>999</v>
      </c>
      <c r="R125" s="300">
        <v>999</v>
      </c>
    </row>
    <row r="126" spans="1:18" x14ac:dyDescent="0.25">
      <c r="C126" s="169">
        <f t="shared" si="7"/>
        <v>8</v>
      </c>
      <c r="D126" s="216" t="s">
        <v>238</v>
      </c>
      <c r="E126" s="215" t="s">
        <v>348</v>
      </c>
      <c r="F126" s="215" t="s">
        <v>348</v>
      </c>
      <c r="G126" s="215" t="s">
        <v>469</v>
      </c>
      <c r="H126" s="219" t="s">
        <v>465</v>
      </c>
      <c r="I126" s="307" t="s">
        <v>576</v>
      </c>
      <c r="J126" s="245">
        <v>0.98</v>
      </c>
      <c r="K126" s="296">
        <v>999</v>
      </c>
      <c r="L126" s="312">
        <v>999</v>
      </c>
      <c r="M126" s="245">
        <v>0.98</v>
      </c>
      <c r="N126" s="296">
        <v>999</v>
      </c>
      <c r="O126" s="300">
        <v>999</v>
      </c>
      <c r="P126" s="245">
        <v>1.3</v>
      </c>
      <c r="Q126" s="296">
        <v>999</v>
      </c>
      <c r="R126" s="300">
        <v>999</v>
      </c>
    </row>
    <row r="127" spans="1:18" x14ac:dyDescent="0.25">
      <c r="C127" s="169">
        <f t="shared" si="7"/>
        <v>8</v>
      </c>
      <c r="D127" s="216" t="s">
        <v>238</v>
      </c>
      <c r="E127" s="215" t="s">
        <v>348</v>
      </c>
      <c r="F127" s="215" t="s">
        <v>348</v>
      </c>
      <c r="G127" s="215" t="s">
        <v>469</v>
      </c>
      <c r="H127" s="219" t="s">
        <v>466</v>
      </c>
      <c r="I127" s="307" t="s">
        <v>575</v>
      </c>
      <c r="J127" s="245">
        <v>0.61</v>
      </c>
      <c r="K127" s="296">
        <v>999</v>
      </c>
      <c r="L127" s="312">
        <v>999</v>
      </c>
      <c r="M127" s="245">
        <v>0.61</v>
      </c>
      <c r="N127" s="296">
        <v>999</v>
      </c>
      <c r="O127" s="300">
        <v>999</v>
      </c>
      <c r="P127" s="245">
        <v>1.1000000000000001</v>
      </c>
      <c r="Q127" s="296">
        <v>999</v>
      </c>
      <c r="R127" s="300">
        <v>999</v>
      </c>
    </row>
    <row r="128" spans="1:18" x14ac:dyDescent="0.25">
      <c r="A128" s="7"/>
      <c r="C128" s="169">
        <f t="shared" si="7"/>
        <v>8</v>
      </c>
      <c r="D128" s="216" t="s">
        <v>238</v>
      </c>
      <c r="E128" s="217" t="s">
        <v>348</v>
      </c>
      <c r="F128" s="217" t="s">
        <v>348</v>
      </c>
      <c r="G128" s="215" t="s">
        <v>469</v>
      </c>
      <c r="H128" s="219" t="s">
        <v>466</v>
      </c>
      <c r="I128" s="307" t="s">
        <v>576</v>
      </c>
      <c r="J128" s="245">
        <v>0.61</v>
      </c>
      <c r="K128" s="296">
        <v>999</v>
      </c>
      <c r="L128" s="312">
        <v>999</v>
      </c>
      <c r="M128" s="245">
        <v>0.61</v>
      </c>
      <c r="N128" s="296">
        <v>999</v>
      </c>
      <c r="O128" s="300">
        <v>999</v>
      </c>
      <c r="P128" s="245">
        <v>1.1000000000000001</v>
      </c>
      <c r="Q128" s="296">
        <v>999</v>
      </c>
      <c r="R128" s="300">
        <v>999</v>
      </c>
    </row>
    <row r="129" spans="1:18" x14ac:dyDescent="0.25">
      <c r="A129" s="130"/>
      <c r="C129" s="169">
        <f t="shared" si="7"/>
        <v>8</v>
      </c>
      <c r="D129" s="216" t="s">
        <v>238</v>
      </c>
      <c r="E129" s="215" t="s">
        <v>348</v>
      </c>
      <c r="F129" s="215" t="s">
        <v>348</v>
      </c>
      <c r="G129" s="215" t="s">
        <v>470</v>
      </c>
      <c r="H129" s="220" t="s">
        <v>348</v>
      </c>
      <c r="I129" s="307" t="s">
        <v>575</v>
      </c>
      <c r="J129" s="245">
        <v>0.57999999999999996</v>
      </c>
      <c r="K129" s="296">
        <v>999</v>
      </c>
      <c r="L129" s="312">
        <v>999</v>
      </c>
      <c r="M129" s="245">
        <v>0.57999999999999996</v>
      </c>
      <c r="N129" s="296">
        <v>999</v>
      </c>
      <c r="O129" s="300">
        <v>999</v>
      </c>
      <c r="P129" s="245">
        <v>0.81</v>
      </c>
      <c r="Q129" s="296">
        <v>999</v>
      </c>
      <c r="R129" s="300">
        <v>999</v>
      </c>
    </row>
    <row r="130" spans="1:18" x14ac:dyDescent="0.25">
      <c r="A130" s="8"/>
      <c r="C130" s="165">
        <f>C129</f>
        <v>8</v>
      </c>
      <c r="D130" s="225" t="s">
        <v>238</v>
      </c>
      <c r="E130" s="201" t="s">
        <v>348</v>
      </c>
      <c r="F130" s="201" t="s">
        <v>348</v>
      </c>
      <c r="G130" s="201" t="s">
        <v>470</v>
      </c>
      <c r="H130" s="226" t="s">
        <v>348</v>
      </c>
      <c r="I130" s="308" t="s">
        <v>576</v>
      </c>
      <c r="J130" s="246">
        <v>0.57999999999999996</v>
      </c>
      <c r="K130" s="297">
        <v>999</v>
      </c>
      <c r="L130" s="313">
        <v>999</v>
      </c>
      <c r="M130" s="246">
        <v>0.57999999999999996</v>
      </c>
      <c r="N130" s="297">
        <v>999</v>
      </c>
      <c r="O130" s="301">
        <v>999</v>
      </c>
      <c r="P130" s="246">
        <v>0.81</v>
      </c>
      <c r="Q130" s="297">
        <v>999</v>
      </c>
      <c r="R130" s="301">
        <v>999</v>
      </c>
    </row>
    <row r="131" spans="1:18" x14ac:dyDescent="0.25">
      <c r="B131" s="138" t="s">
        <v>245</v>
      </c>
      <c r="C131" s="222"/>
      <c r="D131" s="222"/>
      <c r="E131" s="222"/>
      <c r="F131" s="222"/>
      <c r="G131" s="222"/>
      <c r="H131" s="222"/>
      <c r="I131" s="222"/>
    </row>
    <row r="132" spans="1:18" x14ac:dyDescent="0.25">
      <c r="B132" s="138" t="s">
        <v>250</v>
      </c>
      <c r="C132" s="138" t="s">
        <v>775</v>
      </c>
    </row>
    <row r="161" spans="2:9" x14ac:dyDescent="0.25">
      <c r="B161" s="140"/>
    </row>
    <row r="163" spans="2:9" x14ac:dyDescent="0.25">
      <c r="D163" s="139"/>
      <c r="E163" s="139"/>
      <c r="F163" s="139"/>
      <c r="G163" s="139"/>
      <c r="H163" s="139"/>
      <c r="I163" s="139"/>
    </row>
    <row r="182" spans="3:3" x14ac:dyDescent="0.25">
      <c r="C182" s="143"/>
    </row>
    <row r="183" spans="3:3" x14ac:dyDescent="0.25">
      <c r="C183" s="143"/>
    </row>
  </sheetData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>
    <tabColor theme="8" tint="0.39997558519241921"/>
  </sheetPr>
  <dimension ref="A1:X32"/>
  <sheetViews>
    <sheetView workbookViewId="0">
      <selection activeCell="B1" sqref="B1"/>
    </sheetView>
  </sheetViews>
  <sheetFormatPr defaultRowHeight="15" x14ac:dyDescent="0.25"/>
  <cols>
    <col min="3" max="3" width="20.140625" customWidth="1"/>
    <col min="4" max="4" width="15.85546875" customWidth="1"/>
    <col min="5" max="5" width="36" bestFit="1" customWidth="1"/>
  </cols>
  <sheetData>
    <row r="1" spans="1:24" x14ac:dyDescent="0.25">
      <c r="A1" s="90" t="s">
        <v>250</v>
      </c>
      <c r="B1" s="90" t="s">
        <v>1202</v>
      </c>
      <c r="C1" s="90"/>
      <c r="D1" s="90"/>
      <c r="E1" s="90"/>
      <c r="F1" s="90"/>
      <c r="G1" s="90"/>
      <c r="H1" s="90"/>
      <c r="I1" s="90"/>
      <c r="J1" s="90"/>
      <c r="K1" s="96"/>
      <c r="L1" s="96"/>
      <c r="M1" s="94"/>
      <c r="N1" s="96"/>
      <c r="O1" s="96"/>
      <c r="P1" s="95"/>
      <c r="Q1" s="96"/>
      <c r="R1" s="96"/>
      <c r="S1" s="96"/>
      <c r="T1" s="96"/>
      <c r="U1" s="96"/>
      <c r="V1" s="96"/>
      <c r="W1" s="96"/>
      <c r="X1" s="90"/>
    </row>
    <row r="2" spans="1:24" x14ac:dyDescent="0.25">
      <c r="A2" s="90" t="s">
        <v>250</v>
      </c>
      <c r="B2" s="90"/>
      <c r="C2" s="90"/>
      <c r="D2" s="90"/>
      <c r="E2" s="90"/>
      <c r="F2" s="90"/>
      <c r="G2" s="90"/>
      <c r="H2" s="90"/>
      <c r="I2" s="90"/>
      <c r="J2" s="90"/>
      <c r="K2" s="96"/>
      <c r="L2" s="96"/>
      <c r="M2" s="94"/>
      <c r="N2" s="96"/>
      <c r="O2" s="96"/>
      <c r="P2" s="96"/>
      <c r="Q2" s="96"/>
      <c r="R2" s="96"/>
      <c r="S2" s="96"/>
      <c r="T2" s="96"/>
      <c r="U2" s="96"/>
      <c r="V2" s="96"/>
      <c r="W2" s="96"/>
      <c r="X2" s="90"/>
    </row>
    <row r="3" spans="1:24" x14ac:dyDescent="0.25">
      <c r="A3" s="90" t="s">
        <v>250</v>
      </c>
      <c r="B3" s="90" t="s">
        <v>356</v>
      </c>
      <c r="C3" s="90"/>
      <c r="D3" s="90"/>
      <c r="E3" s="90"/>
      <c r="F3" s="90"/>
      <c r="G3" s="90"/>
      <c r="H3" s="90"/>
      <c r="I3" s="90"/>
      <c r="J3" s="90"/>
      <c r="K3" s="90"/>
      <c r="L3" s="96"/>
      <c r="M3" s="96"/>
      <c r="N3" s="94"/>
      <c r="O3" s="96"/>
      <c r="P3" s="97"/>
      <c r="Q3" s="96"/>
      <c r="R3" s="97"/>
      <c r="S3" s="96"/>
      <c r="T3" s="97"/>
      <c r="U3" s="96"/>
      <c r="V3" s="97"/>
      <c r="W3" s="96"/>
      <c r="X3" s="96"/>
    </row>
    <row r="4" spans="1:24" x14ac:dyDescent="0.25">
      <c r="A4" s="90" t="s">
        <v>250</v>
      </c>
      <c r="B4" s="90"/>
      <c r="C4" s="90" t="s">
        <v>485</v>
      </c>
      <c r="D4" s="90"/>
      <c r="E4" s="90"/>
      <c r="F4" s="90"/>
      <c r="G4" s="90"/>
      <c r="H4" s="90"/>
      <c r="I4" s="90"/>
      <c r="J4" s="90"/>
      <c r="K4" s="90"/>
      <c r="L4" s="96"/>
      <c r="M4" s="96"/>
      <c r="N4" s="94"/>
      <c r="O4" s="96"/>
      <c r="P4" s="97"/>
      <c r="Q4" s="96"/>
      <c r="R4" s="97"/>
      <c r="S4" s="96"/>
      <c r="T4" s="97"/>
      <c r="U4" s="96"/>
      <c r="V4" s="97"/>
      <c r="W4" s="96"/>
      <c r="X4" s="96"/>
    </row>
    <row r="5" spans="1:24" x14ac:dyDescent="0.25">
      <c r="A5" s="90" t="s">
        <v>250</v>
      </c>
      <c r="B5" s="90"/>
      <c r="C5" s="90"/>
      <c r="D5" s="90"/>
      <c r="E5" s="90"/>
      <c r="F5" s="90"/>
      <c r="G5" s="90"/>
      <c r="H5" s="90"/>
      <c r="I5" s="90"/>
      <c r="J5" s="90"/>
      <c r="K5" s="90"/>
      <c r="L5" s="96"/>
      <c r="M5" s="96"/>
      <c r="N5" s="94"/>
      <c r="O5" s="98"/>
      <c r="P5" s="97"/>
      <c r="Q5" s="98"/>
      <c r="R5" s="97"/>
      <c r="S5" s="98"/>
      <c r="T5" s="97"/>
      <c r="U5" s="98"/>
      <c r="V5" s="97"/>
      <c r="W5" s="96"/>
      <c r="X5" s="96"/>
    </row>
    <row r="6" spans="1:24" x14ac:dyDescent="0.25">
      <c r="A6" s="90" t="s">
        <v>250</v>
      </c>
      <c r="B6" s="90" t="s">
        <v>357</v>
      </c>
      <c r="C6" s="90"/>
      <c r="D6" s="90"/>
      <c r="E6" s="90"/>
      <c r="F6" s="90"/>
      <c r="G6" s="90"/>
      <c r="H6" s="90"/>
      <c r="I6" s="90"/>
      <c r="J6" s="90"/>
      <c r="K6" s="90"/>
      <c r="L6" s="96"/>
      <c r="M6" s="96"/>
      <c r="N6" s="94"/>
      <c r="O6" s="96"/>
      <c r="P6" s="97"/>
      <c r="Q6" s="96"/>
      <c r="R6" s="97"/>
      <c r="S6" s="96"/>
      <c r="T6" s="97"/>
      <c r="U6" s="96"/>
      <c r="V6" s="97"/>
      <c r="W6" s="96"/>
      <c r="X6" s="96"/>
    </row>
    <row r="7" spans="1:24" x14ac:dyDescent="0.25">
      <c r="A7" s="90" t="s">
        <v>250</v>
      </c>
      <c r="B7" s="90"/>
      <c r="C7" s="90" t="s">
        <v>262</v>
      </c>
      <c r="D7" s="90" t="s">
        <v>263</v>
      </c>
      <c r="E7" s="90" t="s">
        <v>264</v>
      </c>
      <c r="F7" s="90"/>
      <c r="G7" s="90"/>
      <c r="H7" s="90"/>
      <c r="I7" s="90"/>
      <c r="J7" s="90"/>
      <c r="K7" s="90"/>
      <c r="L7" s="96"/>
      <c r="M7" s="96"/>
      <c r="N7" s="93"/>
      <c r="O7" s="96"/>
      <c r="P7" s="97"/>
      <c r="Q7" s="98"/>
      <c r="R7" s="97"/>
      <c r="S7" s="96"/>
      <c r="T7" s="97"/>
      <c r="U7" s="96"/>
      <c r="V7" s="97"/>
      <c r="W7" s="96"/>
      <c r="X7" s="96"/>
    </row>
    <row r="8" spans="1:24" x14ac:dyDescent="0.25">
      <c r="A8" s="90" t="s">
        <v>250</v>
      </c>
      <c r="B8" s="91"/>
      <c r="C8" s="92">
        <v>41217</v>
      </c>
      <c r="D8" s="96" t="s">
        <v>410</v>
      </c>
      <c r="E8" s="90" t="s">
        <v>486</v>
      </c>
      <c r="F8" s="90"/>
      <c r="G8" s="90"/>
      <c r="H8" s="90"/>
      <c r="I8" s="90"/>
      <c r="J8" s="90"/>
      <c r="K8" s="90"/>
      <c r="L8" s="96"/>
      <c r="M8" s="96"/>
      <c r="N8" s="96"/>
      <c r="O8" s="96"/>
      <c r="P8" s="96"/>
      <c r="Q8" s="95"/>
      <c r="R8" s="96"/>
      <c r="S8" s="96"/>
      <c r="T8" s="96"/>
      <c r="U8" s="96"/>
      <c r="V8" s="96"/>
      <c r="W8" s="96"/>
      <c r="X8" s="90"/>
    </row>
    <row r="9" spans="1:24" x14ac:dyDescent="0.25">
      <c r="A9" s="90" t="s">
        <v>250</v>
      </c>
      <c r="B9" s="91"/>
      <c r="C9" s="92"/>
      <c r="D9" s="90"/>
      <c r="E9" s="90"/>
      <c r="F9" s="90"/>
      <c r="G9" s="90"/>
      <c r="H9" s="90"/>
      <c r="I9" s="90"/>
      <c r="J9" s="90"/>
      <c r="K9" s="90"/>
      <c r="L9" s="96"/>
      <c r="M9" s="96"/>
      <c r="N9" s="96"/>
      <c r="O9" s="96"/>
      <c r="P9" s="96"/>
      <c r="Q9" s="96"/>
      <c r="R9" s="96"/>
      <c r="S9" s="96"/>
      <c r="T9" s="96"/>
      <c r="U9" s="96"/>
      <c r="V9" s="96"/>
      <c r="W9" s="96"/>
      <c r="X9" s="90"/>
    </row>
    <row r="10" spans="1:24" x14ac:dyDescent="0.25">
      <c r="A10" s="90" t="s">
        <v>250</v>
      </c>
      <c r="B10" s="90" t="s">
        <v>266</v>
      </c>
      <c r="C10" s="90"/>
      <c r="D10" s="90"/>
      <c r="E10" s="90"/>
      <c r="F10" s="90"/>
      <c r="G10" s="90"/>
      <c r="H10" s="90"/>
      <c r="I10" s="90"/>
      <c r="J10" s="90"/>
      <c r="K10" s="90"/>
      <c r="L10" s="96"/>
      <c r="M10" s="96"/>
      <c r="N10" s="96"/>
      <c r="O10" s="96"/>
      <c r="P10" s="97"/>
      <c r="Q10" s="96"/>
      <c r="R10" s="97"/>
      <c r="S10" s="96"/>
      <c r="T10" s="97"/>
      <c r="U10" s="96"/>
      <c r="V10" s="97"/>
      <c r="W10" s="96"/>
      <c r="X10" s="90"/>
    </row>
    <row r="11" spans="1:24" x14ac:dyDescent="0.25">
      <c r="A11" s="90" t="s">
        <v>250</v>
      </c>
      <c r="B11" s="90"/>
      <c r="C11" s="90" t="s">
        <v>487</v>
      </c>
      <c r="D11" s="90"/>
      <c r="E11" s="90"/>
      <c r="F11" s="90"/>
      <c r="G11" s="90"/>
      <c r="H11" s="90"/>
      <c r="I11" s="90"/>
      <c r="J11" s="90"/>
      <c r="K11" s="90"/>
      <c r="L11" s="96"/>
      <c r="M11" s="96"/>
      <c r="N11" s="96"/>
      <c r="O11" s="98"/>
      <c r="P11" s="97"/>
      <c r="Q11" s="98"/>
      <c r="R11" s="97"/>
      <c r="S11" s="98"/>
      <c r="T11" s="97"/>
      <c r="U11" s="98"/>
      <c r="V11" s="97"/>
      <c r="W11" s="96"/>
      <c r="X11" s="90"/>
    </row>
    <row r="12" spans="1:24" x14ac:dyDescent="0.25">
      <c r="A12" s="90" t="s">
        <v>250</v>
      </c>
      <c r="B12" s="90"/>
      <c r="C12" s="90"/>
      <c r="D12" s="90"/>
      <c r="E12" s="90"/>
      <c r="F12" s="90"/>
      <c r="G12" s="90"/>
      <c r="H12" s="90"/>
      <c r="I12" s="90"/>
      <c r="J12" s="90"/>
      <c r="K12" s="90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0"/>
    </row>
    <row r="13" spans="1:24" x14ac:dyDescent="0.25">
      <c r="A13" s="90" t="s">
        <v>250</v>
      </c>
      <c r="B13" s="90" t="s">
        <v>251</v>
      </c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</row>
    <row r="14" spans="1:24" x14ac:dyDescent="0.25">
      <c r="A14" s="90" t="s">
        <v>250</v>
      </c>
      <c r="B14" s="90"/>
      <c r="C14" s="90"/>
      <c r="D14" s="90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90"/>
      <c r="U14" s="90"/>
      <c r="V14" s="90"/>
      <c r="W14" s="90"/>
      <c r="X14" s="90"/>
    </row>
    <row r="15" spans="1:24" x14ac:dyDescent="0.25">
      <c r="A15" s="90" t="s">
        <v>250</v>
      </c>
      <c r="B15" s="90"/>
      <c r="C15" s="90"/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90"/>
      <c r="U15" s="90"/>
      <c r="V15" s="90"/>
      <c r="W15" s="90"/>
      <c r="X15" s="90"/>
    </row>
    <row r="16" spans="1:24" x14ac:dyDescent="0.25">
      <c r="A16" s="90" t="s">
        <v>250</v>
      </c>
      <c r="B16" s="90" t="s">
        <v>272</v>
      </c>
      <c r="C16" s="90"/>
      <c r="D16" s="90"/>
      <c r="E16" s="90"/>
      <c r="F16" s="90"/>
      <c r="G16" s="90"/>
      <c r="H16" s="90"/>
      <c r="I16" s="90"/>
      <c r="J16" s="90"/>
      <c r="K16" s="90"/>
      <c r="L16" s="90"/>
      <c r="M16" s="90"/>
      <c r="N16" s="90"/>
      <c r="O16" s="90"/>
      <c r="P16" s="90"/>
      <c r="Q16" s="90"/>
      <c r="R16" s="90"/>
      <c r="S16" s="90"/>
      <c r="T16" s="90"/>
      <c r="U16" s="90"/>
      <c r="V16" s="90"/>
      <c r="W16" s="90"/>
      <c r="X16" s="90"/>
    </row>
    <row r="17" spans="1:10" x14ac:dyDescent="0.25">
      <c r="A17" s="90" t="s">
        <v>250</v>
      </c>
      <c r="B17" s="90"/>
      <c r="C17" s="99" t="s">
        <v>376</v>
      </c>
      <c r="D17" s="90"/>
      <c r="E17" s="90"/>
      <c r="F17" s="90"/>
      <c r="G17" s="90"/>
      <c r="H17" s="90"/>
      <c r="I17" s="90"/>
      <c r="J17" s="90"/>
    </row>
    <row r="18" spans="1:10" x14ac:dyDescent="0.25">
      <c r="A18" s="90" t="s">
        <v>250</v>
      </c>
      <c r="B18" s="90"/>
      <c r="C18" s="90" t="s">
        <v>488</v>
      </c>
      <c r="D18" s="90"/>
      <c r="E18" s="90"/>
      <c r="F18" s="90"/>
      <c r="G18" s="90"/>
      <c r="H18" s="90"/>
      <c r="I18" s="90"/>
      <c r="J18" s="90"/>
    </row>
    <row r="19" spans="1:10" x14ac:dyDescent="0.25">
      <c r="A19" s="90" t="s">
        <v>250</v>
      </c>
      <c r="B19" s="90"/>
      <c r="C19" s="90"/>
      <c r="D19" s="90"/>
      <c r="E19" s="90"/>
      <c r="F19" s="90"/>
      <c r="G19" s="90"/>
      <c r="H19" s="90"/>
      <c r="I19" s="90"/>
      <c r="J19" s="90"/>
    </row>
    <row r="20" spans="1:10" x14ac:dyDescent="0.25">
      <c r="A20" s="96" t="s">
        <v>271</v>
      </c>
      <c r="B20" s="96"/>
      <c r="C20" s="94"/>
      <c r="D20" s="96"/>
      <c r="E20" s="96"/>
      <c r="F20" s="95"/>
      <c r="G20" s="95"/>
      <c r="H20" s="90"/>
      <c r="I20" s="90"/>
      <c r="J20" s="90"/>
    </row>
    <row r="21" spans="1:10" x14ac:dyDescent="0.25">
      <c r="A21" s="96"/>
      <c r="B21" s="145" t="s">
        <v>489</v>
      </c>
      <c r="C21" s="94"/>
      <c r="D21" s="96"/>
      <c r="E21" s="96"/>
      <c r="F21" s="96"/>
      <c r="G21" s="96"/>
      <c r="H21" s="90"/>
      <c r="I21" s="90"/>
      <c r="J21" s="90"/>
    </row>
    <row r="22" spans="1:10" x14ac:dyDescent="0.25">
      <c r="A22" s="96"/>
      <c r="B22" s="96"/>
      <c r="C22" s="119" t="s">
        <v>490</v>
      </c>
      <c r="D22" s="119" t="s">
        <v>468</v>
      </c>
      <c r="E22" s="120" t="s">
        <v>491</v>
      </c>
      <c r="F22" s="120" t="s">
        <v>492</v>
      </c>
      <c r="G22" s="101" t="s">
        <v>493</v>
      </c>
      <c r="H22" s="102"/>
      <c r="I22" s="90"/>
      <c r="J22" s="90"/>
    </row>
    <row r="23" spans="1:10" x14ac:dyDescent="0.25">
      <c r="A23" s="96"/>
      <c r="B23" s="90"/>
      <c r="C23" s="119" t="s">
        <v>524</v>
      </c>
      <c r="D23" s="100" t="s">
        <v>348</v>
      </c>
      <c r="E23" s="100" t="s">
        <v>474</v>
      </c>
      <c r="F23" s="106">
        <v>0.311</v>
      </c>
      <c r="G23" s="106">
        <v>0.872</v>
      </c>
      <c r="H23" s="103"/>
      <c r="I23" s="90"/>
      <c r="J23" s="90"/>
    </row>
    <row r="24" spans="1:10" x14ac:dyDescent="0.25">
      <c r="A24" s="96"/>
      <c r="B24" s="96"/>
      <c r="C24" s="119" t="s">
        <v>524</v>
      </c>
      <c r="D24" s="100" t="s">
        <v>348</v>
      </c>
      <c r="E24" s="123" t="s">
        <v>544</v>
      </c>
      <c r="F24" s="106">
        <v>0.20200000000000001</v>
      </c>
      <c r="G24" s="106">
        <v>0.86699999999999999</v>
      </c>
      <c r="H24" s="102"/>
      <c r="I24" s="90"/>
      <c r="J24" s="90"/>
    </row>
    <row r="25" spans="1:10" x14ac:dyDescent="0.25">
      <c r="A25" s="96"/>
      <c r="B25" s="96"/>
      <c r="C25" s="119" t="s">
        <v>524</v>
      </c>
      <c r="D25" s="100" t="s">
        <v>348</v>
      </c>
      <c r="E25" s="104" t="s">
        <v>476</v>
      </c>
      <c r="F25" s="106">
        <v>0.20200000000000001</v>
      </c>
      <c r="G25" s="106">
        <v>0.86699999999999999</v>
      </c>
      <c r="H25" s="102"/>
      <c r="I25" s="90"/>
      <c r="J25" s="90"/>
    </row>
    <row r="26" spans="1:10" x14ac:dyDescent="0.25">
      <c r="A26" s="96"/>
      <c r="B26" s="96"/>
      <c r="C26" s="101" t="s">
        <v>238</v>
      </c>
      <c r="D26" s="101" t="s">
        <v>469</v>
      </c>
      <c r="E26" s="100" t="s">
        <v>474</v>
      </c>
      <c r="F26" s="106">
        <v>0.71099999999999997</v>
      </c>
      <c r="G26" s="106">
        <v>1.0649999999999999</v>
      </c>
      <c r="H26" s="102"/>
      <c r="I26" s="90"/>
      <c r="J26" s="90"/>
    </row>
    <row r="27" spans="1:10" x14ac:dyDescent="0.25">
      <c r="A27" s="96"/>
      <c r="B27" s="90"/>
      <c r="C27" s="101" t="s">
        <v>238</v>
      </c>
      <c r="D27" s="101" t="s">
        <v>469</v>
      </c>
      <c r="E27" s="123" t="s">
        <v>544</v>
      </c>
      <c r="F27" s="106">
        <v>0.437</v>
      </c>
      <c r="G27" s="106">
        <v>1.2290000000000001</v>
      </c>
      <c r="H27" s="105"/>
      <c r="I27" s="90"/>
      <c r="J27" s="90"/>
    </row>
    <row r="28" spans="1:10" x14ac:dyDescent="0.25">
      <c r="A28" s="90"/>
      <c r="B28" s="90"/>
      <c r="C28" s="101" t="s">
        <v>238</v>
      </c>
      <c r="D28" s="101" t="s">
        <v>469</v>
      </c>
      <c r="E28" s="104" t="s">
        <v>476</v>
      </c>
      <c r="F28" s="106">
        <v>0.437</v>
      </c>
      <c r="G28" s="106">
        <v>1.2290000000000001</v>
      </c>
      <c r="H28" s="105"/>
      <c r="I28" s="90"/>
      <c r="J28" s="90"/>
    </row>
    <row r="29" spans="1:10" x14ac:dyDescent="0.25">
      <c r="A29" s="90"/>
      <c r="B29" s="90"/>
      <c r="C29" s="101" t="s">
        <v>238</v>
      </c>
      <c r="D29" s="101" t="s">
        <v>470</v>
      </c>
      <c r="E29" s="100" t="s">
        <v>474</v>
      </c>
      <c r="F29" s="106">
        <v>0.19500000000000001</v>
      </c>
      <c r="G29" s="106">
        <v>0.88200000000000001</v>
      </c>
      <c r="H29" s="90"/>
      <c r="I29" s="90"/>
      <c r="J29" s="90"/>
    </row>
    <row r="30" spans="1:10" x14ac:dyDescent="0.25">
      <c r="A30" s="90"/>
      <c r="B30" s="90"/>
      <c r="C30" s="101" t="s">
        <v>238</v>
      </c>
      <c r="D30" s="101" t="s">
        <v>470</v>
      </c>
      <c r="E30" s="123" t="s">
        <v>544</v>
      </c>
      <c r="F30" s="106">
        <v>0.31</v>
      </c>
      <c r="G30" s="106">
        <v>0.878</v>
      </c>
      <c r="H30" s="90"/>
      <c r="I30" s="90"/>
      <c r="J30" s="90"/>
    </row>
    <row r="31" spans="1:10" x14ac:dyDescent="0.25">
      <c r="A31" s="90"/>
      <c r="B31" s="90"/>
      <c r="C31" s="101" t="s">
        <v>238</v>
      </c>
      <c r="D31" s="101" t="s">
        <v>470</v>
      </c>
      <c r="E31" s="123" t="s">
        <v>476</v>
      </c>
      <c r="F31" s="106">
        <v>0.31</v>
      </c>
      <c r="G31" s="106">
        <v>0.878</v>
      </c>
      <c r="H31" s="90"/>
      <c r="I31" s="90"/>
      <c r="J31" s="90"/>
    </row>
    <row r="32" spans="1:10" x14ac:dyDescent="0.25">
      <c r="A32" s="90"/>
      <c r="B32" s="96" t="s">
        <v>245</v>
      </c>
      <c r="C32" s="90"/>
      <c r="D32" s="90"/>
      <c r="E32" s="90"/>
      <c r="F32" s="90"/>
      <c r="G32" s="90"/>
      <c r="H32" s="90"/>
      <c r="I32" s="90"/>
      <c r="J32" s="90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>
    <tabColor theme="8" tint="0.39997558519241921"/>
  </sheetPr>
  <dimension ref="A1:X31"/>
  <sheetViews>
    <sheetView workbookViewId="0">
      <selection activeCell="B1" sqref="B1"/>
    </sheetView>
  </sheetViews>
  <sheetFormatPr defaultRowHeight="15" x14ac:dyDescent="0.25"/>
  <cols>
    <col min="3" max="3" width="25.42578125" customWidth="1"/>
    <col min="4" max="4" width="29.28515625" customWidth="1"/>
    <col min="5" max="5" width="16.7109375" bestFit="1" customWidth="1"/>
    <col min="6" max="6" width="14.140625" customWidth="1"/>
    <col min="7" max="7" width="11" customWidth="1"/>
  </cols>
  <sheetData>
    <row r="1" spans="1:24" x14ac:dyDescent="0.25">
      <c r="A1" s="107" t="s">
        <v>250</v>
      </c>
      <c r="B1" s="107" t="s">
        <v>1202</v>
      </c>
      <c r="C1" s="107"/>
      <c r="D1" s="107"/>
      <c r="E1" s="107"/>
      <c r="F1" s="107"/>
      <c r="G1" s="107"/>
      <c r="H1" s="107"/>
      <c r="I1" s="107"/>
      <c r="J1" s="107"/>
      <c r="K1" s="113"/>
      <c r="L1" s="113"/>
      <c r="M1" s="111"/>
      <c r="N1" s="113"/>
      <c r="O1" s="113"/>
      <c r="P1" s="112"/>
      <c r="Q1" s="113"/>
      <c r="R1" s="113"/>
      <c r="S1" s="113"/>
      <c r="T1" s="113"/>
      <c r="U1" s="113"/>
      <c r="V1" s="113"/>
      <c r="W1" s="113"/>
      <c r="X1" s="107"/>
    </row>
    <row r="2" spans="1:24" x14ac:dyDescent="0.25">
      <c r="A2" s="107" t="s">
        <v>250</v>
      </c>
      <c r="B2" s="107"/>
      <c r="C2" s="107"/>
      <c r="D2" s="107"/>
      <c r="E2" s="107"/>
      <c r="F2" s="107"/>
      <c r="G2" s="107"/>
      <c r="H2" s="107"/>
      <c r="I2" s="107"/>
      <c r="J2" s="107"/>
      <c r="K2" s="113"/>
      <c r="L2" s="113"/>
      <c r="M2" s="111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07"/>
    </row>
    <row r="3" spans="1:24" x14ac:dyDescent="0.25">
      <c r="A3" s="107" t="s">
        <v>250</v>
      </c>
      <c r="B3" s="107" t="s">
        <v>356</v>
      </c>
      <c r="C3" s="107"/>
      <c r="D3" s="107"/>
      <c r="E3" s="107"/>
      <c r="F3" s="107"/>
      <c r="G3" s="107"/>
      <c r="H3" s="107"/>
      <c r="I3" s="107"/>
      <c r="J3" s="107"/>
      <c r="K3" s="107"/>
      <c r="L3" s="113"/>
      <c r="M3" s="113"/>
      <c r="N3" s="111"/>
      <c r="O3" s="113"/>
      <c r="P3" s="114"/>
      <c r="Q3" s="113"/>
      <c r="R3" s="114"/>
      <c r="S3" s="113"/>
      <c r="T3" s="114"/>
      <c r="U3" s="113"/>
      <c r="V3" s="114"/>
      <c r="W3" s="113"/>
      <c r="X3" s="113"/>
    </row>
    <row r="4" spans="1:24" x14ac:dyDescent="0.25">
      <c r="A4" s="107" t="s">
        <v>250</v>
      </c>
      <c r="B4" s="107"/>
      <c r="C4" s="107" t="s">
        <v>494</v>
      </c>
      <c r="D4" s="107"/>
      <c r="E4" s="107"/>
      <c r="F4" s="107"/>
      <c r="G4" s="107"/>
      <c r="H4" s="107"/>
      <c r="I4" s="107"/>
      <c r="J4" s="107"/>
      <c r="K4" s="107"/>
      <c r="L4" s="113"/>
      <c r="M4" s="113"/>
      <c r="N4" s="111"/>
      <c r="O4" s="113"/>
      <c r="P4" s="114"/>
      <c r="Q4" s="113"/>
      <c r="R4" s="114"/>
      <c r="S4" s="113"/>
      <c r="T4" s="114"/>
      <c r="U4" s="113"/>
      <c r="V4" s="114"/>
      <c r="W4" s="113"/>
      <c r="X4" s="113"/>
    </row>
    <row r="5" spans="1:24" x14ac:dyDescent="0.25">
      <c r="A5" s="107" t="s">
        <v>250</v>
      </c>
      <c r="B5" s="107"/>
      <c r="C5" s="107"/>
      <c r="D5" s="107"/>
      <c r="E5" s="107"/>
      <c r="F5" s="107"/>
      <c r="G5" s="107"/>
      <c r="H5" s="107"/>
      <c r="I5" s="107"/>
      <c r="J5" s="107"/>
      <c r="K5" s="107"/>
      <c r="L5" s="113"/>
      <c r="M5" s="113"/>
      <c r="N5" s="111"/>
      <c r="O5" s="115"/>
      <c r="P5" s="114"/>
      <c r="Q5" s="115"/>
      <c r="R5" s="114"/>
      <c r="S5" s="115"/>
      <c r="T5" s="114"/>
      <c r="U5" s="115"/>
      <c r="V5" s="114"/>
      <c r="W5" s="113"/>
      <c r="X5" s="113"/>
    </row>
    <row r="6" spans="1:24" x14ac:dyDescent="0.25">
      <c r="A6" s="107" t="s">
        <v>250</v>
      </c>
      <c r="B6" s="107" t="s">
        <v>357</v>
      </c>
      <c r="C6" s="107"/>
      <c r="D6" s="107"/>
      <c r="E6" s="107"/>
      <c r="F6" s="107"/>
      <c r="G6" s="107"/>
      <c r="H6" s="107"/>
      <c r="I6" s="107"/>
      <c r="J6" s="107"/>
      <c r="K6" s="107"/>
      <c r="L6" s="113"/>
      <c r="M6" s="113"/>
      <c r="N6" s="111"/>
      <c r="O6" s="113"/>
      <c r="P6" s="114"/>
      <c r="Q6" s="113"/>
      <c r="R6" s="114"/>
      <c r="S6" s="113"/>
      <c r="T6" s="114"/>
      <c r="U6" s="113"/>
      <c r="V6" s="114"/>
      <c r="W6" s="113"/>
      <c r="X6" s="113"/>
    </row>
    <row r="7" spans="1:24" x14ac:dyDescent="0.25">
      <c r="A7" s="107" t="s">
        <v>250</v>
      </c>
      <c r="B7" s="107"/>
      <c r="C7" s="107" t="s">
        <v>262</v>
      </c>
      <c r="D7" s="107" t="s">
        <v>263</v>
      </c>
      <c r="E7" s="107" t="s">
        <v>264</v>
      </c>
      <c r="F7" s="107"/>
      <c r="G7" s="107"/>
      <c r="H7" s="107"/>
      <c r="I7" s="107"/>
      <c r="J7" s="107"/>
      <c r="K7" s="107"/>
      <c r="L7" s="113"/>
      <c r="M7" s="113"/>
      <c r="N7" s="110"/>
      <c r="O7" s="113"/>
      <c r="P7" s="114"/>
      <c r="Q7" s="115"/>
      <c r="R7" s="114"/>
      <c r="S7" s="113"/>
      <c r="T7" s="114"/>
      <c r="U7" s="113"/>
      <c r="V7" s="114"/>
      <c r="W7" s="113"/>
      <c r="X7" s="113"/>
    </row>
    <row r="8" spans="1:24" x14ac:dyDescent="0.25">
      <c r="A8" s="107" t="s">
        <v>250</v>
      </c>
      <c r="B8" s="108"/>
      <c r="C8" s="109">
        <v>41217</v>
      </c>
      <c r="D8" s="113" t="s">
        <v>410</v>
      </c>
      <c r="E8" s="107" t="s">
        <v>478</v>
      </c>
      <c r="F8" s="107"/>
      <c r="G8" s="107"/>
      <c r="H8" s="107"/>
      <c r="I8" s="107"/>
      <c r="J8" s="107"/>
      <c r="K8" s="107"/>
      <c r="L8" s="113"/>
      <c r="M8" s="113"/>
      <c r="N8" s="113"/>
      <c r="O8" s="113"/>
      <c r="P8" s="113"/>
      <c r="Q8" s="112"/>
      <c r="R8" s="113"/>
      <c r="S8" s="113"/>
      <c r="T8" s="113"/>
      <c r="U8" s="113"/>
      <c r="V8" s="113"/>
      <c r="W8" s="113"/>
      <c r="X8" s="107"/>
    </row>
    <row r="9" spans="1:24" x14ac:dyDescent="0.25">
      <c r="A9" s="107" t="s">
        <v>250</v>
      </c>
      <c r="B9" s="108"/>
      <c r="C9" s="109"/>
      <c r="D9" s="107"/>
      <c r="E9" s="107"/>
      <c r="F9" s="107"/>
      <c r="G9" s="107"/>
      <c r="H9" s="107"/>
      <c r="I9" s="107"/>
      <c r="J9" s="107"/>
      <c r="K9" s="107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07"/>
    </row>
    <row r="10" spans="1:24" x14ac:dyDescent="0.25">
      <c r="A10" s="107" t="s">
        <v>250</v>
      </c>
      <c r="B10" s="107" t="s">
        <v>266</v>
      </c>
      <c r="C10" s="107"/>
      <c r="D10" s="107"/>
      <c r="E10" s="107"/>
      <c r="F10" s="107"/>
      <c r="G10" s="107"/>
      <c r="H10" s="107"/>
      <c r="I10" s="107"/>
      <c r="J10" s="107"/>
      <c r="K10" s="107"/>
      <c r="L10" s="113"/>
      <c r="M10" s="113"/>
      <c r="N10" s="113"/>
      <c r="O10" s="113"/>
      <c r="P10" s="114"/>
      <c r="Q10" s="113"/>
      <c r="R10" s="114"/>
      <c r="S10" s="113"/>
      <c r="T10" s="114"/>
      <c r="U10" s="113"/>
      <c r="V10" s="114"/>
      <c r="W10" s="113"/>
      <c r="X10" s="107"/>
    </row>
    <row r="11" spans="1:24" x14ac:dyDescent="0.25">
      <c r="A11" s="107" t="s">
        <v>250</v>
      </c>
      <c r="B11" s="107"/>
      <c r="C11" s="107" t="s">
        <v>495</v>
      </c>
      <c r="D11" s="107"/>
      <c r="E11" s="107"/>
      <c r="F11" s="107"/>
      <c r="G11" s="107"/>
      <c r="H11" s="107"/>
      <c r="I11" s="107"/>
      <c r="J11" s="107"/>
      <c r="K11" s="107"/>
      <c r="L11" s="113"/>
      <c r="M11" s="113"/>
      <c r="N11" s="113"/>
      <c r="O11" s="115"/>
      <c r="P11" s="114"/>
      <c r="Q11" s="115"/>
      <c r="R11" s="114"/>
      <c r="S11" s="115"/>
      <c r="T11" s="114"/>
      <c r="U11" s="115"/>
      <c r="V11" s="114"/>
      <c r="W11" s="113"/>
      <c r="X11" s="107"/>
    </row>
    <row r="12" spans="1:24" x14ac:dyDescent="0.25">
      <c r="A12" s="107" t="s">
        <v>250</v>
      </c>
      <c r="B12" s="107"/>
      <c r="C12" s="107"/>
      <c r="D12" s="107"/>
      <c r="E12" s="107"/>
      <c r="F12" s="107"/>
      <c r="G12" s="107"/>
      <c r="H12" s="107"/>
      <c r="I12" s="107"/>
      <c r="J12" s="107"/>
      <c r="K12" s="107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07"/>
    </row>
    <row r="13" spans="1:24" x14ac:dyDescent="0.25">
      <c r="A13" s="107" t="s">
        <v>250</v>
      </c>
      <c r="B13" s="107" t="s">
        <v>251</v>
      </c>
      <c r="C13" s="107"/>
      <c r="D13" s="107"/>
      <c r="E13" s="107"/>
      <c r="F13" s="107"/>
      <c r="G13" s="107"/>
      <c r="H13" s="107"/>
      <c r="I13" s="107"/>
      <c r="J13" s="107"/>
      <c r="K13" s="107"/>
      <c r="L13" s="107"/>
      <c r="M13" s="107"/>
      <c r="N13" s="107"/>
      <c r="O13" s="107"/>
      <c r="P13" s="107"/>
      <c r="Q13" s="107"/>
      <c r="R13" s="107"/>
      <c r="S13" s="107"/>
      <c r="T13" s="107"/>
      <c r="U13" s="107"/>
      <c r="V13" s="107"/>
      <c r="W13" s="107"/>
      <c r="X13" s="107"/>
    </row>
    <row r="14" spans="1:24" x14ac:dyDescent="0.25">
      <c r="A14" s="107" t="s">
        <v>250</v>
      </c>
      <c r="B14" s="107"/>
      <c r="C14" s="107"/>
      <c r="D14" s="107"/>
      <c r="E14" s="107"/>
      <c r="F14" s="107"/>
      <c r="G14" s="107"/>
      <c r="H14" s="107"/>
      <c r="I14" s="107"/>
      <c r="J14" s="107"/>
      <c r="K14" s="107"/>
      <c r="L14" s="107"/>
      <c r="M14" s="107"/>
      <c r="N14" s="107"/>
      <c r="O14" s="107"/>
      <c r="P14" s="107"/>
      <c r="Q14" s="107"/>
      <c r="R14" s="107"/>
      <c r="S14" s="107"/>
      <c r="T14" s="107"/>
      <c r="U14" s="107"/>
      <c r="V14" s="107"/>
      <c r="W14" s="107"/>
      <c r="X14" s="107"/>
    </row>
    <row r="15" spans="1:24" x14ac:dyDescent="0.25">
      <c r="A15" s="107" t="s">
        <v>250</v>
      </c>
      <c r="B15" s="107"/>
      <c r="C15" s="107"/>
      <c r="D15" s="107"/>
      <c r="E15" s="107"/>
      <c r="F15" s="107"/>
      <c r="G15" s="107"/>
      <c r="H15" s="107"/>
      <c r="I15" s="107"/>
      <c r="J15" s="107"/>
      <c r="K15" s="107"/>
      <c r="L15" s="107"/>
      <c r="M15" s="107"/>
      <c r="N15" s="107"/>
      <c r="O15" s="107"/>
      <c r="P15" s="107"/>
      <c r="Q15" s="107"/>
      <c r="R15" s="107"/>
      <c r="S15" s="107"/>
      <c r="T15" s="107"/>
      <c r="U15" s="107"/>
      <c r="V15" s="107"/>
      <c r="W15" s="107"/>
      <c r="X15" s="107"/>
    </row>
    <row r="16" spans="1:24" x14ac:dyDescent="0.25">
      <c r="A16" s="107" t="s">
        <v>250</v>
      </c>
      <c r="B16" s="107" t="s">
        <v>272</v>
      </c>
      <c r="C16" s="107"/>
      <c r="D16" s="107"/>
      <c r="E16" s="107"/>
      <c r="F16" s="107"/>
      <c r="G16" s="107"/>
      <c r="H16" s="107"/>
      <c r="I16" s="107"/>
      <c r="J16" s="107"/>
      <c r="K16" s="107"/>
      <c r="L16" s="107"/>
      <c r="M16" s="107"/>
      <c r="N16" s="107"/>
      <c r="O16" s="107"/>
      <c r="P16" s="107"/>
      <c r="Q16" s="107"/>
      <c r="R16" s="107"/>
      <c r="S16" s="107"/>
      <c r="T16" s="107"/>
      <c r="U16" s="107"/>
      <c r="V16" s="107"/>
      <c r="W16" s="107"/>
      <c r="X16" s="107"/>
    </row>
    <row r="17" spans="1:8" x14ac:dyDescent="0.25">
      <c r="A17" s="107" t="s">
        <v>250</v>
      </c>
      <c r="B17" s="107"/>
      <c r="C17" s="118" t="s">
        <v>376</v>
      </c>
      <c r="D17" s="107"/>
      <c r="E17" s="107"/>
      <c r="F17" s="107"/>
      <c r="G17" s="107"/>
      <c r="H17" s="107"/>
    </row>
    <row r="18" spans="1:8" x14ac:dyDescent="0.25">
      <c r="A18" s="107" t="s">
        <v>250</v>
      </c>
      <c r="B18" s="107"/>
      <c r="C18" s="107" t="s">
        <v>793</v>
      </c>
      <c r="D18" s="107"/>
      <c r="E18" s="107"/>
      <c r="F18" s="107"/>
      <c r="G18" s="107"/>
      <c r="H18" s="107"/>
    </row>
    <row r="19" spans="1:8" x14ac:dyDescent="0.25">
      <c r="A19" s="107" t="s">
        <v>250</v>
      </c>
      <c r="B19" s="107"/>
      <c r="C19" s="107"/>
      <c r="D19" s="107"/>
      <c r="E19" s="107"/>
      <c r="F19" s="107"/>
      <c r="G19" s="107"/>
      <c r="H19" s="107"/>
    </row>
    <row r="20" spans="1:8" x14ac:dyDescent="0.25">
      <c r="A20" s="113" t="s">
        <v>271</v>
      </c>
      <c r="B20" s="113"/>
      <c r="C20" s="111"/>
      <c r="D20" s="113"/>
      <c r="E20" s="113"/>
      <c r="F20" s="112"/>
      <c r="G20" s="112"/>
      <c r="H20" s="107"/>
    </row>
    <row r="21" spans="1:8" x14ac:dyDescent="0.25">
      <c r="A21" s="113"/>
      <c r="B21" s="113" t="s">
        <v>496</v>
      </c>
      <c r="C21" s="111"/>
      <c r="D21" s="113"/>
      <c r="E21" s="113"/>
      <c r="F21" s="113"/>
      <c r="G21" s="107"/>
    </row>
    <row r="22" spans="1:8" x14ac:dyDescent="0.25">
      <c r="A22" s="113"/>
      <c r="B22" s="113"/>
      <c r="C22" s="119" t="s">
        <v>497</v>
      </c>
      <c r="D22" s="120" t="s">
        <v>498</v>
      </c>
      <c r="E22" s="120" t="s">
        <v>468</v>
      </c>
      <c r="F22" s="120" t="s">
        <v>499</v>
      </c>
      <c r="G22" s="121"/>
    </row>
    <row r="23" spans="1:8" x14ac:dyDescent="0.25">
      <c r="A23" s="113"/>
      <c r="B23" s="107"/>
      <c r="C23" s="119" t="s">
        <v>521</v>
      </c>
      <c r="D23" s="119" t="s">
        <v>348</v>
      </c>
      <c r="E23" s="125" t="s">
        <v>348</v>
      </c>
      <c r="F23" s="125">
        <v>0.77</v>
      </c>
      <c r="G23" s="122"/>
    </row>
    <row r="24" spans="1:8" x14ac:dyDescent="0.25">
      <c r="A24" s="113"/>
      <c r="B24" s="113"/>
      <c r="C24" s="119" t="s">
        <v>522</v>
      </c>
      <c r="D24" s="119" t="s">
        <v>579</v>
      </c>
      <c r="E24" s="125" t="s">
        <v>348</v>
      </c>
      <c r="F24" s="125">
        <v>0.53</v>
      </c>
      <c r="G24" s="121"/>
    </row>
    <row r="25" spans="1:8" x14ac:dyDescent="0.25">
      <c r="A25" s="113"/>
      <c r="B25" s="113"/>
      <c r="C25" s="119" t="s">
        <v>522</v>
      </c>
      <c r="D25" s="119" t="s">
        <v>500</v>
      </c>
      <c r="E25" s="125" t="s">
        <v>348</v>
      </c>
      <c r="F25" s="125">
        <v>0.67</v>
      </c>
      <c r="G25" s="121"/>
    </row>
    <row r="26" spans="1:8" x14ac:dyDescent="0.25">
      <c r="A26" s="113"/>
      <c r="B26" s="113"/>
      <c r="C26" s="120" t="s">
        <v>523</v>
      </c>
      <c r="D26" s="120" t="s">
        <v>348</v>
      </c>
      <c r="E26" s="125" t="s">
        <v>348</v>
      </c>
      <c r="F26" s="125">
        <v>0.88</v>
      </c>
      <c r="G26" s="121"/>
    </row>
    <row r="27" spans="1:8" x14ac:dyDescent="0.25">
      <c r="A27" s="113"/>
      <c r="B27" s="107"/>
      <c r="C27" s="120" t="s">
        <v>242</v>
      </c>
      <c r="D27" s="120" t="s">
        <v>348</v>
      </c>
      <c r="E27" s="125" t="s">
        <v>348</v>
      </c>
      <c r="F27" s="125">
        <v>0.53</v>
      </c>
      <c r="G27" s="124"/>
    </row>
    <row r="28" spans="1:8" x14ac:dyDescent="0.25">
      <c r="A28" s="107"/>
      <c r="B28" s="107"/>
      <c r="C28" s="120" t="s">
        <v>238</v>
      </c>
      <c r="D28" s="120" t="s">
        <v>348</v>
      </c>
      <c r="E28" s="125" t="s">
        <v>470</v>
      </c>
      <c r="F28" s="125">
        <v>0.88</v>
      </c>
      <c r="G28" s="107"/>
    </row>
    <row r="29" spans="1:8" x14ac:dyDescent="0.25">
      <c r="A29" s="107"/>
      <c r="B29" s="107"/>
      <c r="C29" s="120" t="s">
        <v>238</v>
      </c>
      <c r="D29" s="120" t="s">
        <v>348</v>
      </c>
      <c r="E29" s="125" t="s">
        <v>469</v>
      </c>
      <c r="F29" s="125">
        <v>1</v>
      </c>
      <c r="G29" s="107"/>
    </row>
    <row r="30" spans="1:8" x14ac:dyDescent="0.25">
      <c r="A30" s="107"/>
      <c r="B30" s="107"/>
      <c r="C30" s="117" t="s">
        <v>331</v>
      </c>
      <c r="D30" s="116" t="s">
        <v>501</v>
      </c>
      <c r="E30" s="107"/>
      <c r="F30" s="107"/>
      <c r="G30" s="107"/>
    </row>
    <row r="31" spans="1:8" x14ac:dyDescent="0.25">
      <c r="B31" s="113" t="s">
        <v>245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8" tint="0.39997558519241921"/>
  </sheetPr>
  <dimension ref="A1:G44"/>
  <sheetViews>
    <sheetView workbookViewId="0">
      <selection activeCell="B1" sqref="B1"/>
    </sheetView>
  </sheetViews>
  <sheetFormatPr defaultRowHeight="15" x14ac:dyDescent="0.25"/>
  <cols>
    <col min="2" max="2" width="9.140625" customWidth="1"/>
    <col min="3" max="3" width="20" customWidth="1"/>
  </cols>
  <sheetData>
    <row r="1" spans="1:7" x14ac:dyDescent="0.25">
      <c r="A1" s="138" t="s">
        <v>250</v>
      </c>
      <c r="B1" s="138" t="s">
        <v>1202</v>
      </c>
      <c r="C1" s="138"/>
      <c r="D1" s="138"/>
      <c r="E1" s="138"/>
      <c r="F1" s="138"/>
      <c r="G1" s="138"/>
    </row>
    <row r="2" spans="1:7" x14ac:dyDescent="0.25">
      <c r="A2" s="138" t="s">
        <v>250</v>
      </c>
      <c r="B2" s="138"/>
      <c r="C2" s="138"/>
      <c r="D2" s="138"/>
      <c r="E2" s="138"/>
      <c r="F2" s="138"/>
      <c r="G2" s="138"/>
    </row>
    <row r="3" spans="1:7" x14ac:dyDescent="0.25">
      <c r="A3" s="138" t="s">
        <v>250</v>
      </c>
      <c r="B3" s="138" t="s">
        <v>356</v>
      </c>
      <c r="C3" s="138"/>
      <c r="D3" s="138"/>
      <c r="E3" s="138"/>
      <c r="F3" s="138"/>
      <c r="G3" s="138"/>
    </row>
    <row r="4" spans="1:7" x14ac:dyDescent="0.25">
      <c r="A4" s="138" t="s">
        <v>250</v>
      </c>
      <c r="B4" s="138"/>
      <c r="C4" s="138" t="s">
        <v>580</v>
      </c>
      <c r="D4" s="138"/>
      <c r="E4" s="138"/>
      <c r="F4" s="138"/>
      <c r="G4" s="138"/>
    </row>
    <row r="5" spans="1:7" x14ac:dyDescent="0.25">
      <c r="A5" s="138" t="s">
        <v>250</v>
      </c>
      <c r="B5" s="138"/>
      <c r="C5" s="138"/>
      <c r="D5" s="138"/>
      <c r="E5" s="138"/>
      <c r="F5" s="138"/>
      <c r="G5" s="138"/>
    </row>
    <row r="6" spans="1:7" x14ac:dyDescent="0.25">
      <c r="A6" s="138" t="s">
        <v>250</v>
      </c>
      <c r="B6" s="138" t="s">
        <v>357</v>
      </c>
      <c r="C6" s="138"/>
      <c r="D6" s="138"/>
      <c r="E6" s="138"/>
      <c r="F6" s="138"/>
      <c r="G6" s="138"/>
    </row>
    <row r="7" spans="1:7" x14ac:dyDescent="0.25">
      <c r="A7" s="138" t="s">
        <v>250</v>
      </c>
      <c r="B7" s="138"/>
      <c r="C7" s="138" t="s">
        <v>262</v>
      </c>
      <c r="D7" s="138" t="s">
        <v>263</v>
      </c>
      <c r="E7" s="138" t="s">
        <v>264</v>
      </c>
      <c r="F7" s="138"/>
      <c r="G7" s="138"/>
    </row>
    <row r="8" spans="1:7" x14ac:dyDescent="0.25">
      <c r="A8" s="138" t="s">
        <v>250</v>
      </c>
      <c r="B8" s="141"/>
      <c r="C8" s="144">
        <v>41741</v>
      </c>
      <c r="D8" s="145" t="s">
        <v>410</v>
      </c>
      <c r="E8" s="138" t="s">
        <v>581</v>
      </c>
      <c r="F8" s="138"/>
      <c r="G8" s="138"/>
    </row>
    <row r="9" spans="1:7" x14ac:dyDescent="0.25">
      <c r="A9" s="138" t="s">
        <v>250</v>
      </c>
      <c r="B9" s="141"/>
      <c r="C9" s="144"/>
      <c r="D9" s="145"/>
      <c r="E9" s="138"/>
      <c r="F9" s="138"/>
      <c r="G9" s="138"/>
    </row>
    <row r="10" spans="1:7" x14ac:dyDescent="0.25">
      <c r="A10" s="138" t="s">
        <v>250</v>
      </c>
      <c r="B10" s="141"/>
      <c r="C10" s="144"/>
      <c r="D10" s="138"/>
      <c r="E10" s="138"/>
      <c r="F10" s="138"/>
      <c r="G10" s="138"/>
    </row>
    <row r="11" spans="1:7" x14ac:dyDescent="0.25">
      <c r="A11" s="138" t="s">
        <v>250</v>
      </c>
      <c r="B11" s="138" t="s">
        <v>266</v>
      </c>
      <c r="C11" s="138"/>
      <c r="D11" s="138"/>
      <c r="E11" s="138"/>
      <c r="F11" s="138"/>
      <c r="G11" s="138"/>
    </row>
    <row r="12" spans="1:7" x14ac:dyDescent="0.25">
      <c r="A12" s="138" t="s">
        <v>250</v>
      </c>
      <c r="B12" s="138"/>
      <c r="C12" s="138" t="s">
        <v>582</v>
      </c>
      <c r="D12" s="138"/>
      <c r="E12" s="138"/>
      <c r="F12" s="138"/>
      <c r="G12" s="138"/>
    </row>
    <row r="13" spans="1:7" x14ac:dyDescent="0.25">
      <c r="A13" s="138" t="s">
        <v>250</v>
      </c>
      <c r="B13" s="138"/>
      <c r="C13" s="138"/>
      <c r="D13" s="138"/>
      <c r="E13" s="138"/>
      <c r="F13" s="138"/>
      <c r="G13" s="138"/>
    </row>
    <row r="14" spans="1:7" x14ac:dyDescent="0.25">
      <c r="A14" s="138" t="s">
        <v>250</v>
      </c>
      <c r="B14" s="138" t="s">
        <v>251</v>
      </c>
      <c r="C14" s="138"/>
      <c r="D14" s="138"/>
      <c r="E14" s="138"/>
      <c r="F14" s="138"/>
      <c r="G14" s="138"/>
    </row>
    <row r="15" spans="1:7" x14ac:dyDescent="0.25">
      <c r="A15" s="138" t="s">
        <v>250</v>
      </c>
      <c r="B15" s="138"/>
      <c r="C15" s="138"/>
      <c r="D15" s="138"/>
      <c r="E15" s="138"/>
      <c r="F15" s="138"/>
      <c r="G15" s="138"/>
    </row>
    <row r="16" spans="1:7" x14ac:dyDescent="0.25">
      <c r="A16" s="138" t="s">
        <v>250</v>
      </c>
      <c r="B16" s="138"/>
      <c r="C16" s="138"/>
      <c r="D16" s="138"/>
      <c r="E16" s="138"/>
      <c r="F16" s="138"/>
      <c r="G16" s="138"/>
    </row>
    <row r="17" spans="1:7" x14ac:dyDescent="0.25">
      <c r="A17" s="138" t="s">
        <v>250</v>
      </c>
      <c r="B17" s="138" t="s">
        <v>272</v>
      </c>
      <c r="C17" s="138"/>
      <c r="D17" s="138"/>
      <c r="E17" s="138"/>
      <c r="F17" s="138"/>
      <c r="G17" s="138"/>
    </row>
    <row r="18" spans="1:7" x14ac:dyDescent="0.25">
      <c r="A18" s="138" t="s">
        <v>250</v>
      </c>
      <c r="B18" s="138"/>
      <c r="C18" s="138" t="s">
        <v>584</v>
      </c>
      <c r="D18" s="138"/>
      <c r="E18" s="138"/>
      <c r="F18" s="138"/>
      <c r="G18" s="138"/>
    </row>
    <row r="19" spans="1:7" x14ac:dyDescent="0.25">
      <c r="A19" s="138" t="s">
        <v>250</v>
      </c>
      <c r="B19" s="138"/>
      <c r="C19" s="138"/>
      <c r="D19" s="138"/>
      <c r="E19" s="138"/>
      <c r="F19" s="138"/>
      <c r="G19" s="138"/>
    </row>
    <row r="20" spans="1:7" x14ac:dyDescent="0.25">
      <c r="A20" s="138" t="s">
        <v>250</v>
      </c>
      <c r="B20" s="138"/>
      <c r="C20" s="138"/>
      <c r="D20" s="138"/>
      <c r="E20" s="138"/>
      <c r="F20" s="138"/>
      <c r="G20" s="138"/>
    </row>
    <row r="21" spans="1:7" x14ac:dyDescent="0.25">
      <c r="A21" s="138" t="s">
        <v>365</v>
      </c>
      <c r="B21" s="138"/>
      <c r="C21" s="138"/>
      <c r="D21" s="138"/>
      <c r="E21" s="138"/>
      <c r="F21" s="138"/>
      <c r="G21" s="138"/>
    </row>
    <row r="22" spans="1:7" x14ac:dyDescent="0.25">
      <c r="A22" s="138"/>
      <c r="B22" s="140" t="s">
        <v>585</v>
      </c>
      <c r="C22" s="140"/>
      <c r="D22" s="138"/>
      <c r="E22" s="138"/>
      <c r="F22" s="138"/>
      <c r="G22" s="138"/>
    </row>
    <row r="23" spans="1:7" x14ac:dyDescent="0.25">
      <c r="A23" s="138"/>
      <c r="B23" s="140"/>
      <c r="C23" s="140" t="s">
        <v>583</v>
      </c>
      <c r="D23" s="141" t="s">
        <v>236</v>
      </c>
      <c r="E23" s="56" t="s">
        <v>209</v>
      </c>
      <c r="F23" s="56"/>
      <c r="G23" s="56"/>
    </row>
    <row r="24" spans="1:7" x14ac:dyDescent="0.25">
      <c r="A24" s="138"/>
      <c r="B24" s="138"/>
      <c r="C24" s="138">
        <v>1</v>
      </c>
      <c r="D24" s="80">
        <v>0.47</v>
      </c>
      <c r="E24" s="57">
        <v>0.41</v>
      </c>
      <c r="F24" s="57"/>
      <c r="G24" s="58"/>
    </row>
    <row r="25" spans="1:7" x14ac:dyDescent="0.25">
      <c r="A25" s="138"/>
      <c r="B25" s="138"/>
      <c r="C25" s="139">
        <v>2</v>
      </c>
      <c r="D25" s="80">
        <v>0.47</v>
      </c>
      <c r="E25" s="57">
        <v>0.31</v>
      </c>
      <c r="F25" s="58"/>
      <c r="G25" s="58"/>
    </row>
    <row r="26" spans="1:7" x14ac:dyDescent="0.25">
      <c r="A26" s="138"/>
      <c r="B26" s="138"/>
      <c r="C26" s="138">
        <v>3</v>
      </c>
      <c r="D26" s="80">
        <v>0.57999999999999996</v>
      </c>
      <c r="E26" s="57">
        <v>0.41</v>
      </c>
      <c r="F26" s="58"/>
      <c r="G26" s="58"/>
    </row>
    <row r="27" spans="1:7" x14ac:dyDescent="0.25">
      <c r="A27" s="138"/>
      <c r="B27" s="138"/>
      <c r="C27" s="138">
        <v>4</v>
      </c>
      <c r="D27" s="80">
        <v>0.47</v>
      </c>
      <c r="E27" s="57">
        <v>0.31</v>
      </c>
      <c r="F27" s="58"/>
      <c r="G27" s="58"/>
    </row>
    <row r="28" spans="1:7" x14ac:dyDescent="0.25">
      <c r="A28" s="138"/>
      <c r="B28" s="138"/>
      <c r="C28" s="138">
        <v>5</v>
      </c>
      <c r="D28" s="80">
        <v>0.57999999999999996</v>
      </c>
      <c r="E28" s="57">
        <v>0.41</v>
      </c>
      <c r="F28" s="58"/>
      <c r="G28" s="58"/>
    </row>
    <row r="29" spans="1:7" x14ac:dyDescent="0.25">
      <c r="A29" s="138"/>
      <c r="B29" s="138"/>
      <c r="C29" s="138">
        <v>6</v>
      </c>
      <c r="D29" s="80">
        <v>0.47</v>
      </c>
      <c r="E29" s="57">
        <v>0.31</v>
      </c>
      <c r="F29" s="58"/>
      <c r="G29" s="58"/>
    </row>
    <row r="30" spans="1:7" x14ac:dyDescent="0.25">
      <c r="A30" s="138"/>
      <c r="B30" s="138"/>
      <c r="C30" s="138">
        <v>7</v>
      </c>
      <c r="D30" s="80">
        <v>0.47</v>
      </c>
      <c r="E30" s="57">
        <v>0.31</v>
      </c>
      <c r="F30" s="58"/>
      <c r="G30" s="58"/>
    </row>
    <row r="31" spans="1:7" x14ac:dyDescent="0.25">
      <c r="A31" s="138"/>
      <c r="B31" s="138"/>
      <c r="C31" s="138">
        <v>8</v>
      </c>
      <c r="D31" s="80">
        <v>0.47</v>
      </c>
      <c r="E31" s="57">
        <v>0.31</v>
      </c>
      <c r="F31" s="138"/>
      <c r="G31" s="138"/>
    </row>
    <row r="32" spans="1:7" x14ac:dyDescent="0.25">
      <c r="A32" s="138"/>
      <c r="C32" s="138">
        <v>9</v>
      </c>
      <c r="D32" s="80">
        <v>0.47</v>
      </c>
      <c r="E32" s="57">
        <v>0.31</v>
      </c>
      <c r="F32" s="138"/>
      <c r="G32" s="138"/>
    </row>
    <row r="33" spans="2:5" x14ac:dyDescent="0.25">
      <c r="C33" s="138">
        <v>10</v>
      </c>
      <c r="D33" s="80">
        <v>0.47</v>
      </c>
      <c r="E33" s="57">
        <v>0.31</v>
      </c>
    </row>
    <row r="34" spans="2:5" x14ac:dyDescent="0.25">
      <c r="C34" s="138">
        <v>11</v>
      </c>
      <c r="D34" s="80">
        <v>0.47</v>
      </c>
      <c r="E34" s="57">
        <v>0.31</v>
      </c>
    </row>
    <row r="35" spans="2:5" x14ac:dyDescent="0.25">
      <c r="C35" s="138">
        <v>12</v>
      </c>
      <c r="D35" s="80">
        <v>0.47</v>
      </c>
      <c r="E35" s="57">
        <v>0.31</v>
      </c>
    </row>
    <row r="36" spans="2:5" x14ac:dyDescent="0.25">
      <c r="C36" s="138">
        <v>13</v>
      </c>
      <c r="D36" s="80">
        <v>0.47</v>
      </c>
      <c r="E36" s="57">
        <v>0.31</v>
      </c>
    </row>
    <row r="37" spans="2:5" x14ac:dyDescent="0.25">
      <c r="C37" s="138">
        <v>14</v>
      </c>
      <c r="D37" s="80">
        <v>0.47</v>
      </c>
      <c r="E37" s="57">
        <v>0.31</v>
      </c>
    </row>
    <row r="38" spans="2:5" x14ac:dyDescent="0.25">
      <c r="C38" s="138">
        <v>15</v>
      </c>
      <c r="D38" s="80">
        <v>0.47</v>
      </c>
      <c r="E38" s="57">
        <v>0.31</v>
      </c>
    </row>
    <row r="39" spans="2:5" x14ac:dyDescent="0.25">
      <c r="C39" s="138">
        <v>16</v>
      </c>
      <c r="D39" s="80">
        <v>0.47</v>
      </c>
      <c r="E39" s="57">
        <v>0.31</v>
      </c>
    </row>
    <row r="40" spans="2:5" x14ac:dyDescent="0.25">
      <c r="B40" s="138" t="s">
        <v>245</v>
      </c>
      <c r="C40" s="138"/>
    </row>
    <row r="41" spans="2:5" x14ac:dyDescent="0.25">
      <c r="C41" s="138"/>
    </row>
    <row r="42" spans="2:5" x14ac:dyDescent="0.25">
      <c r="C42" s="138"/>
    </row>
    <row r="43" spans="2:5" x14ac:dyDescent="0.25">
      <c r="C43" s="138"/>
    </row>
    <row r="44" spans="2:5" x14ac:dyDescent="0.25">
      <c r="C44" s="138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U69"/>
  <sheetViews>
    <sheetView workbookViewId="0">
      <selection activeCell="B1" sqref="B1"/>
    </sheetView>
  </sheetViews>
  <sheetFormatPr defaultRowHeight="15" x14ac:dyDescent="0.25"/>
  <cols>
    <col min="1" max="1" width="2.28515625" customWidth="1"/>
    <col min="2" max="2" width="3.28515625" customWidth="1"/>
    <col min="3" max="3" width="15.28515625" customWidth="1"/>
    <col min="4" max="4" width="12.5703125" customWidth="1"/>
    <col min="5" max="20" width="10.140625" customWidth="1"/>
  </cols>
  <sheetData>
    <row r="1" spans="1:5" x14ac:dyDescent="0.25">
      <c r="A1" t="s">
        <v>250</v>
      </c>
      <c r="B1" s="39" t="s">
        <v>1202</v>
      </c>
    </row>
    <row r="2" spans="1:5" s="39" customFormat="1" x14ac:dyDescent="0.25">
      <c r="A2" s="39" t="s">
        <v>250</v>
      </c>
    </row>
    <row r="3" spans="1:5" s="39" customFormat="1" x14ac:dyDescent="0.25">
      <c r="A3" s="39" t="s">
        <v>250</v>
      </c>
      <c r="B3" s="39" t="s">
        <v>356</v>
      </c>
    </row>
    <row r="4" spans="1:5" s="39" customFormat="1" x14ac:dyDescent="0.25">
      <c r="A4" s="39" t="s">
        <v>250</v>
      </c>
      <c r="C4" s="39" t="s">
        <v>359</v>
      </c>
    </row>
    <row r="5" spans="1:5" s="39" customFormat="1" x14ac:dyDescent="0.25">
      <c r="A5" s="39" t="s">
        <v>250</v>
      </c>
    </row>
    <row r="6" spans="1:5" x14ac:dyDescent="0.25">
      <c r="A6" t="s">
        <v>250</v>
      </c>
      <c r="B6" s="39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7"/>
      <c r="C8" s="25">
        <v>41186</v>
      </c>
      <c r="D8" s="33" t="s">
        <v>386</v>
      </c>
      <c r="E8" t="s">
        <v>265</v>
      </c>
    </row>
    <row r="9" spans="1:5" s="39" customFormat="1" x14ac:dyDescent="0.25">
      <c r="A9" s="39" t="s">
        <v>250</v>
      </c>
      <c r="B9" s="17"/>
      <c r="C9" s="25">
        <v>41203</v>
      </c>
      <c r="D9" s="33" t="s">
        <v>386</v>
      </c>
      <c r="E9" s="39" t="s">
        <v>363</v>
      </c>
    </row>
    <row r="10" spans="1:5" x14ac:dyDescent="0.25">
      <c r="A10" t="s">
        <v>250</v>
      </c>
      <c r="B10" s="17"/>
      <c r="C10" s="25"/>
    </row>
    <row r="11" spans="1:5" x14ac:dyDescent="0.25">
      <c r="A11" t="s">
        <v>250</v>
      </c>
      <c r="B11" s="39" t="s">
        <v>358</v>
      </c>
    </row>
    <row r="12" spans="1:5" x14ac:dyDescent="0.25">
      <c r="A12" t="s">
        <v>250</v>
      </c>
      <c r="C12" s="39" t="s">
        <v>368</v>
      </c>
    </row>
    <row r="13" spans="1:5" s="39" customFormat="1" x14ac:dyDescent="0.25">
      <c r="A13" s="39" t="s">
        <v>250</v>
      </c>
      <c r="C13" s="39" t="s">
        <v>369</v>
      </c>
    </row>
    <row r="14" spans="1:5" s="39" customFormat="1" x14ac:dyDescent="0.25">
      <c r="A14" s="39" t="s">
        <v>250</v>
      </c>
      <c r="C14" s="39" t="s">
        <v>370</v>
      </c>
    </row>
    <row r="15" spans="1:5" x14ac:dyDescent="0.25">
      <c r="A15" t="s">
        <v>250</v>
      </c>
      <c r="C15" t="s">
        <v>267</v>
      </c>
    </row>
    <row r="16" spans="1:5" x14ac:dyDescent="0.25">
      <c r="A16" t="s">
        <v>250</v>
      </c>
    </row>
    <row r="17" spans="1:21" x14ac:dyDescent="0.25">
      <c r="A17" t="s">
        <v>250</v>
      </c>
      <c r="B17" s="39" t="s">
        <v>355</v>
      </c>
    </row>
    <row r="18" spans="1:21" x14ac:dyDescent="0.25">
      <c r="A18" t="s">
        <v>250</v>
      </c>
      <c r="C18" t="s">
        <v>273</v>
      </c>
    </row>
    <row r="19" spans="1:21" x14ac:dyDescent="0.25">
      <c r="A19" s="39" t="s">
        <v>364</v>
      </c>
      <c r="C19" s="26"/>
    </row>
    <row r="20" spans="1:21" x14ac:dyDescent="0.25">
      <c r="A20" t="s">
        <v>250</v>
      </c>
      <c r="C20" s="39" t="s">
        <v>344</v>
      </c>
      <c r="D20" s="17" t="s">
        <v>243</v>
      </c>
      <c r="E20" s="17" t="s">
        <v>236</v>
      </c>
      <c r="F20" s="17" t="s">
        <v>236</v>
      </c>
      <c r="G20" s="17" t="s">
        <v>236</v>
      </c>
      <c r="H20" s="17" t="s">
        <v>236</v>
      </c>
      <c r="I20" s="17" t="s">
        <v>236</v>
      </c>
      <c r="J20" s="17" t="s">
        <v>236</v>
      </c>
      <c r="K20" s="17" t="s">
        <v>236</v>
      </c>
      <c r="L20" s="17" t="s">
        <v>236</v>
      </c>
      <c r="M20" s="17" t="s">
        <v>236</v>
      </c>
      <c r="N20" s="17" t="s">
        <v>236</v>
      </c>
      <c r="O20" s="17" t="s">
        <v>236</v>
      </c>
      <c r="P20" s="17" t="s">
        <v>236</v>
      </c>
      <c r="Q20" s="17" t="s">
        <v>236</v>
      </c>
      <c r="R20" s="17" t="s">
        <v>236</v>
      </c>
      <c r="S20" s="17" t="s">
        <v>236</v>
      </c>
      <c r="T20" s="17" t="s">
        <v>236</v>
      </c>
    </row>
    <row r="21" spans="1:21" x14ac:dyDescent="0.25">
      <c r="A21" t="s">
        <v>250</v>
      </c>
      <c r="C21" s="17" t="s">
        <v>244</v>
      </c>
      <c r="E21" s="17">
        <v>1</v>
      </c>
      <c r="F21" s="17">
        <v>2</v>
      </c>
      <c r="G21" s="17">
        <v>3</v>
      </c>
      <c r="H21" s="17">
        <v>4</v>
      </c>
      <c r="I21" s="17">
        <v>5</v>
      </c>
      <c r="J21" s="17">
        <v>6</v>
      </c>
      <c r="K21" s="17">
        <v>7</v>
      </c>
      <c r="L21" s="17">
        <v>8</v>
      </c>
      <c r="M21" s="17">
        <v>9</v>
      </c>
      <c r="N21" s="17">
        <v>10</v>
      </c>
      <c r="O21" s="17">
        <v>11</v>
      </c>
      <c r="P21" s="17">
        <v>12</v>
      </c>
      <c r="Q21" s="17">
        <v>13</v>
      </c>
      <c r="R21" s="17">
        <v>14</v>
      </c>
      <c r="S21" s="17">
        <v>15</v>
      </c>
      <c r="T21" s="17">
        <v>16</v>
      </c>
    </row>
    <row r="22" spans="1:21" x14ac:dyDescent="0.25">
      <c r="A22" t="s">
        <v>250</v>
      </c>
      <c r="C22" s="39" t="s">
        <v>345</v>
      </c>
      <c r="D22" s="17" t="s">
        <v>247</v>
      </c>
      <c r="E22" s="17">
        <v>4.9000000000000002E-2</v>
      </c>
      <c r="F22" s="17">
        <v>3.9E-2</v>
      </c>
      <c r="G22" s="17">
        <v>3.9E-2</v>
      </c>
      <c r="H22" s="17">
        <v>3.9E-2</v>
      </c>
      <c r="I22" s="17">
        <v>4.9000000000000002E-2</v>
      </c>
      <c r="J22" s="17">
        <v>7.4999999999999997E-2</v>
      </c>
      <c r="K22" s="17">
        <v>6.7000000000000004E-2</v>
      </c>
      <c r="L22" s="17">
        <v>6.7000000000000004E-2</v>
      </c>
      <c r="M22" s="17">
        <v>3.9E-2</v>
      </c>
      <c r="N22" s="17">
        <v>3.9E-2</v>
      </c>
      <c r="O22" s="17">
        <v>3.9E-2</v>
      </c>
      <c r="P22" s="17">
        <v>3.9E-2</v>
      </c>
      <c r="Q22" s="17">
        <v>3.9E-2</v>
      </c>
      <c r="R22" s="17">
        <v>3.9E-2</v>
      </c>
      <c r="S22" s="17">
        <v>3.9E-2</v>
      </c>
      <c r="T22" s="17">
        <v>3.9E-2</v>
      </c>
    </row>
    <row r="23" spans="1:21" x14ac:dyDescent="0.25">
      <c r="A23" t="s">
        <v>250</v>
      </c>
      <c r="C23" s="39" t="s">
        <v>345</v>
      </c>
      <c r="D23" s="17" t="s">
        <v>248</v>
      </c>
      <c r="E23" s="17">
        <v>9.8000000000000004E-2</v>
      </c>
      <c r="F23" s="17">
        <v>6.2E-2</v>
      </c>
      <c r="G23" s="17">
        <v>8.2000000000000003E-2</v>
      </c>
      <c r="H23" s="17">
        <v>6.2E-2</v>
      </c>
      <c r="I23" s="17">
        <v>6.2E-2</v>
      </c>
      <c r="J23" s="17">
        <v>9.8000000000000004E-2</v>
      </c>
      <c r="K23" s="17">
        <v>9.8000000000000004E-2</v>
      </c>
      <c r="L23" s="17">
        <v>6.2E-2</v>
      </c>
      <c r="M23" s="17">
        <v>6.2E-2</v>
      </c>
      <c r="N23" s="17">
        <v>6.2E-2</v>
      </c>
      <c r="O23" s="17">
        <v>6.2E-2</v>
      </c>
      <c r="P23" s="17">
        <v>6.2E-2</v>
      </c>
      <c r="Q23" s="17">
        <v>6.2E-2</v>
      </c>
      <c r="R23" s="17">
        <v>6.2E-2</v>
      </c>
      <c r="S23" s="17">
        <v>6.2E-2</v>
      </c>
      <c r="T23" s="17">
        <v>6.2E-2</v>
      </c>
    </row>
    <row r="24" spans="1:21" x14ac:dyDescent="0.25">
      <c r="A24" t="s">
        <v>250</v>
      </c>
      <c r="C24" s="39" t="s">
        <v>345</v>
      </c>
      <c r="D24" s="17" t="s">
        <v>249</v>
      </c>
      <c r="E24" s="17">
        <v>4.8000000000000001E-2</v>
      </c>
      <c r="F24" s="17">
        <v>3.9E-2</v>
      </c>
      <c r="G24" s="17">
        <v>7.0999999999999994E-2</v>
      </c>
      <c r="H24" s="17">
        <v>7.0999999999999994E-2</v>
      </c>
      <c r="I24" s="17">
        <v>7.0999999999999994E-2</v>
      </c>
      <c r="J24" s="17">
        <v>7.0999999999999994E-2</v>
      </c>
      <c r="K24" s="17">
        <v>7.0999999999999994E-2</v>
      </c>
      <c r="L24" s="17">
        <v>7.0999999999999994E-2</v>
      </c>
      <c r="M24" s="17">
        <v>7.0999999999999994E-2</v>
      </c>
      <c r="N24" s="17">
        <v>7.0999999999999994E-2</v>
      </c>
      <c r="O24" s="17">
        <v>3.9E-2</v>
      </c>
      <c r="P24" s="17">
        <v>7.0999999999999994E-2</v>
      </c>
      <c r="Q24" s="17">
        <v>7.0999999999999994E-2</v>
      </c>
      <c r="R24" s="17">
        <v>3.9E-2</v>
      </c>
      <c r="S24" s="17">
        <v>3.9E-2</v>
      </c>
      <c r="T24" s="17">
        <v>3.9E-2</v>
      </c>
    </row>
    <row r="25" spans="1:21" s="39" customFormat="1" x14ac:dyDescent="0.25">
      <c r="A25" s="39" t="s">
        <v>250</v>
      </c>
      <c r="C25" s="39" t="s">
        <v>346</v>
      </c>
      <c r="D25" s="17" t="s">
        <v>247</v>
      </c>
      <c r="E25" s="33">
        <v>3.4000000000000002E-2</v>
      </c>
      <c r="F25" s="33">
        <v>2.8000000000000001E-2</v>
      </c>
      <c r="G25" s="33">
        <v>3.9E-2</v>
      </c>
      <c r="H25" s="33">
        <v>2.8000000000000001E-2</v>
      </c>
      <c r="I25" s="33">
        <v>3.9E-2</v>
      </c>
      <c r="J25" s="33">
        <v>3.9E-2</v>
      </c>
      <c r="K25" s="33">
        <v>3.9E-2</v>
      </c>
      <c r="L25" s="33">
        <v>2.8000000000000001E-2</v>
      </c>
      <c r="M25" s="33">
        <v>2.8000000000000001E-2</v>
      </c>
      <c r="N25" s="33">
        <v>2.8000000000000001E-2</v>
      </c>
      <c r="O25" s="33">
        <v>2.8000000000000001E-2</v>
      </c>
      <c r="P25" s="33">
        <v>2.8000000000000001E-2</v>
      </c>
      <c r="Q25" s="33">
        <v>2.8000000000000001E-2</v>
      </c>
      <c r="R25" s="33">
        <v>2.8000000000000001E-2</v>
      </c>
      <c r="S25" s="33">
        <v>2.8000000000000001E-2</v>
      </c>
      <c r="T25" s="33">
        <v>2.8000000000000001E-2</v>
      </c>
    </row>
    <row r="26" spans="1:21" s="39" customFormat="1" x14ac:dyDescent="0.25">
      <c r="A26" s="39" t="s">
        <v>250</v>
      </c>
      <c r="C26" s="39" t="s">
        <v>346</v>
      </c>
      <c r="D26" s="17" t="s">
        <v>248</v>
      </c>
      <c r="E26" s="33">
        <v>0.105</v>
      </c>
      <c r="F26" s="33">
        <v>0.105</v>
      </c>
      <c r="G26" s="33">
        <v>0.105</v>
      </c>
      <c r="H26" s="33">
        <v>0.105</v>
      </c>
      <c r="I26" s="33">
        <v>0.105</v>
      </c>
      <c r="J26" s="33">
        <v>0.105</v>
      </c>
      <c r="K26" s="33">
        <v>0.105</v>
      </c>
      <c r="L26" s="33">
        <v>0.105</v>
      </c>
      <c r="M26" s="33">
        <v>0.105</v>
      </c>
      <c r="N26" s="33">
        <v>0.105</v>
      </c>
      <c r="O26" s="33">
        <v>0.105</v>
      </c>
      <c r="P26" s="33">
        <v>0.105</v>
      </c>
      <c r="Q26" s="33">
        <v>0.105</v>
      </c>
      <c r="R26" s="33">
        <v>0.105</v>
      </c>
      <c r="S26" s="33">
        <v>0.105</v>
      </c>
      <c r="T26" s="33">
        <v>0.105</v>
      </c>
    </row>
    <row r="27" spans="1:21" s="39" customFormat="1" x14ac:dyDescent="0.25">
      <c r="A27" s="39" t="s">
        <v>250</v>
      </c>
      <c r="C27" s="39" t="s">
        <v>346</v>
      </c>
      <c r="D27" s="17" t="s">
        <v>249</v>
      </c>
      <c r="E27" s="33">
        <v>3.4000000000000002E-2</v>
      </c>
      <c r="F27" s="33">
        <v>3.4000000000000002E-2</v>
      </c>
      <c r="G27" s="33">
        <v>3.9E-2</v>
      </c>
      <c r="H27" s="33">
        <v>3.9E-2</v>
      </c>
      <c r="I27" s="33">
        <v>3.9E-2</v>
      </c>
      <c r="J27" s="33">
        <v>3.9E-2</v>
      </c>
      <c r="K27" s="33">
        <v>7.0999999999999994E-2</v>
      </c>
      <c r="L27" s="33">
        <v>3.9E-2</v>
      </c>
      <c r="M27" s="33">
        <v>3.9E-2</v>
      </c>
      <c r="N27" s="33">
        <v>3.9E-2</v>
      </c>
      <c r="O27" s="33">
        <v>3.9E-2</v>
      </c>
      <c r="P27" s="33">
        <v>3.9E-2</v>
      </c>
      <c r="Q27" s="33">
        <v>3.9E-2</v>
      </c>
      <c r="R27" s="33">
        <v>3.4000000000000002E-2</v>
      </c>
      <c r="S27" s="33">
        <v>3.9E-2</v>
      </c>
      <c r="T27" s="33">
        <v>3.4000000000000002E-2</v>
      </c>
    </row>
    <row r="28" spans="1:21" s="39" customFormat="1" x14ac:dyDescent="0.25">
      <c r="A28" s="39" t="s">
        <v>250</v>
      </c>
      <c r="C28" s="39" t="s">
        <v>347</v>
      </c>
      <c r="D28" s="17" t="s">
        <v>247</v>
      </c>
      <c r="E28" s="17">
        <v>3.9E-2</v>
      </c>
      <c r="F28" s="18">
        <f>$E28</f>
        <v>3.9E-2</v>
      </c>
      <c r="G28" s="18">
        <f t="shared" ref="G28:T28" si="0">$E28</f>
        <v>3.9E-2</v>
      </c>
      <c r="H28" s="18">
        <f t="shared" si="0"/>
        <v>3.9E-2</v>
      </c>
      <c r="I28" s="18">
        <f t="shared" si="0"/>
        <v>3.9E-2</v>
      </c>
      <c r="J28" s="18">
        <f t="shared" si="0"/>
        <v>3.9E-2</v>
      </c>
      <c r="K28" s="18">
        <f t="shared" si="0"/>
        <v>3.9E-2</v>
      </c>
      <c r="L28" s="18">
        <f t="shared" si="0"/>
        <v>3.9E-2</v>
      </c>
      <c r="M28" s="18">
        <f t="shared" si="0"/>
        <v>3.9E-2</v>
      </c>
      <c r="N28" s="18">
        <f t="shared" si="0"/>
        <v>3.9E-2</v>
      </c>
      <c r="O28" s="18">
        <f t="shared" si="0"/>
        <v>3.9E-2</v>
      </c>
      <c r="P28" s="18">
        <f t="shared" si="0"/>
        <v>3.9E-2</v>
      </c>
      <c r="Q28" s="18">
        <f t="shared" si="0"/>
        <v>3.9E-2</v>
      </c>
      <c r="R28" s="18">
        <f t="shared" si="0"/>
        <v>3.9E-2</v>
      </c>
      <c r="S28" s="18">
        <f t="shared" si="0"/>
        <v>3.9E-2</v>
      </c>
      <c r="T28" s="18">
        <f t="shared" si="0"/>
        <v>3.9E-2</v>
      </c>
      <c r="U28" s="39" t="s">
        <v>362</v>
      </c>
    </row>
    <row r="29" spans="1:21" s="39" customFormat="1" x14ac:dyDescent="0.25">
      <c r="A29" s="39" t="s">
        <v>250</v>
      </c>
      <c r="C29" s="39" t="s">
        <v>347</v>
      </c>
      <c r="D29" s="17" t="s">
        <v>248</v>
      </c>
      <c r="E29" s="17">
        <v>6.2E-2</v>
      </c>
      <c r="F29" s="18">
        <f t="shared" ref="F29:T30" si="1">$E29</f>
        <v>6.2E-2</v>
      </c>
      <c r="G29" s="18">
        <f t="shared" si="1"/>
        <v>6.2E-2</v>
      </c>
      <c r="H29" s="18">
        <f t="shared" si="1"/>
        <v>6.2E-2</v>
      </c>
      <c r="I29" s="18">
        <f t="shared" si="1"/>
        <v>6.2E-2</v>
      </c>
      <c r="J29" s="18">
        <f t="shared" si="1"/>
        <v>6.2E-2</v>
      </c>
      <c r="K29" s="18">
        <f t="shared" si="1"/>
        <v>6.2E-2</v>
      </c>
      <c r="L29" s="18">
        <f t="shared" si="1"/>
        <v>6.2E-2</v>
      </c>
      <c r="M29" s="18">
        <f t="shared" si="1"/>
        <v>6.2E-2</v>
      </c>
      <c r="N29" s="18">
        <f t="shared" si="1"/>
        <v>6.2E-2</v>
      </c>
      <c r="O29" s="18">
        <f t="shared" si="1"/>
        <v>6.2E-2</v>
      </c>
      <c r="P29" s="18">
        <f t="shared" si="1"/>
        <v>6.2E-2</v>
      </c>
      <c r="Q29" s="18">
        <f t="shared" si="1"/>
        <v>6.2E-2</v>
      </c>
      <c r="R29" s="18">
        <f t="shared" si="1"/>
        <v>6.2E-2</v>
      </c>
      <c r="S29" s="18">
        <f t="shared" si="1"/>
        <v>6.2E-2</v>
      </c>
      <c r="T29" s="18">
        <f t="shared" si="1"/>
        <v>6.2E-2</v>
      </c>
      <c r="U29" s="39" t="s">
        <v>362</v>
      </c>
    </row>
    <row r="30" spans="1:21" s="39" customFormat="1" x14ac:dyDescent="0.25">
      <c r="A30" s="39" t="s">
        <v>250</v>
      </c>
      <c r="C30" s="39" t="s">
        <v>347</v>
      </c>
      <c r="D30" s="17" t="s">
        <v>249</v>
      </c>
      <c r="E30" s="17">
        <v>4.8000000000000001E-2</v>
      </c>
      <c r="F30" s="18">
        <f t="shared" si="1"/>
        <v>4.8000000000000001E-2</v>
      </c>
      <c r="G30" s="18">
        <f t="shared" si="1"/>
        <v>4.8000000000000001E-2</v>
      </c>
      <c r="H30" s="18">
        <f t="shared" si="1"/>
        <v>4.8000000000000001E-2</v>
      </c>
      <c r="I30" s="18">
        <f t="shared" si="1"/>
        <v>4.8000000000000001E-2</v>
      </c>
      <c r="J30" s="18">
        <f t="shared" si="1"/>
        <v>4.8000000000000001E-2</v>
      </c>
      <c r="K30" s="18">
        <f t="shared" si="1"/>
        <v>4.8000000000000001E-2</v>
      </c>
      <c r="L30" s="18">
        <f t="shared" si="1"/>
        <v>4.8000000000000001E-2</v>
      </c>
      <c r="M30" s="18">
        <f t="shared" si="1"/>
        <v>4.8000000000000001E-2</v>
      </c>
      <c r="N30" s="18">
        <f t="shared" si="1"/>
        <v>4.8000000000000001E-2</v>
      </c>
      <c r="O30" s="18">
        <f t="shared" si="1"/>
        <v>4.8000000000000001E-2</v>
      </c>
      <c r="P30" s="18">
        <f t="shared" si="1"/>
        <v>4.8000000000000001E-2</v>
      </c>
      <c r="Q30" s="18">
        <f t="shared" si="1"/>
        <v>4.8000000000000001E-2</v>
      </c>
      <c r="R30" s="18">
        <f t="shared" si="1"/>
        <v>4.8000000000000001E-2</v>
      </c>
      <c r="S30" s="18">
        <f t="shared" si="1"/>
        <v>4.8000000000000001E-2</v>
      </c>
      <c r="T30" s="18">
        <f t="shared" si="1"/>
        <v>4.8000000000000001E-2</v>
      </c>
      <c r="U30" s="39" t="s">
        <v>362</v>
      </c>
    </row>
    <row r="31" spans="1:21" s="39" customFormat="1" x14ac:dyDescent="0.25">
      <c r="A31" s="39" t="s">
        <v>364</v>
      </c>
      <c r="C31" s="26"/>
    </row>
    <row r="32" spans="1:21" x14ac:dyDescent="0.25">
      <c r="A32" t="s">
        <v>250</v>
      </c>
      <c r="C32" s="39" t="s">
        <v>349</v>
      </c>
    </row>
    <row r="33" spans="1:16" s="39" customFormat="1" x14ac:dyDescent="0.25">
      <c r="A33" s="39" t="s">
        <v>250</v>
      </c>
    </row>
    <row r="34" spans="1:16" s="39" customFormat="1" x14ac:dyDescent="0.25">
      <c r="A34" s="39" t="s">
        <v>250</v>
      </c>
      <c r="C34" s="51" t="s">
        <v>290</v>
      </c>
      <c r="H34" s="52" t="s">
        <v>302</v>
      </c>
      <c r="M34" s="52" t="s">
        <v>303</v>
      </c>
    </row>
    <row r="35" spans="1:16" s="39" customFormat="1" x14ac:dyDescent="0.25">
      <c r="A35" s="39" t="s">
        <v>250</v>
      </c>
      <c r="C35" s="55" t="s">
        <v>353</v>
      </c>
      <c r="D35" s="51"/>
      <c r="E35" s="51"/>
      <c r="F35" s="52" t="s">
        <v>352</v>
      </c>
      <c r="G35" s="52"/>
      <c r="H35" s="55" t="s">
        <v>353</v>
      </c>
      <c r="I35" s="52"/>
      <c r="J35" s="52"/>
      <c r="K35" s="52" t="s">
        <v>352</v>
      </c>
      <c r="L35" s="52"/>
      <c r="M35" s="55" t="s">
        <v>353</v>
      </c>
      <c r="N35" s="52"/>
      <c r="O35" s="52"/>
      <c r="P35" s="52" t="s">
        <v>352</v>
      </c>
    </row>
    <row r="36" spans="1:16" s="39" customFormat="1" x14ac:dyDescent="0.25">
      <c r="A36" s="39" t="s">
        <v>364</v>
      </c>
      <c r="C36" s="26"/>
    </row>
    <row r="37" spans="1:16" s="39" customFormat="1" x14ac:dyDescent="0.25">
      <c r="A37" s="39" t="s">
        <v>250</v>
      </c>
      <c r="C37" s="39" t="s">
        <v>289</v>
      </c>
      <c r="F37" s="39">
        <v>0.17</v>
      </c>
      <c r="H37" s="39" t="s">
        <v>289</v>
      </c>
      <c r="K37" s="39">
        <v>0.17</v>
      </c>
      <c r="M37" s="39" t="s">
        <v>289</v>
      </c>
      <c r="P37" s="39">
        <v>0.17</v>
      </c>
    </row>
    <row r="38" spans="1:16" s="39" customFormat="1" x14ac:dyDescent="0.25">
      <c r="A38" s="39" t="s">
        <v>250</v>
      </c>
      <c r="C38" s="39" t="s">
        <v>292</v>
      </c>
      <c r="F38" s="42">
        <v>0.1</v>
      </c>
      <c r="H38" s="39" t="s">
        <v>298</v>
      </c>
      <c r="K38" s="39">
        <v>0.18</v>
      </c>
      <c r="M38" s="39" t="s">
        <v>304</v>
      </c>
      <c r="P38" s="42">
        <v>0</v>
      </c>
    </row>
    <row r="39" spans="1:16" s="39" customFormat="1" ht="18" x14ac:dyDescent="0.35">
      <c r="A39" s="39" t="s">
        <v>250</v>
      </c>
      <c r="C39" s="50" t="s">
        <v>339</v>
      </c>
      <c r="D39" s="50"/>
      <c r="E39" s="50"/>
      <c r="F39" s="50" t="s">
        <v>340</v>
      </c>
      <c r="H39" s="39" t="s">
        <v>299</v>
      </c>
      <c r="K39" s="39">
        <v>0.06</v>
      </c>
      <c r="M39" s="50" t="s">
        <v>339</v>
      </c>
      <c r="N39" s="50"/>
      <c r="O39" s="50"/>
      <c r="P39" s="50" t="s">
        <v>340</v>
      </c>
    </row>
    <row r="40" spans="1:16" s="39" customFormat="1" ht="18" x14ac:dyDescent="0.35">
      <c r="A40" s="39" t="s">
        <v>250</v>
      </c>
      <c r="C40" s="39" t="s">
        <v>293</v>
      </c>
      <c r="F40" s="39">
        <v>0.63</v>
      </c>
      <c r="H40" s="50" t="s">
        <v>339</v>
      </c>
      <c r="I40" s="50"/>
      <c r="J40" s="50"/>
      <c r="K40" s="50" t="s">
        <v>340</v>
      </c>
      <c r="M40" s="39" t="s">
        <v>305</v>
      </c>
      <c r="P40" s="42">
        <v>0</v>
      </c>
    </row>
    <row r="41" spans="1:16" s="39" customFormat="1" x14ac:dyDescent="0.25">
      <c r="A41" s="39" t="s">
        <v>250</v>
      </c>
      <c r="C41" s="39" t="s">
        <v>294</v>
      </c>
      <c r="F41" s="42">
        <v>0</v>
      </c>
      <c r="H41" s="39" t="s">
        <v>300</v>
      </c>
      <c r="K41" s="42">
        <v>0</v>
      </c>
      <c r="M41" s="39" t="s">
        <v>296</v>
      </c>
      <c r="P41" s="39">
        <v>0.92</v>
      </c>
    </row>
    <row r="42" spans="1:16" s="39" customFormat="1" x14ac:dyDescent="0.25">
      <c r="A42" s="39" t="s">
        <v>250</v>
      </c>
      <c r="C42" s="39" t="s">
        <v>295</v>
      </c>
      <c r="F42" s="42">
        <v>0</v>
      </c>
      <c r="H42" s="39" t="s">
        <v>296</v>
      </c>
      <c r="K42" s="39">
        <v>0.92</v>
      </c>
      <c r="M42" s="39" t="s">
        <v>306</v>
      </c>
      <c r="P42" s="42">
        <v>0.78</v>
      </c>
    </row>
    <row r="43" spans="1:16" s="39" customFormat="1" x14ac:dyDescent="0.25">
      <c r="A43" s="39" t="s">
        <v>250</v>
      </c>
      <c r="C43" s="39" t="s">
        <v>296</v>
      </c>
      <c r="F43" s="42">
        <v>0.92</v>
      </c>
      <c r="H43" s="39" t="s">
        <v>301</v>
      </c>
      <c r="K43" s="39">
        <v>0.62</v>
      </c>
      <c r="M43" s="39" t="s">
        <v>307</v>
      </c>
      <c r="P43" s="39">
        <v>2.08</v>
      </c>
    </row>
    <row r="44" spans="1:16" s="39" customFormat="1" x14ac:dyDescent="0.25">
      <c r="A44" s="39" t="s">
        <v>250</v>
      </c>
      <c r="C44" s="39" t="s">
        <v>297</v>
      </c>
      <c r="F44" s="42">
        <v>1.89</v>
      </c>
      <c r="H44" s="39" t="s">
        <v>291</v>
      </c>
      <c r="K44" s="52">
        <v>0.68</v>
      </c>
      <c r="M44" s="39" t="s">
        <v>308</v>
      </c>
      <c r="P44" s="52">
        <v>0.92</v>
      </c>
    </row>
    <row r="45" spans="1:16" s="52" customFormat="1" x14ac:dyDescent="0.25">
      <c r="A45" s="52" t="s">
        <v>250</v>
      </c>
      <c r="C45" s="52" t="s">
        <v>291</v>
      </c>
      <c r="F45" s="52">
        <v>0.62</v>
      </c>
      <c r="K45" s="54"/>
    </row>
    <row r="46" spans="1:16" s="39" customFormat="1" x14ac:dyDescent="0.25">
      <c r="A46" s="39" t="s">
        <v>351</v>
      </c>
    </row>
    <row r="47" spans="1:16" s="39" customFormat="1" x14ac:dyDescent="0.25">
      <c r="A47" s="39" t="s">
        <v>250</v>
      </c>
      <c r="C47" s="39" t="s">
        <v>350</v>
      </c>
      <c r="F47" s="42">
        <f>SUM(F37:F38,F40:F45)</f>
        <v>4.33</v>
      </c>
      <c r="K47" s="53">
        <f>SUM(K37:K39,K41:K44)</f>
        <v>2.6300000000000003</v>
      </c>
      <c r="P47" s="53">
        <f>SUM(P37:P38,P40:P44)</f>
        <v>4.87</v>
      </c>
    </row>
    <row r="48" spans="1:16" x14ac:dyDescent="0.25">
      <c r="A48" t="s">
        <v>250</v>
      </c>
    </row>
    <row r="49" spans="1:20" x14ac:dyDescent="0.25">
      <c r="A49" t="s">
        <v>250</v>
      </c>
      <c r="B49" s="39" t="s">
        <v>354</v>
      </c>
    </row>
    <row r="50" spans="1:20" s="39" customFormat="1" x14ac:dyDescent="0.25">
      <c r="A50" s="39" t="s">
        <v>250</v>
      </c>
      <c r="C50" s="49" t="s">
        <v>376</v>
      </c>
    </row>
    <row r="51" spans="1:20" x14ac:dyDescent="0.25">
      <c r="A51" t="s">
        <v>250</v>
      </c>
      <c r="C51" t="s">
        <v>268</v>
      </c>
      <c r="D51" s="19"/>
      <c r="E51" s="19"/>
      <c r="F51" s="19"/>
      <c r="G51" s="19"/>
      <c r="H51" s="19"/>
    </row>
    <row r="52" spans="1:20" x14ac:dyDescent="0.25">
      <c r="A52" t="s">
        <v>250</v>
      </c>
      <c r="C52" t="s">
        <v>269</v>
      </c>
    </row>
    <row r="53" spans="1:20" x14ac:dyDescent="0.25">
      <c r="A53" t="s">
        <v>250</v>
      </c>
      <c r="C53" t="s">
        <v>270</v>
      </c>
    </row>
    <row r="54" spans="1:20" x14ac:dyDescent="0.25">
      <c r="A54" t="s">
        <v>250</v>
      </c>
    </row>
    <row r="55" spans="1:20" s="39" customFormat="1" x14ac:dyDescent="0.25">
      <c r="A55" s="39" t="s">
        <v>250</v>
      </c>
    </row>
    <row r="56" spans="1:20" x14ac:dyDescent="0.25">
      <c r="A56" s="39" t="s">
        <v>365</v>
      </c>
    </row>
    <row r="57" spans="1:20" s="17" customFormat="1" x14ac:dyDescent="0.25">
      <c r="B57" s="2" t="str">
        <f>"TABLE "&amp;$C$4</f>
        <v>TABLE BaseEnvelopeEffRValue</v>
      </c>
    </row>
    <row r="58" spans="1:20" s="17" customFormat="1" x14ac:dyDescent="0.25">
      <c r="C58" s="17" t="s">
        <v>344</v>
      </c>
      <c r="D58" s="17" t="s">
        <v>243</v>
      </c>
      <c r="E58" s="17" t="s">
        <v>254</v>
      </c>
      <c r="F58" s="17" t="s">
        <v>254</v>
      </c>
      <c r="G58" s="17" t="s">
        <v>254</v>
      </c>
      <c r="H58" s="17" t="s">
        <v>254</v>
      </c>
      <c r="I58" s="17" t="s">
        <v>254</v>
      </c>
      <c r="J58" s="17" t="s">
        <v>254</v>
      </c>
      <c r="K58" s="17" t="s">
        <v>254</v>
      </c>
      <c r="L58" s="17" t="s">
        <v>254</v>
      </c>
      <c r="M58" s="17" t="s">
        <v>254</v>
      </c>
      <c r="N58" s="17" t="s">
        <v>254</v>
      </c>
      <c r="O58" s="17" t="s">
        <v>254</v>
      </c>
      <c r="P58" s="17" t="s">
        <v>254</v>
      </c>
      <c r="Q58" s="17" t="s">
        <v>254</v>
      </c>
      <c r="R58" s="17" t="s">
        <v>254</v>
      </c>
      <c r="S58" s="17" t="s">
        <v>254</v>
      </c>
      <c r="T58" s="17" t="s">
        <v>254</v>
      </c>
    </row>
    <row r="59" spans="1:20" s="17" customFormat="1" x14ac:dyDescent="0.25">
      <c r="C59" s="17" t="s">
        <v>244</v>
      </c>
      <c r="E59" s="17">
        <v>1</v>
      </c>
      <c r="F59" s="17">
        <v>2</v>
      </c>
      <c r="G59" s="17">
        <v>3</v>
      </c>
      <c r="H59" s="17">
        <v>4</v>
      </c>
      <c r="I59" s="17">
        <v>5</v>
      </c>
      <c r="J59" s="17">
        <v>6</v>
      </c>
      <c r="K59" s="17">
        <v>7</v>
      </c>
      <c r="L59" s="17">
        <v>8</v>
      </c>
      <c r="M59" s="17">
        <v>9</v>
      </c>
      <c r="N59" s="17">
        <v>10</v>
      </c>
      <c r="O59" s="17">
        <v>11</v>
      </c>
      <c r="P59" s="17">
        <v>12</v>
      </c>
      <c r="Q59" s="17">
        <v>13</v>
      </c>
      <c r="R59" s="17">
        <v>14</v>
      </c>
      <c r="S59" s="17">
        <v>15</v>
      </c>
      <c r="T59" s="17">
        <v>16</v>
      </c>
    </row>
    <row r="60" spans="1:20" s="17" customFormat="1" x14ac:dyDescent="0.25">
      <c r="C60" s="17" t="str">
        <f t="shared" ref="C60:D68" si="2">C22</f>
        <v>NonResidential</v>
      </c>
      <c r="D60" s="17" t="str">
        <f t="shared" si="2"/>
        <v>Roof</v>
      </c>
      <c r="E60" s="17">
        <f>ROUND((1/E22)-($F$47),3)</f>
        <v>16.077999999999999</v>
      </c>
      <c r="F60" s="17">
        <f t="shared" ref="F60:T60" si="3">ROUND((1/F22)-($F$47),3)</f>
        <v>21.311</v>
      </c>
      <c r="G60" s="17">
        <f t="shared" si="3"/>
        <v>21.311</v>
      </c>
      <c r="H60" s="17">
        <f t="shared" si="3"/>
        <v>21.311</v>
      </c>
      <c r="I60" s="17">
        <f t="shared" si="3"/>
        <v>16.077999999999999</v>
      </c>
      <c r="J60" s="17">
        <f t="shared" si="3"/>
        <v>9.0030000000000001</v>
      </c>
      <c r="K60" s="17">
        <f t="shared" si="3"/>
        <v>10.595000000000001</v>
      </c>
      <c r="L60" s="17">
        <f t="shared" si="3"/>
        <v>10.595000000000001</v>
      </c>
      <c r="M60" s="17">
        <f t="shared" si="3"/>
        <v>21.311</v>
      </c>
      <c r="N60" s="17">
        <f t="shared" si="3"/>
        <v>21.311</v>
      </c>
      <c r="O60" s="17">
        <f t="shared" si="3"/>
        <v>21.311</v>
      </c>
      <c r="P60" s="17">
        <f t="shared" si="3"/>
        <v>21.311</v>
      </c>
      <c r="Q60" s="17">
        <f t="shared" si="3"/>
        <v>21.311</v>
      </c>
      <c r="R60" s="17">
        <f t="shared" si="3"/>
        <v>21.311</v>
      </c>
      <c r="S60" s="17">
        <f t="shared" si="3"/>
        <v>21.311</v>
      </c>
      <c r="T60" s="17">
        <f t="shared" si="3"/>
        <v>21.311</v>
      </c>
    </row>
    <row r="61" spans="1:20" s="17" customFormat="1" x14ac:dyDescent="0.25">
      <c r="C61" s="17" t="str">
        <f t="shared" si="2"/>
        <v>NonResidential</v>
      </c>
      <c r="D61" s="17" t="str">
        <f t="shared" si="2"/>
        <v>Wall</v>
      </c>
      <c r="E61" s="17">
        <f>ROUND((1/E23)-$K$47,3)</f>
        <v>7.5739999999999998</v>
      </c>
      <c r="F61" s="17">
        <f t="shared" ref="F61:T61" si="4">ROUND((1/F23)-$K$47,3)</f>
        <v>13.499000000000001</v>
      </c>
      <c r="G61" s="17">
        <f t="shared" si="4"/>
        <v>9.5649999999999995</v>
      </c>
      <c r="H61" s="17">
        <f t="shared" si="4"/>
        <v>13.499000000000001</v>
      </c>
      <c r="I61" s="17">
        <f t="shared" si="4"/>
        <v>13.499000000000001</v>
      </c>
      <c r="J61" s="17">
        <f t="shared" si="4"/>
        <v>7.5739999999999998</v>
      </c>
      <c r="K61" s="17">
        <f t="shared" si="4"/>
        <v>7.5739999999999998</v>
      </c>
      <c r="L61" s="17">
        <f t="shared" si="4"/>
        <v>13.499000000000001</v>
      </c>
      <c r="M61" s="17">
        <f t="shared" si="4"/>
        <v>13.499000000000001</v>
      </c>
      <c r="N61" s="17">
        <f t="shared" si="4"/>
        <v>13.499000000000001</v>
      </c>
      <c r="O61" s="17">
        <f t="shared" si="4"/>
        <v>13.499000000000001</v>
      </c>
      <c r="P61" s="17">
        <f t="shared" si="4"/>
        <v>13.499000000000001</v>
      </c>
      <c r="Q61" s="17">
        <f t="shared" si="4"/>
        <v>13.499000000000001</v>
      </c>
      <c r="R61" s="17">
        <f t="shared" si="4"/>
        <v>13.499000000000001</v>
      </c>
      <c r="S61" s="17">
        <f t="shared" si="4"/>
        <v>13.499000000000001</v>
      </c>
      <c r="T61" s="17">
        <f t="shared" si="4"/>
        <v>13.499000000000001</v>
      </c>
    </row>
    <row r="62" spans="1:20" s="17" customFormat="1" x14ac:dyDescent="0.25">
      <c r="C62" s="17" t="str">
        <f t="shared" si="2"/>
        <v>NonResidential</v>
      </c>
      <c r="D62" s="17" t="str">
        <f t="shared" si="2"/>
        <v>Floor</v>
      </c>
      <c r="E62" s="17">
        <f>ROUND((1/E24)-($P$47),3)</f>
        <v>15.962999999999999</v>
      </c>
      <c r="F62" s="17">
        <f t="shared" ref="F62:T62" si="5">ROUND((1/F24)-($P$47),3)</f>
        <v>20.771000000000001</v>
      </c>
      <c r="G62" s="17">
        <f t="shared" si="5"/>
        <v>9.2149999999999999</v>
      </c>
      <c r="H62" s="17">
        <f t="shared" si="5"/>
        <v>9.2149999999999999</v>
      </c>
      <c r="I62" s="17">
        <f t="shared" si="5"/>
        <v>9.2149999999999999</v>
      </c>
      <c r="J62" s="17">
        <f t="shared" si="5"/>
        <v>9.2149999999999999</v>
      </c>
      <c r="K62" s="17">
        <f t="shared" si="5"/>
        <v>9.2149999999999999</v>
      </c>
      <c r="L62" s="17">
        <f t="shared" si="5"/>
        <v>9.2149999999999999</v>
      </c>
      <c r="M62" s="17">
        <f t="shared" si="5"/>
        <v>9.2149999999999999</v>
      </c>
      <c r="N62" s="17">
        <f t="shared" si="5"/>
        <v>9.2149999999999999</v>
      </c>
      <c r="O62" s="17">
        <f t="shared" si="5"/>
        <v>20.771000000000001</v>
      </c>
      <c r="P62" s="17">
        <f t="shared" si="5"/>
        <v>9.2149999999999999</v>
      </c>
      <c r="Q62" s="17">
        <f t="shared" si="5"/>
        <v>9.2149999999999999</v>
      </c>
      <c r="R62" s="17">
        <f t="shared" si="5"/>
        <v>20.771000000000001</v>
      </c>
      <c r="S62" s="17">
        <f t="shared" si="5"/>
        <v>20.771000000000001</v>
      </c>
      <c r="T62" s="17">
        <f t="shared" si="5"/>
        <v>20.771000000000001</v>
      </c>
    </row>
    <row r="63" spans="1:20" s="17" customFormat="1" x14ac:dyDescent="0.25">
      <c r="C63" s="17" t="str">
        <f t="shared" si="2"/>
        <v>Residential</v>
      </c>
      <c r="D63" s="17" t="str">
        <f t="shared" si="2"/>
        <v>Roof</v>
      </c>
      <c r="E63" s="17">
        <f>ROUND((1/E25)-($F$47),3)</f>
        <v>25.082000000000001</v>
      </c>
      <c r="F63" s="17">
        <f t="shared" ref="F63:T63" si="6">ROUND((1/F25)-($F$47),3)</f>
        <v>31.384</v>
      </c>
      <c r="G63" s="17">
        <f t="shared" si="6"/>
        <v>21.311</v>
      </c>
      <c r="H63" s="17">
        <f t="shared" si="6"/>
        <v>31.384</v>
      </c>
      <c r="I63" s="17">
        <f t="shared" si="6"/>
        <v>21.311</v>
      </c>
      <c r="J63" s="17">
        <f t="shared" si="6"/>
        <v>21.311</v>
      </c>
      <c r="K63" s="17">
        <f t="shared" si="6"/>
        <v>21.311</v>
      </c>
      <c r="L63" s="17">
        <f t="shared" si="6"/>
        <v>31.384</v>
      </c>
      <c r="M63" s="17">
        <f t="shared" si="6"/>
        <v>31.384</v>
      </c>
      <c r="N63" s="17">
        <f t="shared" si="6"/>
        <v>31.384</v>
      </c>
      <c r="O63" s="17">
        <f t="shared" si="6"/>
        <v>31.384</v>
      </c>
      <c r="P63" s="17">
        <f t="shared" si="6"/>
        <v>31.384</v>
      </c>
      <c r="Q63" s="17">
        <f t="shared" si="6"/>
        <v>31.384</v>
      </c>
      <c r="R63" s="17">
        <f t="shared" si="6"/>
        <v>31.384</v>
      </c>
      <c r="S63" s="17">
        <f t="shared" si="6"/>
        <v>31.384</v>
      </c>
      <c r="T63" s="17">
        <f t="shared" si="6"/>
        <v>31.384</v>
      </c>
    </row>
    <row r="64" spans="1:20" x14ac:dyDescent="0.25">
      <c r="C64" s="17" t="str">
        <f t="shared" si="2"/>
        <v>Residential</v>
      </c>
      <c r="D64" s="17" t="str">
        <f t="shared" si="2"/>
        <v>Wall</v>
      </c>
      <c r="E64" s="17">
        <f>ROUND((1/E26)-$K$47,3)</f>
        <v>6.8940000000000001</v>
      </c>
      <c r="F64" s="17">
        <f t="shared" ref="F64:T64" si="7">ROUND((1/F26)-$K$47,3)</f>
        <v>6.8940000000000001</v>
      </c>
      <c r="G64" s="17">
        <f t="shared" si="7"/>
        <v>6.8940000000000001</v>
      </c>
      <c r="H64" s="17">
        <f t="shared" si="7"/>
        <v>6.8940000000000001</v>
      </c>
      <c r="I64" s="17">
        <f t="shared" si="7"/>
        <v>6.8940000000000001</v>
      </c>
      <c r="J64" s="17">
        <f t="shared" si="7"/>
        <v>6.8940000000000001</v>
      </c>
      <c r="K64" s="17">
        <f t="shared" si="7"/>
        <v>6.8940000000000001</v>
      </c>
      <c r="L64" s="17">
        <f t="shared" si="7"/>
        <v>6.8940000000000001</v>
      </c>
      <c r="M64" s="17">
        <f t="shared" si="7"/>
        <v>6.8940000000000001</v>
      </c>
      <c r="N64" s="17">
        <f t="shared" si="7"/>
        <v>6.8940000000000001</v>
      </c>
      <c r="O64" s="17">
        <f t="shared" si="7"/>
        <v>6.8940000000000001</v>
      </c>
      <c r="P64" s="17">
        <f t="shared" si="7"/>
        <v>6.8940000000000001</v>
      </c>
      <c r="Q64" s="17">
        <f t="shared" si="7"/>
        <v>6.8940000000000001</v>
      </c>
      <c r="R64" s="17">
        <f t="shared" si="7"/>
        <v>6.8940000000000001</v>
      </c>
      <c r="S64" s="17">
        <f t="shared" si="7"/>
        <v>6.8940000000000001</v>
      </c>
      <c r="T64" s="17">
        <f t="shared" si="7"/>
        <v>6.8940000000000001</v>
      </c>
    </row>
    <row r="65" spans="2:20" x14ac:dyDescent="0.25">
      <c r="C65" s="17" t="str">
        <f t="shared" si="2"/>
        <v>Residential</v>
      </c>
      <c r="D65" s="17" t="str">
        <f t="shared" si="2"/>
        <v>Floor</v>
      </c>
      <c r="E65" s="17">
        <f>ROUND((1/E27)-($P$47),3)</f>
        <v>24.542000000000002</v>
      </c>
      <c r="F65" s="17">
        <f t="shared" ref="F65:T65" si="8">ROUND((1/F27)-($P$47),3)</f>
        <v>24.542000000000002</v>
      </c>
      <c r="G65" s="17">
        <f t="shared" si="8"/>
        <v>20.771000000000001</v>
      </c>
      <c r="H65" s="17">
        <f t="shared" si="8"/>
        <v>20.771000000000001</v>
      </c>
      <c r="I65" s="17">
        <f t="shared" si="8"/>
        <v>20.771000000000001</v>
      </c>
      <c r="J65" s="17">
        <f t="shared" si="8"/>
        <v>20.771000000000001</v>
      </c>
      <c r="K65" s="17">
        <f t="shared" si="8"/>
        <v>9.2149999999999999</v>
      </c>
      <c r="L65" s="17">
        <f t="shared" si="8"/>
        <v>20.771000000000001</v>
      </c>
      <c r="M65" s="17">
        <f t="shared" si="8"/>
        <v>20.771000000000001</v>
      </c>
      <c r="N65" s="17">
        <f t="shared" si="8"/>
        <v>20.771000000000001</v>
      </c>
      <c r="O65" s="17">
        <f t="shared" si="8"/>
        <v>20.771000000000001</v>
      </c>
      <c r="P65" s="17">
        <f t="shared" si="8"/>
        <v>20.771000000000001</v>
      </c>
      <c r="Q65" s="17">
        <f t="shared" si="8"/>
        <v>20.771000000000001</v>
      </c>
      <c r="R65" s="17">
        <f t="shared" si="8"/>
        <v>24.542000000000002</v>
      </c>
      <c r="S65" s="17">
        <f t="shared" si="8"/>
        <v>20.771000000000001</v>
      </c>
      <c r="T65" s="17">
        <f t="shared" si="8"/>
        <v>24.542000000000002</v>
      </c>
    </row>
    <row r="66" spans="2:20" x14ac:dyDescent="0.25">
      <c r="C66" s="17" t="str">
        <f t="shared" si="2"/>
        <v>RelocClass</v>
      </c>
      <c r="D66" s="17" t="str">
        <f t="shared" si="2"/>
        <v>Roof</v>
      </c>
      <c r="E66" s="17">
        <f>ROUND((1/E28)-($F$47),3)</f>
        <v>21.311</v>
      </c>
      <c r="F66" s="17">
        <f t="shared" ref="F66:T66" si="9">ROUND((1/F28)-($F$47),3)</f>
        <v>21.311</v>
      </c>
      <c r="G66" s="17">
        <f t="shared" si="9"/>
        <v>21.311</v>
      </c>
      <c r="H66" s="17">
        <f t="shared" si="9"/>
        <v>21.311</v>
      </c>
      <c r="I66" s="17">
        <f t="shared" si="9"/>
        <v>21.311</v>
      </c>
      <c r="J66" s="17">
        <f t="shared" si="9"/>
        <v>21.311</v>
      </c>
      <c r="K66" s="17">
        <f t="shared" si="9"/>
        <v>21.311</v>
      </c>
      <c r="L66" s="17">
        <f t="shared" si="9"/>
        <v>21.311</v>
      </c>
      <c r="M66" s="17">
        <f t="shared" si="9"/>
        <v>21.311</v>
      </c>
      <c r="N66" s="17">
        <f t="shared" si="9"/>
        <v>21.311</v>
      </c>
      <c r="O66" s="17">
        <f t="shared" si="9"/>
        <v>21.311</v>
      </c>
      <c r="P66" s="17">
        <f t="shared" si="9"/>
        <v>21.311</v>
      </c>
      <c r="Q66" s="17">
        <f t="shared" si="9"/>
        <v>21.311</v>
      </c>
      <c r="R66" s="17">
        <f t="shared" si="9"/>
        <v>21.311</v>
      </c>
      <c r="S66" s="17">
        <f t="shared" si="9"/>
        <v>21.311</v>
      </c>
      <c r="T66" s="17">
        <f t="shared" si="9"/>
        <v>21.311</v>
      </c>
    </row>
    <row r="67" spans="2:20" x14ac:dyDescent="0.25">
      <c r="C67" s="17" t="str">
        <f t="shared" si="2"/>
        <v>RelocClass</v>
      </c>
      <c r="D67" s="17" t="str">
        <f t="shared" si="2"/>
        <v>Wall</v>
      </c>
      <c r="E67" s="17">
        <f>ROUND((1/E29)-$K$47,3)</f>
        <v>13.499000000000001</v>
      </c>
      <c r="F67" s="17">
        <f t="shared" ref="F67:T67" si="10">ROUND((1/F29)-$K$47,3)</f>
        <v>13.499000000000001</v>
      </c>
      <c r="G67" s="17">
        <f t="shared" si="10"/>
        <v>13.499000000000001</v>
      </c>
      <c r="H67" s="17">
        <f t="shared" si="10"/>
        <v>13.499000000000001</v>
      </c>
      <c r="I67" s="17">
        <f t="shared" si="10"/>
        <v>13.499000000000001</v>
      </c>
      <c r="J67" s="17">
        <f t="shared" si="10"/>
        <v>13.499000000000001</v>
      </c>
      <c r="K67" s="17">
        <f t="shared" si="10"/>
        <v>13.499000000000001</v>
      </c>
      <c r="L67" s="17">
        <f t="shared" si="10"/>
        <v>13.499000000000001</v>
      </c>
      <c r="M67" s="17">
        <f t="shared" si="10"/>
        <v>13.499000000000001</v>
      </c>
      <c r="N67" s="17">
        <f t="shared" si="10"/>
        <v>13.499000000000001</v>
      </c>
      <c r="O67" s="17">
        <f t="shared" si="10"/>
        <v>13.499000000000001</v>
      </c>
      <c r="P67" s="17">
        <f t="shared" si="10"/>
        <v>13.499000000000001</v>
      </c>
      <c r="Q67" s="17">
        <f t="shared" si="10"/>
        <v>13.499000000000001</v>
      </c>
      <c r="R67" s="17">
        <f t="shared" si="10"/>
        <v>13.499000000000001</v>
      </c>
      <c r="S67" s="17">
        <f t="shared" si="10"/>
        <v>13.499000000000001</v>
      </c>
      <c r="T67" s="17">
        <f t="shared" si="10"/>
        <v>13.499000000000001</v>
      </c>
    </row>
    <row r="68" spans="2:20" x14ac:dyDescent="0.25">
      <c r="C68" s="17" t="str">
        <f t="shared" si="2"/>
        <v>RelocClass</v>
      </c>
      <c r="D68" s="17" t="str">
        <f t="shared" si="2"/>
        <v>Floor</v>
      </c>
      <c r="E68" s="17">
        <f>ROUND((1/E30)-($P$47),3)</f>
        <v>15.962999999999999</v>
      </c>
      <c r="F68" s="17">
        <f t="shared" ref="F68:T68" si="11">ROUND((1/F30)-($P$47),3)</f>
        <v>15.962999999999999</v>
      </c>
      <c r="G68" s="17">
        <f t="shared" si="11"/>
        <v>15.962999999999999</v>
      </c>
      <c r="H68" s="17">
        <f t="shared" si="11"/>
        <v>15.962999999999999</v>
      </c>
      <c r="I68" s="17">
        <f t="shared" si="11"/>
        <v>15.962999999999999</v>
      </c>
      <c r="J68" s="17">
        <f t="shared" si="11"/>
        <v>15.962999999999999</v>
      </c>
      <c r="K68" s="17">
        <f t="shared" si="11"/>
        <v>15.962999999999999</v>
      </c>
      <c r="L68" s="17">
        <f t="shared" si="11"/>
        <v>15.962999999999999</v>
      </c>
      <c r="M68" s="17">
        <f t="shared" si="11"/>
        <v>15.962999999999999</v>
      </c>
      <c r="N68" s="17">
        <f t="shared" si="11"/>
        <v>15.962999999999999</v>
      </c>
      <c r="O68" s="17">
        <f t="shared" si="11"/>
        <v>15.962999999999999</v>
      </c>
      <c r="P68" s="17">
        <f t="shared" si="11"/>
        <v>15.962999999999999</v>
      </c>
      <c r="Q68" s="17">
        <f t="shared" si="11"/>
        <v>15.962999999999999</v>
      </c>
      <c r="R68" s="17">
        <f t="shared" si="11"/>
        <v>15.962999999999999</v>
      </c>
      <c r="S68" s="17">
        <f t="shared" si="11"/>
        <v>15.962999999999999</v>
      </c>
      <c r="T68" s="17">
        <f t="shared" si="11"/>
        <v>15.962999999999999</v>
      </c>
    </row>
    <row r="69" spans="2:20" x14ac:dyDescent="0.25">
      <c r="B69" s="17" t="s">
        <v>245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24DBB-6E86-4311-BC12-5A1C563AFAC7}">
  <sheetPr codeName="Sheet38">
    <tabColor theme="5" tint="-0.499984740745262"/>
  </sheetPr>
  <dimension ref="A1:N82"/>
  <sheetViews>
    <sheetView zoomScale="70" zoomScaleNormal="70" workbookViewId="0">
      <selection activeCell="B1" sqref="B1"/>
    </sheetView>
  </sheetViews>
  <sheetFormatPr defaultColWidth="9.140625" defaultRowHeight="15" x14ac:dyDescent="0.25"/>
  <cols>
    <col min="1" max="1" width="2.140625" style="145" customWidth="1"/>
    <col min="2" max="2" width="3.28515625" style="145" customWidth="1"/>
    <col min="3" max="3" width="17" style="145" customWidth="1"/>
    <col min="4" max="4" width="15.5703125" style="145" customWidth="1"/>
    <col min="5" max="5" width="19.28515625" style="145" customWidth="1"/>
    <col min="6" max="6" width="22.85546875" style="145" customWidth="1"/>
    <col min="7" max="7" width="17" style="145" customWidth="1"/>
    <col min="8" max="9" width="12.7109375" style="145" customWidth="1"/>
    <col min="10" max="10" width="22.85546875" style="145" customWidth="1"/>
    <col min="11" max="12" width="12.140625" style="145" customWidth="1"/>
    <col min="13" max="13" width="22.85546875" style="145" customWidth="1"/>
    <col min="14" max="16384" width="9.140625" style="145"/>
  </cols>
  <sheetData>
    <row r="1" spans="1:6" s="138" customFormat="1" x14ac:dyDescent="0.25">
      <c r="A1" s="138" t="s">
        <v>250</v>
      </c>
      <c r="B1" s="138" t="s">
        <v>1202</v>
      </c>
    </row>
    <row r="2" spans="1:6" s="138" customFormat="1" x14ac:dyDescent="0.25">
      <c r="A2" s="138" t="s">
        <v>250</v>
      </c>
    </row>
    <row r="3" spans="1:6" s="138" customFormat="1" x14ac:dyDescent="0.25">
      <c r="A3" s="138" t="s">
        <v>250</v>
      </c>
      <c r="B3" s="138" t="s">
        <v>356</v>
      </c>
    </row>
    <row r="4" spans="1:6" s="138" customFormat="1" x14ac:dyDescent="0.25">
      <c r="A4" s="138" t="s">
        <v>250</v>
      </c>
      <c r="C4" s="138" t="s">
        <v>570</v>
      </c>
    </row>
    <row r="5" spans="1:6" s="138" customFormat="1" x14ac:dyDescent="0.25">
      <c r="A5" s="138" t="s">
        <v>250</v>
      </c>
    </row>
    <row r="6" spans="1:6" s="138" customFormat="1" x14ac:dyDescent="0.25">
      <c r="A6" s="138" t="s">
        <v>250</v>
      </c>
      <c r="B6" s="138" t="s">
        <v>357</v>
      </c>
    </row>
    <row r="7" spans="1:6" s="138" customFormat="1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6" x14ac:dyDescent="0.25">
      <c r="A8" s="145" t="s">
        <v>250</v>
      </c>
      <c r="C8" s="32">
        <v>41511</v>
      </c>
      <c r="D8" s="145" t="s">
        <v>386</v>
      </c>
      <c r="E8" s="145" t="s">
        <v>265</v>
      </c>
    </row>
    <row r="9" spans="1:6" x14ac:dyDescent="0.25">
      <c r="A9" s="145" t="s">
        <v>250</v>
      </c>
      <c r="C9" s="32">
        <v>42206</v>
      </c>
      <c r="D9" s="145" t="s">
        <v>386</v>
      </c>
      <c r="E9" s="145" t="s">
        <v>910</v>
      </c>
    </row>
    <row r="10" spans="1:6" x14ac:dyDescent="0.25">
      <c r="A10" s="145" t="s">
        <v>250</v>
      </c>
      <c r="C10" s="32"/>
    </row>
    <row r="11" spans="1:6" s="138" customFormat="1" x14ac:dyDescent="0.25">
      <c r="A11" s="138" t="s">
        <v>250</v>
      </c>
      <c r="B11" s="138" t="s">
        <v>358</v>
      </c>
    </row>
    <row r="12" spans="1:6" x14ac:dyDescent="0.25">
      <c r="A12" s="145" t="s">
        <v>250</v>
      </c>
      <c r="C12" s="145" t="s">
        <v>381</v>
      </c>
    </row>
    <row r="13" spans="1:6" x14ac:dyDescent="0.25">
      <c r="A13" s="145" t="s">
        <v>250</v>
      </c>
      <c r="C13" s="145" t="s">
        <v>379</v>
      </c>
    </row>
    <row r="14" spans="1:6" x14ac:dyDescent="0.25">
      <c r="A14" s="145" t="s">
        <v>250</v>
      </c>
    </row>
    <row r="15" spans="1:6" s="138" customFormat="1" x14ac:dyDescent="0.25">
      <c r="A15" s="138" t="s">
        <v>250</v>
      </c>
      <c r="B15" s="138" t="s">
        <v>355</v>
      </c>
    </row>
    <row r="16" spans="1:6" x14ac:dyDescent="0.25">
      <c r="A16" s="145" t="s">
        <v>250</v>
      </c>
      <c r="C16" s="145" t="s">
        <v>382</v>
      </c>
      <c r="F16" s="112"/>
    </row>
    <row r="17" spans="1:13" x14ac:dyDescent="0.25">
      <c r="A17" s="145" t="s">
        <v>250</v>
      </c>
      <c r="C17" s="145" t="s">
        <v>383</v>
      </c>
      <c r="F17" s="112"/>
    </row>
    <row r="18" spans="1:13" x14ac:dyDescent="0.25">
      <c r="A18" s="145" t="s">
        <v>250</v>
      </c>
      <c r="F18" s="112"/>
    </row>
    <row r="19" spans="1:13" s="138" customFormat="1" x14ac:dyDescent="0.25">
      <c r="A19" s="138" t="s">
        <v>250</v>
      </c>
      <c r="B19" s="138" t="s">
        <v>354</v>
      </c>
    </row>
    <row r="20" spans="1:13" x14ac:dyDescent="0.25">
      <c r="A20" s="145" t="s">
        <v>250</v>
      </c>
      <c r="C20" s="138" t="s">
        <v>911</v>
      </c>
      <c r="D20" s="30"/>
      <c r="E20" s="30"/>
      <c r="F20" s="30"/>
      <c r="G20" s="30"/>
      <c r="H20" s="30"/>
      <c r="I20" s="30"/>
    </row>
    <row r="21" spans="1:13" x14ac:dyDescent="0.25">
      <c r="A21" s="145" t="s">
        <v>250</v>
      </c>
      <c r="F21" s="112"/>
    </row>
    <row r="22" spans="1:13" s="138" customFormat="1" x14ac:dyDescent="0.25">
      <c r="A22" s="138" t="s">
        <v>365</v>
      </c>
    </row>
    <row r="23" spans="1:13" s="151" customFormat="1" x14ac:dyDescent="0.25">
      <c r="A23" s="145"/>
      <c r="B23" s="140" t="str">
        <f>"TABLE "&amp;$C$4</f>
        <v>TABLE UnitaryACHPMinEffReq</v>
      </c>
    </row>
    <row r="24" spans="1:13" x14ac:dyDescent="0.25">
      <c r="C24" s="145" t="s">
        <v>912</v>
      </c>
      <c r="D24" s="145" t="s">
        <v>558</v>
      </c>
      <c r="E24" s="145" t="s">
        <v>571</v>
      </c>
      <c r="F24" s="111" t="s">
        <v>568</v>
      </c>
      <c r="G24" s="111" t="s">
        <v>279</v>
      </c>
      <c r="H24" s="145" t="s">
        <v>11</v>
      </c>
      <c r="I24" s="145" t="s">
        <v>12</v>
      </c>
      <c r="J24" s="145" t="s">
        <v>559</v>
      </c>
      <c r="K24" s="145" t="s">
        <v>930</v>
      </c>
      <c r="L24" s="145" t="s">
        <v>931</v>
      </c>
      <c r="M24" s="145" t="s">
        <v>560</v>
      </c>
    </row>
    <row r="25" spans="1:13" x14ac:dyDescent="0.25">
      <c r="C25" s="151" t="s">
        <v>348</v>
      </c>
      <c r="D25" s="151" t="s">
        <v>549</v>
      </c>
      <c r="E25" s="153" t="s">
        <v>928</v>
      </c>
      <c r="F25" s="153" t="s">
        <v>569</v>
      </c>
      <c r="G25" s="151" t="s">
        <v>927</v>
      </c>
      <c r="H25" s="150">
        <v>12.2</v>
      </c>
      <c r="I25" s="150" t="s">
        <v>258</v>
      </c>
      <c r="J25" s="151" t="s">
        <v>567</v>
      </c>
      <c r="K25" s="150" t="s">
        <v>258</v>
      </c>
      <c r="L25" s="150" t="s">
        <v>258</v>
      </c>
      <c r="M25" s="151" t="s">
        <v>258</v>
      </c>
    </row>
    <row r="26" spans="1:13" x14ac:dyDescent="0.25">
      <c r="C26" s="151" t="s">
        <v>348</v>
      </c>
      <c r="D26" s="151" t="s">
        <v>549</v>
      </c>
      <c r="E26" s="153" t="s">
        <v>928</v>
      </c>
      <c r="F26" s="153" t="s">
        <v>569</v>
      </c>
      <c r="G26" s="151" t="s">
        <v>561</v>
      </c>
      <c r="H26" s="150">
        <v>11.7</v>
      </c>
      <c r="I26" s="150" t="s">
        <v>258</v>
      </c>
      <c r="J26" s="151" t="s">
        <v>567</v>
      </c>
      <c r="K26" s="150" t="s">
        <v>258</v>
      </c>
      <c r="L26" s="150" t="s">
        <v>258</v>
      </c>
      <c r="M26" s="151" t="s">
        <v>258</v>
      </c>
    </row>
    <row r="27" spans="1:13" x14ac:dyDescent="0.25">
      <c r="C27" s="151" t="s">
        <v>348</v>
      </c>
      <c r="D27" s="151" t="s">
        <v>549</v>
      </c>
      <c r="E27" s="153" t="s">
        <v>929</v>
      </c>
      <c r="F27" s="153" t="s">
        <v>569</v>
      </c>
      <c r="G27" s="151" t="s">
        <v>561</v>
      </c>
      <c r="H27" s="150">
        <v>11</v>
      </c>
      <c r="I27" s="150" t="s">
        <v>258</v>
      </c>
      <c r="J27" s="151" t="s">
        <v>567</v>
      </c>
      <c r="K27" s="150" t="s">
        <v>258</v>
      </c>
      <c r="L27" s="150" t="s">
        <v>258</v>
      </c>
      <c r="M27" s="151" t="s">
        <v>258</v>
      </c>
    </row>
    <row r="28" spans="1:13" s="151" customFormat="1" x14ac:dyDescent="0.25">
      <c r="C28" s="151" t="s">
        <v>348</v>
      </c>
      <c r="D28" s="151" t="s">
        <v>549</v>
      </c>
      <c r="E28" s="153" t="s">
        <v>348</v>
      </c>
      <c r="F28" s="153" t="s">
        <v>569</v>
      </c>
      <c r="G28" s="151" t="s">
        <v>561</v>
      </c>
      <c r="H28" s="150" t="s">
        <v>258</v>
      </c>
      <c r="I28" s="150" t="s">
        <v>258</v>
      </c>
      <c r="J28" s="151" t="s">
        <v>567</v>
      </c>
      <c r="K28" s="150" t="s">
        <v>258</v>
      </c>
      <c r="L28" s="150" t="s">
        <v>258</v>
      </c>
      <c r="M28" s="151" t="s">
        <v>258</v>
      </c>
    </row>
    <row r="29" spans="1:13" s="151" customFormat="1" x14ac:dyDescent="0.25">
      <c r="C29" s="342" t="s">
        <v>913</v>
      </c>
      <c r="D29" s="151" t="s">
        <v>549</v>
      </c>
      <c r="E29" s="153" t="s">
        <v>348</v>
      </c>
      <c r="F29" s="153" t="s">
        <v>569</v>
      </c>
      <c r="G29" s="151" t="s">
        <v>553</v>
      </c>
      <c r="H29" s="150">
        <v>11.2</v>
      </c>
      <c r="I29" s="150">
        <v>12.9</v>
      </c>
      <c r="J29" s="151" t="s">
        <v>563</v>
      </c>
      <c r="K29" s="150" t="s">
        <v>258</v>
      </c>
      <c r="L29" s="150" t="s">
        <v>258</v>
      </c>
      <c r="M29" s="151" t="s">
        <v>258</v>
      </c>
    </row>
    <row r="30" spans="1:13" s="151" customFormat="1" x14ac:dyDescent="0.25">
      <c r="C30" s="151" t="s">
        <v>348</v>
      </c>
      <c r="D30" s="151" t="s">
        <v>549</v>
      </c>
      <c r="E30" s="153" t="s">
        <v>348</v>
      </c>
      <c r="F30" s="153" t="s">
        <v>569</v>
      </c>
      <c r="G30" s="151" t="s">
        <v>553</v>
      </c>
      <c r="H30" s="150">
        <v>11.2</v>
      </c>
      <c r="I30" s="150">
        <v>11.4</v>
      </c>
      <c r="J30" s="151" t="s">
        <v>563</v>
      </c>
      <c r="K30" s="150" t="s">
        <v>258</v>
      </c>
      <c r="L30" s="150" t="s">
        <v>258</v>
      </c>
      <c r="M30" s="151" t="s">
        <v>258</v>
      </c>
    </row>
    <row r="31" spans="1:13" s="151" customFormat="1" x14ac:dyDescent="0.25">
      <c r="C31" s="342" t="s">
        <v>913</v>
      </c>
      <c r="D31" s="151" t="s">
        <v>549</v>
      </c>
      <c r="E31" s="153" t="s">
        <v>348</v>
      </c>
      <c r="F31" s="153" t="s">
        <v>569</v>
      </c>
      <c r="G31" s="151" t="s">
        <v>552</v>
      </c>
      <c r="H31" s="150">
        <v>11</v>
      </c>
      <c r="I31" s="150">
        <v>12.4</v>
      </c>
      <c r="J31" s="151" t="s">
        <v>563</v>
      </c>
      <c r="K31" s="150" t="s">
        <v>258</v>
      </c>
      <c r="L31" s="150" t="s">
        <v>258</v>
      </c>
      <c r="M31" s="151" t="s">
        <v>258</v>
      </c>
    </row>
    <row r="32" spans="1:13" s="151" customFormat="1" x14ac:dyDescent="0.25">
      <c r="C32" s="151" t="s">
        <v>348</v>
      </c>
      <c r="D32" s="151" t="s">
        <v>549</v>
      </c>
      <c r="E32" s="153" t="s">
        <v>348</v>
      </c>
      <c r="F32" s="153" t="s">
        <v>569</v>
      </c>
      <c r="G32" s="151" t="s">
        <v>552</v>
      </c>
      <c r="H32" s="150">
        <v>11</v>
      </c>
      <c r="I32" s="150">
        <v>11.2</v>
      </c>
      <c r="J32" s="151" t="s">
        <v>563</v>
      </c>
      <c r="K32" s="150" t="s">
        <v>258</v>
      </c>
      <c r="L32" s="150" t="s">
        <v>258</v>
      </c>
      <c r="M32" s="151" t="s">
        <v>258</v>
      </c>
    </row>
    <row r="33" spans="3:13" s="151" customFormat="1" x14ac:dyDescent="0.25">
      <c r="C33" s="342" t="s">
        <v>913</v>
      </c>
      <c r="D33" s="151" t="s">
        <v>549</v>
      </c>
      <c r="E33" s="153" t="s">
        <v>348</v>
      </c>
      <c r="F33" s="153" t="s">
        <v>569</v>
      </c>
      <c r="G33" s="151" t="s">
        <v>555</v>
      </c>
      <c r="H33" s="150">
        <v>10</v>
      </c>
      <c r="I33" s="150">
        <v>11.6</v>
      </c>
      <c r="J33" s="151" t="s">
        <v>563</v>
      </c>
      <c r="K33" s="150" t="s">
        <v>258</v>
      </c>
      <c r="L33" s="150" t="s">
        <v>258</v>
      </c>
      <c r="M33" s="151" t="s">
        <v>258</v>
      </c>
    </row>
    <row r="34" spans="3:13" s="151" customFormat="1" x14ac:dyDescent="0.25">
      <c r="C34" s="151" t="s">
        <v>348</v>
      </c>
      <c r="D34" s="151" t="s">
        <v>549</v>
      </c>
      <c r="E34" s="153" t="s">
        <v>348</v>
      </c>
      <c r="F34" s="153" t="s">
        <v>569</v>
      </c>
      <c r="G34" s="151" t="s">
        <v>555</v>
      </c>
      <c r="H34" s="150">
        <v>10</v>
      </c>
      <c r="I34" s="150">
        <v>10.1</v>
      </c>
      <c r="J34" s="151" t="s">
        <v>563</v>
      </c>
      <c r="K34" s="150" t="s">
        <v>258</v>
      </c>
      <c r="L34" s="150" t="s">
        <v>258</v>
      </c>
      <c r="M34" s="151" t="s">
        <v>258</v>
      </c>
    </row>
    <row r="35" spans="3:13" s="151" customFormat="1" x14ac:dyDescent="0.25">
      <c r="C35" s="342" t="s">
        <v>913</v>
      </c>
      <c r="D35" s="151" t="s">
        <v>549</v>
      </c>
      <c r="E35" s="153" t="s">
        <v>348</v>
      </c>
      <c r="F35" s="153" t="s">
        <v>569</v>
      </c>
      <c r="G35" s="151" t="s">
        <v>554</v>
      </c>
      <c r="H35" s="150">
        <v>9.6999999999999993</v>
      </c>
      <c r="I35" s="150">
        <v>11.2</v>
      </c>
      <c r="J35" s="151" t="s">
        <v>563</v>
      </c>
      <c r="K35" s="150" t="s">
        <v>258</v>
      </c>
      <c r="L35" s="150" t="s">
        <v>258</v>
      </c>
      <c r="M35" s="151" t="s">
        <v>258</v>
      </c>
    </row>
    <row r="36" spans="3:13" s="151" customFormat="1" x14ac:dyDescent="0.25">
      <c r="C36" s="151" t="s">
        <v>348</v>
      </c>
      <c r="D36" s="151" t="s">
        <v>549</v>
      </c>
      <c r="E36" s="153" t="s">
        <v>348</v>
      </c>
      <c r="F36" s="153" t="s">
        <v>569</v>
      </c>
      <c r="G36" s="151" t="s">
        <v>554</v>
      </c>
      <c r="H36" s="150">
        <v>9.6999999999999993</v>
      </c>
      <c r="I36" s="150">
        <v>9.8000000000000007</v>
      </c>
      <c r="J36" s="151" t="s">
        <v>563</v>
      </c>
      <c r="K36" s="150" t="s">
        <v>258</v>
      </c>
      <c r="L36" s="150" t="s">
        <v>258</v>
      </c>
      <c r="M36" s="151" t="s">
        <v>258</v>
      </c>
    </row>
    <row r="37" spans="3:13" s="151" customFormat="1" x14ac:dyDescent="0.25">
      <c r="C37" s="151" t="s">
        <v>348</v>
      </c>
      <c r="D37" s="151" t="s">
        <v>549</v>
      </c>
      <c r="E37" s="151" t="s">
        <v>348</v>
      </c>
      <c r="F37" s="153" t="s">
        <v>546</v>
      </c>
      <c r="G37" s="151" t="s">
        <v>564</v>
      </c>
      <c r="H37" s="155">
        <v>12.1</v>
      </c>
      <c r="I37" s="155" t="s">
        <v>258</v>
      </c>
      <c r="J37" s="151" t="s">
        <v>565</v>
      </c>
      <c r="K37" s="150" t="s">
        <v>258</v>
      </c>
      <c r="L37" s="150" t="s">
        <v>258</v>
      </c>
      <c r="M37" s="151" t="s">
        <v>258</v>
      </c>
    </row>
    <row r="38" spans="3:13" s="151" customFormat="1" x14ac:dyDescent="0.25">
      <c r="C38" s="151" t="s">
        <v>348</v>
      </c>
      <c r="D38" s="151" t="s">
        <v>549</v>
      </c>
      <c r="E38" s="151" t="s">
        <v>348</v>
      </c>
      <c r="F38" s="153" t="s">
        <v>546</v>
      </c>
      <c r="G38" s="151" t="s">
        <v>561</v>
      </c>
      <c r="H38" s="155">
        <v>12.1</v>
      </c>
      <c r="I38" s="155" t="s">
        <v>258</v>
      </c>
      <c r="J38" s="151" t="s">
        <v>565</v>
      </c>
      <c r="K38" s="150" t="s">
        <v>258</v>
      </c>
      <c r="L38" s="150" t="s">
        <v>258</v>
      </c>
      <c r="M38" s="151" t="s">
        <v>258</v>
      </c>
    </row>
    <row r="39" spans="3:13" s="151" customFormat="1" x14ac:dyDescent="0.25">
      <c r="C39" s="342" t="s">
        <v>913</v>
      </c>
      <c r="D39" s="151" t="s">
        <v>549</v>
      </c>
      <c r="E39" s="151" t="s">
        <v>348</v>
      </c>
      <c r="F39" s="153" t="s">
        <v>546</v>
      </c>
      <c r="G39" s="151" t="s">
        <v>553</v>
      </c>
      <c r="H39" s="150">
        <v>12.1</v>
      </c>
      <c r="I39" s="150">
        <v>13.9</v>
      </c>
      <c r="J39" s="151" t="s">
        <v>563</v>
      </c>
      <c r="K39" s="150" t="s">
        <v>258</v>
      </c>
      <c r="L39" s="150" t="s">
        <v>258</v>
      </c>
      <c r="M39" s="151" t="s">
        <v>258</v>
      </c>
    </row>
    <row r="40" spans="3:13" s="151" customFormat="1" x14ac:dyDescent="0.25">
      <c r="C40" s="151" t="s">
        <v>348</v>
      </c>
      <c r="D40" s="151" t="s">
        <v>549</v>
      </c>
      <c r="E40" s="151" t="s">
        <v>348</v>
      </c>
      <c r="F40" s="153" t="s">
        <v>546</v>
      </c>
      <c r="G40" s="151" t="s">
        <v>553</v>
      </c>
      <c r="H40" s="150">
        <v>12.1</v>
      </c>
      <c r="I40" s="150">
        <v>12.3</v>
      </c>
      <c r="J40" s="151" t="s">
        <v>563</v>
      </c>
      <c r="K40" s="150" t="s">
        <v>258</v>
      </c>
      <c r="L40" s="150" t="s">
        <v>258</v>
      </c>
      <c r="M40" s="151" t="s">
        <v>258</v>
      </c>
    </row>
    <row r="41" spans="3:13" s="151" customFormat="1" x14ac:dyDescent="0.25">
      <c r="C41" s="342" t="s">
        <v>913</v>
      </c>
      <c r="D41" s="151" t="s">
        <v>549</v>
      </c>
      <c r="E41" s="151" t="s">
        <v>348</v>
      </c>
      <c r="F41" s="153" t="s">
        <v>546</v>
      </c>
      <c r="G41" s="151" t="s">
        <v>552</v>
      </c>
      <c r="H41" s="150">
        <v>12.5</v>
      </c>
      <c r="I41" s="150">
        <v>13.9</v>
      </c>
      <c r="J41" s="151" t="s">
        <v>563</v>
      </c>
      <c r="K41" s="150" t="s">
        <v>258</v>
      </c>
      <c r="L41" s="150" t="s">
        <v>258</v>
      </c>
      <c r="M41" s="151" t="s">
        <v>258</v>
      </c>
    </row>
    <row r="42" spans="3:13" s="151" customFormat="1" x14ac:dyDescent="0.25">
      <c r="C42" s="151" t="s">
        <v>348</v>
      </c>
      <c r="D42" s="151" t="s">
        <v>549</v>
      </c>
      <c r="E42" s="151" t="s">
        <v>348</v>
      </c>
      <c r="F42" s="153" t="s">
        <v>546</v>
      </c>
      <c r="G42" s="151" t="s">
        <v>552</v>
      </c>
      <c r="H42" s="150">
        <v>12.5</v>
      </c>
      <c r="I42" s="150">
        <v>12.5</v>
      </c>
      <c r="J42" s="151" t="s">
        <v>563</v>
      </c>
      <c r="K42" s="150" t="s">
        <v>258</v>
      </c>
      <c r="L42" s="150" t="s">
        <v>258</v>
      </c>
      <c r="M42" s="151" t="s">
        <v>258</v>
      </c>
    </row>
    <row r="43" spans="3:13" s="151" customFormat="1" x14ac:dyDescent="0.25">
      <c r="C43" s="342" t="s">
        <v>913</v>
      </c>
      <c r="D43" s="151" t="s">
        <v>549</v>
      </c>
      <c r="E43" s="151" t="s">
        <v>348</v>
      </c>
      <c r="F43" s="153" t="s">
        <v>546</v>
      </c>
      <c r="G43" s="151" t="s">
        <v>555</v>
      </c>
      <c r="H43" s="150">
        <v>12.4</v>
      </c>
      <c r="I43" s="150">
        <v>13.6</v>
      </c>
      <c r="J43" s="151" t="s">
        <v>563</v>
      </c>
      <c r="K43" s="150" t="s">
        <v>258</v>
      </c>
      <c r="L43" s="150" t="s">
        <v>258</v>
      </c>
      <c r="M43" s="151" t="s">
        <v>258</v>
      </c>
    </row>
    <row r="44" spans="3:13" s="151" customFormat="1" x14ac:dyDescent="0.25">
      <c r="C44" s="151" t="s">
        <v>348</v>
      </c>
      <c r="D44" s="151" t="s">
        <v>549</v>
      </c>
      <c r="E44" s="151" t="s">
        <v>348</v>
      </c>
      <c r="F44" s="153" t="s">
        <v>546</v>
      </c>
      <c r="G44" s="151" t="s">
        <v>555</v>
      </c>
      <c r="H44" s="150">
        <v>12.4</v>
      </c>
      <c r="I44" s="150">
        <v>12.6</v>
      </c>
      <c r="J44" s="151" t="s">
        <v>563</v>
      </c>
      <c r="K44" s="150" t="s">
        <v>258</v>
      </c>
      <c r="L44" s="150" t="s">
        <v>258</v>
      </c>
      <c r="M44" s="151" t="s">
        <v>258</v>
      </c>
    </row>
    <row r="45" spans="3:13" s="151" customFormat="1" x14ac:dyDescent="0.25">
      <c r="C45" s="342" t="s">
        <v>913</v>
      </c>
      <c r="D45" s="151" t="s">
        <v>549</v>
      </c>
      <c r="E45" s="151" t="s">
        <v>348</v>
      </c>
      <c r="F45" s="153" t="s">
        <v>546</v>
      </c>
      <c r="G45" s="151" t="s">
        <v>554</v>
      </c>
      <c r="H45" s="150">
        <v>12.2</v>
      </c>
      <c r="I45" s="150">
        <v>13.5</v>
      </c>
      <c r="J45" s="151" t="s">
        <v>563</v>
      </c>
      <c r="K45" s="150" t="s">
        <v>258</v>
      </c>
      <c r="L45" s="150" t="s">
        <v>258</v>
      </c>
      <c r="M45" s="151" t="s">
        <v>258</v>
      </c>
    </row>
    <row r="46" spans="3:13" s="151" customFormat="1" x14ac:dyDescent="0.25">
      <c r="C46" s="151" t="s">
        <v>348</v>
      </c>
      <c r="D46" s="151" t="s">
        <v>549</v>
      </c>
      <c r="E46" s="151" t="s">
        <v>348</v>
      </c>
      <c r="F46" s="153" t="s">
        <v>546</v>
      </c>
      <c r="G46" s="151" t="s">
        <v>554</v>
      </c>
      <c r="H46" s="150">
        <v>12.2</v>
      </c>
      <c r="I46" s="150">
        <v>12.4</v>
      </c>
      <c r="J46" s="151" t="s">
        <v>563</v>
      </c>
      <c r="K46" s="150" t="s">
        <v>258</v>
      </c>
      <c r="L46" s="150" t="s">
        <v>258</v>
      </c>
      <c r="M46" s="151" t="s">
        <v>258</v>
      </c>
    </row>
    <row r="47" spans="3:13" s="151" customFormat="1" x14ac:dyDescent="0.25">
      <c r="C47" s="151" t="s">
        <v>348</v>
      </c>
      <c r="D47" s="151" t="s">
        <v>549</v>
      </c>
      <c r="E47" s="151" t="s">
        <v>348</v>
      </c>
      <c r="F47" s="153" t="s">
        <v>548</v>
      </c>
      <c r="G47" s="151" t="s">
        <v>561</v>
      </c>
      <c r="H47" s="150">
        <v>12.1</v>
      </c>
      <c r="I47" s="150" t="s">
        <v>258</v>
      </c>
      <c r="J47" s="151" t="s">
        <v>562</v>
      </c>
      <c r="K47" s="150" t="s">
        <v>258</v>
      </c>
      <c r="L47" s="150" t="s">
        <v>258</v>
      </c>
      <c r="M47" s="151" t="s">
        <v>258</v>
      </c>
    </row>
    <row r="48" spans="3:13" s="151" customFormat="1" x14ac:dyDescent="0.25">
      <c r="C48" s="151" t="s">
        <v>348</v>
      </c>
      <c r="D48" s="151" t="s">
        <v>549</v>
      </c>
      <c r="E48" s="151" t="s">
        <v>348</v>
      </c>
      <c r="F48" s="153" t="s">
        <v>548</v>
      </c>
      <c r="G48" s="151" t="s">
        <v>553</v>
      </c>
      <c r="H48" s="150">
        <v>12.1</v>
      </c>
      <c r="I48" s="150">
        <v>12.3</v>
      </c>
      <c r="J48" s="151" t="s">
        <v>563</v>
      </c>
      <c r="K48" s="150" t="s">
        <v>258</v>
      </c>
      <c r="L48" s="150" t="s">
        <v>258</v>
      </c>
      <c r="M48" s="151" t="s">
        <v>258</v>
      </c>
    </row>
    <row r="49" spans="3:14" s="151" customFormat="1" x14ac:dyDescent="0.25">
      <c r="C49" s="151" t="s">
        <v>348</v>
      </c>
      <c r="D49" s="151" t="s">
        <v>549</v>
      </c>
      <c r="E49" s="151" t="s">
        <v>348</v>
      </c>
      <c r="F49" s="153" t="s">
        <v>548</v>
      </c>
      <c r="G49" s="151" t="s">
        <v>552</v>
      </c>
      <c r="H49" s="150">
        <v>12</v>
      </c>
      <c r="I49" s="150">
        <v>12.2</v>
      </c>
      <c r="J49" s="151" t="s">
        <v>563</v>
      </c>
      <c r="K49" s="150" t="s">
        <v>258</v>
      </c>
      <c r="L49" s="150" t="s">
        <v>258</v>
      </c>
      <c r="M49" s="151" t="s">
        <v>258</v>
      </c>
    </row>
    <row r="50" spans="3:14" s="151" customFormat="1" x14ac:dyDescent="0.25">
      <c r="C50" s="151" t="s">
        <v>348</v>
      </c>
      <c r="D50" s="151" t="s">
        <v>549</v>
      </c>
      <c r="E50" s="151" t="s">
        <v>348</v>
      </c>
      <c r="F50" s="153" t="s">
        <v>548</v>
      </c>
      <c r="G50" s="151" t="s">
        <v>555</v>
      </c>
      <c r="H50" s="150">
        <v>11.9</v>
      </c>
      <c r="I50" s="150">
        <v>12.1</v>
      </c>
      <c r="J50" s="151" t="s">
        <v>563</v>
      </c>
      <c r="K50" s="150" t="s">
        <v>258</v>
      </c>
      <c r="L50" s="150" t="s">
        <v>258</v>
      </c>
      <c r="M50" s="151" t="s">
        <v>258</v>
      </c>
    </row>
    <row r="51" spans="3:14" s="151" customFormat="1" x14ac:dyDescent="0.25">
      <c r="C51" s="151" t="s">
        <v>348</v>
      </c>
      <c r="D51" s="151" t="s">
        <v>549</v>
      </c>
      <c r="E51" s="151" t="s">
        <v>348</v>
      </c>
      <c r="F51" s="153" t="s">
        <v>548</v>
      </c>
      <c r="G51" s="151" t="s">
        <v>554</v>
      </c>
      <c r="H51" s="150">
        <v>11.7</v>
      </c>
      <c r="I51" s="150">
        <v>11.9</v>
      </c>
      <c r="J51" s="151" t="s">
        <v>563</v>
      </c>
      <c r="K51" s="150" t="s">
        <v>258</v>
      </c>
      <c r="L51" s="150" t="s">
        <v>258</v>
      </c>
      <c r="M51" s="151" t="s">
        <v>258</v>
      </c>
    </row>
    <row r="52" spans="3:14" s="151" customFormat="1" x14ac:dyDescent="0.25">
      <c r="C52" s="151" t="s">
        <v>348</v>
      </c>
      <c r="D52" s="151" t="s">
        <v>550</v>
      </c>
      <c r="E52" s="151" t="s">
        <v>348</v>
      </c>
      <c r="F52" s="153" t="s">
        <v>569</v>
      </c>
      <c r="G52" s="151" t="s">
        <v>561</v>
      </c>
      <c r="H52" s="150" t="s">
        <v>258</v>
      </c>
      <c r="I52" s="150" t="s">
        <v>258</v>
      </c>
      <c r="J52" s="151" t="s">
        <v>567</v>
      </c>
      <c r="K52" s="150" t="s">
        <v>258</v>
      </c>
      <c r="L52" s="150" t="s">
        <v>258</v>
      </c>
      <c r="M52" s="151" t="s">
        <v>567</v>
      </c>
    </row>
    <row r="53" spans="3:14" s="151" customFormat="1" x14ac:dyDescent="0.25">
      <c r="C53" s="342" t="s">
        <v>913</v>
      </c>
      <c r="D53" s="151" t="s">
        <v>550</v>
      </c>
      <c r="E53" s="151" t="s">
        <v>348</v>
      </c>
      <c r="F53" s="153" t="s">
        <v>569</v>
      </c>
      <c r="G53" s="151" t="s">
        <v>553</v>
      </c>
      <c r="H53" s="150">
        <v>11</v>
      </c>
      <c r="I53" s="150">
        <v>12.2</v>
      </c>
      <c r="J53" s="151" t="s">
        <v>566</v>
      </c>
      <c r="K53" s="152">
        <v>3.3</v>
      </c>
      <c r="L53" s="152">
        <v>2.25</v>
      </c>
      <c r="M53" s="151" t="s">
        <v>566</v>
      </c>
      <c r="N53" s="152"/>
    </row>
    <row r="54" spans="3:14" s="151" customFormat="1" x14ac:dyDescent="0.25">
      <c r="C54" s="151" t="s">
        <v>348</v>
      </c>
      <c r="D54" s="151" t="s">
        <v>550</v>
      </c>
      <c r="E54" s="151" t="s">
        <v>348</v>
      </c>
      <c r="F54" s="153" t="s">
        <v>569</v>
      </c>
      <c r="G54" s="151" t="s">
        <v>553</v>
      </c>
      <c r="H54" s="150">
        <v>11</v>
      </c>
      <c r="I54" s="150">
        <v>11.2</v>
      </c>
      <c r="J54" s="151" t="s">
        <v>566</v>
      </c>
      <c r="K54" s="152">
        <v>3.3</v>
      </c>
      <c r="L54" s="152">
        <v>2.25</v>
      </c>
      <c r="M54" s="151" t="s">
        <v>566</v>
      </c>
      <c r="N54" s="152"/>
    </row>
    <row r="55" spans="3:14" s="151" customFormat="1" x14ac:dyDescent="0.25">
      <c r="C55" s="342" t="s">
        <v>913</v>
      </c>
      <c r="D55" s="151" t="s">
        <v>550</v>
      </c>
      <c r="E55" s="151" t="s">
        <v>348</v>
      </c>
      <c r="F55" s="153" t="s">
        <v>569</v>
      </c>
      <c r="G55" s="151" t="s">
        <v>552</v>
      </c>
      <c r="H55" s="150">
        <v>10.6</v>
      </c>
      <c r="I55" s="150">
        <v>11.6</v>
      </c>
      <c r="J55" s="151" t="s">
        <v>566</v>
      </c>
      <c r="K55" s="152">
        <v>3.2</v>
      </c>
      <c r="L55" s="152">
        <v>2.0499999999999998</v>
      </c>
      <c r="M55" s="151" t="s">
        <v>566</v>
      </c>
      <c r="N55" s="152"/>
    </row>
    <row r="56" spans="3:14" s="151" customFormat="1" x14ac:dyDescent="0.25">
      <c r="C56" s="151" t="s">
        <v>348</v>
      </c>
      <c r="D56" s="151" t="s">
        <v>550</v>
      </c>
      <c r="E56" s="151" t="s">
        <v>348</v>
      </c>
      <c r="F56" s="153" t="s">
        <v>569</v>
      </c>
      <c r="G56" s="151" t="s">
        <v>552</v>
      </c>
      <c r="H56" s="150">
        <v>10.6</v>
      </c>
      <c r="I56" s="150">
        <v>10.7</v>
      </c>
      <c r="J56" s="151" t="s">
        <v>566</v>
      </c>
      <c r="K56" s="152">
        <v>3.2</v>
      </c>
      <c r="L56" s="152">
        <v>2.0499999999999998</v>
      </c>
      <c r="M56" s="151" t="s">
        <v>566</v>
      </c>
      <c r="N56" s="152"/>
    </row>
    <row r="57" spans="3:14" s="151" customFormat="1" x14ac:dyDescent="0.25">
      <c r="C57" s="342" t="s">
        <v>913</v>
      </c>
      <c r="D57" s="151" t="s">
        <v>550</v>
      </c>
      <c r="E57" s="151" t="s">
        <v>348</v>
      </c>
      <c r="F57" s="153" t="s">
        <v>569</v>
      </c>
      <c r="G57" s="151" t="s">
        <v>551</v>
      </c>
      <c r="H57" s="150">
        <v>9.5</v>
      </c>
      <c r="I57" s="150">
        <v>10.6</v>
      </c>
      <c r="J57" s="151" t="s">
        <v>566</v>
      </c>
      <c r="K57" s="152">
        <v>3.2</v>
      </c>
      <c r="L57" s="152">
        <v>2.0499999999999998</v>
      </c>
      <c r="M57" s="151" t="s">
        <v>566</v>
      </c>
      <c r="N57" s="152"/>
    </row>
    <row r="58" spans="3:14" s="151" customFormat="1" x14ac:dyDescent="0.25">
      <c r="C58" s="151" t="s">
        <v>348</v>
      </c>
      <c r="D58" s="151" t="s">
        <v>550</v>
      </c>
      <c r="E58" s="151" t="s">
        <v>348</v>
      </c>
      <c r="F58" s="153" t="s">
        <v>569</v>
      </c>
      <c r="G58" s="151" t="s">
        <v>551</v>
      </c>
      <c r="H58" s="150">
        <v>9.5</v>
      </c>
      <c r="I58" s="150">
        <v>9.6</v>
      </c>
      <c r="J58" s="151" t="s">
        <v>566</v>
      </c>
      <c r="K58" s="152">
        <v>3.2</v>
      </c>
      <c r="L58" s="152">
        <v>2.0499999999999998</v>
      </c>
      <c r="M58" s="151" t="s">
        <v>566</v>
      </c>
      <c r="N58" s="152"/>
    </row>
    <row r="59" spans="3:14" s="151" customFormat="1" x14ac:dyDescent="0.25">
      <c r="C59" s="151" t="s">
        <v>348</v>
      </c>
      <c r="D59" s="151" t="s">
        <v>550</v>
      </c>
      <c r="E59" s="151" t="s">
        <v>348</v>
      </c>
      <c r="F59" s="153" t="s">
        <v>546</v>
      </c>
      <c r="G59" s="151" t="s">
        <v>564</v>
      </c>
      <c r="H59" s="155">
        <v>11.2</v>
      </c>
      <c r="I59" s="155" t="s">
        <v>258</v>
      </c>
      <c r="J59" s="151" t="s">
        <v>562</v>
      </c>
      <c r="K59" s="152">
        <v>4.2</v>
      </c>
      <c r="L59" s="152" t="s">
        <v>258</v>
      </c>
      <c r="M59" s="151" t="s">
        <v>562</v>
      </c>
    </row>
    <row r="60" spans="3:14" s="151" customFormat="1" x14ac:dyDescent="0.25">
      <c r="C60" s="151" t="s">
        <v>348</v>
      </c>
      <c r="D60" s="151" t="s">
        <v>550</v>
      </c>
      <c r="E60" s="151" t="s">
        <v>348</v>
      </c>
      <c r="F60" s="153" t="s">
        <v>546</v>
      </c>
      <c r="G60" s="151" t="s">
        <v>561</v>
      </c>
      <c r="H60" s="155">
        <v>12</v>
      </c>
      <c r="I60" s="155" t="s">
        <v>258</v>
      </c>
      <c r="J60" s="151" t="s">
        <v>562</v>
      </c>
      <c r="K60" s="152">
        <v>4.2</v>
      </c>
      <c r="L60" s="152" t="s">
        <v>258</v>
      </c>
      <c r="M60" s="151" t="s">
        <v>562</v>
      </c>
    </row>
    <row r="61" spans="3:14" s="151" customFormat="1" x14ac:dyDescent="0.25">
      <c r="C61" s="342" t="s">
        <v>913</v>
      </c>
      <c r="D61" s="151" t="s">
        <v>550</v>
      </c>
      <c r="E61" s="151" t="s">
        <v>348</v>
      </c>
      <c r="F61" s="153" t="s">
        <v>546</v>
      </c>
      <c r="G61" s="151" t="s">
        <v>553</v>
      </c>
      <c r="H61" s="343">
        <v>13</v>
      </c>
      <c r="I61" s="343" t="s">
        <v>258</v>
      </c>
      <c r="J61" s="151" t="s">
        <v>566</v>
      </c>
      <c r="K61" s="343">
        <v>4.3</v>
      </c>
      <c r="L61" s="343" t="s">
        <v>258</v>
      </c>
      <c r="M61" s="151" t="s">
        <v>566</v>
      </c>
    </row>
    <row r="62" spans="3:14" s="151" customFormat="1" x14ac:dyDescent="0.25">
      <c r="C62" s="151" t="s">
        <v>348</v>
      </c>
      <c r="D62" s="151" t="s">
        <v>550</v>
      </c>
      <c r="E62" s="151" t="s">
        <v>348</v>
      </c>
      <c r="F62" s="153" t="s">
        <v>546</v>
      </c>
      <c r="G62" s="151" t="s">
        <v>553</v>
      </c>
      <c r="H62" s="150">
        <v>12</v>
      </c>
      <c r="I62" s="151" t="s">
        <v>258</v>
      </c>
      <c r="J62" s="151" t="s">
        <v>566</v>
      </c>
      <c r="K62" s="151">
        <v>4.2</v>
      </c>
      <c r="L62" s="151" t="s">
        <v>258</v>
      </c>
      <c r="M62" s="151" t="s">
        <v>566</v>
      </c>
    </row>
    <row r="63" spans="3:14" s="151" customFormat="1" x14ac:dyDescent="0.25">
      <c r="C63" s="342" t="s">
        <v>913</v>
      </c>
      <c r="D63" s="348" t="s">
        <v>550</v>
      </c>
      <c r="E63" s="348" t="s">
        <v>348</v>
      </c>
      <c r="F63" s="349" t="s">
        <v>546</v>
      </c>
      <c r="G63" s="348" t="s">
        <v>552</v>
      </c>
      <c r="H63" s="343">
        <v>12.3</v>
      </c>
      <c r="I63" s="343" t="s">
        <v>258</v>
      </c>
      <c r="J63" s="151" t="s">
        <v>562</v>
      </c>
      <c r="K63" s="343">
        <v>2.9</v>
      </c>
      <c r="L63" s="343" t="s">
        <v>258</v>
      </c>
      <c r="M63" s="151" t="s">
        <v>562</v>
      </c>
    </row>
    <row r="64" spans="3:14" s="151" customFormat="1" x14ac:dyDescent="0.25">
      <c r="C64" s="151" t="s">
        <v>348</v>
      </c>
      <c r="D64" s="151" t="s">
        <v>550</v>
      </c>
      <c r="E64" s="151" t="s">
        <v>348</v>
      </c>
      <c r="F64" s="153" t="s">
        <v>546</v>
      </c>
      <c r="G64" s="151" t="s">
        <v>552</v>
      </c>
      <c r="H64" s="150">
        <v>12.3</v>
      </c>
      <c r="I64" s="150" t="s">
        <v>258</v>
      </c>
      <c r="J64" s="151" t="s">
        <v>562</v>
      </c>
      <c r="K64" s="150">
        <v>2.9</v>
      </c>
      <c r="L64" s="150" t="s">
        <v>258</v>
      </c>
      <c r="M64" s="151" t="s">
        <v>562</v>
      </c>
    </row>
    <row r="65" spans="2:13" s="151" customFormat="1" x14ac:dyDescent="0.25">
      <c r="C65" s="151" t="s">
        <v>348</v>
      </c>
      <c r="D65" s="151" t="s">
        <v>550</v>
      </c>
      <c r="E65" s="151" t="s">
        <v>348</v>
      </c>
      <c r="F65" s="153" t="s">
        <v>546</v>
      </c>
      <c r="G65" s="151" t="s">
        <v>555</v>
      </c>
      <c r="H65" s="150">
        <v>12.2</v>
      </c>
      <c r="I65" s="150" t="s">
        <v>258</v>
      </c>
      <c r="J65" s="151" t="s">
        <v>562</v>
      </c>
      <c r="K65" s="350" t="s">
        <v>258</v>
      </c>
      <c r="L65" s="150" t="s">
        <v>258</v>
      </c>
      <c r="M65" s="151" t="s">
        <v>562</v>
      </c>
    </row>
    <row r="66" spans="2:13" s="151" customFormat="1" x14ac:dyDescent="0.25">
      <c r="C66" s="342" t="s">
        <v>913</v>
      </c>
      <c r="D66" s="151" t="s">
        <v>550</v>
      </c>
      <c r="E66" s="151" t="s">
        <v>348</v>
      </c>
      <c r="F66" s="154" t="s">
        <v>547</v>
      </c>
      <c r="G66" s="151" t="s">
        <v>553</v>
      </c>
      <c r="H66" s="343">
        <v>18</v>
      </c>
      <c r="I66" s="343" t="s">
        <v>258</v>
      </c>
      <c r="J66" s="151" t="s">
        <v>566</v>
      </c>
      <c r="K66" s="343">
        <v>3.7</v>
      </c>
      <c r="L66" s="343" t="s">
        <v>258</v>
      </c>
      <c r="M66" s="151" t="s">
        <v>566</v>
      </c>
    </row>
    <row r="67" spans="2:13" s="151" customFormat="1" x14ac:dyDescent="0.25">
      <c r="C67" s="151" t="s">
        <v>348</v>
      </c>
      <c r="D67" s="151" t="s">
        <v>550</v>
      </c>
      <c r="E67" s="151" t="s">
        <v>348</v>
      </c>
      <c r="F67" s="154" t="s">
        <v>547</v>
      </c>
      <c r="G67" s="151" t="s">
        <v>553</v>
      </c>
      <c r="H67" s="150">
        <v>16.2</v>
      </c>
      <c r="I67" s="151" t="s">
        <v>258</v>
      </c>
      <c r="J67" s="151" t="s">
        <v>566</v>
      </c>
      <c r="K67" s="151">
        <v>3.6</v>
      </c>
      <c r="L67" s="151" t="s">
        <v>258</v>
      </c>
      <c r="M67" s="151" t="s">
        <v>566</v>
      </c>
    </row>
    <row r="68" spans="2:13" s="151" customFormat="1" x14ac:dyDescent="0.25">
      <c r="C68" s="151" t="s">
        <v>348</v>
      </c>
      <c r="D68" s="151" t="s">
        <v>550</v>
      </c>
      <c r="E68" s="151" t="s">
        <v>348</v>
      </c>
      <c r="F68" s="154" t="s">
        <v>547</v>
      </c>
      <c r="G68" s="151" t="s">
        <v>557</v>
      </c>
      <c r="H68" s="150" t="s">
        <v>258</v>
      </c>
      <c r="I68" s="150" t="s">
        <v>258</v>
      </c>
      <c r="J68" s="151" t="s">
        <v>258</v>
      </c>
      <c r="K68" s="150" t="s">
        <v>258</v>
      </c>
      <c r="L68" s="150" t="s">
        <v>258</v>
      </c>
      <c r="M68" s="151" t="s">
        <v>258</v>
      </c>
    </row>
    <row r="69" spans="2:13" s="151" customFormat="1" x14ac:dyDescent="0.25">
      <c r="C69" s="342" t="s">
        <v>913</v>
      </c>
      <c r="D69" s="151" t="s">
        <v>550</v>
      </c>
      <c r="E69" s="151" t="s">
        <v>348</v>
      </c>
      <c r="F69" s="154" t="s">
        <v>556</v>
      </c>
      <c r="G69" s="151" t="s">
        <v>553</v>
      </c>
      <c r="H69" s="343">
        <v>14.1</v>
      </c>
      <c r="I69" s="343" t="s">
        <v>258</v>
      </c>
      <c r="J69" s="151" t="s">
        <v>566</v>
      </c>
      <c r="K69" s="343">
        <v>3.2</v>
      </c>
      <c r="L69" s="343" t="s">
        <v>258</v>
      </c>
      <c r="M69" s="151" t="s">
        <v>566</v>
      </c>
    </row>
    <row r="70" spans="2:13" s="151" customFormat="1" x14ac:dyDescent="0.25">
      <c r="C70" s="151" t="s">
        <v>348</v>
      </c>
      <c r="D70" s="151" t="s">
        <v>550</v>
      </c>
      <c r="E70" s="151" t="s">
        <v>348</v>
      </c>
      <c r="F70" s="154" t="s">
        <v>556</v>
      </c>
      <c r="G70" s="151" t="s">
        <v>553</v>
      </c>
      <c r="H70" s="150">
        <v>13.4</v>
      </c>
      <c r="I70" s="151" t="s">
        <v>258</v>
      </c>
      <c r="J70" s="151" t="s">
        <v>566</v>
      </c>
      <c r="K70" s="151">
        <v>3.1</v>
      </c>
      <c r="L70" s="151" t="s">
        <v>258</v>
      </c>
      <c r="M70" s="151" t="s">
        <v>566</v>
      </c>
    </row>
    <row r="71" spans="2:13" s="151" customFormat="1" x14ac:dyDescent="0.25">
      <c r="C71" s="151" t="s">
        <v>348</v>
      </c>
      <c r="D71" s="151" t="s">
        <v>550</v>
      </c>
      <c r="E71" s="151" t="s">
        <v>348</v>
      </c>
      <c r="F71" s="154" t="s">
        <v>556</v>
      </c>
      <c r="G71" s="151" t="s">
        <v>557</v>
      </c>
      <c r="H71" s="150" t="s">
        <v>258</v>
      </c>
      <c r="I71" s="150" t="s">
        <v>258</v>
      </c>
      <c r="J71" s="150" t="s">
        <v>258</v>
      </c>
      <c r="K71" s="150" t="s">
        <v>258</v>
      </c>
      <c r="L71" s="150" t="s">
        <v>258</v>
      </c>
      <c r="M71" s="151" t="s">
        <v>258</v>
      </c>
    </row>
    <row r="72" spans="2:13" s="151" customFormat="1" x14ac:dyDescent="0.25">
      <c r="C72" s="151" t="s">
        <v>348</v>
      </c>
      <c r="D72" s="151" t="s">
        <v>549</v>
      </c>
      <c r="E72" s="151" t="s">
        <v>801</v>
      </c>
      <c r="F72" s="154" t="s">
        <v>569</v>
      </c>
      <c r="G72" s="151" t="s">
        <v>561</v>
      </c>
      <c r="H72" s="150">
        <v>11</v>
      </c>
      <c r="I72" s="150" t="s">
        <v>258</v>
      </c>
      <c r="J72" s="150" t="s">
        <v>802</v>
      </c>
      <c r="K72" s="150" t="s">
        <v>258</v>
      </c>
      <c r="L72" s="150" t="s">
        <v>258</v>
      </c>
      <c r="M72" s="151" t="s">
        <v>258</v>
      </c>
    </row>
    <row r="73" spans="2:13" s="151" customFormat="1" x14ac:dyDescent="0.25">
      <c r="C73" s="151" t="s">
        <v>348</v>
      </c>
      <c r="D73" s="151" t="s">
        <v>549</v>
      </c>
      <c r="E73" s="151" t="s">
        <v>801</v>
      </c>
      <c r="F73" s="154" t="s">
        <v>569</v>
      </c>
      <c r="G73" s="151" t="s">
        <v>553</v>
      </c>
      <c r="H73" s="150">
        <v>10.4</v>
      </c>
      <c r="I73" s="150" t="s">
        <v>258</v>
      </c>
      <c r="J73" s="150" t="s">
        <v>802</v>
      </c>
      <c r="K73" s="150" t="s">
        <v>258</v>
      </c>
      <c r="L73" s="150" t="s">
        <v>258</v>
      </c>
      <c r="M73" s="151" t="s">
        <v>258</v>
      </c>
    </row>
    <row r="74" spans="2:13" s="151" customFormat="1" x14ac:dyDescent="0.25">
      <c r="C74" s="151" t="s">
        <v>348</v>
      </c>
      <c r="D74" s="151" t="s">
        <v>549</v>
      </c>
      <c r="E74" s="151" t="s">
        <v>801</v>
      </c>
      <c r="F74" s="154" t="s">
        <v>569</v>
      </c>
      <c r="G74" s="151" t="s">
        <v>552</v>
      </c>
      <c r="H74" s="150">
        <v>10.199999999999999</v>
      </c>
      <c r="I74" s="150" t="s">
        <v>258</v>
      </c>
      <c r="J74" s="150" t="s">
        <v>802</v>
      </c>
      <c r="K74" s="150" t="s">
        <v>258</v>
      </c>
      <c r="L74" s="150" t="s">
        <v>258</v>
      </c>
      <c r="M74" s="151" t="s">
        <v>258</v>
      </c>
    </row>
    <row r="75" spans="2:13" s="151" customFormat="1" x14ac:dyDescent="0.25">
      <c r="C75" s="151" t="s">
        <v>348</v>
      </c>
      <c r="D75" s="151" t="s">
        <v>549</v>
      </c>
      <c r="E75" s="151" t="s">
        <v>801</v>
      </c>
      <c r="F75" s="154" t="s">
        <v>569</v>
      </c>
      <c r="G75" s="151" t="s">
        <v>551</v>
      </c>
      <c r="H75" s="150">
        <v>10.199999999999999</v>
      </c>
      <c r="I75" s="150" t="s">
        <v>258</v>
      </c>
      <c r="J75" s="150" t="s">
        <v>803</v>
      </c>
      <c r="K75" s="150" t="s">
        <v>258</v>
      </c>
      <c r="L75" s="150" t="s">
        <v>258</v>
      </c>
      <c r="M75" s="151" t="s">
        <v>258</v>
      </c>
    </row>
    <row r="76" spans="2:13" s="151" customFormat="1" x14ac:dyDescent="0.25">
      <c r="B76" s="145" t="s">
        <v>245</v>
      </c>
    </row>
    <row r="77" spans="2:13" s="151" customFormat="1" x14ac:dyDescent="0.25"/>
    <row r="78" spans="2:13" s="151" customFormat="1" x14ac:dyDescent="0.25"/>
    <row r="79" spans="2:13" s="151" customFormat="1" x14ac:dyDescent="0.25"/>
    <row r="80" spans="2:13" s="151" customFormat="1" x14ac:dyDescent="0.25"/>
    <row r="81" s="151" customFormat="1" x14ac:dyDescent="0.25"/>
    <row r="82" s="151" customFormat="1" x14ac:dyDescent="0.25"/>
  </sheetData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A2950-6334-40EB-BE91-0051721B323C}">
  <sheetPr codeName="Sheet39">
    <tabColor theme="5" tint="-0.499984740745262"/>
  </sheetPr>
  <dimension ref="A1:O94"/>
  <sheetViews>
    <sheetView zoomScale="85" zoomScaleNormal="85" workbookViewId="0">
      <selection activeCell="J57" sqref="J57"/>
    </sheetView>
  </sheetViews>
  <sheetFormatPr defaultColWidth="9.140625" defaultRowHeight="15" x14ac:dyDescent="0.25"/>
  <cols>
    <col min="1" max="1" width="2.140625" style="145" customWidth="1"/>
    <col min="2" max="2" width="3.28515625" style="145" customWidth="1"/>
    <col min="3" max="3" width="17" style="151" customWidth="1"/>
    <col min="4" max="4" width="19.28515625" style="151" customWidth="1"/>
    <col min="5" max="5" width="22.85546875" style="151" customWidth="1"/>
    <col min="6" max="6" width="34.42578125" style="151" customWidth="1"/>
    <col min="7" max="7" width="15.28515625" style="151" customWidth="1"/>
    <col min="8" max="9" width="16.28515625" style="151" customWidth="1"/>
    <col min="10" max="10" width="30" style="151" customWidth="1"/>
    <col min="11" max="12" width="16.28515625" style="151" customWidth="1"/>
    <col min="13" max="13" width="30" style="151" customWidth="1"/>
    <col min="14" max="14" width="44.42578125" style="145" customWidth="1"/>
    <col min="15" max="16384" width="9.140625" style="145"/>
  </cols>
  <sheetData>
    <row r="1" spans="1:14" s="138" customFormat="1" x14ac:dyDescent="0.25">
      <c r="A1" s="138" t="s">
        <v>250</v>
      </c>
      <c r="B1" s="138" t="s">
        <v>1002</v>
      </c>
      <c r="C1" s="152"/>
      <c r="D1" s="152"/>
      <c r="E1" s="152"/>
      <c r="F1" s="152"/>
      <c r="G1" s="152"/>
      <c r="H1" s="152"/>
      <c r="I1" s="152"/>
      <c r="J1" s="152"/>
      <c r="K1" s="152"/>
      <c r="L1" s="152"/>
      <c r="M1" s="152"/>
      <c r="N1" s="141"/>
    </row>
    <row r="2" spans="1:14" s="138" customFormat="1" x14ac:dyDescent="0.25">
      <c r="A2" s="138" t="s">
        <v>250</v>
      </c>
      <c r="C2" s="152"/>
      <c r="D2" s="152"/>
      <c r="E2" s="152"/>
      <c r="F2" s="152"/>
      <c r="G2" s="152"/>
      <c r="H2" s="152"/>
      <c r="I2" s="152"/>
      <c r="J2" s="152"/>
      <c r="K2" s="152"/>
      <c r="L2" s="152"/>
      <c r="M2" s="152"/>
      <c r="N2" s="141"/>
    </row>
    <row r="3" spans="1:14" s="138" customFormat="1" x14ac:dyDescent="0.25">
      <c r="A3" s="138" t="s">
        <v>250</v>
      </c>
      <c r="B3" s="138" t="s">
        <v>356</v>
      </c>
      <c r="C3" s="152"/>
      <c r="D3" s="152"/>
      <c r="E3" s="152"/>
      <c r="F3" s="152"/>
      <c r="G3" s="152"/>
      <c r="H3" s="152"/>
      <c r="I3" s="152"/>
      <c r="J3" s="152"/>
      <c r="K3" s="152"/>
      <c r="L3" s="152"/>
      <c r="M3" s="152"/>
      <c r="N3" s="141"/>
    </row>
    <row r="4" spans="1:14" s="138" customFormat="1" x14ac:dyDescent="0.25">
      <c r="A4" s="138" t="s">
        <v>250</v>
      </c>
      <c r="C4" s="141" t="s">
        <v>570</v>
      </c>
      <c r="D4" s="152"/>
      <c r="E4" s="152"/>
      <c r="F4" s="152"/>
      <c r="G4" s="152"/>
      <c r="H4" s="152"/>
      <c r="I4" s="152"/>
      <c r="J4" s="152"/>
      <c r="K4" s="152"/>
      <c r="L4" s="152"/>
      <c r="M4" s="152"/>
      <c r="N4" s="141"/>
    </row>
    <row r="5" spans="1:14" s="138" customFormat="1" x14ac:dyDescent="0.25">
      <c r="A5" s="138" t="s">
        <v>250</v>
      </c>
      <c r="C5" s="152"/>
      <c r="D5" s="152"/>
      <c r="E5" s="152"/>
      <c r="F5" s="152"/>
      <c r="G5" s="152"/>
      <c r="H5" s="152"/>
      <c r="I5" s="152"/>
      <c r="J5" s="152"/>
      <c r="K5" s="152"/>
      <c r="L5" s="152"/>
      <c r="M5" s="152"/>
      <c r="N5" s="141"/>
    </row>
    <row r="6" spans="1:14" s="138" customFormat="1" x14ac:dyDescent="0.25">
      <c r="A6" s="138" t="s">
        <v>250</v>
      </c>
      <c r="B6" s="138" t="s">
        <v>357</v>
      </c>
      <c r="C6" s="152"/>
      <c r="D6" s="152"/>
      <c r="E6" s="152"/>
      <c r="F6" s="152"/>
      <c r="G6" s="152"/>
      <c r="H6" s="152"/>
      <c r="I6" s="152"/>
      <c r="J6" s="152"/>
      <c r="K6" s="152"/>
      <c r="L6" s="152"/>
      <c r="M6" s="152"/>
      <c r="N6" s="141"/>
    </row>
    <row r="7" spans="1:14" s="138" customFormat="1" x14ac:dyDescent="0.25">
      <c r="A7" s="138" t="s">
        <v>250</v>
      </c>
      <c r="C7" s="141" t="s">
        <v>262</v>
      </c>
      <c r="D7" s="141" t="s">
        <v>264</v>
      </c>
      <c r="E7" s="152"/>
      <c r="F7" s="152"/>
      <c r="G7" s="152"/>
      <c r="H7" s="152"/>
      <c r="I7" s="152"/>
      <c r="J7" s="152"/>
      <c r="K7" s="152"/>
      <c r="L7" s="152"/>
      <c r="M7" s="152"/>
      <c r="N7" s="141"/>
    </row>
    <row r="8" spans="1:14" s="138" customFormat="1" x14ac:dyDescent="0.25">
      <c r="A8" s="138" t="s">
        <v>250</v>
      </c>
      <c r="C8" s="144">
        <v>43635</v>
      </c>
      <c r="D8" s="141" t="s">
        <v>1036</v>
      </c>
      <c r="E8" s="152"/>
      <c r="F8" s="152"/>
      <c r="G8" s="152"/>
      <c r="H8" s="152"/>
      <c r="I8" s="152"/>
      <c r="J8" s="152"/>
      <c r="K8" s="152"/>
      <c r="L8" s="152"/>
      <c r="M8" s="152"/>
      <c r="N8" s="141"/>
    </row>
    <row r="9" spans="1:14" x14ac:dyDescent="0.25">
      <c r="A9" s="145" t="s">
        <v>250</v>
      </c>
      <c r="C9" s="32">
        <v>43083</v>
      </c>
      <c r="D9" s="145" t="s">
        <v>1003</v>
      </c>
    </row>
    <row r="10" spans="1:14" x14ac:dyDescent="0.25">
      <c r="A10" s="145" t="s">
        <v>250</v>
      </c>
      <c r="C10" s="32">
        <v>43681</v>
      </c>
      <c r="D10" s="145" t="s">
        <v>1039</v>
      </c>
    </row>
    <row r="11" spans="1:14" x14ac:dyDescent="0.25">
      <c r="A11" s="145" t="s">
        <v>250</v>
      </c>
      <c r="C11" s="32">
        <v>44070</v>
      </c>
      <c r="D11" s="145" t="s">
        <v>1062</v>
      </c>
    </row>
    <row r="12" spans="1:14" x14ac:dyDescent="0.25">
      <c r="A12" s="145" t="s">
        <v>250</v>
      </c>
      <c r="C12" s="32"/>
      <c r="D12" s="145"/>
    </row>
    <row r="13" spans="1:14" s="138" customFormat="1" x14ac:dyDescent="0.25">
      <c r="A13" s="138" t="s">
        <v>250</v>
      </c>
      <c r="B13" s="116" t="s">
        <v>358</v>
      </c>
      <c r="C13" s="116"/>
      <c r="D13" s="152"/>
      <c r="E13" s="152"/>
      <c r="F13" s="152"/>
      <c r="G13" s="152"/>
      <c r="H13" s="152"/>
      <c r="I13" s="152"/>
      <c r="J13" s="152"/>
      <c r="K13" s="152"/>
      <c r="L13" s="152"/>
      <c r="M13" s="152"/>
      <c r="N13" s="141"/>
    </row>
    <row r="14" spans="1:14" x14ac:dyDescent="0.25">
      <c r="A14" s="145" t="s">
        <v>250</v>
      </c>
      <c r="B14" s="351"/>
      <c r="C14" s="351" t="s">
        <v>381</v>
      </c>
    </row>
    <row r="15" spans="1:14" x14ac:dyDescent="0.25">
      <c r="A15" s="145" t="s">
        <v>250</v>
      </c>
      <c r="B15" s="351"/>
      <c r="C15" s="351" t="s">
        <v>1004</v>
      </c>
    </row>
    <row r="16" spans="1:14" x14ac:dyDescent="0.25">
      <c r="A16" s="145" t="s">
        <v>250</v>
      </c>
      <c r="B16" s="351"/>
      <c r="C16" s="351" t="s">
        <v>1005</v>
      </c>
    </row>
    <row r="17" spans="1:14" x14ac:dyDescent="0.25">
      <c r="A17" s="145" t="s">
        <v>250</v>
      </c>
      <c r="B17" s="351"/>
      <c r="C17" s="351" t="s">
        <v>1057</v>
      </c>
    </row>
    <row r="18" spans="1:14" x14ac:dyDescent="0.25">
      <c r="A18" s="145" t="s">
        <v>250</v>
      </c>
      <c r="B18" s="351"/>
      <c r="C18" s="351" t="s">
        <v>783</v>
      </c>
    </row>
    <row r="19" spans="1:14" s="138" customFormat="1" x14ac:dyDescent="0.25">
      <c r="A19" s="138" t="s">
        <v>250</v>
      </c>
      <c r="B19" s="116" t="s">
        <v>355</v>
      </c>
      <c r="C19" s="116"/>
      <c r="D19" s="152"/>
      <c r="E19" s="152"/>
      <c r="F19" s="152"/>
      <c r="G19" s="152"/>
      <c r="H19" s="152"/>
      <c r="I19" s="152"/>
      <c r="J19" s="152"/>
      <c r="K19" s="152"/>
      <c r="L19" s="152"/>
      <c r="M19" s="152"/>
      <c r="N19" s="141"/>
    </row>
    <row r="20" spans="1:14" x14ac:dyDescent="0.25">
      <c r="A20" s="145" t="s">
        <v>250</v>
      </c>
      <c r="B20" s="351"/>
      <c r="C20" s="351" t="s">
        <v>382</v>
      </c>
      <c r="E20" s="352"/>
    </row>
    <row r="21" spans="1:14" x14ac:dyDescent="0.25">
      <c r="A21" s="145" t="s">
        <v>250</v>
      </c>
      <c r="B21" s="351"/>
      <c r="C21" s="351" t="s">
        <v>383</v>
      </c>
      <c r="E21" s="352"/>
    </row>
    <row r="22" spans="1:14" x14ac:dyDescent="0.25">
      <c r="A22" s="145" t="s">
        <v>250</v>
      </c>
      <c r="B22" s="351"/>
      <c r="C22" s="351" t="s">
        <v>1058</v>
      </c>
      <c r="E22" s="352"/>
    </row>
    <row r="23" spans="1:14" x14ac:dyDescent="0.25">
      <c r="A23" s="145" t="s">
        <v>250</v>
      </c>
      <c r="B23" s="351"/>
      <c r="C23" s="351"/>
      <c r="E23" s="352"/>
    </row>
    <row r="24" spans="1:14" s="138" customFormat="1" x14ac:dyDescent="0.25">
      <c r="A24" s="138" t="s">
        <v>250</v>
      </c>
      <c r="B24" s="116" t="s">
        <v>354</v>
      </c>
      <c r="C24" s="116"/>
      <c r="D24" s="152"/>
      <c r="E24" s="152"/>
      <c r="F24" s="152"/>
      <c r="G24" s="152"/>
      <c r="H24" s="152"/>
      <c r="I24" s="152"/>
      <c r="J24" s="152"/>
      <c r="K24" s="152"/>
      <c r="L24" s="152"/>
      <c r="M24" s="152"/>
      <c r="N24" s="141"/>
    </row>
    <row r="25" spans="1:14" x14ac:dyDescent="0.25">
      <c r="A25" s="145" t="s">
        <v>250</v>
      </c>
      <c r="B25" s="351"/>
      <c r="C25" s="116" t="s">
        <v>911</v>
      </c>
      <c r="D25" s="353"/>
      <c r="E25" s="353"/>
      <c r="F25" s="353"/>
      <c r="G25" s="353"/>
      <c r="H25" s="353"/>
    </row>
    <row r="26" spans="1:14" x14ac:dyDescent="0.25">
      <c r="A26" s="145" t="s">
        <v>250</v>
      </c>
      <c r="B26" s="351"/>
      <c r="C26" s="351"/>
      <c r="E26" s="352"/>
    </row>
    <row r="27" spans="1:14" s="138" customFormat="1" x14ac:dyDescent="0.25">
      <c r="A27" s="138" t="s">
        <v>365</v>
      </c>
      <c r="C27" s="152"/>
      <c r="D27" s="152"/>
      <c r="E27" s="152"/>
      <c r="F27" s="152"/>
      <c r="G27" s="152"/>
      <c r="H27" s="152"/>
      <c r="I27" s="152"/>
      <c r="J27" s="152"/>
      <c r="K27" s="152"/>
      <c r="L27" s="152"/>
      <c r="M27" s="152"/>
      <c r="N27" s="141"/>
    </row>
    <row r="28" spans="1:14" s="151" customFormat="1" x14ac:dyDescent="0.25">
      <c r="A28" s="145"/>
      <c r="B28" s="140" t="str">
        <f>"TABLE "&amp;$C$4</f>
        <v>TABLE UnitaryACHPMinEffReq</v>
      </c>
      <c r="N28" s="145"/>
    </row>
    <row r="29" spans="1:14" x14ac:dyDescent="0.25">
      <c r="C29" s="151" t="s">
        <v>912</v>
      </c>
      <c r="D29" s="151" t="s">
        <v>558</v>
      </c>
      <c r="E29" s="151" t="s">
        <v>571</v>
      </c>
      <c r="F29" s="153" t="s">
        <v>568</v>
      </c>
      <c r="G29" s="153" t="s">
        <v>279</v>
      </c>
      <c r="H29" s="151" t="s">
        <v>11</v>
      </c>
      <c r="I29" s="151" t="s">
        <v>12</v>
      </c>
      <c r="J29" s="151" t="s">
        <v>559</v>
      </c>
      <c r="K29" s="151" t="s">
        <v>930</v>
      </c>
      <c r="L29" s="151" t="s">
        <v>931</v>
      </c>
      <c r="M29" s="151" t="s">
        <v>560</v>
      </c>
      <c r="N29" s="145" t="s">
        <v>9</v>
      </c>
    </row>
    <row r="30" spans="1:14" x14ac:dyDescent="0.25">
      <c r="C30" s="371" t="s">
        <v>1037</v>
      </c>
      <c r="D30" s="151" t="s">
        <v>1007</v>
      </c>
      <c r="E30" s="151" t="s">
        <v>348</v>
      </c>
      <c r="F30" s="153" t="s">
        <v>569</v>
      </c>
      <c r="G30" s="153" t="s">
        <v>561</v>
      </c>
      <c r="H30" s="370">
        <v>11</v>
      </c>
      <c r="I30" s="370">
        <v>0</v>
      </c>
      <c r="J30" s="151" t="s">
        <v>1008</v>
      </c>
      <c r="K30" s="358">
        <v>0</v>
      </c>
      <c r="L30" s="358">
        <v>0</v>
      </c>
      <c r="M30" s="151" t="s">
        <v>258</v>
      </c>
    </row>
    <row r="31" spans="1:14" x14ac:dyDescent="0.25">
      <c r="C31" s="354" t="s">
        <v>1006</v>
      </c>
      <c r="D31" s="151" t="s">
        <v>1007</v>
      </c>
      <c r="E31" s="151" t="s">
        <v>348</v>
      </c>
      <c r="F31" s="153" t="s">
        <v>569</v>
      </c>
      <c r="G31" s="153" t="s">
        <v>561</v>
      </c>
      <c r="H31" s="355">
        <v>11</v>
      </c>
      <c r="I31" s="355">
        <v>0</v>
      </c>
      <c r="J31" s="151" t="s">
        <v>1008</v>
      </c>
      <c r="K31" s="358">
        <v>0</v>
      </c>
      <c r="L31" s="358">
        <v>0</v>
      </c>
      <c r="M31" s="151" t="s">
        <v>258</v>
      </c>
    </row>
    <row r="32" spans="1:14" x14ac:dyDescent="0.25">
      <c r="C32" s="151" t="s">
        <v>348</v>
      </c>
      <c r="D32" s="151" t="s">
        <v>1007</v>
      </c>
      <c r="E32" s="151" t="s">
        <v>348</v>
      </c>
      <c r="F32" s="153" t="s">
        <v>569</v>
      </c>
      <c r="G32" s="153" t="s">
        <v>561</v>
      </c>
      <c r="H32" s="150">
        <v>10</v>
      </c>
      <c r="I32" s="150">
        <v>0</v>
      </c>
      <c r="J32" s="151" t="s">
        <v>1008</v>
      </c>
      <c r="K32" s="358">
        <v>0</v>
      </c>
      <c r="L32" s="358">
        <v>0</v>
      </c>
      <c r="M32" s="151" t="s">
        <v>258</v>
      </c>
    </row>
    <row r="33" spans="3:14" x14ac:dyDescent="0.25">
      <c r="C33" s="151" t="s">
        <v>348</v>
      </c>
      <c r="D33" s="151" t="s">
        <v>1007</v>
      </c>
      <c r="E33" s="151" t="s">
        <v>348</v>
      </c>
      <c r="F33" s="153" t="s">
        <v>569</v>
      </c>
      <c r="G33" s="153" t="s">
        <v>348</v>
      </c>
      <c r="H33" s="150">
        <v>10</v>
      </c>
      <c r="I33" s="150">
        <v>0</v>
      </c>
      <c r="J33" s="151" t="s">
        <v>1008</v>
      </c>
      <c r="K33" s="358">
        <v>0</v>
      </c>
      <c r="L33" s="358">
        <v>0</v>
      </c>
      <c r="M33" s="151" t="s">
        <v>258</v>
      </c>
    </row>
    <row r="34" spans="3:14" x14ac:dyDescent="0.25">
      <c r="C34" s="151" t="s">
        <v>348</v>
      </c>
      <c r="D34" s="151" t="s">
        <v>549</v>
      </c>
      <c r="E34" s="153" t="s">
        <v>928</v>
      </c>
      <c r="F34" s="153" t="s">
        <v>569</v>
      </c>
      <c r="G34" s="151" t="s">
        <v>927</v>
      </c>
      <c r="H34" s="150">
        <v>12.2</v>
      </c>
      <c r="I34" s="150">
        <v>0</v>
      </c>
      <c r="J34" s="151" t="s">
        <v>1038</v>
      </c>
      <c r="K34" s="358">
        <v>0</v>
      </c>
      <c r="L34" s="358">
        <v>0</v>
      </c>
      <c r="M34" s="151" t="s">
        <v>258</v>
      </c>
    </row>
    <row r="35" spans="3:14" x14ac:dyDescent="0.25">
      <c r="C35" s="151" t="s">
        <v>348</v>
      </c>
      <c r="D35" s="151" t="s">
        <v>549</v>
      </c>
      <c r="E35" s="153" t="s">
        <v>928</v>
      </c>
      <c r="F35" s="153" t="s">
        <v>569</v>
      </c>
      <c r="G35" s="151" t="s">
        <v>561</v>
      </c>
      <c r="H35" s="150">
        <v>11.7</v>
      </c>
      <c r="I35" s="150">
        <v>0</v>
      </c>
      <c r="J35" s="151" t="s">
        <v>1038</v>
      </c>
      <c r="K35" s="358">
        <v>0</v>
      </c>
      <c r="L35" s="358">
        <v>0</v>
      </c>
      <c r="M35" s="151" t="s">
        <v>258</v>
      </c>
    </row>
    <row r="36" spans="3:14" x14ac:dyDescent="0.25">
      <c r="C36" s="151" t="s">
        <v>348</v>
      </c>
      <c r="D36" s="151" t="s">
        <v>549</v>
      </c>
      <c r="E36" s="153" t="s">
        <v>929</v>
      </c>
      <c r="F36" s="153" t="s">
        <v>569</v>
      </c>
      <c r="G36" s="151" t="s">
        <v>561</v>
      </c>
      <c r="H36" s="150">
        <v>11</v>
      </c>
      <c r="I36" s="150">
        <v>0</v>
      </c>
      <c r="J36" s="151" t="s">
        <v>1038</v>
      </c>
      <c r="K36" s="358">
        <v>0</v>
      </c>
      <c r="L36" s="358">
        <v>0</v>
      </c>
      <c r="M36" s="151" t="s">
        <v>258</v>
      </c>
    </row>
    <row r="37" spans="3:14" s="151" customFormat="1" x14ac:dyDescent="0.25">
      <c r="C37" s="151" t="s">
        <v>348</v>
      </c>
      <c r="D37" s="151" t="s">
        <v>549</v>
      </c>
      <c r="E37" s="153" t="s">
        <v>348</v>
      </c>
      <c r="F37" s="153" t="s">
        <v>569</v>
      </c>
      <c r="G37" s="151" t="s">
        <v>561</v>
      </c>
      <c r="H37" s="358">
        <v>0</v>
      </c>
      <c r="I37" s="358">
        <v>0</v>
      </c>
      <c r="J37" s="356" t="s">
        <v>258</v>
      </c>
      <c r="K37" s="358">
        <v>0</v>
      </c>
      <c r="L37" s="358">
        <v>0</v>
      </c>
      <c r="M37" s="151" t="s">
        <v>258</v>
      </c>
      <c r="N37" s="145" t="s">
        <v>1053</v>
      </c>
    </row>
    <row r="38" spans="3:14" s="151" customFormat="1" x14ac:dyDescent="0.25">
      <c r="C38" s="151" t="s">
        <v>348</v>
      </c>
      <c r="D38" s="151" t="s">
        <v>549</v>
      </c>
      <c r="E38" s="153" t="s">
        <v>348</v>
      </c>
      <c r="F38" s="153" t="s">
        <v>569</v>
      </c>
      <c r="G38" s="151" t="s">
        <v>553</v>
      </c>
      <c r="H38" s="150">
        <v>11.2</v>
      </c>
      <c r="I38" s="150">
        <v>12.9</v>
      </c>
      <c r="J38" s="151" t="s">
        <v>563</v>
      </c>
      <c r="K38" s="358">
        <v>0</v>
      </c>
      <c r="L38" s="358">
        <v>0</v>
      </c>
      <c r="M38" s="151" t="s">
        <v>258</v>
      </c>
      <c r="N38" s="145"/>
    </row>
    <row r="39" spans="3:14" s="151" customFormat="1" x14ac:dyDescent="0.25">
      <c r="C39" s="151" t="s">
        <v>348</v>
      </c>
      <c r="D39" s="151" t="s">
        <v>549</v>
      </c>
      <c r="E39" s="153" t="s">
        <v>348</v>
      </c>
      <c r="F39" s="153" t="s">
        <v>569</v>
      </c>
      <c r="G39" s="151" t="s">
        <v>552</v>
      </c>
      <c r="H39" s="150">
        <v>11</v>
      </c>
      <c r="I39" s="150">
        <v>12.4</v>
      </c>
      <c r="J39" s="151" t="s">
        <v>563</v>
      </c>
      <c r="K39" s="358">
        <v>0</v>
      </c>
      <c r="L39" s="358">
        <v>0</v>
      </c>
      <c r="M39" s="151" t="s">
        <v>258</v>
      </c>
      <c r="N39" s="145"/>
    </row>
    <row r="40" spans="3:14" s="151" customFormat="1" x14ac:dyDescent="0.25">
      <c r="C40" s="151" t="s">
        <v>348</v>
      </c>
      <c r="D40" s="151" t="s">
        <v>549</v>
      </c>
      <c r="E40" s="153" t="s">
        <v>348</v>
      </c>
      <c r="F40" s="153" t="s">
        <v>569</v>
      </c>
      <c r="G40" s="151" t="s">
        <v>555</v>
      </c>
      <c r="H40" s="150">
        <v>10</v>
      </c>
      <c r="I40" s="150">
        <v>11.6</v>
      </c>
      <c r="J40" s="151" t="s">
        <v>563</v>
      </c>
      <c r="K40" s="358">
        <v>0</v>
      </c>
      <c r="L40" s="358">
        <v>0</v>
      </c>
      <c r="M40" s="151" t="s">
        <v>258</v>
      </c>
      <c r="N40" s="145"/>
    </row>
    <row r="41" spans="3:14" s="151" customFormat="1" x14ac:dyDescent="0.25">
      <c r="C41" s="151" t="s">
        <v>348</v>
      </c>
      <c r="D41" s="151" t="s">
        <v>549</v>
      </c>
      <c r="E41" s="153" t="s">
        <v>348</v>
      </c>
      <c r="F41" s="153" t="s">
        <v>569</v>
      </c>
      <c r="G41" s="151" t="s">
        <v>554</v>
      </c>
      <c r="H41" s="150">
        <v>9.6999999999999993</v>
      </c>
      <c r="I41" s="150">
        <v>11.2</v>
      </c>
      <c r="J41" s="151" t="s">
        <v>563</v>
      </c>
      <c r="K41" s="358">
        <v>0</v>
      </c>
      <c r="L41" s="358">
        <v>0</v>
      </c>
      <c r="M41" s="151" t="s">
        <v>258</v>
      </c>
      <c r="N41" s="145"/>
    </row>
    <row r="42" spans="3:14" s="151" customFormat="1" x14ac:dyDescent="0.25">
      <c r="C42" s="151" t="s">
        <v>348</v>
      </c>
      <c r="D42" s="151" t="s">
        <v>549</v>
      </c>
      <c r="E42" s="151" t="s">
        <v>348</v>
      </c>
      <c r="F42" s="153" t="s">
        <v>546</v>
      </c>
      <c r="G42" s="151" t="s">
        <v>564</v>
      </c>
      <c r="H42" s="155">
        <v>12.1</v>
      </c>
      <c r="I42" s="155">
        <v>0</v>
      </c>
      <c r="J42" s="151" t="s">
        <v>565</v>
      </c>
      <c r="K42" s="358">
        <v>0</v>
      </c>
      <c r="L42" s="358">
        <v>0</v>
      </c>
      <c r="M42" s="151" t="s">
        <v>258</v>
      </c>
      <c r="N42" s="145"/>
    </row>
    <row r="43" spans="3:14" s="151" customFormat="1" x14ac:dyDescent="0.25">
      <c r="C43" s="151" t="s">
        <v>348</v>
      </c>
      <c r="D43" s="151" t="s">
        <v>549</v>
      </c>
      <c r="E43" s="151" t="s">
        <v>348</v>
      </c>
      <c r="F43" s="153" t="s">
        <v>546</v>
      </c>
      <c r="G43" s="151" t="s">
        <v>561</v>
      </c>
      <c r="H43" s="155">
        <v>12.1</v>
      </c>
      <c r="I43" s="155">
        <v>0</v>
      </c>
      <c r="J43" s="151" t="s">
        <v>565</v>
      </c>
      <c r="K43" s="358">
        <v>0</v>
      </c>
      <c r="L43" s="358">
        <v>0</v>
      </c>
      <c r="M43" s="151" t="s">
        <v>258</v>
      </c>
      <c r="N43" s="145"/>
    </row>
    <row r="44" spans="3:14" s="151" customFormat="1" x14ac:dyDescent="0.25">
      <c r="C44" s="151" t="s">
        <v>348</v>
      </c>
      <c r="D44" s="151" t="s">
        <v>549</v>
      </c>
      <c r="E44" s="151" t="s">
        <v>348</v>
      </c>
      <c r="F44" s="153" t="s">
        <v>546</v>
      </c>
      <c r="G44" s="151" t="s">
        <v>553</v>
      </c>
      <c r="H44" s="150">
        <v>12.1</v>
      </c>
      <c r="I44" s="150">
        <v>13.9</v>
      </c>
      <c r="J44" s="151" t="s">
        <v>563</v>
      </c>
      <c r="K44" s="358">
        <v>0</v>
      </c>
      <c r="L44" s="358">
        <v>0</v>
      </c>
      <c r="M44" s="151" t="s">
        <v>258</v>
      </c>
      <c r="N44" s="145"/>
    </row>
    <row r="45" spans="3:14" s="151" customFormat="1" x14ac:dyDescent="0.25">
      <c r="C45" s="151" t="s">
        <v>348</v>
      </c>
      <c r="D45" s="151" t="s">
        <v>549</v>
      </c>
      <c r="E45" s="151" t="s">
        <v>348</v>
      </c>
      <c r="F45" s="153" t="s">
        <v>546</v>
      </c>
      <c r="G45" s="151" t="s">
        <v>552</v>
      </c>
      <c r="H45" s="150">
        <v>12.5</v>
      </c>
      <c r="I45" s="150">
        <v>13.9</v>
      </c>
      <c r="J45" s="151" t="s">
        <v>563</v>
      </c>
      <c r="K45" s="358">
        <v>0</v>
      </c>
      <c r="L45" s="358">
        <v>0</v>
      </c>
      <c r="M45" s="151" t="s">
        <v>258</v>
      </c>
      <c r="N45" s="145"/>
    </row>
    <row r="46" spans="3:14" s="151" customFormat="1" x14ac:dyDescent="0.25">
      <c r="C46" s="151" t="s">
        <v>348</v>
      </c>
      <c r="D46" s="151" t="s">
        <v>549</v>
      </c>
      <c r="E46" s="151" t="s">
        <v>348</v>
      </c>
      <c r="F46" s="153" t="s">
        <v>546</v>
      </c>
      <c r="G46" s="151" t="s">
        <v>555</v>
      </c>
      <c r="H46" s="150">
        <v>12.4</v>
      </c>
      <c r="I46" s="150">
        <v>13.6</v>
      </c>
      <c r="J46" s="151" t="s">
        <v>563</v>
      </c>
      <c r="K46" s="358">
        <v>0</v>
      </c>
      <c r="L46" s="358">
        <v>0</v>
      </c>
      <c r="M46" s="151" t="s">
        <v>258</v>
      </c>
      <c r="N46" s="145"/>
    </row>
    <row r="47" spans="3:14" s="151" customFormat="1" x14ac:dyDescent="0.25">
      <c r="C47" s="151" t="s">
        <v>348</v>
      </c>
      <c r="D47" s="151" t="s">
        <v>549</v>
      </c>
      <c r="E47" s="151" t="s">
        <v>348</v>
      </c>
      <c r="F47" s="153" t="s">
        <v>546</v>
      </c>
      <c r="G47" s="151" t="s">
        <v>554</v>
      </c>
      <c r="H47" s="150">
        <v>12.2</v>
      </c>
      <c r="I47" s="150">
        <v>13.5</v>
      </c>
      <c r="J47" s="151" t="s">
        <v>563</v>
      </c>
      <c r="K47" s="358">
        <v>0</v>
      </c>
      <c r="L47" s="358">
        <v>0</v>
      </c>
      <c r="M47" s="151" t="s">
        <v>258</v>
      </c>
      <c r="N47" s="145"/>
    </row>
    <row r="48" spans="3:14" s="151" customFormat="1" x14ac:dyDescent="0.25">
      <c r="C48" s="151" t="s">
        <v>348</v>
      </c>
      <c r="D48" s="151" t="s">
        <v>549</v>
      </c>
      <c r="E48" s="151" t="s">
        <v>348</v>
      </c>
      <c r="F48" s="153" t="s">
        <v>548</v>
      </c>
      <c r="G48" s="151" t="s">
        <v>561</v>
      </c>
      <c r="H48" s="150">
        <v>12.1</v>
      </c>
      <c r="I48" s="150">
        <v>0</v>
      </c>
      <c r="J48" s="151" t="s">
        <v>562</v>
      </c>
      <c r="K48" s="358">
        <v>0</v>
      </c>
      <c r="L48" s="358">
        <v>0</v>
      </c>
      <c r="M48" s="151" t="s">
        <v>258</v>
      </c>
      <c r="N48" s="145"/>
    </row>
    <row r="49" spans="3:15" s="151" customFormat="1" x14ac:dyDescent="0.25">
      <c r="C49" s="151" t="s">
        <v>348</v>
      </c>
      <c r="D49" s="151" t="s">
        <v>549</v>
      </c>
      <c r="E49" s="151" t="s">
        <v>348</v>
      </c>
      <c r="F49" s="153" t="s">
        <v>548</v>
      </c>
      <c r="G49" s="151" t="s">
        <v>553</v>
      </c>
      <c r="H49" s="150">
        <v>12.1</v>
      </c>
      <c r="I49" s="150">
        <v>12.3</v>
      </c>
      <c r="J49" s="151" t="s">
        <v>563</v>
      </c>
      <c r="K49" s="358">
        <v>0</v>
      </c>
      <c r="L49" s="358">
        <v>0</v>
      </c>
      <c r="M49" s="151" t="s">
        <v>258</v>
      </c>
      <c r="N49" s="145"/>
    </row>
    <row r="50" spans="3:15" s="151" customFormat="1" x14ac:dyDescent="0.25">
      <c r="C50" s="151" t="s">
        <v>348</v>
      </c>
      <c r="D50" s="151" t="s">
        <v>549</v>
      </c>
      <c r="E50" s="151" t="s">
        <v>348</v>
      </c>
      <c r="F50" s="153" t="s">
        <v>548</v>
      </c>
      <c r="G50" s="151" t="s">
        <v>552</v>
      </c>
      <c r="H50" s="150">
        <v>12</v>
      </c>
      <c r="I50" s="150">
        <v>12.2</v>
      </c>
      <c r="J50" s="151" t="s">
        <v>563</v>
      </c>
      <c r="K50" s="358">
        <v>0</v>
      </c>
      <c r="L50" s="358">
        <v>0</v>
      </c>
      <c r="M50" s="151" t="s">
        <v>258</v>
      </c>
      <c r="N50" s="145"/>
    </row>
    <row r="51" spans="3:15" s="151" customFormat="1" x14ac:dyDescent="0.25">
      <c r="C51" s="151" t="s">
        <v>348</v>
      </c>
      <c r="D51" s="151" t="s">
        <v>549</v>
      </c>
      <c r="E51" s="151" t="s">
        <v>348</v>
      </c>
      <c r="F51" s="153" t="s">
        <v>548</v>
      </c>
      <c r="G51" s="151" t="s">
        <v>555</v>
      </c>
      <c r="H51" s="150">
        <v>11.9</v>
      </c>
      <c r="I51" s="150">
        <v>12.1</v>
      </c>
      <c r="J51" s="151" t="s">
        <v>563</v>
      </c>
      <c r="K51" s="358">
        <v>0</v>
      </c>
      <c r="L51" s="358">
        <v>0</v>
      </c>
      <c r="M51" s="151" t="s">
        <v>258</v>
      </c>
      <c r="N51" s="145"/>
    </row>
    <row r="52" spans="3:15" s="151" customFormat="1" x14ac:dyDescent="0.25">
      <c r="C52" s="151" t="s">
        <v>348</v>
      </c>
      <c r="D52" s="151" t="s">
        <v>549</v>
      </c>
      <c r="E52" s="151" t="s">
        <v>348</v>
      </c>
      <c r="F52" s="153" t="s">
        <v>548</v>
      </c>
      <c r="G52" s="151" t="s">
        <v>554</v>
      </c>
      <c r="H52" s="150">
        <v>11.7</v>
      </c>
      <c r="I52" s="150">
        <v>11.9</v>
      </c>
      <c r="J52" s="151" t="s">
        <v>563</v>
      </c>
      <c r="K52" s="358">
        <v>0</v>
      </c>
      <c r="L52" s="358">
        <v>0</v>
      </c>
      <c r="M52" s="151" t="s">
        <v>258</v>
      </c>
      <c r="N52" s="145"/>
    </row>
    <row r="53" spans="3:15" x14ac:dyDescent="0.25">
      <c r="C53" s="371" t="s">
        <v>1037</v>
      </c>
      <c r="D53" s="151" t="s">
        <v>1009</v>
      </c>
      <c r="E53" s="151" t="s">
        <v>348</v>
      </c>
      <c r="F53" s="153" t="s">
        <v>569</v>
      </c>
      <c r="G53" s="153" t="s">
        <v>561</v>
      </c>
      <c r="H53" s="370">
        <v>11</v>
      </c>
      <c r="I53" s="370">
        <v>0</v>
      </c>
      <c r="J53" s="151" t="s">
        <v>1008</v>
      </c>
      <c r="K53" s="370">
        <v>3.3</v>
      </c>
      <c r="L53" s="370">
        <v>0</v>
      </c>
      <c r="M53" s="151" t="s">
        <v>1008</v>
      </c>
      <c r="N53" s="145" t="s">
        <v>1055</v>
      </c>
    </row>
    <row r="54" spans="3:15" x14ac:dyDescent="0.25">
      <c r="C54" s="354" t="s">
        <v>1006</v>
      </c>
      <c r="D54" s="151" t="s">
        <v>1009</v>
      </c>
      <c r="E54" s="151" t="s">
        <v>348</v>
      </c>
      <c r="F54" s="153" t="s">
        <v>569</v>
      </c>
      <c r="G54" s="153" t="s">
        <v>561</v>
      </c>
      <c r="H54" s="355">
        <v>11</v>
      </c>
      <c r="I54" s="355">
        <v>0</v>
      </c>
      <c r="J54" s="151" t="s">
        <v>1008</v>
      </c>
      <c r="K54" s="355">
        <v>3.3</v>
      </c>
      <c r="L54" s="355">
        <v>0</v>
      </c>
      <c r="M54" s="151" t="s">
        <v>1008</v>
      </c>
      <c r="N54" s="145" t="s">
        <v>1055</v>
      </c>
    </row>
    <row r="55" spans="3:15" x14ac:dyDescent="0.25">
      <c r="C55" s="151" t="s">
        <v>348</v>
      </c>
      <c r="D55" s="151" t="s">
        <v>1009</v>
      </c>
      <c r="E55" s="151" t="s">
        <v>348</v>
      </c>
      <c r="F55" s="153" t="s">
        <v>569</v>
      </c>
      <c r="G55" s="153" t="s">
        <v>561</v>
      </c>
      <c r="H55" s="150">
        <v>10</v>
      </c>
      <c r="I55" s="150">
        <v>0</v>
      </c>
      <c r="J55" s="151" t="s">
        <v>1008</v>
      </c>
      <c r="K55" s="150">
        <v>3</v>
      </c>
      <c r="L55" s="150">
        <v>0</v>
      </c>
      <c r="M55" s="151" t="s">
        <v>1008</v>
      </c>
      <c r="N55" s="145" t="s">
        <v>1055</v>
      </c>
    </row>
    <row r="56" spans="3:15" x14ac:dyDescent="0.25">
      <c r="C56" s="151" t="s">
        <v>348</v>
      </c>
      <c r="D56" s="151" t="s">
        <v>1009</v>
      </c>
      <c r="E56" s="151" t="s">
        <v>348</v>
      </c>
      <c r="F56" s="153" t="s">
        <v>569</v>
      </c>
      <c r="G56" s="153" t="s">
        <v>348</v>
      </c>
      <c r="H56" s="150">
        <v>10</v>
      </c>
      <c r="I56" s="150">
        <v>0</v>
      </c>
      <c r="J56" s="151" t="s">
        <v>1008</v>
      </c>
      <c r="K56" s="150">
        <v>3</v>
      </c>
      <c r="L56" s="150">
        <v>0</v>
      </c>
      <c r="M56" s="151" t="s">
        <v>1008</v>
      </c>
      <c r="N56" s="145" t="s">
        <v>1055</v>
      </c>
    </row>
    <row r="57" spans="3:15" x14ac:dyDescent="0.25">
      <c r="C57" s="151" t="s">
        <v>348</v>
      </c>
      <c r="D57" s="151" t="s">
        <v>550</v>
      </c>
      <c r="E57" s="153" t="s">
        <v>928</v>
      </c>
      <c r="F57" s="153" t="s">
        <v>569</v>
      </c>
      <c r="G57" s="151" t="s">
        <v>927</v>
      </c>
      <c r="H57" s="358">
        <v>0</v>
      </c>
      <c r="I57" s="150">
        <v>0</v>
      </c>
      <c r="J57" s="151" t="s">
        <v>1064</v>
      </c>
      <c r="K57" s="150">
        <v>0</v>
      </c>
      <c r="L57" s="150">
        <v>0</v>
      </c>
      <c r="M57" s="151" t="s">
        <v>258</v>
      </c>
      <c r="N57" s="145" t="s">
        <v>1054</v>
      </c>
      <c r="O57" s="145" t="s">
        <v>1063</v>
      </c>
    </row>
    <row r="58" spans="3:15" x14ac:dyDescent="0.25">
      <c r="C58" s="151" t="s">
        <v>348</v>
      </c>
      <c r="D58" s="151" t="s">
        <v>550</v>
      </c>
      <c r="E58" s="153" t="s">
        <v>928</v>
      </c>
      <c r="F58" s="153" t="s">
        <v>569</v>
      </c>
      <c r="G58" s="151" t="s">
        <v>561</v>
      </c>
      <c r="H58" s="358">
        <v>0</v>
      </c>
      <c r="I58" s="150">
        <v>0</v>
      </c>
      <c r="J58" s="151" t="s">
        <v>1064</v>
      </c>
      <c r="K58" s="150">
        <v>0</v>
      </c>
      <c r="L58" s="150">
        <v>0</v>
      </c>
      <c r="M58" s="151" t="s">
        <v>258</v>
      </c>
      <c r="N58" s="145" t="s">
        <v>1054</v>
      </c>
      <c r="O58" s="145" t="s">
        <v>1063</v>
      </c>
    </row>
    <row r="59" spans="3:15" s="151" customFormat="1" x14ac:dyDescent="0.25">
      <c r="C59" s="151" t="s">
        <v>348</v>
      </c>
      <c r="D59" s="151" t="s">
        <v>550</v>
      </c>
      <c r="E59" s="151" t="s">
        <v>348</v>
      </c>
      <c r="F59" s="153" t="s">
        <v>569</v>
      </c>
      <c r="G59" s="151" t="s">
        <v>561</v>
      </c>
      <c r="H59" s="358">
        <v>0</v>
      </c>
      <c r="I59" s="358">
        <v>0</v>
      </c>
      <c r="J59" s="356" t="s">
        <v>258</v>
      </c>
      <c r="K59" s="358">
        <v>0</v>
      </c>
      <c r="L59" s="358">
        <v>0</v>
      </c>
      <c r="M59" s="151" t="s">
        <v>258</v>
      </c>
      <c r="N59" s="145" t="s">
        <v>1054</v>
      </c>
    </row>
    <row r="60" spans="3:15" s="151" customFormat="1" x14ac:dyDescent="0.25">
      <c r="C60" s="151" t="s">
        <v>348</v>
      </c>
      <c r="D60" s="151" t="s">
        <v>550</v>
      </c>
      <c r="E60" s="151" t="s">
        <v>348</v>
      </c>
      <c r="F60" s="153" t="s">
        <v>569</v>
      </c>
      <c r="G60" s="151" t="s">
        <v>553</v>
      </c>
      <c r="H60" s="150">
        <v>11</v>
      </c>
      <c r="I60" s="150">
        <v>12.2</v>
      </c>
      <c r="J60" s="151" t="s">
        <v>566</v>
      </c>
      <c r="K60" s="152">
        <v>3.3</v>
      </c>
      <c r="L60" s="152">
        <v>2.25</v>
      </c>
      <c r="M60" s="151" t="s">
        <v>566</v>
      </c>
      <c r="N60" s="141"/>
    </row>
    <row r="61" spans="3:15" s="151" customFormat="1" x14ac:dyDescent="0.25">
      <c r="C61" s="151" t="s">
        <v>348</v>
      </c>
      <c r="D61" s="151" t="s">
        <v>550</v>
      </c>
      <c r="E61" s="151" t="s">
        <v>348</v>
      </c>
      <c r="F61" s="153" t="s">
        <v>569</v>
      </c>
      <c r="G61" s="151" t="s">
        <v>552</v>
      </c>
      <c r="H61" s="150">
        <v>10.6</v>
      </c>
      <c r="I61" s="150">
        <v>11.6</v>
      </c>
      <c r="J61" s="151" t="s">
        <v>566</v>
      </c>
      <c r="K61" s="152">
        <v>3.2</v>
      </c>
      <c r="L61" s="152">
        <v>2.0499999999999998</v>
      </c>
      <c r="M61" s="151" t="s">
        <v>566</v>
      </c>
      <c r="N61" s="141"/>
    </row>
    <row r="62" spans="3:15" s="151" customFormat="1" x14ac:dyDescent="0.25">
      <c r="C62" s="151" t="s">
        <v>348</v>
      </c>
      <c r="D62" s="356" t="s">
        <v>550</v>
      </c>
      <c r="E62" s="356" t="s">
        <v>348</v>
      </c>
      <c r="F62" s="357" t="s">
        <v>569</v>
      </c>
      <c r="G62" s="356" t="s">
        <v>551</v>
      </c>
      <c r="H62" s="358">
        <v>9.5</v>
      </c>
      <c r="I62" s="358">
        <v>10.6</v>
      </c>
      <c r="J62" s="356" t="s">
        <v>566</v>
      </c>
      <c r="K62" s="359">
        <v>3.2</v>
      </c>
      <c r="L62" s="359">
        <v>2.0499999999999998</v>
      </c>
      <c r="M62" s="151" t="s">
        <v>566</v>
      </c>
      <c r="N62" s="141"/>
    </row>
    <row r="63" spans="3:15" s="151" customFormat="1" x14ac:dyDescent="0.25">
      <c r="C63" s="151" t="s">
        <v>348</v>
      </c>
      <c r="D63" s="356" t="s">
        <v>550</v>
      </c>
      <c r="E63" s="356" t="s">
        <v>348</v>
      </c>
      <c r="F63" s="357" t="s">
        <v>546</v>
      </c>
      <c r="G63" s="356" t="s">
        <v>564</v>
      </c>
      <c r="H63" s="358">
        <v>11.2</v>
      </c>
      <c r="I63" s="358">
        <v>0</v>
      </c>
      <c r="J63" s="356" t="s">
        <v>562</v>
      </c>
      <c r="K63" s="359">
        <v>4.2</v>
      </c>
      <c r="L63" s="359">
        <v>0</v>
      </c>
      <c r="M63" s="151" t="s">
        <v>562</v>
      </c>
      <c r="N63" s="145"/>
    </row>
    <row r="64" spans="3:15" s="151" customFormat="1" x14ac:dyDescent="0.25">
      <c r="C64" s="151" t="s">
        <v>348</v>
      </c>
      <c r="D64" s="356" t="s">
        <v>550</v>
      </c>
      <c r="E64" s="356" t="s">
        <v>348</v>
      </c>
      <c r="F64" s="357" t="s">
        <v>546</v>
      </c>
      <c r="G64" s="356" t="s">
        <v>561</v>
      </c>
      <c r="H64" s="358">
        <v>12</v>
      </c>
      <c r="I64" s="358">
        <v>0</v>
      </c>
      <c r="J64" s="356" t="s">
        <v>562</v>
      </c>
      <c r="K64" s="359">
        <v>4.2</v>
      </c>
      <c r="L64" s="359">
        <v>0</v>
      </c>
      <c r="M64" s="151" t="s">
        <v>562</v>
      </c>
      <c r="N64" s="145"/>
    </row>
    <row r="65" spans="3:14" s="151" customFormat="1" x14ac:dyDescent="0.25">
      <c r="C65" s="151" t="s">
        <v>348</v>
      </c>
      <c r="D65" s="356" t="s">
        <v>550</v>
      </c>
      <c r="E65" s="356" t="s">
        <v>348</v>
      </c>
      <c r="F65" s="357" t="s">
        <v>546</v>
      </c>
      <c r="G65" s="356" t="s">
        <v>553</v>
      </c>
      <c r="H65" s="360">
        <v>13</v>
      </c>
      <c r="I65" s="360">
        <v>0</v>
      </c>
      <c r="J65" s="356" t="s">
        <v>566</v>
      </c>
      <c r="K65" s="360">
        <v>4.3</v>
      </c>
      <c r="L65" s="360">
        <v>0</v>
      </c>
      <c r="M65" s="151" t="s">
        <v>566</v>
      </c>
      <c r="N65" s="145"/>
    </row>
    <row r="66" spans="3:14" s="151" customFormat="1" x14ac:dyDescent="0.25">
      <c r="C66" s="151" t="s">
        <v>348</v>
      </c>
      <c r="D66" s="348" t="s">
        <v>550</v>
      </c>
      <c r="E66" s="348" t="s">
        <v>348</v>
      </c>
      <c r="F66" s="349" t="s">
        <v>546</v>
      </c>
      <c r="G66" s="348" t="s">
        <v>552</v>
      </c>
      <c r="H66" s="360">
        <v>12.3</v>
      </c>
      <c r="I66" s="360">
        <v>0</v>
      </c>
      <c r="J66" s="356" t="s">
        <v>562</v>
      </c>
      <c r="K66" s="360">
        <v>2.9</v>
      </c>
      <c r="L66" s="360">
        <v>0</v>
      </c>
      <c r="M66" s="151" t="s">
        <v>562</v>
      </c>
      <c r="N66" s="145"/>
    </row>
    <row r="67" spans="3:14" s="151" customFormat="1" x14ac:dyDescent="0.25">
      <c r="C67" s="151" t="s">
        <v>348</v>
      </c>
      <c r="D67" s="356" t="s">
        <v>550</v>
      </c>
      <c r="E67" s="356" t="s">
        <v>348</v>
      </c>
      <c r="F67" s="357" t="s">
        <v>546</v>
      </c>
      <c r="G67" s="356" t="s">
        <v>555</v>
      </c>
      <c r="H67" s="358">
        <v>12.2</v>
      </c>
      <c r="I67" s="358">
        <v>0</v>
      </c>
      <c r="J67" s="356" t="s">
        <v>562</v>
      </c>
      <c r="K67" s="358">
        <v>0</v>
      </c>
      <c r="L67" s="358">
        <v>0</v>
      </c>
      <c r="M67" s="151" t="s">
        <v>562</v>
      </c>
      <c r="N67" s="145"/>
    </row>
    <row r="68" spans="3:14" s="151" customFormat="1" x14ac:dyDescent="0.25">
      <c r="C68" s="151" t="s">
        <v>348</v>
      </c>
      <c r="D68" s="356" t="s">
        <v>550</v>
      </c>
      <c r="E68" s="356" t="s">
        <v>348</v>
      </c>
      <c r="F68" s="357" t="s">
        <v>546</v>
      </c>
      <c r="G68" s="151" t="s">
        <v>554</v>
      </c>
      <c r="H68" s="358">
        <v>0</v>
      </c>
      <c r="I68" s="358">
        <v>0</v>
      </c>
      <c r="J68" s="356" t="s">
        <v>258</v>
      </c>
      <c r="K68" s="358">
        <v>0</v>
      </c>
      <c r="L68" s="358">
        <v>0</v>
      </c>
      <c r="M68" s="151" t="s">
        <v>258</v>
      </c>
      <c r="N68" s="145" t="s">
        <v>1056</v>
      </c>
    </row>
    <row r="69" spans="3:14" s="151" customFormat="1" x14ac:dyDescent="0.25">
      <c r="C69" s="151" t="s">
        <v>348</v>
      </c>
      <c r="D69" s="356" t="s">
        <v>550</v>
      </c>
      <c r="E69" s="356" t="s">
        <v>348</v>
      </c>
      <c r="F69" s="357" t="s">
        <v>547</v>
      </c>
      <c r="G69" s="356" t="s">
        <v>553</v>
      </c>
      <c r="H69" s="360">
        <v>18</v>
      </c>
      <c r="I69" s="360">
        <v>0</v>
      </c>
      <c r="J69" s="356" t="s">
        <v>566</v>
      </c>
      <c r="K69" s="360">
        <v>3.7</v>
      </c>
      <c r="L69" s="360">
        <v>0</v>
      </c>
      <c r="M69" s="151" t="s">
        <v>566</v>
      </c>
      <c r="N69" s="145"/>
    </row>
    <row r="70" spans="3:14" s="151" customFormat="1" x14ac:dyDescent="0.25">
      <c r="C70" s="151" t="s">
        <v>348</v>
      </c>
      <c r="D70" s="356" t="s">
        <v>550</v>
      </c>
      <c r="E70" s="356" t="s">
        <v>348</v>
      </c>
      <c r="F70" s="357" t="s">
        <v>547</v>
      </c>
      <c r="G70" s="356" t="s">
        <v>557</v>
      </c>
      <c r="H70" s="358">
        <v>0</v>
      </c>
      <c r="I70" s="358">
        <v>0</v>
      </c>
      <c r="J70" s="356" t="s">
        <v>258</v>
      </c>
      <c r="K70" s="358">
        <v>0</v>
      </c>
      <c r="L70" s="358">
        <v>0</v>
      </c>
      <c r="M70" s="151" t="s">
        <v>258</v>
      </c>
      <c r="N70" s="145"/>
    </row>
    <row r="71" spans="3:14" s="151" customFormat="1" x14ac:dyDescent="0.25">
      <c r="C71" s="151" t="s">
        <v>348</v>
      </c>
      <c r="D71" s="356" t="s">
        <v>550</v>
      </c>
      <c r="E71" s="356" t="s">
        <v>348</v>
      </c>
      <c r="F71" s="357" t="s">
        <v>556</v>
      </c>
      <c r="G71" s="356" t="s">
        <v>553</v>
      </c>
      <c r="H71" s="360">
        <v>14.1</v>
      </c>
      <c r="I71" s="360">
        <v>0</v>
      </c>
      <c r="J71" s="356" t="s">
        <v>566</v>
      </c>
      <c r="K71" s="360">
        <v>3.2</v>
      </c>
      <c r="L71" s="360">
        <v>0</v>
      </c>
      <c r="M71" s="151" t="s">
        <v>566</v>
      </c>
      <c r="N71" s="145"/>
    </row>
    <row r="72" spans="3:14" s="151" customFormat="1" x14ac:dyDescent="0.25">
      <c r="C72" s="151" t="s">
        <v>348</v>
      </c>
      <c r="D72" s="356" t="s">
        <v>550</v>
      </c>
      <c r="E72" s="356" t="s">
        <v>348</v>
      </c>
      <c r="F72" s="357" t="s">
        <v>556</v>
      </c>
      <c r="G72" s="356" t="s">
        <v>557</v>
      </c>
      <c r="H72" s="358">
        <v>0</v>
      </c>
      <c r="I72" s="358">
        <v>0</v>
      </c>
      <c r="J72" s="356" t="s">
        <v>258</v>
      </c>
      <c r="K72" s="358">
        <v>0</v>
      </c>
      <c r="L72" s="358">
        <v>0</v>
      </c>
      <c r="M72" s="151" t="s">
        <v>258</v>
      </c>
      <c r="N72" s="145" t="s">
        <v>1056</v>
      </c>
    </row>
    <row r="73" spans="3:14" s="151" customFormat="1" x14ac:dyDescent="0.25">
      <c r="C73" s="151" t="s">
        <v>348</v>
      </c>
      <c r="D73" s="151" t="s">
        <v>549</v>
      </c>
      <c r="E73" s="151" t="s">
        <v>801</v>
      </c>
      <c r="F73" s="154" t="s">
        <v>569</v>
      </c>
      <c r="G73" s="151" t="s">
        <v>561</v>
      </c>
      <c r="H73" s="150">
        <v>11</v>
      </c>
      <c r="I73" s="150">
        <v>0</v>
      </c>
      <c r="J73" s="150" t="s">
        <v>802</v>
      </c>
      <c r="K73" s="358">
        <v>0</v>
      </c>
      <c r="L73" s="358">
        <v>0</v>
      </c>
      <c r="M73" s="151" t="s">
        <v>258</v>
      </c>
      <c r="N73" s="145"/>
    </row>
    <row r="74" spans="3:14" s="151" customFormat="1" x14ac:dyDescent="0.25">
      <c r="C74" s="151" t="s">
        <v>348</v>
      </c>
      <c r="D74" s="151" t="s">
        <v>549</v>
      </c>
      <c r="E74" s="151" t="s">
        <v>801</v>
      </c>
      <c r="F74" s="154" t="s">
        <v>569</v>
      </c>
      <c r="G74" s="151" t="s">
        <v>553</v>
      </c>
      <c r="H74" s="150">
        <v>10.4</v>
      </c>
      <c r="I74" s="150">
        <v>0</v>
      </c>
      <c r="J74" s="150" t="s">
        <v>802</v>
      </c>
      <c r="K74" s="358">
        <v>0</v>
      </c>
      <c r="L74" s="358">
        <v>0</v>
      </c>
      <c r="M74" s="151" t="s">
        <v>258</v>
      </c>
      <c r="N74" s="145"/>
    </row>
    <row r="75" spans="3:14" s="151" customFormat="1" x14ac:dyDescent="0.25">
      <c r="C75" s="151" t="s">
        <v>348</v>
      </c>
      <c r="D75" s="151" t="s">
        <v>549</v>
      </c>
      <c r="E75" s="151" t="s">
        <v>801</v>
      </c>
      <c r="F75" s="154" t="s">
        <v>569</v>
      </c>
      <c r="G75" s="151" t="s">
        <v>552</v>
      </c>
      <c r="H75" s="150">
        <v>10.199999999999999</v>
      </c>
      <c r="I75" s="150">
        <v>0</v>
      </c>
      <c r="J75" s="150" t="s">
        <v>802</v>
      </c>
      <c r="K75" s="358">
        <v>0</v>
      </c>
      <c r="L75" s="358">
        <v>0</v>
      </c>
      <c r="M75" s="151" t="s">
        <v>258</v>
      </c>
      <c r="N75" s="145"/>
    </row>
    <row r="76" spans="3:14" s="151" customFormat="1" x14ac:dyDescent="0.25">
      <c r="C76" s="151" t="s">
        <v>348</v>
      </c>
      <c r="D76" s="151" t="s">
        <v>549</v>
      </c>
      <c r="E76" s="151" t="s">
        <v>801</v>
      </c>
      <c r="F76" s="154" t="s">
        <v>569</v>
      </c>
      <c r="G76" s="151" t="s">
        <v>551</v>
      </c>
      <c r="H76" s="150">
        <v>10.199999999999999</v>
      </c>
      <c r="I76" s="150">
        <v>0</v>
      </c>
      <c r="J76" s="150" t="s">
        <v>803</v>
      </c>
      <c r="K76" s="358">
        <v>0</v>
      </c>
      <c r="L76" s="358">
        <v>0</v>
      </c>
      <c r="M76" s="151" t="s">
        <v>258</v>
      </c>
      <c r="N76" s="145"/>
    </row>
    <row r="77" spans="3:14" s="151" customFormat="1" x14ac:dyDescent="0.25">
      <c r="C77" s="151" t="s">
        <v>348</v>
      </c>
      <c r="D77" s="151" t="s">
        <v>1059</v>
      </c>
      <c r="E77" s="151" t="s">
        <v>549</v>
      </c>
      <c r="F77" s="154" t="s">
        <v>569</v>
      </c>
      <c r="G77" s="151" t="s">
        <v>561</v>
      </c>
      <c r="H77" s="150">
        <v>0</v>
      </c>
      <c r="I77" s="150">
        <v>0</v>
      </c>
      <c r="J77" s="150" t="s">
        <v>1060</v>
      </c>
      <c r="K77" s="358">
        <v>0</v>
      </c>
      <c r="L77" s="358">
        <v>0</v>
      </c>
      <c r="M77" s="151" t="s">
        <v>258</v>
      </c>
      <c r="N77" s="145" t="s">
        <v>1053</v>
      </c>
    </row>
    <row r="78" spans="3:14" s="151" customFormat="1" x14ac:dyDescent="0.25">
      <c r="C78" s="151" t="s">
        <v>348</v>
      </c>
      <c r="D78" s="151" t="s">
        <v>1059</v>
      </c>
      <c r="E78" s="151" t="s">
        <v>549</v>
      </c>
      <c r="F78" s="154" t="s">
        <v>569</v>
      </c>
      <c r="G78" s="151" t="s">
        <v>553</v>
      </c>
      <c r="H78" s="150">
        <v>11.2</v>
      </c>
      <c r="I78" s="150">
        <v>0</v>
      </c>
      <c r="J78" s="150" t="s">
        <v>1060</v>
      </c>
      <c r="K78" s="358">
        <v>0</v>
      </c>
      <c r="L78" s="358">
        <v>0</v>
      </c>
      <c r="M78" s="151" t="s">
        <v>258</v>
      </c>
      <c r="N78" s="145"/>
    </row>
    <row r="79" spans="3:14" s="151" customFormat="1" x14ac:dyDescent="0.25">
      <c r="C79" s="151" t="s">
        <v>348</v>
      </c>
      <c r="D79" s="151" t="s">
        <v>1059</v>
      </c>
      <c r="E79" s="151" t="s">
        <v>549</v>
      </c>
      <c r="F79" s="154" t="s">
        <v>569</v>
      </c>
      <c r="G79" s="151" t="s">
        <v>552</v>
      </c>
      <c r="H79" s="150">
        <v>11</v>
      </c>
      <c r="I79" s="150">
        <v>0</v>
      </c>
      <c r="J79" s="150" t="s">
        <v>1060</v>
      </c>
      <c r="K79" s="358">
        <v>0</v>
      </c>
      <c r="L79" s="358">
        <v>0</v>
      </c>
      <c r="M79" s="151" t="s">
        <v>258</v>
      </c>
      <c r="N79" s="145"/>
    </row>
    <row r="80" spans="3:14" s="151" customFormat="1" x14ac:dyDescent="0.25">
      <c r="C80" s="151" t="s">
        <v>348</v>
      </c>
      <c r="D80" s="151" t="s">
        <v>1059</v>
      </c>
      <c r="E80" s="151" t="s">
        <v>549</v>
      </c>
      <c r="F80" s="154" t="s">
        <v>569</v>
      </c>
      <c r="G80" s="151" t="s">
        <v>551</v>
      </c>
      <c r="H80" s="150">
        <v>10</v>
      </c>
      <c r="I80" s="150">
        <v>0</v>
      </c>
      <c r="J80" s="150" t="s">
        <v>1060</v>
      </c>
      <c r="K80" s="358">
        <v>0</v>
      </c>
      <c r="L80" s="358">
        <v>0</v>
      </c>
      <c r="M80" s="151" t="s">
        <v>258</v>
      </c>
      <c r="N80" s="145"/>
    </row>
    <row r="81" spans="2:14" s="151" customFormat="1" x14ac:dyDescent="0.25">
      <c r="C81" s="151" t="s">
        <v>348</v>
      </c>
      <c r="D81" s="151" t="s">
        <v>1059</v>
      </c>
      <c r="E81" s="151" t="s">
        <v>550</v>
      </c>
      <c r="F81" s="154" t="s">
        <v>569</v>
      </c>
      <c r="G81" s="151" t="s">
        <v>561</v>
      </c>
      <c r="H81" s="150">
        <v>0</v>
      </c>
      <c r="I81" s="150">
        <v>0</v>
      </c>
      <c r="J81" s="150" t="s">
        <v>1061</v>
      </c>
      <c r="K81" s="358">
        <v>0</v>
      </c>
      <c r="L81" s="358">
        <v>0</v>
      </c>
      <c r="M81" s="151" t="s">
        <v>258</v>
      </c>
      <c r="N81" s="145" t="s">
        <v>1054</v>
      </c>
    </row>
    <row r="82" spans="2:14" s="151" customFormat="1" x14ac:dyDescent="0.25">
      <c r="C82" s="151" t="s">
        <v>348</v>
      </c>
      <c r="D82" s="151" t="s">
        <v>1059</v>
      </c>
      <c r="E82" s="151" t="s">
        <v>550</v>
      </c>
      <c r="F82" s="154" t="s">
        <v>569</v>
      </c>
      <c r="G82" s="151" t="s">
        <v>553</v>
      </c>
      <c r="H82" s="150">
        <v>11</v>
      </c>
      <c r="I82" s="150">
        <v>14.6</v>
      </c>
      <c r="J82" s="150" t="s">
        <v>1061</v>
      </c>
      <c r="K82" s="358">
        <v>3.3</v>
      </c>
      <c r="L82" s="373">
        <v>2.25</v>
      </c>
      <c r="M82" s="150" t="s">
        <v>1061</v>
      </c>
      <c r="N82" s="145"/>
    </row>
    <row r="83" spans="2:14" s="151" customFormat="1" x14ac:dyDescent="0.25">
      <c r="C83" s="151" t="s">
        <v>348</v>
      </c>
      <c r="D83" s="151" t="s">
        <v>1059</v>
      </c>
      <c r="E83" s="151" t="s">
        <v>550</v>
      </c>
      <c r="F83" s="154" t="s">
        <v>569</v>
      </c>
      <c r="G83" s="151" t="s">
        <v>552</v>
      </c>
      <c r="H83" s="150">
        <v>10.6</v>
      </c>
      <c r="I83" s="150">
        <v>13.9</v>
      </c>
      <c r="J83" s="150" t="s">
        <v>1061</v>
      </c>
      <c r="K83" s="358">
        <v>3.2</v>
      </c>
      <c r="L83" s="373">
        <v>2.0499999999999998</v>
      </c>
      <c r="M83" s="150" t="s">
        <v>1061</v>
      </c>
      <c r="N83" s="145"/>
    </row>
    <row r="84" spans="2:14" s="151" customFormat="1" x14ac:dyDescent="0.25">
      <c r="C84" s="151" t="s">
        <v>348</v>
      </c>
      <c r="D84" s="151" t="s">
        <v>1059</v>
      </c>
      <c r="E84" s="151" t="s">
        <v>550</v>
      </c>
      <c r="F84" s="154" t="s">
        <v>569</v>
      </c>
      <c r="G84" s="151" t="s">
        <v>551</v>
      </c>
      <c r="H84" s="150">
        <v>9.5</v>
      </c>
      <c r="I84" s="150">
        <v>12.7</v>
      </c>
      <c r="J84" s="150" t="s">
        <v>1061</v>
      </c>
      <c r="K84" s="358">
        <f>K83</f>
        <v>3.2</v>
      </c>
      <c r="L84" s="373">
        <f>L83</f>
        <v>2.0499999999999998</v>
      </c>
      <c r="M84" s="150" t="s">
        <v>1061</v>
      </c>
      <c r="N84" s="145"/>
    </row>
    <row r="85" spans="2:14" s="151" customFormat="1" x14ac:dyDescent="0.25">
      <c r="C85" s="151" t="s">
        <v>348</v>
      </c>
      <c r="D85" s="151" t="s">
        <v>1059</v>
      </c>
      <c r="E85" s="151" t="s">
        <v>550</v>
      </c>
      <c r="F85" s="357" t="s">
        <v>546</v>
      </c>
      <c r="G85" s="151" t="s">
        <v>561</v>
      </c>
      <c r="H85" s="150">
        <v>12</v>
      </c>
      <c r="I85" s="150">
        <v>15.8</v>
      </c>
      <c r="J85" s="150" t="s">
        <v>1061</v>
      </c>
      <c r="K85" s="358">
        <v>4.3</v>
      </c>
      <c r="L85" s="358">
        <v>0</v>
      </c>
      <c r="M85" s="150" t="s">
        <v>1061</v>
      </c>
      <c r="N85" s="145"/>
    </row>
    <row r="86" spans="2:14" s="151" customFormat="1" x14ac:dyDescent="0.25">
      <c r="C86" s="151" t="s">
        <v>348</v>
      </c>
      <c r="D86" s="151" t="s">
        <v>1059</v>
      </c>
      <c r="E86" s="151" t="s">
        <v>550</v>
      </c>
      <c r="F86" s="357" t="s">
        <v>546</v>
      </c>
      <c r="G86" s="151" t="s">
        <v>553</v>
      </c>
      <c r="H86" s="150">
        <v>12</v>
      </c>
      <c r="I86" s="150">
        <v>15.8</v>
      </c>
      <c r="J86" s="150" t="s">
        <v>1061</v>
      </c>
      <c r="K86" s="358">
        <v>4.3</v>
      </c>
      <c r="L86" s="358">
        <v>0</v>
      </c>
      <c r="M86" s="150" t="s">
        <v>1061</v>
      </c>
      <c r="N86" s="145"/>
    </row>
    <row r="87" spans="2:14" s="151" customFormat="1" x14ac:dyDescent="0.25">
      <c r="C87" s="151" t="s">
        <v>348</v>
      </c>
      <c r="D87" s="151" t="s">
        <v>1059</v>
      </c>
      <c r="E87" s="151" t="s">
        <v>550</v>
      </c>
      <c r="F87" s="357" t="s">
        <v>546</v>
      </c>
      <c r="G87" s="151" t="s">
        <v>552</v>
      </c>
      <c r="H87" s="150">
        <v>10</v>
      </c>
      <c r="I87" s="150">
        <v>13.8</v>
      </c>
      <c r="J87" s="150" t="s">
        <v>1061</v>
      </c>
      <c r="K87" s="358">
        <v>4</v>
      </c>
      <c r="L87" s="358">
        <v>0</v>
      </c>
      <c r="M87" s="150" t="s">
        <v>1061</v>
      </c>
      <c r="N87" s="145"/>
    </row>
    <row r="88" spans="2:14" s="151" customFormat="1" x14ac:dyDescent="0.25">
      <c r="C88" s="151" t="s">
        <v>348</v>
      </c>
      <c r="D88" s="151" t="s">
        <v>1059</v>
      </c>
      <c r="E88" s="151" t="s">
        <v>550</v>
      </c>
      <c r="F88" s="357" t="s">
        <v>546</v>
      </c>
      <c r="G88" s="151" t="s">
        <v>551</v>
      </c>
      <c r="H88" s="150">
        <v>10</v>
      </c>
      <c r="I88" s="150">
        <v>12</v>
      </c>
      <c r="J88" s="150" t="s">
        <v>1061</v>
      </c>
      <c r="K88" s="358">
        <v>3.9</v>
      </c>
      <c r="L88" s="358">
        <v>0</v>
      </c>
      <c r="M88" s="150" t="s">
        <v>1061</v>
      </c>
      <c r="N88" s="145"/>
    </row>
    <row r="89" spans="2:14" s="151" customFormat="1" x14ac:dyDescent="0.25">
      <c r="C89" s="151" t="s">
        <v>348</v>
      </c>
      <c r="D89" s="151" t="s">
        <v>1059</v>
      </c>
      <c r="E89" s="151" t="s">
        <v>550</v>
      </c>
      <c r="F89" s="357" t="s">
        <v>547</v>
      </c>
      <c r="G89" s="356" t="s">
        <v>553</v>
      </c>
      <c r="H89" s="360">
        <v>16.2</v>
      </c>
      <c r="I89" s="360">
        <v>0</v>
      </c>
      <c r="J89" s="150" t="s">
        <v>1061</v>
      </c>
      <c r="K89" s="358">
        <v>3.6</v>
      </c>
      <c r="L89" s="358">
        <v>0</v>
      </c>
      <c r="M89" s="150" t="s">
        <v>1061</v>
      </c>
      <c r="N89" s="145"/>
    </row>
    <row r="90" spans="2:14" s="151" customFormat="1" x14ac:dyDescent="0.25">
      <c r="C90" s="151" t="s">
        <v>348</v>
      </c>
      <c r="D90" s="151" t="s">
        <v>1059</v>
      </c>
      <c r="E90" s="151" t="s">
        <v>550</v>
      </c>
      <c r="F90" s="357" t="s">
        <v>547</v>
      </c>
      <c r="G90" s="356" t="s">
        <v>557</v>
      </c>
      <c r="H90" s="358">
        <v>13.8</v>
      </c>
      <c r="I90" s="358">
        <v>0</v>
      </c>
      <c r="J90" s="150" t="s">
        <v>1061</v>
      </c>
      <c r="K90" s="358">
        <v>3.3</v>
      </c>
      <c r="L90" s="358">
        <v>0</v>
      </c>
      <c r="M90" s="150" t="s">
        <v>1061</v>
      </c>
      <c r="N90" s="145"/>
    </row>
    <row r="91" spans="2:14" s="151" customFormat="1" x14ac:dyDescent="0.25">
      <c r="C91" s="151" t="s">
        <v>348</v>
      </c>
      <c r="D91" s="151" t="s">
        <v>1059</v>
      </c>
      <c r="E91" s="151" t="s">
        <v>550</v>
      </c>
      <c r="F91" s="357" t="s">
        <v>556</v>
      </c>
      <c r="G91" s="356" t="s">
        <v>553</v>
      </c>
      <c r="H91" s="360">
        <v>13.4</v>
      </c>
      <c r="I91" s="360">
        <v>0</v>
      </c>
      <c r="J91" s="150" t="s">
        <v>1061</v>
      </c>
      <c r="K91" s="358">
        <v>3.1</v>
      </c>
      <c r="L91" s="358">
        <v>0</v>
      </c>
      <c r="M91" s="150" t="s">
        <v>1061</v>
      </c>
      <c r="N91" s="145"/>
    </row>
    <row r="92" spans="2:14" s="151" customFormat="1" x14ac:dyDescent="0.25">
      <c r="C92" s="151" t="s">
        <v>348</v>
      </c>
      <c r="D92" s="151" t="s">
        <v>1059</v>
      </c>
      <c r="E92" s="151" t="s">
        <v>550</v>
      </c>
      <c r="F92" s="357" t="s">
        <v>556</v>
      </c>
      <c r="G92" s="356" t="s">
        <v>557</v>
      </c>
      <c r="H92" s="358">
        <v>11</v>
      </c>
      <c r="I92" s="358">
        <v>0</v>
      </c>
      <c r="J92" s="150" t="s">
        <v>1061</v>
      </c>
      <c r="K92" s="358">
        <v>2.8</v>
      </c>
      <c r="L92" s="358">
        <v>0</v>
      </c>
      <c r="M92" s="150" t="s">
        <v>1061</v>
      </c>
      <c r="N92" s="145"/>
    </row>
    <row r="93" spans="2:14" s="151" customFormat="1" x14ac:dyDescent="0.25">
      <c r="B93" s="145" t="s">
        <v>245</v>
      </c>
      <c r="N93" s="145"/>
    </row>
    <row r="94" spans="2:14" s="151" customFormat="1" x14ac:dyDescent="0.25">
      <c r="N94" s="145"/>
    </row>
  </sheetData>
  <phoneticPr fontId="32" type="noConversion"/>
  <conditionalFormatting sqref="K30:L76 K81:L92 H30:I80">
    <cfRule type="cellIs" dxfId="4" priority="5" operator="equal">
      <formula>0</formula>
    </cfRule>
  </conditionalFormatting>
  <conditionalFormatting sqref="K77:L80">
    <cfRule type="cellIs" dxfId="3" priority="4" operator="equal">
      <formula>0</formula>
    </cfRule>
  </conditionalFormatting>
  <conditionalFormatting sqref="H81:I84">
    <cfRule type="cellIs" dxfId="2" priority="3" operator="equal">
      <formula>0</formula>
    </cfRule>
  </conditionalFormatting>
  <conditionalFormatting sqref="H85:I88">
    <cfRule type="cellIs" dxfId="1" priority="2" operator="equal">
      <formula>0</formula>
    </cfRule>
  </conditionalFormatting>
  <conditionalFormatting sqref="H89:I92">
    <cfRule type="cellIs" dxfId="0" priority="1" operator="equal">
      <formula>0</formula>
    </cfRule>
  </conditionalFormatting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>
    <tabColor theme="5" tint="-0.499984740745262"/>
  </sheetPr>
  <dimension ref="A1:K62"/>
  <sheetViews>
    <sheetView zoomScale="55" zoomScaleNormal="55" workbookViewId="0">
      <selection activeCell="B1" sqref="B1"/>
    </sheetView>
  </sheetViews>
  <sheetFormatPr defaultColWidth="9.140625" defaultRowHeight="15" x14ac:dyDescent="0.25"/>
  <cols>
    <col min="1" max="1" width="2.140625" style="33" customWidth="1"/>
    <col min="2" max="2" width="3.28515625" style="33" customWidth="1"/>
    <col min="3" max="3" width="12.5703125" style="33" customWidth="1"/>
    <col min="4" max="4" width="23.42578125" style="33" customWidth="1"/>
    <col min="5" max="5" width="34.140625" style="33" customWidth="1"/>
    <col min="6" max="6" width="15.28515625" style="33" customWidth="1"/>
    <col min="7" max="7" width="12.7109375" style="33" customWidth="1"/>
    <col min="8" max="8" width="27" style="33" customWidth="1"/>
    <col min="9" max="9" width="18.28515625" style="33" customWidth="1"/>
    <col min="10" max="10" width="27" style="33" customWidth="1"/>
    <col min="11" max="11" width="9.140625" style="33" customWidth="1"/>
    <col min="12" max="16384" width="9.140625" style="33"/>
  </cols>
  <sheetData>
    <row r="1" spans="1:6" s="39" customFormat="1" x14ac:dyDescent="0.25">
      <c r="A1" s="39" t="s">
        <v>250</v>
      </c>
      <c r="B1" s="39" t="s">
        <v>917</v>
      </c>
    </row>
    <row r="2" spans="1:6" s="39" customFormat="1" x14ac:dyDescent="0.25">
      <c r="A2" s="39" t="s">
        <v>250</v>
      </c>
    </row>
    <row r="3" spans="1:6" s="39" customFormat="1" x14ac:dyDescent="0.25">
      <c r="A3" s="39" t="s">
        <v>250</v>
      </c>
      <c r="B3" s="39" t="s">
        <v>356</v>
      </c>
    </row>
    <row r="4" spans="1:6" s="39" customFormat="1" x14ac:dyDescent="0.25">
      <c r="A4" s="39" t="s">
        <v>250</v>
      </c>
      <c r="C4" s="39" t="s">
        <v>570</v>
      </c>
    </row>
    <row r="5" spans="1:6" s="39" customFormat="1" x14ac:dyDescent="0.25">
      <c r="A5" s="39" t="s">
        <v>250</v>
      </c>
    </row>
    <row r="6" spans="1:6" s="39" customFormat="1" x14ac:dyDescent="0.25">
      <c r="A6" s="39" t="s">
        <v>250</v>
      </c>
      <c r="B6" s="39" t="s">
        <v>357</v>
      </c>
    </row>
    <row r="7" spans="1:6" s="39" customFormat="1" x14ac:dyDescent="0.25">
      <c r="A7" s="39" t="s">
        <v>250</v>
      </c>
      <c r="C7" s="39" t="s">
        <v>262</v>
      </c>
      <c r="D7" s="39" t="s">
        <v>263</v>
      </c>
      <c r="E7" s="39" t="s">
        <v>264</v>
      </c>
    </row>
    <row r="8" spans="1:6" x14ac:dyDescent="0.25">
      <c r="A8" s="33" t="s">
        <v>250</v>
      </c>
      <c r="C8" s="32">
        <v>41511</v>
      </c>
      <c r="D8" s="33" t="s">
        <v>386</v>
      </c>
      <c r="E8" s="33" t="s">
        <v>265</v>
      </c>
    </row>
    <row r="9" spans="1:6" x14ac:dyDescent="0.25">
      <c r="A9" s="33" t="s">
        <v>250</v>
      </c>
      <c r="C9" s="32"/>
    </row>
    <row r="10" spans="1:6" s="39" customFormat="1" x14ac:dyDescent="0.25">
      <c r="A10" s="39" t="s">
        <v>250</v>
      </c>
      <c r="B10" s="39" t="s">
        <v>358</v>
      </c>
    </row>
    <row r="11" spans="1:6" x14ac:dyDescent="0.25">
      <c r="A11" s="33" t="s">
        <v>250</v>
      </c>
      <c r="C11" s="33" t="s">
        <v>381</v>
      </c>
    </row>
    <row r="12" spans="1:6" x14ac:dyDescent="0.25">
      <c r="A12" s="33" t="s">
        <v>250</v>
      </c>
      <c r="C12" s="33" t="s">
        <v>379</v>
      </c>
    </row>
    <row r="13" spans="1:6" x14ac:dyDescent="0.25">
      <c r="A13" s="33" t="s">
        <v>250</v>
      </c>
    </row>
    <row r="14" spans="1:6" s="39" customFormat="1" x14ac:dyDescent="0.25">
      <c r="A14" s="39" t="s">
        <v>250</v>
      </c>
      <c r="B14" s="39" t="s">
        <v>355</v>
      </c>
    </row>
    <row r="15" spans="1:6" x14ac:dyDescent="0.25">
      <c r="A15" s="33" t="s">
        <v>250</v>
      </c>
      <c r="C15" s="33" t="s">
        <v>382</v>
      </c>
      <c r="F15" s="31"/>
    </row>
    <row r="16" spans="1:6" x14ac:dyDescent="0.25">
      <c r="A16" s="33" t="s">
        <v>250</v>
      </c>
      <c r="C16" s="33" t="s">
        <v>383</v>
      </c>
      <c r="F16" s="31"/>
    </row>
    <row r="17" spans="1:10" x14ac:dyDescent="0.25">
      <c r="A17" s="33" t="s">
        <v>250</v>
      </c>
      <c r="F17" s="31"/>
    </row>
    <row r="18" spans="1:10" s="39" customFormat="1" x14ac:dyDescent="0.25">
      <c r="A18" s="39" t="s">
        <v>250</v>
      </c>
      <c r="B18" s="39" t="s">
        <v>354</v>
      </c>
    </row>
    <row r="19" spans="1:10" x14ac:dyDescent="0.25">
      <c r="A19" s="33" t="s">
        <v>250</v>
      </c>
      <c r="C19" s="33" t="s">
        <v>804</v>
      </c>
      <c r="D19" s="30"/>
      <c r="E19" s="30"/>
      <c r="F19" s="30"/>
      <c r="G19" s="30"/>
      <c r="H19" s="30"/>
    </row>
    <row r="20" spans="1:10" x14ac:dyDescent="0.25">
      <c r="A20" s="33" t="s">
        <v>250</v>
      </c>
      <c r="F20" s="31"/>
    </row>
    <row r="21" spans="1:10" s="39" customFormat="1" x14ac:dyDescent="0.25">
      <c r="A21" s="39" t="s">
        <v>365</v>
      </c>
    </row>
    <row r="22" spans="1:10" s="151" customFormat="1" x14ac:dyDescent="0.25">
      <c r="A22" s="145"/>
      <c r="B22" s="140" t="str">
        <f>"TABLE "&amp;$C$4</f>
        <v>TABLE UnitaryACHPMinEffReq</v>
      </c>
    </row>
    <row r="23" spans="1:10" s="145" customFormat="1" x14ac:dyDescent="0.25">
      <c r="C23" s="145" t="s">
        <v>558</v>
      </c>
      <c r="D23" s="145" t="s">
        <v>571</v>
      </c>
      <c r="E23" s="111" t="s">
        <v>568</v>
      </c>
      <c r="F23" s="111" t="s">
        <v>279</v>
      </c>
      <c r="G23" s="145" t="s">
        <v>11</v>
      </c>
      <c r="H23" s="145" t="s">
        <v>559</v>
      </c>
      <c r="I23" s="145" t="s">
        <v>15</v>
      </c>
      <c r="J23" s="145" t="s">
        <v>560</v>
      </c>
    </row>
    <row r="24" spans="1:10" s="151" customFormat="1" x14ac:dyDescent="0.25">
      <c r="C24" s="151" t="s">
        <v>549</v>
      </c>
      <c r="D24" s="153" t="s">
        <v>348</v>
      </c>
      <c r="E24" s="153" t="s">
        <v>569</v>
      </c>
      <c r="F24" s="151" t="s">
        <v>561</v>
      </c>
      <c r="G24" s="150" t="s">
        <v>258</v>
      </c>
      <c r="H24" s="151" t="s">
        <v>567</v>
      </c>
      <c r="I24" s="150" t="s">
        <v>258</v>
      </c>
      <c r="J24" s="151" t="s">
        <v>258</v>
      </c>
    </row>
    <row r="25" spans="1:10" s="151" customFormat="1" x14ac:dyDescent="0.25">
      <c r="C25" s="151" t="s">
        <v>549</v>
      </c>
      <c r="D25" s="153" t="s">
        <v>348</v>
      </c>
      <c r="E25" s="153" t="s">
        <v>569</v>
      </c>
      <c r="F25" s="151" t="s">
        <v>553</v>
      </c>
      <c r="G25" s="150">
        <v>11.2</v>
      </c>
      <c r="H25" s="151" t="s">
        <v>563</v>
      </c>
      <c r="I25" s="150" t="s">
        <v>258</v>
      </c>
      <c r="J25" s="151" t="s">
        <v>258</v>
      </c>
    </row>
    <row r="26" spans="1:10" s="151" customFormat="1" x14ac:dyDescent="0.25">
      <c r="C26" s="151" t="s">
        <v>549</v>
      </c>
      <c r="D26" s="153" t="s">
        <v>348</v>
      </c>
      <c r="E26" s="153" t="s">
        <v>569</v>
      </c>
      <c r="F26" s="151" t="s">
        <v>552</v>
      </c>
      <c r="G26" s="150">
        <v>11</v>
      </c>
      <c r="H26" s="151" t="s">
        <v>563</v>
      </c>
      <c r="I26" s="150" t="s">
        <v>258</v>
      </c>
      <c r="J26" s="151" t="s">
        <v>258</v>
      </c>
    </row>
    <row r="27" spans="1:10" s="151" customFormat="1" x14ac:dyDescent="0.25">
      <c r="C27" s="151" t="s">
        <v>549</v>
      </c>
      <c r="D27" s="153" t="s">
        <v>348</v>
      </c>
      <c r="E27" s="153" t="s">
        <v>569</v>
      </c>
      <c r="F27" s="151" t="s">
        <v>555</v>
      </c>
      <c r="G27" s="150">
        <v>10</v>
      </c>
      <c r="H27" s="151" t="s">
        <v>563</v>
      </c>
      <c r="I27" s="150" t="s">
        <v>258</v>
      </c>
      <c r="J27" s="151" t="s">
        <v>258</v>
      </c>
    </row>
    <row r="28" spans="1:10" s="151" customFormat="1" x14ac:dyDescent="0.25">
      <c r="C28" s="151" t="s">
        <v>549</v>
      </c>
      <c r="D28" s="153" t="s">
        <v>348</v>
      </c>
      <c r="E28" s="153" t="s">
        <v>569</v>
      </c>
      <c r="F28" s="151" t="s">
        <v>554</v>
      </c>
      <c r="G28" s="150">
        <v>9.6999999999999993</v>
      </c>
      <c r="H28" s="151" t="s">
        <v>563</v>
      </c>
      <c r="I28" s="150" t="s">
        <v>258</v>
      </c>
      <c r="J28" s="151" t="s">
        <v>258</v>
      </c>
    </row>
    <row r="29" spans="1:10" s="151" customFormat="1" x14ac:dyDescent="0.25">
      <c r="C29" s="151" t="s">
        <v>549</v>
      </c>
      <c r="D29" s="151" t="s">
        <v>348</v>
      </c>
      <c r="E29" s="153" t="s">
        <v>546</v>
      </c>
      <c r="F29" s="151" t="s">
        <v>564</v>
      </c>
      <c r="G29" s="155">
        <v>12.1</v>
      </c>
      <c r="H29" s="151" t="s">
        <v>565</v>
      </c>
      <c r="I29" s="150" t="s">
        <v>258</v>
      </c>
      <c r="J29" s="151" t="s">
        <v>258</v>
      </c>
    </row>
    <row r="30" spans="1:10" s="151" customFormat="1" x14ac:dyDescent="0.25">
      <c r="C30" s="151" t="s">
        <v>549</v>
      </c>
      <c r="D30" s="151" t="s">
        <v>348</v>
      </c>
      <c r="E30" s="153" t="s">
        <v>546</v>
      </c>
      <c r="F30" s="151" t="s">
        <v>561</v>
      </c>
      <c r="G30" s="155">
        <v>12.1</v>
      </c>
      <c r="H30" s="151" t="s">
        <v>565</v>
      </c>
      <c r="I30" s="150" t="s">
        <v>258</v>
      </c>
      <c r="J30" s="151" t="s">
        <v>258</v>
      </c>
    </row>
    <row r="31" spans="1:10" s="151" customFormat="1" x14ac:dyDescent="0.25">
      <c r="C31" s="151" t="s">
        <v>549</v>
      </c>
      <c r="D31" s="151" t="s">
        <v>348</v>
      </c>
      <c r="E31" s="153" t="s">
        <v>546</v>
      </c>
      <c r="F31" s="151" t="s">
        <v>553</v>
      </c>
      <c r="G31" s="150">
        <v>12.1</v>
      </c>
      <c r="H31" s="151" t="s">
        <v>563</v>
      </c>
      <c r="I31" s="150" t="s">
        <v>258</v>
      </c>
      <c r="J31" s="151" t="s">
        <v>258</v>
      </c>
    </row>
    <row r="32" spans="1:10" s="151" customFormat="1" x14ac:dyDescent="0.25">
      <c r="C32" s="151" t="s">
        <v>549</v>
      </c>
      <c r="D32" s="151" t="s">
        <v>348</v>
      </c>
      <c r="E32" s="153" t="s">
        <v>546</v>
      </c>
      <c r="F32" s="151" t="s">
        <v>552</v>
      </c>
      <c r="G32" s="150">
        <v>12.5</v>
      </c>
      <c r="H32" s="151" t="s">
        <v>563</v>
      </c>
      <c r="I32" s="150" t="s">
        <v>258</v>
      </c>
      <c r="J32" s="151" t="s">
        <v>258</v>
      </c>
    </row>
    <row r="33" spans="3:11" s="151" customFormat="1" x14ac:dyDescent="0.25">
      <c r="C33" s="151" t="s">
        <v>549</v>
      </c>
      <c r="D33" s="151" t="s">
        <v>348</v>
      </c>
      <c r="E33" s="153" t="s">
        <v>546</v>
      </c>
      <c r="F33" s="151" t="s">
        <v>555</v>
      </c>
      <c r="G33" s="150">
        <v>12.4</v>
      </c>
      <c r="H33" s="151" t="s">
        <v>563</v>
      </c>
      <c r="I33" s="150" t="s">
        <v>258</v>
      </c>
      <c r="J33" s="151" t="s">
        <v>258</v>
      </c>
    </row>
    <row r="34" spans="3:11" s="151" customFormat="1" x14ac:dyDescent="0.25">
      <c r="C34" s="151" t="s">
        <v>549</v>
      </c>
      <c r="D34" s="151" t="s">
        <v>348</v>
      </c>
      <c r="E34" s="153" t="s">
        <v>546</v>
      </c>
      <c r="F34" s="151" t="s">
        <v>554</v>
      </c>
      <c r="G34" s="150">
        <v>12.2</v>
      </c>
      <c r="H34" s="151" t="s">
        <v>563</v>
      </c>
      <c r="I34" s="150" t="s">
        <v>258</v>
      </c>
      <c r="J34" s="151" t="s">
        <v>258</v>
      </c>
    </row>
    <row r="35" spans="3:11" s="151" customFormat="1" x14ac:dyDescent="0.25">
      <c r="C35" s="151" t="s">
        <v>549</v>
      </c>
      <c r="D35" s="151" t="s">
        <v>348</v>
      </c>
      <c r="E35" s="153" t="s">
        <v>548</v>
      </c>
      <c r="F35" s="151" t="s">
        <v>561</v>
      </c>
      <c r="G35" s="150">
        <v>12.1</v>
      </c>
      <c r="H35" s="151" t="s">
        <v>562</v>
      </c>
      <c r="I35" s="150" t="s">
        <v>258</v>
      </c>
      <c r="J35" s="151" t="s">
        <v>258</v>
      </c>
    </row>
    <row r="36" spans="3:11" s="151" customFormat="1" x14ac:dyDescent="0.25">
      <c r="C36" s="151" t="s">
        <v>549</v>
      </c>
      <c r="D36" s="151" t="s">
        <v>348</v>
      </c>
      <c r="E36" s="153" t="s">
        <v>548</v>
      </c>
      <c r="F36" s="151" t="s">
        <v>553</v>
      </c>
      <c r="G36" s="150">
        <v>12.1</v>
      </c>
      <c r="H36" s="151" t="s">
        <v>563</v>
      </c>
      <c r="I36" s="150" t="s">
        <v>258</v>
      </c>
      <c r="J36" s="151" t="s">
        <v>258</v>
      </c>
    </row>
    <row r="37" spans="3:11" s="151" customFormat="1" x14ac:dyDescent="0.25">
      <c r="C37" s="151" t="s">
        <v>549</v>
      </c>
      <c r="D37" s="151" t="s">
        <v>348</v>
      </c>
      <c r="E37" s="153" t="s">
        <v>548</v>
      </c>
      <c r="F37" s="151" t="s">
        <v>552</v>
      </c>
      <c r="G37" s="150">
        <v>12</v>
      </c>
      <c r="H37" s="151" t="s">
        <v>563</v>
      </c>
      <c r="I37" s="150" t="s">
        <v>258</v>
      </c>
      <c r="J37" s="151" t="s">
        <v>258</v>
      </c>
    </row>
    <row r="38" spans="3:11" s="151" customFormat="1" x14ac:dyDescent="0.25">
      <c r="C38" s="151" t="s">
        <v>549</v>
      </c>
      <c r="D38" s="151" t="s">
        <v>348</v>
      </c>
      <c r="E38" s="153" t="s">
        <v>548</v>
      </c>
      <c r="F38" s="151" t="s">
        <v>555</v>
      </c>
      <c r="G38" s="150">
        <v>11.9</v>
      </c>
      <c r="H38" s="151" t="s">
        <v>563</v>
      </c>
      <c r="I38" s="150" t="s">
        <v>258</v>
      </c>
      <c r="J38" s="151" t="s">
        <v>258</v>
      </c>
    </row>
    <row r="39" spans="3:11" s="151" customFormat="1" x14ac:dyDescent="0.25">
      <c r="C39" s="151" t="s">
        <v>549</v>
      </c>
      <c r="D39" s="151" t="s">
        <v>348</v>
      </c>
      <c r="E39" s="153" t="s">
        <v>548</v>
      </c>
      <c r="F39" s="151" t="s">
        <v>554</v>
      </c>
      <c r="G39" s="150">
        <v>11.7</v>
      </c>
      <c r="H39" s="151" t="s">
        <v>563</v>
      </c>
      <c r="I39" s="150" t="s">
        <v>258</v>
      </c>
      <c r="J39" s="151" t="s">
        <v>258</v>
      </c>
    </row>
    <row r="40" spans="3:11" s="151" customFormat="1" x14ac:dyDescent="0.25">
      <c r="C40" s="151" t="s">
        <v>550</v>
      </c>
      <c r="D40" s="151" t="s">
        <v>348</v>
      </c>
      <c r="E40" s="153" t="s">
        <v>569</v>
      </c>
      <c r="F40" s="151" t="s">
        <v>561</v>
      </c>
      <c r="G40" s="150" t="s">
        <v>258</v>
      </c>
      <c r="H40" s="151" t="s">
        <v>567</v>
      </c>
      <c r="I40" s="150" t="s">
        <v>258</v>
      </c>
      <c r="J40" s="151" t="s">
        <v>567</v>
      </c>
    </row>
    <row r="41" spans="3:11" s="151" customFormat="1" x14ac:dyDescent="0.25">
      <c r="C41" s="151" t="s">
        <v>550</v>
      </c>
      <c r="D41" s="151" t="s">
        <v>348</v>
      </c>
      <c r="E41" s="153" t="s">
        <v>569</v>
      </c>
      <c r="F41" s="151" t="s">
        <v>553</v>
      </c>
      <c r="G41" s="150">
        <v>11</v>
      </c>
      <c r="H41" s="151" t="s">
        <v>566</v>
      </c>
      <c r="I41" s="152">
        <v>3.3</v>
      </c>
      <c r="J41" s="151" t="s">
        <v>566</v>
      </c>
      <c r="K41" s="152"/>
    </row>
    <row r="42" spans="3:11" s="151" customFormat="1" x14ac:dyDescent="0.25">
      <c r="C42" s="151" t="s">
        <v>550</v>
      </c>
      <c r="D42" s="151" t="s">
        <v>348</v>
      </c>
      <c r="E42" s="153" t="s">
        <v>569</v>
      </c>
      <c r="F42" s="151" t="s">
        <v>552</v>
      </c>
      <c r="G42" s="150">
        <v>10.6</v>
      </c>
      <c r="H42" s="151" t="s">
        <v>566</v>
      </c>
      <c r="I42" s="152">
        <v>3.2</v>
      </c>
      <c r="J42" s="151" t="s">
        <v>566</v>
      </c>
      <c r="K42" s="152"/>
    </row>
    <row r="43" spans="3:11" s="151" customFormat="1" x14ac:dyDescent="0.25">
      <c r="C43" s="151" t="s">
        <v>550</v>
      </c>
      <c r="D43" s="151" t="s">
        <v>348</v>
      </c>
      <c r="E43" s="153" t="s">
        <v>569</v>
      </c>
      <c r="F43" s="151" t="s">
        <v>551</v>
      </c>
      <c r="G43" s="150">
        <v>9.5</v>
      </c>
      <c r="H43" s="151" t="s">
        <v>566</v>
      </c>
      <c r="I43" s="152">
        <v>3.2</v>
      </c>
      <c r="J43" s="151" t="s">
        <v>566</v>
      </c>
      <c r="K43" s="152"/>
    </row>
    <row r="44" spans="3:11" s="151" customFormat="1" x14ac:dyDescent="0.25">
      <c r="C44" s="151" t="s">
        <v>550</v>
      </c>
      <c r="D44" s="151" t="s">
        <v>348</v>
      </c>
      <c r="E44" s="153" t="s">
        <v>546</v>
      </c>
      <c r="F44" s="151" t="s">
        <v>564</v>
      </c>
      <c r="G44" s="155">
        <v>11.2</v>
      </c>
      <c r="H44" s="151" t="s">
        <v>565</v>
      </c>
      <c r="I44" s="152">
        <v>4.2</v>
      </c>
      <c r="J44" s="151" t="s">
        <v>565</v>
      </c>
    </row>
    <row r="45" spans="3:11" s="151" customFormat="1" x14ac:dyDescent="0.25">
      <c r="C45" s="151" t="s">
        <v>550</v>
      </c>
      <c r="D45" s="151" t="s">
        <v>348</v>
      </c>
      <c r="E45" s="153" t="s">
        <v>546</v>
      </c>
      <c r="F45" s="151" t="s">
        <v>561</v>
      </c>
      <c r="G45" s="155">
        <v>12</v>
      </c>
      <c r="H45" s="151" t="s">
        <v>565</v>
      </c>
      <c r="I45" s="152">
        <v>4.2</v>
      </c>
      <c r="J45" s="151" t="s">
        <v>565</v>
      </c>
    </row>
    <row r="46" spans="3:11" s="151" customFormat="1" x14ac:dyDescent="0.25">
      <c r="C46" s="151" t="s">
        <v>550</v>
      </c>
      <c r="D46" s="151" t="s">
        <v>348</v>
      </c>
      <c r="E46" s="153" t="s">
        <v>546</v>
      </c>
      <c r="F46" s="151" t="s">
        <v>553</v>
      </c>
      <c r="G46" s="151">
        <v>12</v>
      </c>
      <c r="H46" s="151" t="s">
        <v>566</v>
      </c>
      <c r="I46" s="151">
        <v>4.2</v>
      </c>
      <c r="J46" s="151" t="s">
        <v>566</v>
      </c>
    </row>
    <row r="47" spans="3:11" s="151" customFormat="1" x14ac:dyDescent="0.25">
      <c r="C47" s="151" t="s">
        <v>550</v>
      </c>
      <c r="D47" s="151" t="s">
        <v>348</v>
      </c>
      <c r="E47" s="153" t="s">
        <v>546</v>
      </c>
      <c r="F47" s="151" t="s">
        <v>557</v>
      </c>
      <c r="G47" s="150" t="s">
        <v>258</v>
      </c>
      <c r="H47" s="151" t="s">
        <v>258</v>
      </c>
      <c r="I47" s="150" t="s">
        <v>258</v>
      </c>
      <c r="J47" s="151" t="s">
        <v>258</v>
      </c>
    </row>
    <row r="48" spans="3:11" s="151" customFormat="1" x14ac:dyDescent="0.25">
      <c r="C48" s="151" t="s">
        <v>550</v>
      </c>
      <c r="D48" s="151" t="s">
        <v>348</v>
      </c>
      <c r="E48" s="154" t="s">
        <v>547</v>
      </c>
      <c r="F48" s="151" t="s">
        <v>553</v>
      </c>
      <c r="G48" s="151">
        <v>16.2</v>
      </c>
      <c r="H48" s="151" t="s">
        <v>566</v>
      </c>
      <c r="I48" s="151">
        <v>3.6</v>
      </c>
      <c r="J48" s="151" t="s">
        <v>566</v>
      </c>
    </row>
    <row r="49" spans="2:10" s="151" customFormat="1" x14ac:dyDescent="0.25">
      <c r="C49" s="151" t="s">
        <v>550</v>
      </c>
      <c r="D49" s="151" t="s">
        <v>348</v>
      </c>
      <c r="E49" s="154" t="s">
        <v>547</v>
      </c>
      <c r="F49" s="151" t="s">
        <v>557</v>
      </c>
      <c r="G49" s="150" t="s">
        <v>258</v>
      </c>
      <c r="H49" s="151" t="s">
        <v>258</v>
      </c>
      <c r="I49" s="150" t="s">
        <v>258</v>
      </c>
      <c r="J49" s="151" t="s">
        <v>258</v>
      </c>
    </row>
    <row r="50" spans="2:10" s="151" customFormat="1" x14ac:dyDescent="0.25">
      <c r="C50" s="151" t="s">
        <v>550</v>
      </c>
      <c r="D50" s="151" t="s">
        <v>348</v>
      </c>
      <c r="E50" s="154" t="s">
        <v>556</v>
      </c>
      <c r="F50" s="151" t="s">
        <v>553</v>
      </c>
      <c r="G50" s="151">
        <v>13.4</v>
      </c>
      <c r="H50" s="151" t="s">
        <v>566</v>
      </c>
      <c r="I50" s="151">
        <v>3.1</v>
      </c>
      <c r="J50" s="151" t="s">
        <v>566</v>
      </c>
    </row>
    <row r="51" spans="2:10" s="151" customFormat="1" x14ac:dyDescent="0.25">
      <c r="C51" s="151" t="s">
        <v>550</v>
      </c>
      <c r="D51" s="151" t="s">
        <v>348</v>
      </c>
      <c r="E51" s="154" t="s">
        <v>556</v>
      </c>
      <c r="F51" s="151" t="s">
        <v>557</v>
      </c>
      <c r="G51" s="150" t="s">
        <v>258</v>
      </c>
      <c r="H51" s="150" t="s">
        <v>258</v>
      </c>
      <c r="I51" s="150" t="s">
        <v>258</v>
      </c>
      <c r="J51" s="151" t="s">
        <v>258</v>
      </c>
    </row>
    <row r="52" spans="2:10" s="151" customFormat="1" x14ac:dyDescent="0.25">
      <c r="C52" s="151" t="s">
        <v>549</v>
      </c>
      <c r="D52" s="151" t="s">
        <v>801</v>
      </c>
      <c r="E52" s="154" t="s">
        <v>569</v>
      </c>
      <c r="F52" s="151" t="s">
        <v>561</v>
      </c>
      <c r="G52" s="150">
        <v>11</v>
      </c>
      <c r="H52" s="150" t="s">
        <v>802</v>
      </c>
      <c r="I52" s="150" t="s">
        <v>258</v>
      </c>
      <c r="J52" s="151" t="s">
        <v>258</v>
      </c>
    </row>
    <row r="53" spans="2:10" s="151" customFormat="1" x14ac:dyDescent="0.25">
      <c r="C53" s="151" t="s">
        <v>549</v>
      </c>
      <c r="D53" s="151" t="s">
        <v>801</v>
      </c>
      <c r="E53" s="154" t="s">
        <v>569</v>
      </c>
      <c r="F53" s="151" t="s">
        <v>553</v>
      </c>
      <c r="G53" s="150">
        <v>10.4</v>
      </c>
      <c r="H53" s="150" t="s">
        <v>802</v>
      </c>
      <c r="I53" s="150" t="s">
        <v>258</v>
      </c>
      <c r="J53" s="151" t="s">
        <v>258</v>
      </c>
    </row>
    <row r="54" spans="2:10" s="151" customFormat="1" x14ac:dyDescent="0.25">
      <c r="C54" s="151" t="s">
        <v>549</v>
      </c>
      <c r="D54" s="151" t="s">
        <v>801</v>
      </c>
      <c r="E54" s="154" t="s">
        <v>569</v>
      </c>
      <c r="F54" s="151" t="s">
        <v>552</v>
      </c>
      <c r="G54" s="150">
        <v>10.199999999999999</v>
      </c>
      <c r="H54" s="150" t="s">
        <v>802</v>
      </c>
      <c r="I54" s="150" t="s">
        <v>258</v>
      </c>
      <c r="J54" s="151" t="s">
        <v>258</v>
      </c>
    </row>
    <row r="55" spans="2:10" s="151" customFormat="1" x14ac:dyDescent="0.25">
      <c r="C55" s="151" t="s">
        <v>549</v>
      </c>
      <c r="D55" s="151" t="s">
        <v>801</v>
      </c>
      <c r="E55" s="154" t="s">
        <v>569</v>
      </c>
      <c r="F55" s="151" t="s">
        <v>551</v>
      </c>
      <c r="G55" s="150">
        <v>10.199999999999999</v>
      </c>
      <c r="H55" s="150" t="s">
        <v>803</v>
      </c>
      <c r="I55" s="150" t="s">
        <v>258</v>
      </c>
      <c r="J55" s="151" t="s">
        <v>258</v>
      </c>
    </row>
    <row r="56" spans="2:10" s="151" customFormat="1" x14ac:dyDescent="0.25">
      <c r="B56" s="145" t="s">
        <v>245</v>
      </c>
    </row>
    <row r="57" spans="2:10" s="151" customFormat="1" x14ac:dyDescent="0.25"/>
    <row r="58" spans="2:10" s="151" customFormat="1" x14ac:dyDescent="0.25"/>
    <row r="59" spans="2:10" s="151" customFormat="1" x14ac:dyDescent="0.25"/>
    <row r="60" spans="2:10" s="151" customFormat="1" x14ac:dyDescent="0.25"/>
    <row r="61" spans="2:10" s="151" customFormat="1" x14ac:dyDescent="0.25"/>
    <row r="62" spans="2:10" s="151" customFormat="1" x14ac:dyDescent="0.25"/>
  </sheetData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>
    <tabColor theme="5" tint="-0.499984740745262"/>
  </sheetPr>
  <dimension ref="A1:L39"/>
  <sheetViews>
    <sheetView workbookViewId="0">
      <selection activeCell="B1" sqref="B1"/>
    </sheetView>
  </sheetViews>
  <sheetFormatPr defaultColWidth="9.140625" defaultRowHeight="15" x14ac:dyDescent="0.25"/>
  <cols>
    <col min="1" max="1" width="2.140625" style="33" customWidth="1"/>
    <col min="2" max="2" width="3.28515625" style="33" customWidth="1"/>
    <col min="3" max="3" width="27" style="33" customWidth="1"/>
    <col min="4" max="4" width="16.85546875" style="33" bestFit="1" customWidth="1"/>
    <col min="5" max="5" width="14.85546875" style="33" bestFit="1" customWidth="1"/>
    <col min="6" max="6" width="16.85546875" style="31" bestFit="1" customWidth="1"/>
    <col min="7" max="7" width="14.85546875" style="33" bestFit="1" customWidth="1"/>
    <col min="8" max="16384" width="9.140625" style="33"/>
  </cols>
  <sheetData>
    <row r="1" spans="1:12" s="39" customFormat="1" x14ac:dyDescent="0.25">
      <c r="A1" s="39" t="s">
        <v>250</v>
      </c>
      <c r="B1" s="39" t="s">
        <v>1202</v>
      </c>
    </row>
    <row r="2" spans="1:12" s="39" customFormat="1" x14ac:dyDescent="0.25">
      <c r="A2" s="39" t="s">
        <v>250</v>
      </c>
    </row>
    <row r="3" spans="1:12" s="39" customFormat="1" x14ac:dyDescent="0.25">
      <c r="A3" s="39" t="s">
        <v>250</v>
      </c>
      <c r="B3" s="39" t="s">
        <v>356</v>
      </c>
    </row>
    <row r="4" spans="1:12" s="39" customFormat="1" x14ac:dyDescent="0.25">
      <c r="A4" s="39" t="s">
        <v>250</v>
      </c>
      <c r="C4" s="39" t="s">
        <v>393</v>
      </c>
    </row>
    <row r="5" spans="1:12" s="39" customFormat="1" x14ac:dyDescent="0.25">
      <c r="A5" s="39" t="s">
        <v>250</v>
      </c>
    </row>
    <row r="6" spans="1:12" s="39" customFormat="1" x14ac:dyDescent="0.25">
      <c r="A6" s="39" t="s">
        <v>250</v>
      </c>
      <c r="B6" s="39" t="s">
        <v>357</v>
      </c>
    </row>
    <row r="7" spans="1:12" s="39" customFormat="1" x14ac:dyDescent="0.25">
      <c r="A7" s="39" t="s">
        <v>250</v>
      </c>
      <c r="C7" s="39" t="s">
        <v>262</v>
      </c>
      <c r="D7" s="39" t="s">
        <v>263</v>
      </c>
      <c r="E7" s="39" t="s">
        <v>264</v>
      </c>
    </row>
    <row r="8" spans="1:12" s="39" customFormat="1" x14ac:dyDescent="0.25">
      <c r="A8" s="39" t="s">
        <v>250</v>
      </c>
      <c r="C8" s="32">
        <v>41186</v>
      </c>
      <c r="D8" s="33" t="s">
        <v>386</v>
      </c>
      <c r="E8" s="33" t="s">
        <v>265</v>
      </c>
    </row>
    <row r="9" spans="1:12" s="39" customFormat="1" x14ac:dyDescent="0.25">
      <c r="A9" s="39" t="s">
        <v>250</v>
      </c>
      <c r="C9" s="32">
        <v>41203</v>
      </c>
      <c r="D9" s="33" t="s">
        <v>386</v>
      </c>
      <c r="E9" s="33" t="s">
        <v>384</v>
      </c>
    </row>
    <row r="10" spans="1:12" x14ac:dyDescent="0.25">
      <c r="A10" s="33" t="s">
        <v>250</v>
      </c>
      <c r="C10" s="32"/>
    </row>
    <row r="11" spans="1:12" s="39" customFormat="1" x14ac:dyDescent="0.25">
      <c r="A11" s="39" t="s">
        <v>250</v>
      </c>
      <c r="B11" s="39" t="s">
        <v>358</v>
      </c>
    </row>
    <row r="12" spans="1:12" x14ac:dyDescent="0.25">
      <c r="A12" s="33" t="s">
        <v>250</v>
      </c>
      <c r="C12" s="33" t="s">
        <v>309</v>
      </c>
      <c r="K12" s="2"/>
      <c r="L12" s="2"/>
    </row>
    <row r="13" spans="1:12" x14ac:dyDescent="0.25">
      <c r="A13" s="33" t="s">
        <v>250</v>
      </c>
    </row>
    <row r="14" spans="1:12" s="39" customFormat="1" x14ac:dyDescent="0.25">
      <c r="A14" s="39" t="s">
        <v>250</v>
      </c>
      <c r="B14" s="39" t="s">
        <v>355</v>
      </c>
    </row>
    <row r="15" spans="1:12" x14ac:dyDescent="0.25">
      <c r="A15" s="33" t="s">
        <v>250</v>
      </c>
      <c r="C15" s="33" t="s">
        <v>310</v>
      </c>
      <c r="E15" s="31"/>
    </row>
    <row r="16" spans="1:12" x14ac:dyDescent="0.25">
      <c r="A16" s="33" t="s">
        <v>250</v>
      </c>
      <c r="C16" s="33" t="s">
        <v>394</v>
      </c>
      <c r="E16" s="31"/>
    </row>
    <row r="17" spans="1:8" x14ac:dyDescent="0.25">
      <c r="A17" s="33" t="s">
        <v>250</v>
      </c>
      <c r="C17" s="33" t="s">
        <v>396</v>
      </c>
      <c r="E17" s="31"/>
    </row>
    <row r="18" spans="1:8" x14ac:dyDescent="0.25">
      <c r="A18" s="33" t="s">
        <v>250</v>
      </c>
      <c r="E18" s="31"/>
    </row>
    <row r="19" spans="1:8" x14ac:dyDescent="0.25">
      <c r="A19" s="33" t="s">
        <v>250</v>
      </c>
      <c r="B19" s="33" t="s">
        <v>272</v>
      </c>
      <c r="F19" s="33"/>
    </row>
    <row r="20" spans="1:8" s="39" customFormat="1" x14ac:dyDescent="0.25">
      <c r="A20" s="39" t="s">
        <v>250</v>
      </c>
      <c r="C20" s="49" t="s">
        <v>376</v>
      </c>
    </row>
    <row r="21" spans="1:8" x14ac:dyDescent="0.25">
      <c r="A21" s="33" t="s">
        <v>250</v>
      </c>
      <c r="D21" s="30"/>
      <c r="E21" s="30"/>
      <c r="F21" s="30"/>
      <c r="G21" s="30"/>
      <c r="H21" s="30"/>
    </row>
    <row r="22" spans="1:8" x14ac:dyDescent="0.25">
      <c r="A22" s="33" t="s">
        <v>250</v>
      </c>
    </row>
    <row r="23" spans="1:8" s="39" customFormat="1" x14ac:dyDescent="0.25">
      <c r="A23" s="39" t="s">
        <v>365</v>
      </c>
    </row>
    <row r="24" spans="1:8" x14ac:dyDescent="0.25">
      <c r="B24" s="2" t="str">
        <f>"TABLE "&amp;$C$4</f>
        <v>TABLE ChillerMinEffReq</v>
      </c>
      <c r="F24" s="33"/>
    </row>
    <row r="25" spans="1:8" x14ac:dyDescent="0.25">
      <c r="C25" s="29" t="s">
        <v>280</v>
      </c>
      <c r="D25" s="29" t="s">
        <v>279</v>
      </c>
      <c r="E25" s="33" t="s">
        <v>312</v>
      </c>
      <c r="F25" s="33"/>
    </row>
    <row r="26" spans="1:8" x14ac:dyDescent="0.25">
      <c r="C26" s="29" t="s">
        <v>395</v>
      </c>
      <c r="D26" s="29" t="s">
        <v>397</v>
      </c>
      <c r="E26" s="33">
        <v>0.8</v>
      </c>
      <c r="F26" s="33"/>
    </row>
    <row r="27" spans="1:8" x14ac:dyDescent="0.25">
      <c r="C27" s="29" t="s">
        <v>395</v>
      </c>
      <c r="D27" s="29" t="s">
        <v>398</v>
      </c>
      <c r="E27" s="33">
        <v>0.79</v>
      </c>
      <c r="F27" s="33"/>
    </row>
    <row r="28" spans="1:8" x14ac:dyDescent="0.25">
      <c r="C28" s="29" t="s">
        <v>395</v>
      </c>
      <c r="D28" s="29" t="s">
        <v>311</v>
      </c>
      <c r="E28" s="33">
        <v>0.71799999999999997</v>
      </c>
      <c r="F28" s="33"/>
    </row>
    <row r="29" spans="1:8" x14ac:dyDescent="0.25">
      <c r="C29" s="29" t="s">
        <v>395</v>
      </c>
      <c r="D29" s="29" t="s">
        <v>313</v>
      </c>
      <c r="E29" s="33">
        <v>0.63900000000000001</v>
      </c>
      <c r="F29" s="33"/>
    </row>
    <row r="30" spans="1:8" x14ac:dyDescent="0.25">
      <c r="C30" s="29" t="s">
        <v>399</v>
      </c>
      <c r="D30" s="29" t="s">
        <v>398</v>
      </c>
      <c r="E30" s="33">
        <v>0.63900000000000001</v>
      </c>
      <c r="F30" s="33"/>
      <c r="G30" s="36"/>
    </row>
    <row r="31" spans="1:8" x14ac:dyDescent="0.25">
      <c r="C31" s="29" t="s">
        <v>399</v>
      </c>
      <c r="D31" s="29" t="s">
        <v>311</v>
      </c>
      <c r="E31" s="33">
        <v>0.63900000000000001</v>
      </c>
      <c r="F31" s="33"/>
      <c r="G31" s="36"/>
    </row>
    <row r="32" spans="1:8" x14ac:dyDescent="0.25">
      <c r="C32" s="29" t="s">
        <v>399</v>
      </c>
      <c r="D32" s="29" t="s">
        <v>400</v>
      </c>
      <c r="E32" s="33">
        <v>0.6</v>
      </c>
      <c r="F32" s="33"/>
      <c r="G32" s="36"/>
    </row>
    <row r="33" spans="2:7" x14ac:dyDescent="0.25">
      <c r="C33" s="29" t="s">
        <v>399</v>
      </c>
      <c r="D33" s="29" t="s">
        <v>401</v>
      </c>
      <c r="E33" s="33">
        <v>0.59</v>
      </c>
      <c r="F33" s="33"/>
      <c r="G33" s="36"/>
    </row>
    <row r="34" spans="2:7" x14ac:dyDescent="0.25">
      <c r="B34" s="33" t="s">
        <v>245</v>
      </c>
      <c r="C34" s="29"/>
      <c r="F34" s="36"/>
      <c r="G34" s="36"/>
    </row>
    <row r="35" spans="2:7" x14ac:dyDescent="0.25">
      <c r="C35" s="28"/>
      <c r="F35" s="33"/>
      <c r="G35" s="36"/>
    </row>
    <row r="36" spans="2:7" x14ac:dyDescent="0.25">
      <c r="C36" s="28"/>
      <c r="F36" s="33"/>
      <c r="G36" s="31"/>
    </row>
    <row r="37" spans="2:7" x14ac:dyDescent="0.25">
      <c r="C37" s="28"/>
      <c r="F37" s="33"/>
    </row>
    <row r="38" spans="2:7" x14ac:dyDescent="0.25">
      <c r="C38" s="28"/>
      <c r="F38" s="33"/>
    </row>
    <row r="39" spans="2:7" x14ac:dyDescent="0.25">
      <c r="F39" s="3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W15"/>
  <sheetViews>
    <sheetView workbookViewId="0">
      <selection activeCell="G38" sqref="G38"/>
    </sheetView>
  </sheetViews>
  <sheetFormatPr defaultRowHeight="15" x14ac:dyDescent="0.25"/>
  <cols>
    <col min="3" max="3" width="15.7109375" style="40" customWidth="1"/>
    <col min="4" max="4" width="14.5703125" customWidth="1"/>
    <col min="5" max="5" width="16.5703125" customWidth="1"/>
    <col min="6" max="6" width="15.42578125" customWidth="1"/>
    <col min="7" max="7" width="15.42578125" style="39" customWidth="1"/>
    <col min="13" max="13" width="15.7109375" style="40" customWidth="1"/>
    <col min="14" max="14" width="34.28515625" style="41" bestFit="1" customWidth="1"/>
  </cols>
  <sheetData>
    <row r="1" spans="1:23" x14ac:dyDescent="0.25">
      <c r="A1" s="33" t="s">
        <v>271</v>
      </c>
      <c r="B1" s="33"/>
      <c r="C1" s="29"/>
      <c r="D1" s="33"/>
      <c r="E1" s="33"/>
      <c r="F1" s="31"/>
      <c r="G1" s="31"/>
      <c r="K1" s="33"/>
      <c r="L1" s="33"/>
      <c r="M1" s="29"/>
      <c r="N1" s="33"/>
      <c r="O1" s="33"/>
      <c r="P1" s="31"/>
      <c r="Q1" s="33"/>
      <c r="R1" s="33"/>
      <c r="S1" s="33"/>
      <c r="T1" s="33"/>
      <c r="U1" s="33"/>
      <c r="V1" s="33"/>
      <c r="W1" s="33"/>
    </row>
    <row r="2" spans="1:23" x14ac:dyDescent="0.25">
      <c r="A2" s="33"/>
      <c r="B2" s="33" t="s">
        <v>274</v>
      </c>
      <c r="C2" s="29"/>
      <c r="D2" s="33"/>
      <c r="E2" s="33"/>
      <c r="F2" s="33"/>
      <c r="G2" s="33"/>
      <c r="K2" s="33"/>
      <c r="L2" s="33"/>
      <c r="M2" s="29"/>
      <c r="N2" s="33"/>
      <c r="O2" s="33"/>
      <c r="P2" s="33"/>
      <c r="Q2" s="33"/>
      <c r="R2" s="33"/>
      <c r="S2" s="33"/>
      <c r="T2" s="33"/>
      <c r="U2" s="33"/>
      <c r="V2" s="33"/>
      <c r="W2" s="33"/>
    </row>
    <row r="3" spans="1:23" x14ac:dyDescent="0.25">
      <c r="A3" s="33"/>
      <c r="B3" s="33"/>
      <c r="C3" s="29" t="s">
        <v>279</v>
      </c>
      <c r="D3" s="33" t="s">
        <v>11</v>
      </c>
      <c r="E3" s="34" t="s">
        <v>12</v>
      </c>
      <c r="F3" s="33" t="s">
        <v>11</v>
      </c>
      <c r="G3" s="34" t="s">
        <v>12</v>
      </c>
      <c r="K3" s="33"/>
      <c r="L3" s="33"/>
      <c r="M3" s="29"/>
      <c r="N3" s="33"/>
      <c r="O3" s="34"/>
      <c r="P3" s="33"/>
      <c r="Q3" s="34"/>
      <c r="R3" s="33"/>
      <c r="S3" s="34"/>
      <c r="T3" s="33"/>
      <c r="U3" s="34"/>
      <c r="V3" s="33"/>
      <c r="W3" s="33"/>
    </row>
    <row r="4" spans="1:23" ht="30" x14ac:dyDescent="0.25">
      <c r="A4" s="33"/>
      <c r="C4" s="29" t="s">
        <v>280</v>
      </c>
      <c r="D4" s="29" t="s">
        <v>282</v>
      </c>
      <c r="E4" s="37" t="s">
        <v>282</v>
      </c>
      <c r="F4" s="29" t="s">
        <v>283</v>
      </c>
      <c r="G4" s="37" t="s">
        <v>283</v>
      </c>
      <c r="K4" s="33"/>
      <c r="L4" s="33"/>
      <c r="M4" s="29"/>
      <c r="N4" s="33"/>
      <c r="O4" s="34"/>
      <c r="P4" s="33"/>
      <c r="Q4" s="34"/>
      <c r="R4" s="33"/>
      <c r="S4" s="34"/>
      <c r="T4" s="33"/>
      <c r="U4" s="34"/>
      <c r="V4" s="33"/>
      <c r="W4" s="33"/>
    </row>
    <row r="5" spans="1:23" x14ac:dyDescent="0.25">
      <c r="A5" s="33"/>
      <c r="B5" s="33"/>
      <c r="C5" s="33" t="s">
        <v>278</v>
      </c>
      <c r="D5" s="36">
        <v>11.2</v>
      </c>
      <c r="E5" s="34">
        <v>11.4</v>
      </c>
      <c r="F5" s="36">
        <v>11</v>
      </c>
      <c r="G5" s="34">
        <v>11.2</v>
      </c>
      <c r="K5" s="33"/>
      <c r="L5" s="33"/>
      <c r="M5" s="29"/>
      <c r="N5" s="36"/>
      <c r="O5" s="34"/>
      <c r="P5" s="36"/>
      <c r="Q5" s="34"/>
      <c r="R5" s="36"/>
      <c r="S5" s="34"/>
      <c r="T5" s="36"/>
      <c r="U5" s="34"/>
      <c r="V5" s="33"/>
      <c r="W5" s="33"/>
    </row>
    <row r="6" spans="1:23" x14ac:dyDescent="0.25">
      <c r="A6" s="33"/>
      <c r="B6" s="33"/>
      <c r="C6" s="33" t="s">
        <v>275</v>
      </c>
      <c r="D6" s="36">
        <v>11</v>
      </c>
      <c r="E6" s="34">
        <v>11.2</v>
      </c>
      <c r="F6" s="36">
        <v>10.6</v>
      </c>
      <c r="G6" s="34">
        <v>10.7</v>
      </c>
      <c r="K6" s="33"/>
      <c r="L6" s="33"/>
      <c r="M6" s="29"/>
      <c r="N6" s="33"/>
      <c r="O6" s="34"/>
      <c r="P6" s="33"/>
      <c r="Q6" s="34"/>
      <c r="R6" s="33"/>
      <c r="S6" s="34"/>
      <c r="T6" s="33"/>
      <c r="U6" s="34"/>
      <c r="V6" s="33"/>
      <c r="W6" s="33"/>
    </row>
    <row r="7" spans="1:23" x14ac:dyDescent="0.25">
      <c r="A7" s="33"/>
      <c r="B7" s="33"/>
      <c r="C7" s="33" t="s">
        <v>281</v>
      </c>
      <c r="D7" s="38" t="s">
        <v>258</v>
      </c>
      <c r="E7" s="35" t="s">
        <v>258</v>
      </c>
      <c r="F7" s="36">
        <v>9.5</v>
      </c>
      <c r="G7" s="34">
        <v>9.6</v>
      </c>
      <c r="K7" s="33"/>
      <c r="L7" s="33"/>
      <c r="M7" s="28"/>
      <c r="N7" s="33"/>
      <c r="O7" s="34"/>
      <c r="P7" s="36"/>
      <c r="Q7" s="34"/>
      <c r="R7" s="33"/>
      <c r="S7" s="34"/>
      <c r="T7" s="33"/>
      <c r="U7" s="34"/>
      <c r="V7" s="33"/>
      <c r="W7" s="33"/>
    </row>
    <row r="8" spans="1:23" x14ac:dyDescent="0.25">
      <c r="A8" s="33"/>
      <c r="C8" s="33" t="s">
        <v>276</v>
      </c>
      <c r="D8" s="36">
        <v>10</v>
      </c>
      <c r="E8" s="34">
        <v>10.1</v>
      </c>
      <c r="F8" s="38" t="s">
        <v>258</v>
      </c>
      <c r="G8" s="35" t="s">
        <v>258</v>
      </c>
      <c r="K8" s="33"/>
      <c r="L8" s="33"/>
      <c r="M8" s="29"/>
      <c r="N8" s="33"/>
      <c r="O8" s="34"/>
      <c r="P8" s="33"/>
      <c r="Q8" s="34"/>
      <c r="R8" s="33"/>
      <c r="S8" s="34"/>
      <c r="T8" s="33"/>
      <c r="U8" s="34"/>
      <c r="V8" s="33"/>
      <c r="W8" s="34"/>
    </row>
    <row r="9" spans="1:23" x14ac:dyDescent="0.25">
      <c r="C9" s="33" t="s">
        <v>277</v>
      </c>
      <c r="D9" s="36">
        <v>9.6999999999999993</v>
      </c>
      <c r="E9" s="34">
        <v>9.8000000000000007</v>
      </c>
      <c r="F9" s="38" t="s">
        <v>258</v>
      </c>
      <c r="G9" s="35" t="s">
        <v>258</v>
      </c>
    </row>
    <row r="10" spans="1:23" x14ac:dyDescent="0.25">
      <c r="B10" s="33" t="s">
        <v>245</v>
      </c>
      <c r="L10" s="33"/>
      <c r="M10" s="33"/>
      <c r="N10" s="33"/>
      <c r="O10" s="33"/>
      <c r="P10" s="33"/>
      <c r="Q10" s="31"/>
      <c r="R10" s="33"/>
      <c r="S10" s="33"/>
      <c r="T10" s="33"/>
      <c r="U10" s="33"/>
      <c r="V10" s="33"/>
      <c r="W10" s="33"/>
    </row>
    <row r="11" spans="1:23" x14ac:dyDescent="0.25"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</row>
    <row r="12" spans="1:23" x14ac:dyDescent="0.25">
      <c r="L12" s="33"/>
      <c r="M12" s="33"/>
      <c r="N12" s="33"/>
      <c r="O12" s="33"/>
      <c r="P12" s="34"/>
      <c r="Q12" s="33"/>
      <c r="R12" s="34"/>
      <c r="S12" s="33"/>
      <c r="T12" s="34"/>
      <c r="U12" s="33"/>
      <c r="V12" s="34"/>
      <c r="W12" s="33"/>
    </row>
    <row r="13" spans="1:23" x14ac:dyDescent="0.25">
      <c r="L13" s="33"/>
      <c r="M13" s="33"/>
      <c r="N13" s="33"/>
      <c r="O13" s="33"/>
      <c r="P13" s="34"/>
      <c r="Q13" s="33"/>
      <c r="R13" s="34"/>
      <c r="S13" s="33"/>
      <c r="T13" s="34"/>
      <c r="U13" s="33"/>
      <c r="V13" s="34"/>
      <c r="W13" s="33"/>
    </row>
    <row r="14" spans="1:23" x14ac:dyDescent="0.25">
      <c r="L14" s="33"/>
      <c r="M14" s="33"/>
      <c r="N14" s="33"/>
      <c r="O14" s="36"/>
      <c r="P14" s="34"/>
      <c r="Q14" s="36"/>
      <c r="R14" s="34"/>
      <c r="S14" s="36"/>
      <c r="T14" s="34"/>
      <c r="U14" s="36"/>
      <c r="V14" s="34"/>
      <c r="W14" s="33"/>
    </row>
    <row r="15" spans="1:23" x14ac:dyDescent="0.25"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44</vt:i4>
      </vt:variant>
      <vt:variant>
        <vt:lpstr>Named Ranges</vt:lpstr>
      </vt:variant>
      <vt:variant>
        <vt:i4>1</vt:i4>
      </vt:variant>
    </vt:vector>
  </HeadingPairs>
  <TitlesOfParts>
    <vt:vector size="45" baseType="lpstr">
      <vt:lpstr>Key</vt:lpstr>
      <vt:lpstr>2013StandardTableList</vt:lpstr>
      <vt:lpstr>LtgInputRestrictions_T24N_2013</vt:lpstr>
      <vt:lpstr>LtgInputRestrictions_T24N_2016</vt:lpstr>
      <vt:lpstr>LtgInputRestrictions_T24N_2019</vt:lpstr>
      <vt:lpstr>LtgInputRestrictions_T24N_2022</vt:lpstr>
      <vt:lpstr>LtgInputRestrictions_Alt</vt:lpstr>
      <vt:lpstr>LtgInputRestrictions_S901G</vt:lpstr>
      <vt:lpstr>PAFs_T24N_2013</vt:lpstr>
      <vt:lpstr>PAFs_T24N_2016</vt:lpstr>
      <vt:lpstr>PAFs_T24N_2019</vt:lpstr>
      <vt:lpstr>PAFs_T24N_2022</vt:lpstr>
      <vt:lpstr>PAFs_S901G</vt:lpstr>
      <vt:lpstr>AreaCategoryLPA</vt:lpstr>
      <vt:lpstr>TailoredMethodLPA_T24N_2013</vt:lpstr>
      <vt:lpstr>TailoredMethodLPA_T24N_2016</vt:lpstr>
      <vt:lpstr>TailoredMethodLPA_T24N_2019</vt:lpstr>
      <vt:lpstr>TailoredMethodLPA_T24_2022</vt:lpstr>
      <vt:lpstr>IlluminanceLevelLPD_T24N_2013</vt:lpstr>
      <vt:lpstr>IlluminanceLevelLPD_T24N_2016</vt:lpstr>
      <vt:lpstr>IlluminanceLevelLPD_T24N_2019</vt:lpstr>
      <vt:lpstr>IlluminanceLevelLPD_T24N_2022</vt:lpstr>
      <vt:lpstr>LightHeatGainDistribution</vt:lpstr>
      <vt:lpstr>DayltCtrlParms</vt:lpstr>
      <vt:lpstr>FenConsInputReqs_T24N</vt:lpstr>
      <vt:lpstr>FenConsInputReqs_S901G</vt:lpstr>
      <vt:lpstr>DefaultFenUFactors_T24N</vt:lpstr>
      <vt:lpstr>DefaultFenestrationSHGC_T24N</vt:lpstr>
      <vt:lpstr>DefaultVertFenPerf_S901G</vt:lpstr>
      <vt:lpstr>DefaultSkyltUFactors_S901G</vt:lpstr>
      <vt:lpstr>DefaultSkyltSHGC_S901G</vt:lpstr>
      <vt:lpstr>BaseVerticalFenPerf_T24N</vt:lpstr>
      <vt:lpstr>BaseVerticalFenPerf_T24N_2022</vt:lpstr>
      <vt:lpstr>BaseSkylightPerf_T24N</vt:lpstr>
      <vt:lpstr>BaselineFenPerf_S901G</vt:lpstr>
      <vt:lpstr>NA6FenestrationUFactorCoeff</vt:lpstr>
      <vt:lpstr>NA6FenestrationVTf_T24N</vt:lpstr>
      <vt:lpstr>AltFenPerformance</vt:lpstr>
      <vt:lpstr>BaseOpaqueEnvEffRValue</vt:lpstr>
      <vt:lpstr>UnitaryAC-HPMinEffReq_T24N_2016</vt:lpstr>
      <vt:lpstr>UnitaryAC-HPMinEffReq_T24N</vt:lpstr>
      <vt:lpstr>UnitaryAC-HPMinEffReq_Old</vt:lpstr>
      <vt:lpstr>ChillerMinEffReq</vt:lpstr>
      <vt:lpstr>Sheet3</vt:lpstr>
      <vt:lpstr>Status</vt:lpstr>
    </vt:vector>
  </TitlesOfParts>
  <Company>360 Analytics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Reddy</dc:creator>
  <cp:lastModifiedBy>Jireh Peng</cp:lastModifiedBy>
  <dcterms:created xsi:type="dcterms:W3CDTF">2012-09-11T19:42:19Z</dcterms:created>
  <dcterms:modified xsi:type="dcterms:W3CDTF">2022-02-07T22:47:44Z</dcterms:modified>
</cp:coreProperties>
</file>