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60 Local\_CBECC Com MFamRestructure\Documentation\T24N\"/>
    </mc:Choice>
  </mc:AlternateContent>
  <xr:revisionPtr revIDLastSave="0" documentId="13_ncr:1_{3058EE9D-2507-47A1-B317-0FFF63625E93}" xr6:coauthVersionLast="47" xr6:coauthVersionMax="47" xr10:uidLastSave="{00000000-0000-0000-0000-000000000000}"/>
  <bookViews>
    <workbookView xWindow="6120" yWindow="105" windowWidth="36870" windowHeight="20610" tabRatio="894" firstSheet="5" activeTab="5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SkylightPerf_T24N" sheetId="10" r:id="rId34"/>
    <sheet name="BaselineFenPerf_S901G" sheetId="38" r:id="rId35"/>
    <sheet name="NA6FenestrationUFactorCoeff" sheetId="31" r:id="rId36"/>
    <sheet name="NA6FenestrationVTf_T24N" sheetId="32" r:id="rId37"/>
    <sheet name="AltFenPerformance" sheetId="33" r:id="rId38"/>
    <sheet name="BaseOpaqueEnvEffRValue" sheetId="3" r:id="rId39"/>
    <sheet name="UnitaryAC-HPMinEffReq_T24N_2016" sheetId="55" r:id="rId40"/>
    <sheet name="UnitaryAC-HPMinEffReq_T24N" sheetId="56" r:id="rId41"/>
    <sheet name="UnitaryAC-HPMinEffReq_Old" sheetId="7" state="hidden" r:id="rId42"/>
    <sheet name="ChillerMinEffReq" sheetId="19" r:id="rId43"/>
    <sheet name="Sheet3" sheetId="9" r:id="rId44"/>
  </sheets>
  <externalReferences>
    <externalReference r:id="rId45"/>
    <externalReference r:id="rId46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40">[1]Key!$B$4:$B$9</definedName>
    <definedName name="Status" localSheetId="39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7" i="58" l="1"/>
  <c r="C88" i="58"/>
  <c r="C89" i="58"/>
  <c r="C90" i="58"/>
  <c r="W43" i="57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C224" i="58"/>
  <c r="A224" i="58"/>
  <c r="E224" i="58" s="1"/>
  <c r="D223" i="58"/>
  <c r="C223" i="58"/>
  <c r="A223" i="58"/>
  <c r="E223" i="58" s="1"/>
  <c r="E222" i="58"/>
  <c r="C222" i="58"/>
  <c r="E221" i="58"/>
  <c r="C221" i="58"/>
  <c r="E220" i="58"/>
  <c r="C220" i="58"/>
  <c r="E219" i="58"/>
  <c r="C219" i="58"/>
  <c r="E218" i="58"/>
  <c r="C218" i="58"/>
  <c r="E217" i="58"/>
  <c r="C217" i="58"/>
  <c r="E216" i="58"/>
  <c r="C216" i="58"/>
  <c r="E215" i="58"/>
  <c r="C215" i="58"/>
  <c r="E214" i="58"/>
  <c r="C214" i="58"/>
  <c r="E213" i="58"/>
  <c r="C213" i="58"/>
  <c r="E212" i="58"/>
  <c r="C212" i="58"/>
  <c r="E211" i="58"/>
  <c r="C211" i="58"/>
  <c r="E210" i="58"/>
  <c r="C210" i="58"/>
  <c r="E209" i="58"/>
  <c r="C209" i="58"/>
  <c r="E208" i="58"/>
  <c r="C208" i="58"/>
  <c r="E207" i="58"/>
  <c r="C207" i="58"/>
  <c r="E206" i="58"/>
  <c r="C206" i="58"/>
  <c r="E205" i="58"/>
  <c r="C205" i="58"/>
  <c r="E204" i="58"/>
  <c r="C204" i="58"/>
  <c r="E203" i="58"/>
  <c r="C203" i="58"/>
  <c r="E202" i="58"/>
  <c r="C202" i="58"/>
  <c r="E201" i="58"/>
  <c r="C201" i="58"/>
  <c r="E200" i="58"/>
  <c r="C200" i="58"/>
  <c r="E199" i="58"/>
  <c r="C199" i="58"/>
  <c r="E198" i="58"/>
  <c r="C198" i="58"/>
  <c r="E197" i="58"/>
  <c r="C197" i="58"/>
  <c r="E196" i="58"/>
  <c r="C196" i="58"/>
  <c r="E195" i="58"/>
  <c r="C195" i="58"/>
  <c r="E194" i="58"/>
  <c r="C194" i="58"/>
  <c r="E193" i="58"/>
  <c r="C193" i="58"/>
  <c r="E192" i="58"/>
  <c r="C192" i="58"/>
  <c r="E191" i="58"/>
  <c r="C191" i="58"/>
  <c r="E190" i="58"/>
  <c r="C190" i="58"/>
  <c r="E189" i="58"/>
  <c r="C189" i="58"/>
  <c r="E188" i="58"/>
  <c r="C188" i="58"/>
  <c r="E187" i="58"/>
  <c r="C187" i="58"/>
  <c r="E186" i="58"/>
  <c r="C186" i="58"/>
  <c r="E185" i="58"/>
  <c r="C185" i="58"/>
  <c r="E184" i="58"/>
  <c r="D184" i="58"/>
  <c r="F184" i="58" s="1"/>
  <c r="C184" i="58"/>
  <c r="E183" i="58"/>
  <c r="C183" i="58"/>
  <c r="E182" i="58"/>
  <c r="C182" i="58"/>
  <c r="E181" i="58"/>
  <c r="C181" i="58"/>
  <c r="E180" i="58"/>
  <c r="C180" i="58"/>
  <c r="E179" i="58"/>
  <c r="D179" i="58"/>
  <c r="C179" i="58"/>
  <c r="E178" i="58"/>
  <c r="C178" i="58"/>
  <c r="E177" i="58"/>
  <c r="C177" i="58"/>
  <c r="E176" i="58"/>
  <c r="C176" i="58"/>
  <c r="E175" i="58"/>
  <c r="C175" i="58"/>
  <c r="E174" i="58"/>
  <c r="C174" i="58"/>
  <c r="E173" i="58"/>
  <c r="C173" i="58"/>
  <c r="E172" i="58"/>
  <c r="C172" i="58"/>
  <c r="E171" i="58"/>
  <c r="C171" i="58"/>
  <c r="E170" i="58"/>
  <c r="C170" i="58"/>
  <c r="E169" i="58"/>
  <c r="D169" i="58"/>
  <c r="C169" i="58"/>
  <c r="E168" i="58"/>
  <c r="C168" i="58"/>
  <c r="E167" i="58"/>
  <c r="C167" i="58"/>
  <c r="E166" i="58"/>
  <c r="C166" i="58"/>
  <c r="E165" i="58"/>
  <c r="C165" i="58"/>
  <c r="E164" i="58"/>
  <c r="C164" i="58"/>
  <c r="E163" i="58"/>
  <c r="C163" i="58"/>
  <c r="E162" i="58"/>
  <c r="C162" i="58"/>
  <c r="E161" i="58"/>
  <c r="C161" i="58"/>
  <c r="E160" i="58"/>
  <c r="C160" i="58"/>
  <c r="E159" i="58"/>
  <c r="C159" i="58"/>
  <c r="E158" i="58"/>
  <c r="C158" i="58"/>
  <c r="E157" i="58"/>
  <c r="C157" i="58"/>
  <c r="E156" i="58"/>
  <c r="C156" i="58"/>
  <c r="E155" i="58"/>
  <c r="C155" i="58"/>
  <c r="E154" i="58"/>
  <c r="C154" i="58"/>
  <c r="E153" i="58"/>
  <c r="C153" i="58"/>
  <c r="E152" i="58"/>
  <c r="C152" i="58"/>
  <c r="E151" i="58"/>
  <c r="C151" i="58"/>
  <c r="E150" i="58"/>
  <c r="C150" i="58"/>
  <c r="E149" i="58"/>
  <c r="C149" i="58"/>
  <c r="E148" i="58"/>
  <c r="C148" i="58"/>
  <c r="E147" i="58"/>
  <c r="C147" i="58"/>
  <c r="E146" i="58"/>
  <c r="C146" i="58"/>
  <c r="E145" i="58"/>
  <c r="D145" i="58"/>
  <c r="C145" i="58"/>
  <c r="E144" i="58"/>
  <c r="C144" i="58"/>
  <c r="E143" i="58"/>
  <c r="C143" i="58"/>
  <c r="E142" i="58"/>
  <c r="C142" i="58"/>
  <c r="E141" i="58"/>
  <c r="C141" i="58"/>
  <c r="E140" i="58"/>
  <c r="C140" i="58"/>
  <c r="E139" i="58"/>
  <c r="C139" i="58"/>
  <c r="E138" i="58"/>
  <c r="C138" i="58"/>
  <c r="E137" i="58"/>
  <c r="C137" i="58"/>
  <c r="E136" i="58"/>
  <c r="D136" i="58"/>
  <c r="F136" i="58" s="1"/>
  <c r="C136" i="58"/>
  <c r="E135" i="58"/>
  <c r="C135" i="58"/>
  <c r="E134" i="58"/>
  <c r="C134" i="58"/>
  <c r="E133" i="58"/>
  <c r="C133" i="58"/>
  <c r="E132" i="58"/>
  <c r="C132" i="58"/>
  <c r="E131" i="58"/>
  <c r="C131" i="58"/>
  <c r="E130" i="58"/>
  <c r="C130" i="58"/>
  <c r="E129" i="58"/>
  <c r="C129" i="58"/>
  <c r="E128" i="58"/>
  <c r="C128" i="58"/>
  <c r="E127" i="58"/>
  <c r="C127" i="58"/>
  <c r="E126" i="58"/>
  <c r="C126" i="58"/>
  <c r="E125" i="58"/>
  <c r="C125" i="58"/>
  <c r="E124" i="58"/>
  <c r="C124" i="58"/>
  <c r="E123" i="58"/>
  <c r="C123" i="58"/>
  <c r="E122" i="58"/>
  <c r="C122" i="58"/>
  <c r="E121" i="58"/>
  <c r="C121" i="58"/>
  <c r="E120" i="58"/>
  <c r="C120" i="58"/>
  <c r="E119" i="58"/>
  <c r="C119" i="58"/>
  <c r="E118" i="58"/>
  <c r="C118" i="58"/>
  <c r="E117" i="58"/>
  <c r="C117" i="58"/>
  <c r="E116" i="58"/>
  <c r="C116" i="58"/>
  <c r="E115" i="58"/>
  <c r="C115" i="58"/>
  <c r="E114" i="58"/>
  <c r="C114" i="58"/>
  <c r="E113" i="58"/>
  <c r="D113" i="58"/>
  <c r="C113" i="58"/>
  <c r="E112" i="58"/>
  <c r="C112" i="58"/>
  <c r="E111" i="58"/>
  <c r="C111" i="58"/>
  <c r="E110" i="58"/>
  <c r="C110" i="58"/>
  <c r="E109" i="58"/>
  <c r="C109" i="58"/>
  <c r="E108" i="58"/>
  <c r="C108" i="58"/>
  <c r="E107" i="58"/>
  <c r="C107" i="58"/>
  <c r="E106" i="58"/>
  <c r="C106" i="58"/>
  <c r="E105" i="58"/>
  <c r="C105" i="58"/>
  <c r="E104" i="58"/>
  <c r="D104" i="58"/>
  <c r="F104" i="58" s="1"/>
  <c r="C104" i="58"/>
  <c r="E103" i="58"/>
  <c r="C103" i="58"/>
  <c r="E102" i="58"/>
  <c r="C102" i="58"/>
  <c r="E101" i="58"/>
  <c r="C101" i="58"/>
  <c r="E100" i="58"/>
  <c r="C100" i="58"/>
  <c r="E99" i="58"/>
  <c r="C99" i="58"/>
  <c r="E98" i="58"/>
  <c r="C98" i="58"/>
  <c r="E97" i="58"/>
  <c r="C97" i="58"/>
  <c r="E96" i="58"/>
  <c r="C96" i="58"/>
  <c r="E95" i="58"/>
  <c r="C95" i="58"/>
  <c r="E94" i="58"/>
  <c r="C94" i="58"/>
  <c r="E93" i="58"/>
  <c r="C93" i="58"/>
  <c r="E92" i="58"/>
  <c r="C92" i="58"/>
  <c r="E91" i="58"/>
  <c r="C91" i="58"/>
  <c r="E90" i="58"/>
  <c r="E89" i="58"/>
  <c r="E88" i="58"/>
  <c r="E87" i="58"/>
  <c r="E86" i="58"/>
  <c r="C86" i="58"/>
  <c r="E85" i="58"/>
  <c r="C85" i="58"/>
  <c r="E84" i="58"/>
  <c r="C84" i="58"/>
  <c r="E83" i="58"/>
  <c r="C83" i="58"/>
  <c r="E82" i="58"/>
  <c r="C82" i="58"/>
  <c r="E81" i="58"/>
  <c r="D81" i="58"/>
  <c r="C81" i="58"/>
  <c r="E80" i="58"/>
  <c r="C80" i="58"/>
  <c r="E79" i="58"/>
  <c r="C79" i="58"/>
  <c r="E78" i="58"/>
  <c r="C78" i="58"/>
  <c r="E77" i="58"/>
  <c r="C77" i="58"/>
  <c r="E76" i="58"/>
  <c r="C76" i="58"/>
  <c r="E75" i="58"/>
  <c r="C75" i="58"/>
  <c r="E74" i="58"/>
  <c r="C74" i="58"/>
  <c r="E73" i="58"/>
  <c r="C73" i="58"/>
  <c r="E72" i="58"/>
  <c r="D72" i="58"/>
  <c r="C72" i="58"/>
  <c r="E71" i="58"/>
  <c r="C71" i="58"/>
  <c r="E70" i="58"/>
  <c r="C70" i="58"/>
  <c r="E69" i="58"/>
  <c r="C69" i="58"/>
  <c r="E68" i="58"/>
  <c r="C68" i="58"/>
  <c r="E67" i="58"/>
  <c r="C67" i="58"/>
  <c r="E66" i="58"/>
  <c r="C66" i="58"/>
  <c r="E65" i="58"/>
  <c r="C65" i="58"/>
  <c r="E64" i="58"/>
  <c r="C64" i="58"/>
  <c r="E63" i="58"/>
  <c r="C63" i="58"/>
  <c r="E62" i="58"/>
  <c r="C62" i="58"/>
  <c r="E61" i="58"/>
  <c r="C61" i="58"/>
  <c r="E60" i="58"/>
  <c r="C60" i="58"/>
  <c r="E59" i="58"/>
  <c r="C59" i="58"/>
  <c r="E58" i="58"/>
  <c r="C58" i="58"/>
  <c r="E57" i="58"/>
  <c r="C57" i="58"/>
  <c r="E56" i="58"/>
  <c r="C56" i="58"/>
  <c r="E55" i="58"/>
  <c r="C55" i="58"/>
  <c r="E54" i="58"/>
  <c r="C54" i="58"/>
  <c r="E53" i="58"/>
  <c r="C53" i="58"/>
  <c r="E52" i="58"/>
  <c r="C52" i="58"/>
  <c r="E51" i="58"/>
  <c r="C51" i="58"/>
  <c r="E50" i="58"/>
  <c r="C50" i="58"/>
  <c r="E49" i="58"/>
  <c r="C49" i="58"/>
  <c r="E48" i="58"/>
  <c r="C48" i="58"/>
  <c r="E47" i="58"/>
  <c r="C47" i="58"/>
  <c r="E46" i="58"/>
  <c r="C46" i="58"/>
  <c r="E45" i="58"/>
  <c r="C45" i="58"/>
  <c r="E44" i="58"/>
  <c r="C44" i="58"/>
  <c r="E43" i="58"/>
  <c r="C43" i="58"/>
  <c r="E42" i="58"/>
  <c r="C42" i="58"/>
  <c r="E41" i="58"/>
  <c r="C41" i="58"/>
  <c r="E40" i="58"/>
  <c r="D40" i="58"/>
  <c r="F40" i="58" s="1"/>
  <c r="C40" i="58"/>
  <c r="E39" i="58"/>
  <c r="C39" i="58"/>
  <c r="E38" i="58"/>
  <c r="C38" i="58"/>
  <c r="E37" i="58"/>
  <c r="C37" i="58"/>
  <c r="E36" i="58"/>
  <c r="C36" i="58"/>
  <c r="E35" i="58"/>
  <c r="C35" i="58"/>
  <c r="E34" i="58"/>
  <c r="C34" i="58"/>
  <c r="E33" i="58"/>
  <c r="C33" i="58"/>
  <c r="E32" i="58"/>
  <c r="C32" i="58"/>
  <c r="E31" i="58"/>
  <c r="C31" i="58"/>
  <c r="E30" i="58"/>
  <c r="C30" i="58"/>
  <c r="E29" i="58"/>
  <c r="C29" i="58"/>
  <c r="E28" i="58"/>
  <c r="D28" i="58"/>
  <c r="F28" i="58" s="1"/>
  <c r="C28" i="58"/>
  <c r="E27" i="58"/>
  <c r="C27" i="58"/>
  <c r="E26" i="58"/>
  <c r="C26" i="58"/>
  <c r="E25" i="58"/>
  <c r="C25" i="58"/>
  <c r="E24" i="58"/>
  <c r="D24" i="58"/>
  <c r="C24" i="58"/>
  <c r="E23" i="58"/>
  <c r="C23" i="58"/>
  <c r="E22" i="58"/>
  <c r="C22" i="58"/>
  <c r="E21" i="58"/>
  <c r="C21" i="58"/>
  <c r="E20" i="58"/>
  <c r="C20" i="58"/>
  <c r="E19" i="58"/>
  <c r="C19" i="58"/>
  <c r="E18" i="58"/>
  <c r="C18" i="58"/>
  <c r="E17" i="58"/>
  <c r="C17" i="58"/>
  <c r="E16" i="58"/>
  <c r="C16" i="58"/>
  <c r="E15" i="58"/>
  <c r="C15" i="58"/>
  <c r="E14" i="58"/>
  <c r="D14" i="58"/>
  <c r="F14" i="58" s="1"/>
  <c r="C14" i="58"/>
  <c r="E13" i="58"/>
  <c r="D13" i="58"/>
  <c r="C13" i="58"/>
  <c r="E12" i="58"/>
  <c r="C12" i="58"/>
  <c r="E11" i="58"/>
  <c r="C11" i="58"/>
  <c r="M10" i="58"/>
  <c r="M11" i="58" s="1"/>
  <c r="E10" i="58"/>
  <c r="D10" i="58"/>
  <c r="C10" i="58"/>
  <c r="E9" i="58"/>
  <c r="C9" i="58"/>
  <c r="L8" i="58"/>
  <c r="D219" i="58" s="1"/>
  <c r="E8" i="58"/>
  <c r="D8" i="58"/>
  <c r="F8" i="58" s="1"/>
  <c r="C8" i="58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92" i="56"/>
  <c r="K92" i="56"/>
  <c r="D176" i="58" l="1"/>
  <c r="F176" i="58" s="1"/>
  <c r="E225" i="58"/>
  <c r="F225" i="58" s="1"/>
  <c r="C225" i="58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C226" i="58" l="1"/>
  <c r="A227" i="58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C227" i="58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C228" i="58"/>
  <c r="T102" i="51"/>
  <c r="A230" i="58" l="1"/>
  <c r="E229" i="58"/>
  <c r="F229" i="58" s="1"/>
  <c r="C229" i="58"/>
  <c r="T103" i="51"/>
  <c r="A231" i="58" l="1"/>
  <c r="C230" i="58"/>
  <c r="E230" i="58"/>
  <c r="F230" i="58" s="1"/>
  <c r="T104" i="51"/>
  <c r="B29" i="56"/>
  <c r="B23" i="55"/>
  <c r="A232" i="58" l="1"/>
  <c r="E231" i="58"/>
  <c r="F231" i="58" s="1"/>
  <c r="C231" i="58"/>
  <c r="C28" i="54"/>
  <c r="C29" i="54" s="1"/>
  <c r="C30" i="54" s="1"/>
  <c r="C31" i="54" s="1"/>
  <c r="B22" i="54"/>
  <c r="C18" i="54"/>
  <c r="E232" i="58" l="1"/>
  <c r="F232" i="58" s="1"/>
  <c r="C232" i="58"/>
  <c r="A233" i="58"/>
  <c r="AD17" i="51"/>
  <c r="AD16" i="51"/>
  <c r="AD15" i="51"/>
  <c r="AD14" i="51"/>
  <c r="U106" i="51"/>
  <c r="U107" i="51"/>
  <c r="U108" i="51"/>
  <c r="U109" i="51"/>
  <c r="C233" i="58" l="1"/>
  <c r="A234" i="58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C234" i="58"/>
  <c r="B22" i="50"/>
  <c r="C18" i="50"/>
  <c r="C235" i="58" l="1"/>
  <c r="A236" i="58"/>
  <c r="E235" i="58"/>
  <c r="F235" i="58" s="1"/>
  <c r="B22" i="49"/>
  <c r="C18" i="49"/>
  <c r="E236" i="58" l="1"/>
  <c r="F236" i="58" s="1"/>
  <c r="C236" i="58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C237" i="58"/>
  <c r="B22" i="45"/>
  <c r="A239" i="58" l="1"/>
  <c r="E238" i="58"/>
  <c r="F238" i="58" s="1"/>
  <c r="C238" i="58"/>
  <c r="B22" i="44"/>
  <c r="E239" i="58" l="1"/>
  <c r="F239" i="58" s="1"/>
  <c r="A240" i="58"/>
  <c r="C239" i="58"/>
  <c r="B22" i="43"/>
  <c r="A241" i="58" l="1"/>
  <c r="E240" i="58"/>
  <c r="F240" i="58" s="1"/>
  <c r="C240" i="58"/>
  <c r="T34" i="35"/>
  <c r="T35" i="35"/>
  <c r="E241" i="58" l="1"/>
  <c r="F241" i="58" s="1"/>
  <c r="C241" i="58"/>
  <c r="A242" i="58"/>
  <c r="F21" i="41"/>
  <c r="F19" i="41"/>
  <c r="C242" i="58" l="1"/>
  <c r="A243" i="58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C243" i="58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244" i="58"/>
  <c r="C18" i="36"/>
  <c r="A246" i="58" l="1"/>
  <c r="E245" i="58"/>
  <c r="F245" i="58" s="1"/>
  <c r="C245" i="58"/>
  <c r="T36" i="35"/>
  <c r="T33" i="35"/>
  <c r="T32" i="35"/>
  <c r="T31" i="35"/>
  <c r="T30" i="35"/>
  <c r="T29" i="35"/>
  <c r="T28" i="35"/>
  <c r="T27" i="35"/>
  <c r="T26" i="35"/>
  <c r="A247" i="58" l="1"/>
  <c r="C246" i="58"/>
  <c r="E246" i="58"/>
  <c r="F246" i="58" s="1"/>
  <c r="C18" i="34"/>
  <c r="B22" i="34"/>
  <c r="A248" i="58" l="1"/>
  <c r="E247" i="58"/>
  <c r="F247" i="58" s="1"/>
  <c r="C247" i="58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C248" i="58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C249" i="58" l="1"/>
  <c r="A250" i="58"/>
  <c r="E249" i="58"/>
  <c r="F249" i="58" s="1"/>
  <c r="A251" i="58" l="1"/>
  <c r="E250" i="58"/>
  <c r="F250" i="58" s="1"/>
  <c r="C250" i="58"/>
  <c r="C251" i="58" l="1"/>
  <c r="E251" i="58"/>
  <c r="F251" i="58" s="1"/>
  <c r="A252" i="58"/>
  <c r="E252" i="58" l="1"/>
  <c r="F252" i="58" s="1"/>
  <c r="A253" i="58"/>
  <c r="C252" i="58"/>
  <c r="A254" i="58" l="1"/>
  <c r="E253" i="58"/>
  <c r="F253" i="58" s="1"/>
  <c r="C253" i="58"/>
  <c r="A255" i="58" l="1"/>
  <c r="E254" i="58"/>
  <c r="F254" i="58" s="1"/>
  <c r="C254" i="58"/>
  <c r="E255" i="58" l="1"/>
  <c r="F255" i="58" s="1"/>
  <c r="A256" i="58"/>
  <c r="C255" i="58"/>
  <c r="A257" i="58" l="1"/>
  <c r="E256" i="58"/>
  <c r="F256" i="58" s="1"/>
  <c r="C256" i="58"/>
  <c r="E257" i="58" l="1"/>
  <c r="F257" i="58" s="1"/>
  <c r="C257" i="58"/>
  <c r="A258" i="58"/>
  <c r="C258" i="58" l="1"/>
  <c r="A259" i="58"/>
  <c r="E258" i="58"/>
  <c r="F258" i="58" s="1"/>
  <c r="A260" i="58" l="1"/>
  <c r="E259" i="58"/>
  <c r="F259" i="58" s="1"/>
  <c r="C259" i="58"/>
  <c r="A261" i="58" l="1"/>
  <c r="E260" i="58"/>
  <c r="F260" i="58" s="1"/>
  <c r="C260" i="58"/>
  <c r="A262" i="58" l="1"/>
  <c r="E261" i="58"/>
  <c r="F261" i="58" s="1"/>
  <c r="C261" i="58"/>
  <c r="A263" i="58" l="1"/>
  <c r="C262" i="58"/>
  <c r="E262" i="58"/>
  <c r="F262" i="58" s="1"/>
  <c r="A264" i="58" l="1"/>
  <c r="E263" i="58"/>
  <c r="F263" i="58" s="1"/>
  <c r="C263" i="58"/>
  <c r="E264" i="58" l="1"/>
  <c r="F264" i="58" s="1"/>
  <c r="C264" i="58"/>
  <c r="A265" i="58"/>
  <c r="C265" i="58" l="1"/>
  <c r="E265" i="58"/>
  <c r="F265" i="58" s="1"/>
  <c r="A266" i="58"/>
  <c r="A267" i="58" l="1"/>
  <c r="E266" i="58"/>
  <c r="F266" i="58" s="1"/>
  <c r="C266" i="58"/>
  <c r="C267" i="58" l="1"/>
  <c r="A268" i="58"/>
  <c r="E267" i="58"/>
  <c r="F267" i="58" s="1"/>
  <c r="E268" i="58" l="1"/>
  <c r="F268" i="58" s="1"/>
  <c r="A269" i="58"/>
  <c r="C268" i="58"/>
  <c r="A270" i="58" l="1"/>
  <c r="E269" i="58"/>
  <c r="F269" i="58" s="1"/>
  <c r="C269" i="58"/>
  <c r="A271" i="58" l="1"/>
  <c r="E270" i="58"/>
  <c r="F270" i="58" s="1"/>
  <c r="C270" i="58"/>
  <c r="E271" i="58" l="1"/>
  <c r="F271" i="58" s="1"/>
  <c r="A272" i="58"/>
  <c r="C271" i="58"/>
  <c r="A273" i="58" l="1"/>
  <c r="E272" i="58"/>
  <c r="F272" i="58" s="1"/>
  <c r="C272" i="58"/>
  <c r="E273" i="58" l="1"/>
  <c r="F273" i="58" s="1"/>
  <c r="C273" i="58"/>
  <c r="A274" i="58"/>
  <c r="C274" i="58" l="1"/>
  <c r="A275" i="58"/>
  <c r="E274" i="58"/>
  <c r="F274" i="58" s="1"/>
  <c r="A276" i="58" l="1"/>
  <c r="E275" i="58"/>
  <c r="F275" i="58" s="1"/>
  <c r="C275" i="58"/>
  <c r="A277" i="58" l="1"/>
  <c r="E276" i="58"/>
  <c r="F276" i="58" s="1"/>
  <c r="C276" i="58"/>
  <c r="A278" i="58" l="1"/>
  <c r="E277" i="58"/>
  <c r="F277" i="58" s="1"/>
  <c r="C277" i="58"/>
  <c r="A279" i="58" l="1"/>
  <c r="C278" i="58"/>
  <c r="E278" i="58"/>
  <c r="F278" i="58" s="1"/>
  <c r="A280" i="58" l="1"/>
  <c r="E279" i="58"/>
  <c r="F279" i="58" s="1"/>
  <c r="C279" i="58"/>
  <c r="E280" i="58" l="1"/>
  <c r="F280" i="58" s="1"/>
  <c r="C280" i="58"/>
  <c r="A281" i="58"/>
  <c r="C281" i="58" l="1"/>
  <c r="A282" i="58"/>
  <c r="E281" i="58"/>
  <c r="F281" i="58" s="1"/>
  <c r="A283" i="58" l="1"/>
  <c r="E282" i="58"/>
  <c r="F282" i="58" s="1"/>
  <c r="C282" i="58"/>
  <c r="C283" i="58" l="1"/>
  <c r="A284" i="58"/>
  <c r="E283" i="58"/>
  <c r="F283" i="58" s="1"/>
  <c r="E284" i="58" l="1"/>
  <c r="F284" i="58" s="1"/>
  <c r="A285" i="58"/>
  <c r="C284" i="58"/>
  <c r="A286" i="58" l="1"/>
  <c r="E285" i="58"/>
  <c r="F285" i="58" s="1"/>
  <c r="C285" i="58"/>
  <c r="A287" i="58" l="1"/>
  <c r="E286" i="58"/>
  <c r="F286" i="58" s="1"/>
  <c r="C286" i="58"/>
  <c r="E287" i="58" l="1"/>
  <c r="F287" i="58" s="1"/>
  <c r="A288" i="58"/>
  <c r="C287" i="58"/>
  <c r="A289" i="58" l="1"/>
  <c r="E288" i="58"/>
  <c r="F288" i="58" s="1"/>
  <c r="C288" i="58"/>
  <c r="E289" i="58" l="1"/>
  <c r="F289" i="58" s="1"/>
  <c r="C289" i="58"/>
  <c r="A290" i="58"/>
  <c r="C290" i="58" l="1"/>
  <c r="A291" i="58"/>
  <c r="E290" i="58"/>
  <c r="F290" i="58" s="1"/>
  <c r="A292" i="58" l="1"/>
  <c r="E291" i="58"/>
  <c r="F291" i="58" s="1"/>
  <c r="C291" i="58"/>
  <c r="A293" i="58" l="1"/>
  <c r="E292" i="58"/>
  <c r="F292" i="58" s="1"/>
  <c r="C292" i="58"/>
  <c r="A294" i="58" l="1"/>
  <c r="E293" i="58"/>
  <c r="F293" i="58" s="1"/>
  <c r="C293" i="58"/>
  <c r="A295" i="58" l="1"/>
  <c r="C294" i="58"/>
  <c r="E294" i="58"/>
  <c r="F294" i="58" s="1"/>
  <c r="A296" i="58" l="1"/>
  <c r="E295" i="58"/>
  <c r="F295" i="58" s="1"/>
  <c r="C295" i="58"/>
  <c r="E296" i="58" l="1"/>
  <c r="F296" i="58" s="1"/>
  <c r="C296" i="58"/>
  <c r="A297" i="58"/>
  <c r="C297" i="58" l="1"/>
  <c r="A298" i="58"/>
  <c r="E297" i="58"/>
  <c r="F297" i="58" s="1"/>
  <c r="A299" i="58" l="1"/>
  <c r="E298" i="58"/>
  <c r="F298" i="58" s="1"/>
  <c r="C298" i="58"/>
  <c r="C299" i="58" l="1"/>
  <c r="A300" i="58"/>
  <c r="E299" i="58"/>
  <c r="F299" i="58" s="1"/>
  <c r="E300" i="58" l="1"/>
  <c r="F300" i="58" s="1"/>
  <c r="A301" i="58"/>
  <c r="C300" i="58"/>
  <c r="A302" i="58" l="1"/>
  <c r="E301" i="58"/>
  <c r="F301" i="58" s="1"/>
  <c r="C301" i="58"/>
  <c r="A303" i="58" l="1"/>
  <c r="E302" i="58"/>
  <c r="F302" i="58" s="1"/>
  <c r="C302" i="58"/>
  <c r="E303" i="58" l="1"/>
  <c r="F303" i="58" s="1"/>
  <c r="A304" i="58"/>
  <c r="C303" i="58"/>
  <c r="A305" i="58" l="1"/>
  <c r="E304" i="58"/>
  <c r="F304" i="58" s="1"/>
  <c r="C304" i="58"/>
  <c r="E305" i="58" l="1"/>
  <c r="F305" i="58" s="1"/>
  <c r="C305" i="58"/>
  <c r="A306" i="58"/>
  <c r="C306" i="58" l="1"/>
  <c r="A307" i="58"/>
  <c r="E306" i="58"/>
  <c r="F306" i="58" s="1"/>
  <c r="A308" i="58" l="1"/>
  <c r="E307" i="58"/>
  <c r="F307" i="58" s="1"/>
  <c r="C307" i="58"/>
  <c r="A309" i="58" l="1"/>
  <c r="E308" i="58"/>
  <c r="F308" i="58" s="1"/>
  <c r="C308" i="58"/>
  <c r="A310" i="58" l="1"/>
  <c r="E309" i="58"/>
  <c r="F309" i="58" s="1"/>
  <c r="C309" i="58"/>
  <c r="A311" i="58" l="1"/>
  <c r="C310" i="58"/>
  <c r="E310" i="58"/>
  <c r="F310" i="58" s="1"/>
  <c r="A312" i="58" l="1"/>
  <c r="E311" i="58"/>
  <c r="F311" i="58" s="1"/>
  <c r="C311" i="58"/>
  <c r="E312" i="58" l="1"/>
  <c r="F312" i="58" s="1"/>
  <c r="C312" i="58"/>
  <c r="A313" i="58"/>
  <c r="C313" i="58" l="1"/>
  <c r="A314" i="58"/>
  <c r="E313" i="58"/>
  <c r="F313" i="58" s="1"/>
  <c r="A315" i="58" l="1"/>
  <c r="E314" i="58"/>
  <c r="F314" i="58" s="1"/>
  <c r="C314" i="58"/>
  <c r="C315" i="58" l="1"/>
  <c r="A316" i="58"/>
  <c r="E315" i="58"/>
  <c r="F315" i="58" s="1"/>
  <c r="E316" i="58" l="1"/>
  <c r="F316" i="58" s="1"/>
  <c r="A317" i="58"/>
  <c r="C316" i="58"/>
  <c r="A318" i="58" l="1"/>
  <c r="E317" i="58"/>
  <c r="F317" i="58" s="1"/>
  <c r="C317" i="58"/>
  <c r="A319" i="58" l="1"/>
  <c r="E318" i="58"/>
  <c r="F318" i="58" s="1"/>
  <c r="C318" i="58"/>
  <c r="E319" i="58" l="1"/>
  <c r="F319" i="58" s="1"/>
  <c r="A320" i="58"/>
  <c r="C319" i="58"/>
  <c r="A321" i="58" l="1"/>
  <c r="E320" i="58"/>
  <c r="F320" i="58" s="1"/>
  <c r="C320" i="58"/>
  <c r="E321" i="58" l="1"/>
  <c r="F321" i="58" s="1"/>
  <c r="C321" i="58"/>
  <c r="A322" i="58"/>
  <c r="C322" i="58" l="1"/>
  <c r="A323" i="58"/>
  <c r="E322" i="58"/>
  <c r="F322" i="58" s="1"/>
  <c r="A324" i="58" l="1"/>
  <c r="E323" i="58"/>
  <c r="F323" i="58" s="1"/>
  <c r="C323" i="58"/>
  <c r="A325" i="58" l="1"/>
  <c r="E324" i="58"/>
  <c r="F324" i="58" s="1"/>
  <c r="C324" i="58"/>
  <c r="A326" i="58" l="1"/>
  <c r="E325" i="58"/>
  <c r="F325" i="58" s="1"/>
  <c r="C325" i="58"/>
  <c r="A327" i="58" l="1"/>
  <c r="C326" i="58"/>
  <c r="E326" i="58"/>
  <c r="F326" i="58" s="1"/>
  <c r="A328" i="58" l="1"/>
  <c r="E327" i="58"/>
  <c r="F327" i="58" s="1"/>
  <c r="C327" i="58"/>
  <c r="E328" i="58" l="1"/>
  <c r="F328" i="58" s="1"/>
  <c r="C328" i="58"/>
  <c r="A329" i="58"/>
  <c r="C329" i="58" l="1"/>
  <c r="E329" i="58"/>
  <c r="F329" i="58" s="1"/>
  <c r="B11" i="58" l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sharedStrings.xml><?xml version="1.0" encoding="utf-8"?>
<sst xmlns="http://schemas.openxmlformats.org/spreadsheetml/2006/main" count="8015" uniqueCount="1205">
  <si>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</si>
  <si>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</si>
  <si>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</si>
  <si>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</si>
  <si>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</si>
  <si>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</si>
  <si>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</si>
  <si>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</si>
  <si>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</si>
  <si>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</si>
  <si>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</si>
  <si>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</si>
  <si>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</si>
  <si>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</si>
  <si>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</si>
  <si>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</si>
  <si>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</si>
  <si>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</si>
  <si>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</si>
  <si>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</si>
  <si>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</si>
  <si>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</si>
  <si>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</si>
  <si>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</si>
  <si>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</si>
  <si>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</si>
  <si>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</si>
  <si>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</si>
  <si>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</si>
  <si>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</si>
  <si>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</si>
  <si>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</si>
  <si>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</si>
  <si>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</si>
  <si>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</si>
  <si>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</si>
  <si>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</si>
  <si>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</si>
  <si>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</si>
  <si>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</si>
  <si>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</si>
  <si>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</si>
  <si>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</si>
  <si>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</si>
  <si>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</si>
  <si>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</si>
  <si>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</si>
  <si>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</si>
  <si>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</si>
  <si>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</si>
  <si>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</si>
  <si>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</si>
  <si>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</si>
  <si>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</si>
  <si>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</si>
  <si>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</si>
  <si>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</si>
  <si>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</si>
  <si>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</si>
  <si>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</si>
  <si>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</si>
  <si>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</si>
  <si>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</si>
  <si>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</si>
  <si>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</si>
  <si>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</si>
  <si>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</si>
  <si>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</si>
  <si>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</si>
  <si>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</si>
  <si>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</si>
  <si>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</si>
  <si>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</si>
  <si>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</si>
  <si>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</si>
  <si>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</si>
  <si>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</si>
  <si>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</si>
  <si>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</si>
  <si>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</si>
  <si>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</si>
  <si>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</si>
  <si>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</si>
  <si>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</si>
  <si>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</si>
  <si>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</si>
  <si>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</si>
  <si>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</si>
  <si>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</si>
  <si>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</si>
  <si>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</si>
  <si>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</si>
  <si>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</si>
  <si>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</si>
  <si>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</si>
  <si>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</si>
  <si>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</si>
  <si>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</si>
  <si>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</si>
  <si>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</si>
  <si>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</si>
  <si>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</si>
  <si>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</si>
  <si>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</si>
  <si>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</si>
  <si>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</si>
  <si>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</si>
  <si>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</si>
  <si>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</si>
  <si>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</si>
  <si>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</si>
  <si>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</si>
  <si>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</si>
  <si>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</si>
  <si>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</si>
  <si>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</si>
  <si>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</si>
  <si>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</si>
  <si>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</si>
  <si>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</si>
  <si>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</si>
  <si>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</si>
  <si>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</si>
  <si>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</si>
  <si>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</si>
  <si>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</si>
  <si>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</si>
  <si>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</si>
  <si>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</si>
  <si>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</si>
  <si>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</si>
  <si>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</si>
  <si>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</si>
  <si>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</si>
  <si>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</si>
  <si>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</si>
  <si>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</si>
  <si>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</si>
  <si>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</si>
  <si>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</si>
  <si>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</si>
  <si>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</si>
  <si>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</si>
  <si>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</si>
  <si>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</si>
  <si>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</si>
  <si>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</si>
  <si>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</si>
  <si>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</si>
  <si>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</si>
  <si>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</si>
  <si>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</si>
  <si>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</si>
  <si>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</si>
  <si>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</si>
  <si>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</si>
  <si>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</si>
  <si>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</si>
  <si>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</si>
  <si>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</si>
  <si>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</si>
  <si>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</si>
  <si>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</si>
  <si>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</si>
  <si>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</si>
  <si>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</si>
  <si>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</si>
  <si>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</si>
  <si>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</si>
  <si>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</si>
  <si>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</si>
  <si>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</si>
  <si>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</si>
  <si>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</si>
  <si>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</si>
  <si>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</si>
  <si>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</si>
  <si>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</si>
  <si>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</si>
  <si>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</si>
  <si>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</si>
  <si>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</si>
  <si>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</si>
  <si>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</si>
  <si>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</si>
  <si>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</si>
  <si>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</si>
  <si>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</si>
  <si>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</si>
  <si>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</si>
  <si>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</si>
  <si>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</si>
  <si>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</si>
  <si>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</si>
  <si>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</si>
  <si>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</si>
  <si>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</si>
  <si>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</si>
  <si>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</si>
  <si>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</si>
  <si>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</si>
  <si>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</si>
  <si>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</si>
  <si>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</si>
  <si>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</si>
  <si>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</si>
  <si>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</si>
  <si>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</si>
  <si>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</si>
  <si>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</si>
  <si>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</si>
  <si>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</si>
  <si>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</si>
  <si>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</si>
  <si>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</si>
  <si>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</si>
  <si>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</si>
  <si>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</si>
  <si>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</si>
  <si>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</si>
  <si>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</si>
  <si>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</si>
  <si>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</si>
  <si>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</si>
  <si>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</si>
  <si>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</si>
  <si>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</si>
  <si>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</si>
  <si>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</si>
  <si>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</si>
  <si>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</si>
  <si>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</si>
  <si>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</si>
  <si>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</si>
  <si>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</si>
  <si>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</si>
  <si>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</si>
  <si>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</si>
  <si>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</si>
  <si>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</si>
  <si>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</si>
  <si>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</si>
  <si>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</si>
  <si>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</si>
  <si>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</si>
  <si>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</si>
  <si>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</si>
  <si>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</si>
  <si>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</si>
  <si>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</si>
  <si>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</si>
  <si>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</si>
  <si>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</si>
  <si>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</si>
  <si>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</si>
  <si>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</si>
  <si>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</si>
  <si>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</si>
  <si>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</si>
  <si>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</si>
  <si>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</si>
  <si>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</si>
  <si>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</si>
  <si>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</si>
  <si>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</si>
  <si>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</si>
  <si>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</si>
  <si>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</si>
  <si>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</si>
  <si>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</si>
  <si>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</si>
  <si>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</si>
  <si>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</si>
  <si>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</si>
  <si>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</si>
  <si>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</si>
  <si>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</si>
  <si>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</si>
  <si>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</si>
  <si>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</si>
  <si>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</si>
  <si>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</si>
  <si>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</si>
  <si>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</si>
  <si>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</si>
  <si>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</si>
  <si>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</si>
  <si>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</si>
  <si>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</si>
  <si>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</si>
  <si>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</si>
  <si>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</si>
  <si>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</si>
  <si>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</si>
  <si>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</si>
  <si>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</si>
  <si>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</si>
  <si>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</si>
  <si>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</si>
  <si>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</si>
  <si>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</si>
  <si>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</si>
  <si>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</si>
  <si>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</si>
  <si>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</si>
  <si>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</si>
  <si>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</si>
  <si>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</si>
  <si>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</si>
  <si>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</si>
  <si>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</si>
  <si>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</si>
  <si>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</si>
  <si>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</si>
  <si>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</si>
  <si>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</si>
  <si>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</si>
  <si>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</si>
  <si>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</si>
  <si>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</si>
  <si>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</si>
  <si>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</si>
  <si>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</si>
  <si>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</si>
  <si>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</si>
  <si>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</si>
  <si>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</si>
  <si>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</si>
  <si>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</si>
  <si>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</si>
  <si>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</si>
  <si>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</si>
  <si>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</si>
  <si>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</si>
  <si>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</si>
  <si>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</si>
  <si>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</si>
  <si>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</si>
  <si>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</si>
  <si>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</si>
  <si>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</si>
  <si>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</si>
  <si>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</si>
  <si>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</si>
  <si>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</si>
  <si>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</si>
  <si>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</si>
  <si>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</si>
  <si>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</si>
  <si>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</si>
  <si>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</si>
  <si>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</si>
  <si>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</si>
  <si>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</si>
  <si>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</si>
  <si>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</si>
  <si>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</si>
  <si>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</si>
  <si>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</si>
  <si>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</si>
  <si>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</si>
  <si>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</si>
  <si>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</si>
  <si>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</si>
  <si>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</si>
  <si>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</si>
  <si>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</si>
  <si>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</si>
  <si>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</si>
  <si>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</si>
  <si>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</si>
  <si>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</si>
  <si>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</si>
  <si>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</si>
  <si>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</si>
  <si>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</si>
  <si>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</si>
  <si>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</si>
  <si>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</si>
  <si>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</si>
  <si>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</si>
  <si>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</si>
  <si>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</si>
  <si>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</si>
  <si>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</si>
  <si>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</si>
  <si>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</si>
  <si>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</si>
  <si>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</si>
  <si>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</si>
  <si>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</si>
  <si>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</si>
  <si>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</si>
  <si>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</si>
  <si>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</si>
  <si>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</si>
  <si>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</si>
  <si>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</si>
  <si>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</si>
  <si>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</si>
  <si>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</si>
  <si>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</si>
  <si>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</si>
  <si>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</si>
  <si>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</si>
  <si>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</si>
  <si>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</si>
  <si>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</si>
  <si>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</si>
  <si>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</si>
  <si>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</si>
  <si>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</si>
  <si>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</si>
  <si>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</si>
  <si>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</si>
  <si>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</si>
  <si>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</si>
  <si>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</si>
  <si>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</si>
  <si>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</si>
  <si>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</si>
  <si>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</si>
  <si>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</si>
  <si>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</si>
  <si>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</si>
  <si>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</si>
  <si>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</si>
  <si>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</si>
  <si>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</si>
  <si>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</si>
  <si>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</si>
  <si>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</si>
  <si>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</si>
  <si>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</si>
  <si>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</si>
  <si>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</si>
  <si>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</si>
  <si>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</si>
  <si>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</si>
  <si>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</si>
  <si>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</si>
  <si>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</si>
  <si>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</si>
  <si>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</si>
  <si>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</si>
  <si>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</si>
  <si>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</si>
  <si>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</si>
  <si>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</si>
  <si>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</si>
  <si>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</si>
  <si>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</si>
  <si>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</si>
  <si>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</si>
  <si>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</si>
  <si>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</si>
  <si>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</si>
  <si>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</si>
  <si>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</si>
  <si>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</si>
  <si>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</si>
  <si>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</si>
  <si>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</si>
  <si>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</si>
  <si>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</si>
  <si>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</si>
  <si>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</si>
  <si>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</si>
  <si>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</si>
  <si>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</si>
  <si>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</si>
  <si>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</si>
  <si>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</si>
  <si>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</si>
  <si>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</si>
  <si>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</si>
  <si>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</si>
  <si>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</si>
  <si>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</si>
  <si>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</si>
  <si>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</si>
  <si>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</si>
  <si>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</si>
  <si>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</si>
  <si>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</si>
  <si>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</si>
  <si>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</si>
  <si>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</si>
  <si>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</si>
  <si>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</si>
  <si>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</si>
  <si>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</si>
  <si>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</si>
  <si>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</si>
  <si>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</si>
  <si>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</si>
  <si>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</si>
  <si>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</si>
  <si>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</si>
  <si>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</si>
  <si>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</si>
  <si>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</si>
  <si>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</si>
  <si>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</si>
  <si>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</si>
  <si>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</si>
  <si>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</si>
  <si>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</si>
  <si>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</si>
  <si>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</si>
  <si>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</si>
  <si>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</si>
  <si>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</si>
  <si>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</si>
  <si>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</si>
  <si>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</si>
  <si>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</si>
  <si>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</si>
  <si>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</si>
  <si>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</si>
  <si>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</si>
  <si>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</si>
  <si>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</si>
  <si>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</si>
  <si>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</si>
  <si>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</si>
  <si>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</si>
  <si>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</si>
  <si>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</si>
  <si>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</si>
  <si>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</si>
  <si>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</si>
  <si>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</si>
  <si>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</si>
  <si>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</si>
  <si>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</si>
  <si>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</si>
  <si>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</si>
  <si>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</si>
  <si>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</si>
  <si>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</si>
  <si>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</si>
  <si>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</si>
  <si>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</si>
  <si>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</si>
  <si>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</si>
  <si>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</si>
  <si>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</si>
  <si>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</si>
  <si>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</si>
  <si>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</si>
  <si>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</si>
  <si>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</si>
  <si>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</si>
  <si>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</si>
  <si>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</si>
  <si>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</si>
  <si>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</si>
  <si>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</si>
  <si>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</si>
  <si>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</si>
  <si>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</si>
  <si>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</si>
  <si>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</si>
  <si>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</si>
  <si>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</si>
  <si>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</si>
  <si>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</si>
  <si>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</si>
  <si>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</si>
  <si>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</si>
  <si>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</si>
  <si>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</si>
  <si>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</si>
  <si>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</si>
  <si>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</si>
  <si>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</si>
  <si>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</si>
  <si>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</si>
  <si>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</si>
  <si>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</si>
  <si>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</si>
  <si>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</si>
  <si>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</si>
  <si>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</si>
  <si>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</si>
  <si>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</si>
  <si>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</si>
  <si>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</si>
  <si>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</si>
  <si>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</si>
  <si>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</si>
  <si>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</si>
  <si>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</si>
  <si>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</si>
  <si>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</si>
  <si>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</si>
  <si>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</si>
  <si>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</si>
  <si>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</si>
  <si>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</si>
  <si>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</si>
  <si>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</si>
  <si>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</si>
  <si>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</si>
  <si>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</si>
  <si>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</si>
  <si>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</si>
  <si>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</si>
  <si>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</si>
  <si>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</si>
  <si>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</si>
  <si>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</si>
  <si>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</si>
  <si>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</si>
  <si>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</si>
  <si>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</si>
  <si>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</si>
  <si>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</si>
  <si>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</si>
  <si>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</si>
  <si>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</si>
  <si>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</si>
  <si>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</si>
  <si>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</si>
  <si>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</si>
  <si>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</si>
  <si>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</si>
  <si>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</si>
  <si>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</si>
  <si>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</si>
  <si>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</si>
  <si>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</si>
  <si>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</si>
  <si>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</si>
  <si>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</si>
  <si>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</si>
  <si>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</si>
  <si>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</si>
  <si>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</si>
  <si>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</si>
  <si>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</si>
  <si>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</si>
  <si>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</si>
  <si>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</si>
  <si>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</si>
  <si>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</si>
  <si>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</si>
  <si>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</si>
  <si>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</si>
  <si>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</si>
  <si>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</si>
  <si>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</si>
  <si>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</si>
  <si>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</si>
  <si>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</si>
  <si>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</si>
  <si>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</si>
  <si>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</si>
  <si>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</si>
  <si>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</si>
  <si>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</si>
  <si>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</si>
  <si>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</si>
  <si>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</si>
  <si>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</si>
  <si>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</si>
  <si>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</si>
  <si>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</si>
  <si>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</si>
  <si>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</si>
  <si>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</si>
  <si>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</si>
  <si>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</si>
  <si>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</si>
  <si>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</si>
  <si>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</si>
  <si>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</si>
  <si>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</si>
  <si>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</si>
  <si>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</si>
  <si>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</si>
  <si>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</si>
  <si>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</si>
  <si>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</si>
  <si>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</si>
  <si>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</si>
  <si>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</si>
  <si>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</si>
  <si>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</si>
  <si>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</si>
  <si>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</si>
  <si>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</si>
  <si>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</si>
  <si>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</si>
  <si>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</si>
  <si>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</si>
  <si>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</si>
  <si>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</si>
  <si>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</si>
  <si>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</si>
  <si>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</si>
  <si>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</si>
  <si>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</si>
  <si>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</si>
  <si>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</si>
  <si>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</si>
  <si>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</si>
  <si>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</si>
  <si>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</si>
  <si>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</si>
  <si>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</si>
  <si>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</si>
  <si>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</si>
  <si>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</si>
  <si>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</si>
  <si>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</si>
  <si>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</si>
  <si>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</si>
  <si>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</si>
  <si>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</si>
  <si>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</si>
  <si>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</si>
  <si>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</si>
  <si>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</si>
  <si>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</si>
  <si>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</si>
  <si>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</si>
  <si>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</si>
  <si>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</si>
  <si>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</si>
  <si>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</si>
  <si>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</si>
  <si>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</si>
  <si>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</si>
  <si>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</si>
  <si>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</si>
  <si>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</si>
  <si>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</si>
  <si>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</si>
  <si>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</si>
  <si>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</si>
  <si>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</si>
  <si>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</si>
  <si>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</si>
  <si>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</si>
  <si>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</si>
  <si>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</si>
  <si>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</si>
  <si>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</si>
  <si>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</si>
  <si>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</si>
  <si>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</si>
  <si>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</si>
  <si>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</si>
  <si>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</si>
  <si>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</si>
  <si>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</si>
  <si>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</si>
  <si>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</si>
  <si>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</si>
  <si>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</si>
  <si>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</si>
  <si>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</si>
  <si>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</si>
  <si>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</si>
  <si>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</si>
  <si>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</si>
  <si>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</si>
  <si>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</si>
  <si>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</si>
  <si>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</si>
  <si>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</si>
  <si>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</si>
  <si>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</si>
  <si>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</si>
  <si>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</si>
  <si>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</si>
  <si>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</si>
  <si>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</si>
  <si>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</si>
  <si>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</si>
  <si>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</si>
  <si>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</si>
  <si>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</si>
  <si>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</si>
  <si>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</si>
  <si>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</si>
  <si>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</si>
  <si>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</si>
  <si>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</si>
  <si>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</si>
  <si>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</si>
  <si>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</si>
  <si>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</si>
  <si>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</si>
  <si>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</si>
  <si>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</si>
  <si>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</si>
  <si>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</si>
  <si>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</si>
  <si>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</si>
  <si>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</si>
  <si>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</si>
  <si>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</si>
  <si>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</si>
  <si>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</si>
  <si>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</si>
  <si>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</si>
  <si>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</si>
  <si>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</si>
  <si>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</si>
  <si>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</si>
  <si>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</si>
  <si>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</si>
  <si>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</si>
  <si>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</si>
  <si>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</si>
  <si>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</si>
  <si>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</si>
  <si>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</si>
  <si>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</si>
  <si>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</si>
  <si>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</si>
  <si>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</si>
  <si>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</si>
  <si>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</si>
  <si>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</si>
  <si>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</si>
  <si>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</si>
  <si>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</si>
  <si>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</si>
  <si>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</si>
  <si>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</si>
  <si>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</si>
  <si>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</si>
  <si>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</si>
  <si>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</si>
  <si>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</si>
  <si>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</si>
  <si>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</si>
  <si>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</si>
  <si>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</si>
  <si>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</si>
  <si>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</si>
  <si>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</si>
  <si>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</si>
  <si>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</si>
  <si>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</si>
  <si>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</si>
  <si>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</si>
  <si>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</si>
  <si>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</si>
  <si>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</si>
  <si>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</si>
  <si>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</si>
  <si>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</si>
  <si>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</si>
  <si>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</si>
  <si>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</si>
  <si>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</si>
  <si>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</si>
  <si>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</si>
  <si>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</si>
  <si>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</si>
  <si>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</si>
  <si>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</si>
  <si>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</si>
  <si>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</si>
  <si>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</si>
  <si>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</si>
  <si>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</si>
  <si>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</si>
  <si>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</si>
  <si>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</si>
  <si>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</si>
  <si>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</si>
  <si>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</si>
  <si>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</si>
  <si>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</si>
  <si>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</si>
  <si>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</si>
  <si>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</si>
  <si>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</si>
  <si>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</si>
  <si>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</si>
  <si>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</si>
  <si>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</si>
  <si>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</si>
  <si>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</si>
  <si>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</si>
  <si>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</si>
  <si>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</si>
  <si>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</si>
  <si>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</si>
  <si>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</si>
  <si>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</si>
  <si>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</si>
  <si>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</si>
  <si>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</si>
  <si>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</si>
  <si>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</si>
  <si>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</si>
  <si>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</si>
  <si>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</si>
  <si>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</si>
  <si>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</si>
  <si>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</si>
  <si>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</si>
  <si>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</si>
  <si>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</si>
  <si>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</si>
  <si>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</si>
  <si>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</si>
  <si>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</si>
  <si>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</si>
  <si>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</si>
  <si>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</si>
  <si>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</si>
  <si>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</si>
  <si>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</si>
  <si>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</si>
  <si>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</si>
  <si>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</si>
  <si>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</si>
  <si>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</si>
  <si>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</si>
  <si>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</si>
  <si>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</si>
  <si>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</si>
  <si>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</si>
  <si>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</si>
  <si>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</si>
  <si>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</si>
  <si>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</si>
  <si>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</si>
  <si>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</si>
  <si>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</si>
  <si>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</si>
  <si>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</si>
  <si>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</si>
  <si>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</si>
  <si>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</si>
  <si>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</si>
  <si>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</si>
  <si>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</si>
  <si>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</si>
  <si>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</si>
  <si>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</si>
  <si>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</si>
  <si>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</si>
  <si>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</si>
  <si>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</si>
  <si>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</si>
  <si>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</si>
  <si>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</si>
  <si>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</si>
  <si>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</si>
  <si>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</si>
  <si>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</si>
  <si>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</si>
  <si>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</si>
  <si>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</si>
  <si>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</si>
  <si>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</si>
  <si>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</si>
  <si>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</si>
  <si>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</si>
  <si>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</si>
  <si>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</si>
  <si>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</si>
  <si>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</si>
  <si>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</si>
  <si>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</si>
  <si>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</si>
  <si>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</si>
  <si>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</si>
  <si>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</si>
  <si>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</si>
  <si>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</si>
  <si>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</si>
  <si>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</si>
  <si>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</si>
  <si>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</si>
  <si>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</si>
  <si>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</si>
  <si>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</si>
  <si>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</si>
  <si>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</si>
  <si>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</si>
  <si>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</si>
  <si>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</si>
  <si>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</si>
  <si>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</si>
  <si>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</si>
  <si>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</si>
  <si>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</si>
  <si>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</si>
  <si>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</si>
  <si>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</si>
  <si>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</si>
  <si>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</si>
  <si>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</si>
  <si>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</si>
  <si>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</si>
  <si>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</si>
  <si>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</si>
  <si>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</si>
  <si>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</si>
  <si>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</si>
  <si>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</si>
  <si>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</si>
  <si>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</si>
  <si>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</si>
  <si>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</si>
  <si>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</si>
  <si>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</si>
  <si>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</si>
  <si>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</si>
  <si>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</si>
  <si>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</si>
  <si>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</si>
  <si>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</si>
  <si>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</si>
  <si>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</si>
  <si>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</si>
  <si>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</si>
  <si>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</si>
  <si>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</si>
  <si>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</si>
  <si>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</si>
  <si>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</si>
  <si>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</si>
  <si>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</si>
  <si>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</si>
  <si>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</si>
  <si>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</si>
  <si>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</si>
  <si>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</si>
  <si>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</si>
  <si>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</si>
  <si>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</si>
  <si>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</si>
  <si>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</si>
  <si>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</si>
  <si>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</si>
  <si>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</si>
  <si>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</si>
  <si>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</si>
  <si>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</si>
  <si>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</si>
  <si>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</si>
  <si>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</si>
  <si>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</si>
  <si>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</si>
  <si>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</si>
  <si>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</si>
  <si>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</si>
  <si>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</si>
  <si>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</si>
  <si>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</si>
  <si>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</si>
  <si>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</si>
  <si>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</si>
  <si>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</si>
  <si>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</si>
  <si>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</si>
  <si>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</si>
  <si>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</si>
  <si>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</si>
  <si>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</si>
  <si>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</si>
  <si>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</si>
  <si>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</si>
  <si>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</si>
  <si>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</si>
  <si>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</si>
  <si>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</si>
  <si>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</si>
  <si>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</si>
  <si>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</si>
  <si>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</si>
  <si>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</si>
  <si>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</si>
  <si>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</si>
  <si>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</si>
  <si>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</si>
  <si>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</si>
  <si>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</si>
  <si>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</si>
  <si>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</si>
  <si>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</si>
  <si>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</si>
  <si>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</si>
  <si>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</si>
  <si>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</si>
  <si>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</si>
  <si>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</si>
  <si>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</si>
  <si>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</si>
  <si>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</si>
  <si>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</si>
  <si>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</si>
  <si>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</si>
  <si>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</si>
  <si>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</si>
  <si>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</si>
  <si>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</si>
  <si>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</si>
  <si>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</si>
  <si>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</si>
  <si>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</si>
  <si>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</si>
  <si>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</si>
  <si>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</si>
  <si>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</si>
  <si>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</si>
  <si>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</si>
  <si>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</si>
  <si>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</si>
  <si>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</si>
  <si>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</si>
  <si>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</si>
  <si>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</si>
  <si>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</si>
  <si>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</si>
  <si>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</si>
  <si>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</si>
  <si>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</si>
  <si>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</si>
  <si>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</si>
  <si>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</si>
  <si>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</si>
  <si>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</si>
  <si>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</si>
  <si>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</si>
  <si>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</si>
  <si>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</si>
  <si>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</si>
  <si>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</si>
  <si>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</si>
  <si>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</si>
  <si>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</si>
  <si>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</si>
  <si>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</si>
  <si>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</si>
  <si>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</si>
  <si>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</si>
  <si>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</si>
  <si>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</si>
  <si>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</si>
  <si>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</si>
  <si>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</si>
  <si>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</si>
  <si>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</si>
  <si>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</si>
  <si>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</si>
  <si>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</si>
  <si>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</si>
  <si>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</si>
  <si>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</si>
  <si>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</si>
  <si>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</si>
  <si>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</si>
  <si>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</si>
  <si>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</si>
  <si>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</si>
  <si>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</si>
  <si>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</si>
  <si>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</si>
  <si>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</si>
  <si>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</si>
  <si>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</si>
  <si>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</si>
  <si>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</si>
  <si>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</si>
  <si>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</si>
  <si>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</si>
  <si>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</si>
  <si>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</si>
  <si>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</si>
  <si>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</si>
  <si>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</si>
  <si>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</si>
  <si>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</si>
  <si>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</si>
  <si>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</si>
  <si>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</si>
  <si>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</si>
  <si>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</si>
  <si>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</si>
  <si>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</si>
  <si>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</si>
  <si>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</si>
  <si>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</si>
  <si>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</si>
  <si>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</si>
  <si>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</si>
  <si>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</si>
  <si>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</si>
  <si>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</si>
  <si>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</si>
  <si>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Update to 2022 standard</t>
  </si>
  <si>
    <t>Dining Area (Cafeteria/Fast Food)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</si>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</sst>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39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164" fontId="0" fillId="0" borderId="0" xfId="0" applyNumberForma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 wrapText="1"/>
    </xf>
    <xf numFmtId="164" fontId="2" fillId="0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0" fillId="0" borderId="28" xfId="0" applyFill="1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0" fontId="29" fillId="0" borderId="0" xfId="0" applyFont="1"/>
    <xf numFmtId="2" fontId="2" fillId="0" borderId="0" xfId="0" applyNumberFormat="1" applyFont="1" applyFill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4" fillId="0" borderId="0" xfId="42" applyNumberFormat="1"/>
    <xf numFmtId="1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52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BECC-Com/CBECC-Com13/CBECC-Com_trunk/RulesetDev/Rulesets/CEC%202013%20Nonres/Rules/Tables/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360%20Local/_CBECC%20Com%202022/Documentation/T24N/Appendix_5.4A_SpaceUseData-T24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B4" t="str">
            <v>//SpaceBySpace</v>
          </cell>
        </row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Sports Arena - Playing Area (&gt; 5,000 Spectators)</v>
          </cell>
          <cell r="AN70">
            <v>367</v>
          </cell>
        </row>
        <row r="71">
          <cell r="B71" t="str">
            <v>Sports Arena - Playing Area (2,000 - 5,000 Spectators)</v>
          </cell>
          <cell r="AN71">
            <v>368</v>
          </cell>
        </row>
        <row r="72">
          <cell r="B72" t="str">
            <v>Sports Arena - Playing Area (&lt; 2,000 Spectators)</v>
          </cell>
          <cell r="AN72">
            <v>369</v>
          </cell>
        </row>
        <row r="73">
          <cell r="B73" t="str">
            <v>Sports Arena - Playing Area (Recreational)</v>
          </cell>
          <cell r="AN73">
            <v>370</v>
          </cell>
        </row>
        <row r="74">
          <cell r="B74" t="str">
            <v>Theater Area (Motion Picture)</v>
          </cell>
          <cell r="AN74">
            <v>371</v>
          </cell>
        </row>
        <row r="75">
          <cell r="B75" t="str">
            <v>Theater Area (Performance)</v>
          </cell>
          <cell r="AN75">
            <v>372</v>
          </cell>
        </row>
        <row r="76">
          <cell r="B76" t="str">
            <v>Transportation Function (Baggage Area)</v>
          </cell>
          <cell r="AN76">
            <v>373</v>
          </cell>
        </row>
        <row r="77">
          <cell r="B77" t="str">
            <v>Transportation Function (Ticketing Area)</v>
          </cell>
          <cell r="AN77">
            <v>374</v>
          </cell>
        </row>
        <row r="78">
          <cell r="B78" t="str">
            <v>Unleased Tenant Area</v>
          </cell>
          <cell r="AN78">
            <v>375</v>
          </cell>
        </row>
        <row r="79">
          <cell r="B79" t="str">
            <v>Unoccupied-Exclude from Gross Floor Area</v>
          </cell>
          <cell r="AN79">
            <v>376</v>
          </cell>
        </row>
        <row r="80">
          <cell r="B80" t="str">
            <v>Unoccupied-Include in Gross Floor Area</v>
          </cell>
          <cell r="AN80">
            <v>377</v>
          </cell>
        </row>
        <row r="81">
          <cell r="B81" t="str">
            <v>Videoconferencing Studio</v>
          </cell>
          <cell r="AN81">
            <v>378</v>
          </cell>
        </row>
        <row r="82">
          <cell r="B82" t="str">
            <v>All other</v>
          </cell>
          <cell r="AN82">
            <v>301</v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A6" t="str">
            <v>Aging Eye/Low-vision (Corridor Area)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7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318</v>
      </c>
      <c r="K5" s="46" t="s">
        <v>1</v>
      </c>
      <c r="L5" s="46" t="s">
        <v>343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320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44" t="s">
        <v>392</v>
      </c>
      <c r="J8" s="48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44" t="s">
        <v>392</v>
      </c>
      <c r="J9" s="48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45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44" t="s">
        <v>392</v>
      </c>
      <c r="J11" s="48" t="s">
        <v>315</v>
      </c>
      <c r="K11" s="21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45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45" t="s">
        <v>320</v>
      </c>
    </row>
    <row r="14" spans="1:12" x14ac:dyDescent="0.3">
      <c r="B14" s="4" t="s">
        <v>221</v>
      </c>
      <c r="C14" s="3" t="s">
        <v>222</v>
      </c>
      <c r="J14" s="45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45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45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45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45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45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45" t="s">
        <v>320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508</v>
      </c>
      <c r="I22" s="44" t="s">
        <v>392</v>
      </c>
      <c r="J22" s="48" t="s">
        <v>316</v>
      </c>
      <c r="K22" s="10" t="s">
        <v>234</v>
      </c>
    </row>
    <row r="23" spans="1:11" ht="45" x14ac:dyDescent="0.3">
      <c r="B23" s="10" t="s">
        <v>335</v>
      </c>
      <c r="C23" s="11" t="s">
        <v>336</v>
      </c>
      <c r="D23" s="12">
        <v>3</v>
      </c>
      <c r="E23" s="12">
        <v>1</v>
      </c>
      <c r="F23" s="11" t="s">
        <v>337</v>
      </c>
      <c r="G23" s="11" t="s">
        <v>209</v>
      </c>
      <c r="H23" s="11" t="s">
        <v>508</v>
      </c>
      <c r="I23" s="22" t="s">
        <v>457</v>
      </c>
      <c r="J23" s="48" t="s">
        <v>316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320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326</v>
      </c>
      <c r="J28" s="48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320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320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320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320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341</v>
      </c>
      <c r="G43" s="11" t="s">
        <v>407</v>
      </c>
      <c r="H43" s="11" t="s">
        <v>342</v>
      </c>
      <c r="I43" s="44" t="s">
        <v>392</v>
      </c>
      <c r="J43" s="48" t="s">
        <v>316</v>
      </c>
      <c r="K43" s="2" t="s">
        <v>359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320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314</v>
      </c>
      <c r="J46" s="48" t="s">
        <v>315</v>
      </c>
      <c r="K46" s="2" t="s">
        <v>406</v>
      </c>
      <c r="L46" s="2" t="s">
        <v>330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517</v>
      </c>
      <c r="I47" s="44" t="s">
        <v>392</v>
      </c>
      <c r="J47" s="48" t="s">
        <v>316</v>
      </c>
      <c r="K47" s="2" t="s">
        <v>377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518</v>
      </c>
      <c r="I48" s="44" t="s">
        <v>392</v>
      </c>
      <c r="J48" s="48" t="s">
        <v>316</v>
      </c>
      <c r="K48" s="21" t="s">
        <v>380</v>
      </c>
    </row>
    <row r="49" spans="1:12" s="13" customFormat="1" ht="45" x14ac:dyDescent="0.3">
      <c r="A49" s="16"/>
      <c r="B49" s="10" t="s">
        <v>93</v>
      </c>
      <c r="C49" s="11" t="s">
        <v>360</v>
      </c>
      <c r="D49" s="12">
        <v>3</v>
      </c>
      <c r="E49" s="12">
        <v>1</v>
      </c>
      <c r="F49" s="11" t="s">
        <v>87</v>
      </c>
      <c r="G49" s="11" t="s">
        <v>407</v>
      </c>
      <c r="H49" s="11"/>
      <c r="I49" s="44" t="s">
        <v>392</v>
      </c>
      <c r="J49" s="48" t="s">
        <v>316</v>
      </c>
      <c r="K49" s="2" t="s">
        <v>359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328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314</v>
      </c>
      <c r="J51" s="48" t="s">
        <v>315</v>
      </c>
      <c r="K51" s="2" t="s">
        <v>406</v>
      </c>
      <c r="L51" s="2" t="s">
        <v>330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392</v>
      </c>
      <c r="J52" s="48" t="s">
        <v>316</v>
      </c>
      <c r="K52" s="2" t="s">
        <v>377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392</v>
      </c>
      <c r="J53" s="48" t="s">
        <v>316</v>
      </c>
      <c r="K53" s="21" t="s">
        <v>380</v>
      </c>
    </row>
    <row r="54" spans="1:12" s="13" customFormat="1" ht="45" x14ac:dyDescent="0.3">
      <c r="A54" s="16"/>
      <c r="B54" s="10" t="s">
        <v>99</v>
      </c>
      <c r="C54" s="11" t="s">
        <v>361</v>
      </c>
      <c r="D54" s="12">
        <v>2</v>
      </c>
      <c r="E54" s="12">
        <v>1</v>
      </c>
      <c r="F54" s="11" t="s">
        <v>211</v>
      </c>
      <c r="G54" s="11" t="s">
        <v>407</v>
      </c>
      <c r="H54" s="11"/>
      <c r="I54" s="44" t="s">
        <v>392</v>
      </c>
      <c r="J54" s="48" t="s">
        <v>316</v>
      </c>
      <c r="K54" s="2" t="s">
        <v>359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328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314</v>
      </c>
      <c r="J56" s="48" t="s">
        <v>315</v>
      </c>
      <c r="K56" s="2" t="s">
        <v>406</v>
      </c>
      <c r="L56" s="2" t="s">
        <v>330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392</v>
      </c>
      <c r="J57" s="48" t="s">
        <v>315</v>
      </c>
      <c r="K57" s="2" t="s">
        <v>377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375</v>
      </c>
      <c r="I58" s="44" t="s">
        <v>392</v>
      </c>
      <c r="J58" s="48" t="s">
        <v>315</v>
      </c>
      <c r="K58" s="21" t="s">
        <v>380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320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48" t="s">
        <v>328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328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320</v>
      </c>
    </row>
    <row r="63" spans="1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457</v>
      </c>
      <c r="J63" s="48" t="s">
        <v>315</v>
      </c>
      <c r="K63" s="4" t="s">
        <v>409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326</v>
      </c>
      <c r="J64" s="48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326</v>
      </c>
      <c r="J65" s="48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44" t="s">
        <v>457</v>
      </c>
      <c r="J66" s="48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44" t="s">
        <v>457</v>
      </c>
      <c r="J67" s="48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44" t="s">
        <v>457</v>
      </c>
      <c r="J68" s="45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44" t="s">
        <v>457</v>
      </c>
      <c r="J69" s="45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457</v>
      </c>
      <c r="J70" s="48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44" t="s">
        <v>457</v>
      </c>
      <c r="J89" s="45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44" t="s">
        <v>457</v>
      </c>
      <c r="J90" s="45" t="s">
        <v>316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51" priority="4">
      <formula>IF($J6="NotUsed",TRUE,FALSE)</formula>
    </cfRule>
  </conditionalFormatting>
  <conditionalFormatting sqref="L46">
    <cfRule type="expression" dxfId="50" priority="3">
      <formula>IF($J46="NotUsed",TRUE,FALSE)</formula>
    </cfRule>
  </conditionalFormatting>
  <conditionalFormatting sqref="K51">
    <cfRule type="expression" dxfId="49" priority="2">
      <formula>IF($J51="NotUsed",TRUE,FALSE)</formula>
    </cfRule>
  </conditionalFormatting>
  <conditionalFormatting sqref="K56">
    <cfRule type="expression" dxfId="48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917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356</v>
      </c>
    </row>
    <row r="4" spans="1:19" x14ac:dyDescent="0.25">
      <c r="A4" s="138" t="s">
        <v>250</v>
      </c>
      <c r="C4" s="138" t="s">
        <v>796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357</v>
      </c>
    </row>
    <row r="7" spans="1:19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9" x14ac:dyDescent="0.25">
      <c r="A8" s="138" t="s">
        <v>250</v>
      </c>
      <c r="B8" s="141"/>
      <c r="C8" s="144">
        <v>42160</v>
      </c>
      <c r="D8" s="145" t="s">
        <v>410</v>
      </c>
      <c r="E8" s="138" t="s">
        <v>797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266</v>
      </c>
    </row>
    <row r="12" spans="1:19" x14ac:dyDescent="0.25">
      <c r="A12" s="138" t="s">
        <v>250</v>
      </c>
      <c r="C12" s="138" t="s">
        <v>800</v>
      </c>
    </row>
    <row r="13" spans="1:19" x14ac:dyDescent="0.25">
      <c r="A13" s="138" t="s">
        <v>250</v>
      </c>
      <c r="C13" s="138" t="s">
        <v>422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272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926</v>
      </c>
      <c r="R19" s="138" t="s">
        <v>925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365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149" t="s">
        <v>784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49" t="s">
        <v>784</v>
      </c>
      <c r="T23" s="138" t="s">
        <v>250</v>
      </c>
      <c r="U23" s="138" t="s">
        <v>794</v>
      </c>
    </row>
    <row r="24" spans="1:21" ht="30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49" t="s">
        <v>412</v>
      </c>
      <c r="M24" s="149" t="s">
        <v>413</v>
      </c>
      <c r="N24" s="149" t="s">
        <v>414</v>
      </c>
      <c r="O24" s="149" t="s">
        <v>415</v>
      </c>
      <c r="P24" s="149" t="s">
        <v>416</v>
      </c>
      <c r="Q24" s="149" t="s">
        <v>417</v>
      </c>
      <c r="R24" s="149" t="s">
        <v>418</v>
      </c>
      <c r="S24" s="149" t="s">
        <v>419</v>
      </c>
    </row>
    <row r="25" spans="1:21" x14ac:dyDescent="0.25">
      <c r="C25" s="138" t="s">
        <v>250</v>
      </c>
      <c r="D25" s="141" t="s">
        <v>798</v>
      </c>
      <c r="E25" s="141" t="s">
        <v>798</v>
      </c>
      <c r="F25" s="141" t="s">
        <v>798</v>
      </c>
      <c r="G25" s="141" t="s">
        <v>798</v>
      </c>
      <c r="H25" s="141" t="s">
        <v>798</v>
      </c>
      <c r="I25" s="141" t="s">
        <v>798</v>
      </c>
      <c r="J25" s="141" t="s">
        <v>798</v>
      </c>
      <c r="K25" s="141" t="s">
        <v>798</v>
      </c>
      <c r="L25" s="141" t="s">
        <v>799</v>
      </c>
      <c r="M25" s="141" t="s">
        <v>799</v>
      </c>
      <c r="N25" s="141" t="s">
        <v>799</v>
      </c>
      <c r="O25" s="141" t="s">
        <v>799</v>
      </c>
      <c r="P25" s="141" t="s">
        <v>799</v>
      </c>
      <c r="Q25" s="141" t="s">
        <v>799</v>
      </c>
      <c r="R25" s="141" t="s">
        <v>799</v>
      </c>
      <c r="S25" s="141" t="s">
        <v>799</v>
      </c>
    </row>
    <row r="26" spans="1:21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924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924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924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924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924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924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924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924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924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924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924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924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924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924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924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924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924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924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924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924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924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924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933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924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924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924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924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924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924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924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924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924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924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924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924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924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924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924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924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924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924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924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934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924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924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924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924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924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924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924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924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924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924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924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924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935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924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924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924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924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924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669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924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47" priority="2">
      <formula>D26=1</formula>
    </cfRule>
  </conditionalFormatting>
  <conditionalFormatting sqref="L79:S79">
    <cfRule type="expression" dxfId="46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918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356</v>
      </c>
    </row>
    <row r="4" spans="1:18" x14ac:dyDescent="0.25">
      <c r="A4" s="138" t="s">
        <v>250</v>
      </c>
      <c r="C4" s="138" t="s">
        <v>796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357</v>
      </c>
    </row>
    <row r="7" spans="1:1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8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266</v>
      </c>
    </row>
    <row r="12" spans="1:18" x14ac:dyDescent="0.25">
      <c r="A12" s="138" t="s">
        <v>250</v>
      </c>
      <c r="C12" s="138" t="s">
        <v>800</v>
      </c>
    </row>
    <row r="13" spans="1:18" x14ac:dyDescent="0.25">
      <c r="A13" s="138" t="s">
        <v>250</v>
      </c>
      <c r="C13" s="138" t="s">
        <v>422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272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926</v>
      </c>
    </row>
    <row r="20" spans="1:20" x14ac:dyDescent="0.25">
      <c r="A20" s="138" t="s">
        <v>250</v>
      </c>
      <c r="M20" s="138" t="s">
        <v>925</v>
      </c>
      <c r="N20" s="330"/>
      <c r="O20" s="330"/>
      <c r="P20" s="330"/>
      <c r="Q20" s="330"/>
      <c r="R20" s="138" t="s">
        <v>925</v>
      </c>
    </row>
    <row r="21" spans="1:20" x14ac:dyDescent="0.25">
      <c r="A21" s="138" t="s">
        <v>365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38" t="s">
        <v>250</v>
      </c>
      <c r="T23" s="138" t="s">
        <v>794</v>
      </c>
    </row>
    <row r="24" spans="1:20" ht="106.5" customHeight="1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16" t="s">
        <v>909</v>
      </c>
      <c r="M24" s="338" t="s">
        <v>905</v>
      </c>
      <c r="N24" s="338" t="s">
        <v>413</v>
      </c>
      <c r="O24" s="338" t="s">
        <v>414</v>
      </c>
      <c r="P24" s="338" t="s">
        <v>415</v>
      </c>
      <c r="Q24" s="338" t="s">
        <v>907</v>
      </c>
      <c r="R24" s="338" t="s">
        <v>418</v>
      </c>
      <c r="S24" s="189"/>
    </row>
    <row r="25" spans="1:20" s="139" customFormat="1" ht="30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906</v>
      </c>
      <c r="N25" s="337" t="s">
        <v>906</v>
      </c>
      <c r="O25" s="337" t="s">
        <v>906</v>
      </c>
      <c r="P25" s="337" t="s">
        <v>906</v>
      </c>
      <c r="Q25" s="337" t="s">
        <v>906</v>
      </c>
      <c r="R25" s="337" t="s">
        <v>906</v>
      </c>
    </row>
    <row r="26" spans="1:20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924</v>
      </c>
      <c r="N26" s="189">
        <v>0</v>
      </c>
      <c r="O26" s="189">
        <v>0</v>
      </c>
      <c r="P26" s="189">
        <v>0</v>
      </c>
      <c r="Q26" s="189">
        <v>1</v>
      </c>
      <c r="R26" s="189" t="s">
        <v>924</v>
      </c>
      <c r="S26" s="138" t="s">
        <v>250</v>
      </c>
      <c r="T26" s="138">
        <v>1</v>
      </c>
    </row>
    <row r="27" spans="1:20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924</v>
      </c>
      <c r="N27" s="189">
        <v>0</v>
      </c>
      <c r="O27" s="189">
        <v>0</v>
      </c>
      <c r="P27" s="189">
        <v>0</v>
      </c>
      <c r="Q27" s="189">
        <v>1</v>
      </c>
      <c r="R27" s="189" t="s">
        <v>924</v>
      </c>
      <c r="S27" s="138" t="s">
        <v>250</v>
      </c>
      <c r="T27" s="138">
        <v>2</v>
      </c>
    </row>
    <row r="28" spans="1:20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924</v>
      </c>
      <c r="N28" s="189">
        <v>0</v>
      </c>
      <c r="O28" s="189">
        <v>0</v>
      </c>
      <c r="P28" s="189">
        <v>0</v>
      </c>
      <c r="Q28" s="189">
        <v>1</v>
      </c>
      <c r="R28" s="189" t="s">
        <v>924</v>
      </c>
      <c r="S28" s="138" t="s">
        <v>250</v>
      </c>
      <c r="T28" s="138">
        <v>3</v>
      </c>
    </row>
    <row r="29" spans="1:20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924</v>
      </c>
      <c r="N29" s="189">
        <v>0</v>
      </c>
      <c r="O29" s="189">
        <v>0</v>
      </c>
      <c r="P29" s="189">
        <v>0</v>
      </c>
      <c r="Q29" s="189">
        <v>1</v>
      </c>
      <c r="R29" s="189" t="s">
        <v>924</v>
      </c>
      <c r="S29" s="138" t="s">
        <v>250</v>
      </c>
      <c r="T29" s="138">
        <v>4</v>
      </c>
    </row>
    <row r="30" spans="1:20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924</v>
      </c>
      <c r="N30" s="189">
        <v>0</v>
      </c>
      <c r="O30" s="189">
        <v>0</v>
      </c>
      <c r="P30" s="189">
        <v>0</v>
      </c>
      <c r="Q30" s="189">
        <v>1</v>
      </c>
      <c r="R30" s="189" t="s">
        <v>924</v>
      </c>
      <c r="S30" s="138" t="s">
        <v>250</v>
      </c>
      <c r="T30" s="138">
        <v>5</v>
      </c>
    </row>
    <row r="31" spans="1:20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924</v>
      </c>
      <c r="N31" s="189">
        <v>0</v>
      </c>
      <c r="O31" s="189">
        <v>0</v>
      </c>
      <c r="P31" s="189">
        <v>0</v>
      </c>
      <c r="Q31" s="189">
        <v>1</v>
      </c>
      <c r="R31" s="189" t="s">
        <v>924</v>
      </c>
      <c r="S31" s="138" t="s">
        <v>250</v>
      </c>
      <c r="T31" s="138">
        <v>6</v>
      </c>
    </row>
    <row r="32" spans="1:20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924</v>
      </c>
      <c r="N32" s="189">
        <v>0</v>
      </c>
      <c r="O32" s="189">
        <v>0</v>
      </c>
      <c r="P32" s="189">
        <v>0</v>
      </c>
      <c r="Q32" s="189">
        <v>1</v>
      </c>
      <c r="R32" s="189" t="s">
        <v>924</v>
      </c>
      <c r="S32" s="138" t="s">
        <v>250</v>
      </c>
      <c r="T32" s="138">
        <v>7</v>
      </c>
    </row>
    <row r="33" spans="3:20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924</v>
      </c>
      <c r="N33" s="189">
        <v>0</v>
      </c>
      <c r="O33" s="189">
        <v>0</v>
      </c>
      <c r="P33" s="189">
        <v>0</v>
      </c>
      <c r="Q33" s="189">
        <v>1</v>
      </c>
      <c r="R33" s="189" t="s">
        <v>924</v>
      </c>
      <c r="S33" s="138" t="s">
        <v>250</v>
      </c>
      <c r="T33" s="138">
        <v>8</v>
      </c>
    </row>
    <row r="34" spans="3:20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924</v>
      </c>
      <c r="N34" s="189">
        <v>0</v>
      </c>
      <c r="O34" s="189">
        <v>0</v>
      </c>
      <c r="P34" s="189">
        <v>0</v>
      </c>
      <c r="Q34" s="189">
        <v>1</v>
      </c>
      <c r="R34" s="189" t="s">
        <v>924</v>
      </c>
      <c r="S34" s="138" t="s">
        <v>250</v>
      </c>
      <c r="T34" s="138">
        <v>9</v>
      </c>
    </row>
    <row r="35" spans="3:20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924</v>
      </c>
      <c r="N35" s="189">
        <v>0</v>
      </c>
      <c r="O35" s="189">
        <v>0</v>
      </c>
      <c r="P35" s="189">
        <v>0</v>
      </c>
      <c r="Q35" s="189">
        <v>1</v>
      </c>
      <c r="R35" s="189" t="s">
        <v>924</v>
      </c>
      <c r="S35" s="138" t="s">
        <v>250</v>
      </c>
      <c r="T35" s="138">
        <v>10</v>
      </c>
    </row>
    <row r="36" spans="3:20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924</v>
      </c>
      <c r="N36" s="189">
        <v>0</v>
      </c>
      <c r="O36" s="189">
        <v>0</v>
      </c>
      <c r="P36" s="189">
        <v>0</v>
      </c>
      <c r="Q36" s="189">
        <v>1</v>
      </c>
      <c r="R36" s="189" t="s">
        <v>924</v>
      </c>
      <c r="S36" s="138" t="s">
        <v>250</v>
      </c>
      <c r="T36" s="138">
        <v>11</v>
      </c>
    </row>
    <row r="37" spans="3:20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924</v>
      </c>
      <c r="N37" s="189">
        <v>0</v>
      </c>
      <c r="O37" s="189">
        <v>0</v>
      </c>
      <c r="P37" s="189">
        <v>0</v>
      </c>
      <c r="Q37" s="189">
        <v>1</v>
      </c>
      <c r="R37" s="189" t="s">
        <v>924</v>
      </c>
      <c r="S37" s="138" t="s">
        <v>250</v>
      </c>
      <c r="T37" s="138">
        <v>12</v>
      </c>
    </row>
    <row r="38" spans="3:20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924</v>
      </c>
      <c r="N38" s="189">
        <v>0</v>
      </c>
      <c r="O38" s="189">
        <v>0</v>
      </c>
      <c r="P38" s="189">
        <v>0</v>
      </c>
      <c r="Q38" s="189">
        <v>1</v>
      </c>
      <c r="R38" s="189" t="s">
        <v>924</v>
      </c>
      <c r="S38" s="138" t="s">
        <v>250</v>
      </c>
      <c r="T38" s="138">
        <v>13</v>
      </c>
    </row>
    <row r="39" spans="3:20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924</v>
      </c>
      <c r="N39" s="189">
        <v>0</v>
      </c>
      <c r="O39" s="189">
        <v>0</v>
      </c>
      <c r="P39" s="189">
        <v>0</v>
      </c>
      <c r="Q39" s="189">
        <v>1</v>
      </c>
      <c r="R39" s="189" t="s">
        <v>924</v>
      </c>
      <c r="S39" s="138" t="s">
        <v>250</v>
      </c>
      <c r="T39" s="138">
        <v>14</v>
      </c>
    </row>
    <row r="40" spans="3:20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924</v>
      </c>
      <c r="N40" s="189">
        <v>0</v>
      </c>
      <c r="O40" s="189">
        <v>0</v>
      </c>
      <c r="P40" s="189">
        <v>0</v>
      </c>
      <c r="Q40" s="189">
        <v>1</v>
      </c>
      <c r="R40" s="189" t="s">
        <v>924</v>
      </c>
      <c r="S40" s="138" t="s">
        <v>250</v>
      </c>
      <c r="T40" s="138">
        <v>15</v>
      </c>
    </row>
    <row r="41" spans="3:20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924</v>
      </c>
      <c r="N41" s="189">
        <v>0</v>
      </c>
      <c r="O41" s="189">
        <v>0</v>
      </c>
      <c r="P41" s="189">
        <v>0</v>
      </c>
      <c r="Q41" s="189">
        <v>1</v>
      </c>
      <c r="R41" s="189" t="s">
        <v>924</v>
      </c>
      <c r="S41" s="138" t="s">
        <v>250</v>
      </c>
      <c r="T41" s="138">
        <v>16</v>
      </c>
    </row>
    <row r="42" spans="3:20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924</v>
      </c>
      <c r="N42" s="189">
        <v>0</v>
      </c>
      <c r="O42" s="189">
        <v>0</v>
      </c>
      <c r="P42" s="189">
        <v>0</v>
      </c>
      <c r="Q42" s="189">
        <v>1</v>
      </c>
      <c r="R42" s="189" t="s">
        <v>924</v>
      </c>
      <c r="S42" s="138" t="s">
        <v>250</v>
      </c>
      <c r="T42" s="138">
        <v>17</v>
      </c>
    </row>
    <row r="43" spans="3:20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924</v>
      </c>
      <c r="N43" s="189">
        <v>0</v>
      </c>
      <c r="O43" s="189">
        <v>0</v>
      </c>
      <c r="P43" s="189">
        <v>0</v>
      </c>
      <c r="Q43" s="189">
        <v>1</v>
      </c>
      <c r="R43" s="189" t="s">
        <v>924</v>
      </c>
      <c r="S43" s="138" t="s">
        <v>250</v>
      </c>
      <c r="T43" s="138">
        <v>18</v>
      </c>
    </row>
    <row r="44" spans="3:20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924</v>
      </c>
      <c r="N44" s="189">
        <v>0</v>
      </c>
      <c r="O44" s="189">
        <v>0</v>
      </c>
      <c r="P44" s="189">
        <v>0</v>
      </c>
      <c r="Q44" s="189">
        <v>1</v>
      </c>
      <c r="R44" s="189" t="s">
        <v>924</v>
      </c>
      <c r="S44" s="138" t="s">
        <v>250</v>
      </c>
      <c r="T44" s="138">
        <v>19</v>
      </c>
    </row>
    <row r="45" spans="3:20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924</v>
      </c>
      <c r="N45" s="189">
        <v>0</v>
      </c>
      <c r="O45" s="189">
        <v>0</v>
      </c>
      <c r="P45" s="189">
        <v>0</v>
      </c>
      <c r="Q45" s="189">
        <v>1</v>
      </c>
      <c r="R45" s="189" t="s">
        <v>924</v>
      </c>
      <c r="S45" s="138" t="s">
        <v>250</v>
      </c>
      <c r="T45" s="138">
        <v>20</v>
      </c>
    </row>
    <row r="46" spans="3:20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924</v>
      </c>
      <c r="N46" s="189">
        <v>0</v>
      </c>
      <c r="O46" s="189">
        <v>0</v>
      </c>
      <c r="P46" s="189">
        <v>0</v>
      </c>
      <c r="Q46" s="189">
        <v>1</v>
      </c>
      <c r="R46" s="189" t="s">
        <v>924</v>
      </c>
      <c r="S46" s="138" t="s">
        <v>250</v>
      </c>
      <c r="T46" s="138">
        <v>21</v>
      </c>
    </row>
    <row r="47" spans="3:20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924</v>
      </c>
      <c r="N47" s="189">
        <v>0</v>
      </c>
      <c r="O47" s="189">
        <v>0</v>
      </c>
      <c r="P47" s="189">
        <v>0</v>
      </c>
      <c r="Q47" s="189">
        <v>1</v>
      </c>
      <c r="R47" s="189" t="s">
        <v>924</v>
      </c>
      <c r="S47" s="138" t="s">
        <v>250</v>
      </c>
      <c r="T47" s="138">
        <v>22</v>
      </c>
    </row>
    <row r="48" spans="3:20" x14ac:dyDescent="0.25">
      <c r="C48" s="138" t="s">
        <v>933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924</v>
      </c>
      <c r="N48" s="189">
        <v>0</v>
      </c>
      <c r="O48" s="189">
        <v>0</v>
      </c>
      <c r="P48" s="189">
        <v>0</v>
      </c>
      <c r="Q48" s="189">
        <v>1</v>
      </c>
      <c r="R48" s="189" t="s">
        <v>924</v>
      </c>
      <c r="S48" s="138" t="s">
        <v>250</v>
      </c>
      <c r="T48" s="138">
        <v>23</v>
      </c>
    </row>
    <row r="49" spans="3:20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924</v>
      </c>
      <c r="N49" s="189">
        <v>0</v>
      </c>
      <c r="O49" s="189">
        <v>0</v>
      </c>
      <c r="P49" s="189">
        <v>0</v>
      </c>
      <c r="Q49" s="189">
        <v>1</v>
      </c>
      <c r="R49" s="189" t="s">
        <v>924</v>
      </c>
      <c r="S49" s="138" t="s">
        <v>250</v>
      </c>
      <c r="T49" s="138">
        <v>24</v>
      </c>
    </row>
    <row r="50" spans="3:20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924</v>
      </c>
      <c r="N50" s="189">
        <v>0</v>
      </c>
      <c r="O50" s="189">
        <v>0</v>
      </c>
      <c r="P50" s="189">
        <v>0</v>
      </c>
      <c r="Q50" s="189">
        <v>1</v>
      </c>
      <c r="R50" s="189" t="s">
        <v>924</v>
      </c>
      <c r="S50" s="138" t="s">
        <v>250</v>
      </c>
      <c r="T50" s="138">
        <v>25</v>
      </c>
    </row>
    <row r="51" spans="3:20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924</v>
      </c>
      <c r="N51" s="189">
        <v>0</v>
      </c>
      <c r="O51" s="189">
        <v>0</v>
      </c>
      <c r="P51" s="189">
        <v>0</v>
      </c>
      <c r="Q51" s="189">
        <v>1</v>
      </c>
      <c r="R51" s="189" t="s">
        <v>924</v>
      </c>
      <c r="S51" s="138" t="s">
        <v>250</v>
      </c>
      <c r="T51" s="138">
        <v>26</v>
      </c>
    </row>
    <row r="52" spans="3:20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924</v>
      </c>
      <c r="N52" s="189">
        <v>0</v>
      </c>
      <c r="O52" s="189">
        <v>0</v>
      </c>
      <c r="P52" s="189">
        <v>0</v>
      </c>
      <c r="Q52" s="189">
        <v>1</v>
      </c>
      <c r="R52" s="189" t="s">
        <v>924</v>
      </c>
      <c r="S52" s="138" t="s">
        <v>250</v>
      </c>
      <c r="T52" s="138">
        <v>27</v>
      </c>
    </row>
    <row r="53" spans="3:20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924</v>
      </c>
      <c r="N53" s="189">
        <v>0</v>
      </c>
      <c r="O53" s="189">
        <v>0</v>
      </c>
      <c r="P53" s="189">
        <v>0</v>
      </c>
      <c r="Q53" s="189">
        <v>1</v>
      </c>
      <c r="R53" s="189" t="s">
        <v>924</v>
      </c>
      <c r="S53" s="138" t="s">
        <v>250</v>
      </c>
      <c r="T53" s="138">
        <v>28</v>
      </c>
    </row>
    <row r="54" spans="3:20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924</v>
      </c>
      <c r="N54" s="189">
        <v>0</v>
      </c>
      <c r="O54" s="189">
        <v>0</v>
      </c>
      <c r="P54" s="189">
        <v>0</v>
      </c>
      <c r="Q54" s="189">
        <v>1</v>
      </c>
      <c r="R54" s="189" t="s">
        <v>924</v>
      </c>
      <c r="S54" s="138" t="s">
        <v>250</v>
      </c>
      <c r="T54" s="138">
        <v>29</v>
      </c>
    </row>
    <row r="55" spans="3:20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924</v>
      </c>
      <c r="N55" s="189">
        <v>0</v>
      </c>
      <c r="O55" s="189">
        <v>0</v>
      </c>
      <c r="P55" s="189">
        <v>0</v>
      </c>
      <c r="Q55" s="189">
        <v>1</v>
      </c>
      <c r="R55" s="189" t="s">
        <v>924</v>
      </c>
      <c r="S55" s="138" t="s">
        <v>250</v>
      </c>
      <c r="T55" s="138">
        <v>30</v>
      </c>
    </row>
    <row r="56" spans="3:20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924</v>
      </c>
      <c r="N56" s="189">
        <v>0</v>
      </c>
      <c r="O56" s="189">
        <v>0</v>
      </c>
      <c r="P56" s="189">
        <v>0</v>
      </c>
      <c r="Q56" s="189">
        <v>1</v>
      </c>
      <c r="R56" s="189" t="s">
        <v>924</v>
      </c>
      <c r="S56" s="138" t="s">
        <v>250</v>
      </c>
      <c r="T56" s="138">
        <v>31</v>
      </c>
    </row>
    <row r="57" spans="3:20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924</v>
      </c>
      <c r="N57" s="189">
        <v>0</v>
      </c>
      <c r="O57" s="189">
        <v>0</v>
      </c>
      <c r="P57" s="189">
        <v>0</v>
      </c>
      <c r="Q57" s="189">
        <v>1</v>
      </c>
      <c r="R57" s="189" t="s">
        <v>924</v>
      </c>
      <c r="S57" s="138" t="s">
        <v>250</v>
      </c>
      <c r="T57" s="138">
        <v>32</v>
      </c>
    </row>
    <row r="58" spans="3:20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924</v>
      </c>
      <c r="N58" s="189">
        <v>0</v>
      </c>
      <c r="O58" s="189">
        <v>0</v>
      </c>
      <c r="P58" s="189">
        <v>0</v>
      </c>
      <c r="Q58" s="189">
        <v>1</v>
      </c>
      <c r="R58" s="189" t="s">
        <v>924</v>
      </c>
      <c r="S58" s="138" t="s">
        <v>250</v>
      </c>
      <c r="T58" s="138">
        <v>33</v>
      </c>
    </row>
    <row r="59" spans="3:20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924</v>
      </c>
      <c r="N59" s="189">
        <v>0</v>
      </c>
      <c r="O59" s="189">
        <v>0</v>
      </c>
      <c r="P59" s="189">
        <v>0</v>
      </c>
      <c r="Q59" s="189">
        <v>1</v>
      </c>
      <c r="R59" s="189" t="s">
        <v>924</v>
      </c>
      <c r="S59" s="138" t="s">
        <v>250</v>
      </c>
      <c r="T59" s="138">
        <v>34</v>
      </c>
    </row>
    <row r="60" spans="3:20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924</v>
      </c>
      <c r="N60" s="189">
        <v>0</v>
      </c>
      <c r="O60" s="189">
        <v>0</v>
      </c>
      <c r="P60" s="189">
        <v>0</v>
      </c>
      <c r="Q60" s="189">
        <v>1</v>
      </c>
      <c r="R60" s="189" t="s">
        <v>924</v>
      </c>
      <c r="S60" s="138" t="s">
        <v>250</v>
      </c>
      <c r="T60" s="138">
        <v>35</v>
      </c>
    </row>
    <row r="61" spans="3:20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924</v>
      </c>
      <c r="N61" s="189">
        <v>0</v>
      </c>
      <c r="O61" s="189">
        <v>0</v>
      </c>
      <c r="P61" s="189">
        <v>0</v>
      </c>
      <c r="Q61" s="189">
        <v>1</v>
      </c>
      <c r="R61" s="189" t="s">
        <v>924</v>
      </c>
      <c r="S61" s="138" t="s">
        <v>250</v>
      </c>
      <c r="T61" s="138">
        <v>36</v>
      </c>
    </row>
    <row r="62" spans="3:20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924</v>
      </c>
      <c r="N62" s="189">
        <v>0</v>
      </c>
      <c r="O62" s="189">
        <v>0</v>
      </c>
      <c r="P62" s="189">
        <v>0</v>
      </c>
      <c r="Q62" s="189">
        <v>1</v>
      </c>
      <c r="R62" s="189" t="s">
        <v>924</v>
      </c>
      <c r="S62" s="138" t="s">
        <v>250</v>
      </c>
      <c r="T62" s="138">
        <v>37</v>
      </c>
    </row>
    <row r="63" spans="3:20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924</v>
      </c>
      <c r="N63" s="189">
        <v>0</v>
      </c>
      <c r="O63" s="189">
        <v>0</v>
      </c>
      <c r="P63" s="189">
        <v>0</v>
      </c>
      <c r="Q63" s="189">
        <v>1</v>
      </c>
      <c r="R63" s="189" t="s">
        <v>924</v>
      </c>
      <c r="S63" s="138" t="s">
        <v>250</v>
      </c>
      <c r="T63" s="138">
        <v>38</v>
      </c>
    </row>
    <row r="64" spans="3:20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924</v>
      </c>
      <c r="N64" s="189">
        <v>0</v>
      </c>
      <c r="O64" s="189">
        <v>0</v>
      </c>
      <c r="P64" s="189">
        <v>0</v>
      </c>
      <c r="Q64" s="189">
        <v>1</v>
      </c>
      <c r="R64" s="189" t="s">
        <v>924</v>
      </c>
      <c r="S64" s="138" t="s">
        <v>250</v>
      </c>
      <c r="T64" s="138">
        <v>39</v>
      </c>
    </row>
    <row r="65" spans="3:20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924</v>
      </c>
      <c r="N65" s="189">
        <v>0</v>
      </c>
      <c r="O65" s="189">
        <v>0</v>
      </c>
      <c r="P65" s="189">
        <v>0</v>
      </c>
      <c r="Q65" s="189">
        <v>1</v>
      </c>
      <c r="R65" s="189" t="s">
        <v>924</v>
      </c>
      <c r="S65" s="138" t="s">
        <v>250</v>
      </c>
      <c r="T65" s="138">
        <v>40</v>
      </c>
    </row>
    <row r="66" spans="3:20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924</v>
      </c>
      <c r="N66" s="189">
        <v>0</v>
      </c>
      <c r="O66" s="189">
        <v>0</v>
      </c>
      <c r="P66" s="189">
        <v>0</v>
      </c>
      <c r="Q66" s="189">
        <v>1</v>
      </c>
      <c r="R66" s="189" t="s">
        <v>924</v>
      </c>
      <c r="S66" s="138" t="s">
        <v>250</v>
      </c>
      <c r="T66" s="138">
        <v>41</v>
      </c>
    </row>
    <row r="67" spans="3:20" x14ac:dyDescent="0.25">
      <c r="C67" s="138" t="s">
        <v>934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924</v>
      </c>
      <c r="N67" s="189">
        <v>0</v>
      </c>
      <c r="O67" s="189">
        <v>0</v>
      </c>
      <c r="P67" s="189">
        <v>0</v>
      </c>
      <c r="Q67" s="189">
        <v>1</v>
      </c>
      <c r="R67" s="189" t="s">
        <v>924</v>
      </c>
      <c r="S67" s="138" t="s">
        <v>250</v>
      </c>
      <c r="T67" s="138">
        <v>42</v>
      </c>
    </row>
    <row r="68" spans="3:20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924</v>
      </c>
      <c r="N68" s="189">
        <v>1</v>
      </c>
      <c r="O68" s="189">
        <v>1</v>
      </c>
      <c r="P68" s="189">
        <v>1</v>
      </c>
      <c r="Q68" s="189">
        <v>1</v>
      </c>
      <c r="R68" s="189" t="s">
        <v>924</v>
      </c>
      <c r="S68" s="138" t="s">
        <v>250</v>
      </c>
      <c r="T68" s="138">
        <v>43</v>
      </c>
    </row>
    <row r="69" spans="3:20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924</v>
      </c>
      <c r="N69" s="189">
        <v>0</v>
      </c>
      <c r="O69" s="189">
        <v>0</v>
      </c>
      <c r="P69" s="189">
        <v>0</v>
      </c>
      <c r="Q69" s="189">
        <v>1</v>
      </c>
      <c r="R69" s="189" t="s">
        <v>924</v>
      </c>
      <c r="S69" s="138" t="s">
        <v>250</v>
      </c>
      <c r="T69" s="138">
        <v>44</v>
      </c>
    </row>
    <row r="70" spans="3:20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924</v>
      </c>
      <c r="N70" s="189">
        <v>0</v>
      </c>
      <c r="O70" s="189">
        <v>0</v>
      </c>
      <c r="P70" s="189">
        <v>0</v>
      </c>
      <c r="Q70" s="189">
        <v>1</v>
      </c>
      <c r="R70" s="189" t="s">
        <v>924</v>
      </c>
      <c r="S70" s="138" t="s">
        <v>250</v>
      </c>
      <c r="T70" s="138">
        <v>45</v>
      </c>
    </row>
    <row r="71" spans="3:20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924</v>
      </c>
      <c r="N71" s="189">
        <v>0</v>
      </c>
      <c r="O71" s="189">
        <v>0</v>
      </c>
      <c r="P71" s="189">
        <v>0</v>
      </c>
      <c r="Q71" s="189">
        <v>1</v>
      </c>
      <c r="R71" s="189" t="s">
        <v>924</v>
      </c>
      <c r="S71" s="138" t="s">
        <v>250</v>
      </c>
      <c r="T71" s="138">
        <v>46</v>
      </c>
    </row>
    <row r="72" spans="3:20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924</v>
      </c>
      <c r="N72" s="189">
        <v>0</v>
      </c>
      <c r="O72" s="189">
        <v>0</v>
      </c>
      <c r="P72" s="189">
        <v>0</v>
      </c>
      <c r="Q72" s="189">
        <v>1</v>
      </c>
      <c r="R72" s="189" t="s">
        <v>924</v>
      </c>
      <c r="S72" s="138" t="s">
        <v>250</v>
      </c>
      <c r="T72" s="138">
        <v>47</v>
      </c>
    </row>
    <row r="73" spans="3:20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924</v>
      </c>
      <c r="N73" s="189">
        <v>0</v>
      </c>
      <c r="O73" s="189">
        <v>0</v>
      </c>
      <c r="P73" s="189">
        <v>0</v>
      </c>
      <c r="Q73" s="189">
        <v>1</v>
      </c>
      <c r="R73" s="189" t="s">
        <v>924</v>
      </c>
      <c r="S73" s="138" t="s">
        <v>250</v>
      </c>
      <c r="T73" s="138">
        <v>48</v>
      </c>
    </row>
    <row r="74" spans="3:20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924</v>
      </c>
      <c r="N74" s="189">
        <v>0</v>
      </c>
      <c r="O74" s="189">
        <v>0</v>
      </c>
      <c r="P74" s="189">
        <v>0</v>
      </c>
      <c r="Q74" s="189">
        <v>1</v>
      </c>
      <c r="R74" s="189" t="s">
        <v>924</v>
      </c>
      <c r="S74" s="138" t="s">
        <v>250</v>
      </c>
      <c r="T74" s="138">
        <v>49</v>
      </c>
    </row>
    <row r="75" spans="3:20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924</v>
      </c>
      <c r="N75" s="189">
        <v>0</v>
      </c>
      <c r="O75" s="189">
        <v>0</v>
      </c>
      <c r="P75" s="189">
        <v>0</v>
      </c>
      <c r="Q75" s="189">
        <v>1</v>
      </c>
      <c r="R75" s="189" t="s">
        <v>924</v>
      </c>
      <c r="S75" s="138" t="s">
        <v>250</v>
      </c>
      <c r="T75" s="138">
        <v>50</v>
      </c>
    </row>
    <row r="76" spans="3:20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924</v>
      </c>
      <c r="N76" s="189">
        <v>0</v>
      </c>
      <c r="O76" s="189">
        <v>0</v>
      </c>
      <c r="P76" s="189">
        <v>0</v>
      </c>
      <c r="Q76" s="189">
        <v>1</v>
      </c>
      <c r="R76" s="189" t="s">
        <v>924</v>
      </c>
      <c r="S76" s="138" t="s">
        <v>250</v>
      </c>
      <c r="T76" s="138">
        <v>52</v>
      </c>
    </row>
    <row r="77" spans="3:20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924</v>
      </c>
      <c r="N77" s="189">
        <v>0</v>
      </c>
      <c r="O77" s="189">
        <v>0</v>
      </c>
      <c r="P77" s="189">
        <v>0</v>
      </c>
      <c r="Q77" s="189">
        <v>1</v>
      </c>
      <c r="R77" s="189" t="s">
        <v>924</v>
      </c>
      <c r="S77" s="138" t="s">
        <v>250</v>
      </c>
      <c r="T77" s="138">
        <v>53</v>
      </c>
    </row>
    <row r="78" spans="3:20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924</v>
      </c>
      <c r="N78" s="189">
        <v>0</v>
      </c>
      <c r="O78" s="189">
        <v>0</v>
      </c>
      <c r="P78" s="189">
        <v>0</v>
      </c>
      <c r="Q78" s="189">
        <v>1</v>
      </c>
      <c r="R78" s="189" t="s">
        <v>924</v>
      </c>
      <c r="S78" s="138" t="s">
        <v>250</v>
      </c>
      <c r="T78" s="138">
        <v>54</v>
      </c>
    </row>
    <row r="79" spans="3:20" x14ac:dyDescent="0.25">
      <c r="C79" s="138" t="s">
        <v>935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924</v>
      </c>
      <c r="N79" s="189">
        <v>0</v>
      </c>
      <c r="O79" s="189">
        <v>0</v>
      </c>
      <c r="P79" s="189">
        <v>0</v>
      </c>
      <c r="Q79" s="189">
        <v>1</v>
      </c>
      <c r="R79" s="189" t="s">
        <v>924</v>
      </c>
      <c r="S79" s="138" t="s">
        <v>250</v>
      </c>
      <c r="T79" s="138">
        <v>55</v>
      </c>
    </row>
    <row r="80" spans="3:20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924</v>
      </c>
      <c r="N80" s="189">
        <v>0</v>
      </c>
      <c r="O80" s="189">
        <v>0</v>
      </c>
      <c r="P80" s="189">
        <v>0</v>
      </c>
      <c r="Q80" s="189">
        <v>1</v>
      </c>
      <c r="R80" s="189" t="s">
        <v>924</v>
      </c>
      <c r="S80" s="138" t="s">
        <v>250</v>
      </c>
      <c r="T80" s="138">
        <v>56</v>
      </c>
    </row>
    <row r="81" spans="2:20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924</v>
      </c>
      <c r="N81" s="189">
        <v>0</v>
      </c>
      <c r="O81" s="189">
        <v>0</v>
      </c>
      <c r="P81" s="189">
        <v>0</v>
      </c>
      <c r="Q81" s="189">
        <v>1</v>
      </c>
      <c r="R81" s="189" t="s">
        <v>924</v>
      </c>
      <c r="S81" s="138" t="s">
        <v>250</v>
      </c>
      <c r="T81" s="138">
        <v>57</v>
      </c>
    </row>
    <row r="82" spans="2:20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924</v>
      </c>
      <c r="N82" s="189">
        <v>0</v>
      </c>
      <c r="O82" s="189">
        <v>0</v>
      </c>
      <c r="P82" s="189">
        <v>0</v>
      </c>
      <c r="Q82" s="189">
        <v>1</v>
      </c>
      <c r="R82" s="189" t="s">
        <v>924</v>
      </c>
      <c r="S82" s="138" t="s">
        <v>250</v>
      </c>
      <c r="T82" s="138">
        <v>58</v>
      </c>
    </row>
    <row r="83" spans="2:20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924</v>
      </c>
      <c r="N83" s="189">
        <v>0</v>
      </c>
      <c r="O83" s="189">
        <v>0</v>
      </c>
      <c r="P83" s="189">
        <v>0</v>
      </c>
      <c r="Q83" s="189">
        <v>1</v>
      </c>
      <c r="R83" s="189" t="s">
        <v>924</v>
      </c>
      <c r="S83" s="138" t="s">
        <v>250</v>
      </c>
      <c r="T83" s="138">
        <v>59</v>
      </c>
    </row>
    <row r="84" spans="2:20" x14ac:dyDescent="0.25">
      <c r="C84" s="138" t="s">
        <v>1034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924</v>
      </c>
      <c r="N84" s="189">
        <v>0</v>
      </c>
      <c r="O84" s="189">
        <v>0</v>
      </c>
      <c r="P84" s="189">
        <v>0</v>
      </c>
      <c r="Q84" s="189">
        <v>1</v>
      </c>
      <c r="R84" s="189" t="s">
        <v>924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45" priority="2">
      <formula>D26=1</formula>
    </cfRule>
  </conditionalFormatting>
  <conditionalFormatting sqref="D79:R79">
    <cfRule type="expression" dxfId="44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4" width="9.7109375" style="138" customWidth="1"/>
    <col min="25" max="26" width="22.7109375" style="138" customWidth="1"/>
    <col min="27" max="27" width="63.42578125" style="138" customWidth="1"/>
    <col min="28" max="16384" width="9.140625" style="138"/>
  </cols>
  <sheetData>
    <row r="1" spans="1:30" x14ac:dyDescent="0.25">
      <c r="A1" s="138" t="s">
        <v>250</v>
      </c>
      <c r="B1" s="138" t="s">
        <v>918</v>
      </c>
    </row>
    <row r="2" spans="1:30" x14ac:dyDescent="0.25">
      <c r="A2" s="138" t="s">
        <v>250</v>
      </c>
    </row>
    <row r="3" spans="1:30" x14ac:dyDescent="0.25">
      <c r="A3" s="138" t="s">
        <v>250</v>
      </c>
      <c r="B3" s="138" t="s">
        <v>356</v>
      </c>
    </row>
    <row r="4" spans="1:30" x14ac:dyDescent="0.25">
      <c r="A4" s="138" t="s">
        <v>250</v>
      </c>
      <c r="C4" s="138" t="s">
        <v>796</v>
      </c>
    </row>
    <row r="5" spans="1:30" x14ac:dyDescent="0.25">
      <c r="A5" s="138" t="s">
        <v>250</v>
      </c>
    </row>
    <row r="6" spans="1:30" x14ac:dyDescent="0.25">
      <c r="A6" s="138" t="s">
        <v>250</v>
      </c>
      <c r="B6" s="138" t="s">
        <v>357</v>
      </c>
    </row>
    <row r="7" spans="1:30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0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0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0" x14ac:dyDescent="0.25">
      <c r="A10" s="138" t="s">
        <v>250</v>
      </c>
      <c r="B10" s="141"/>
      <c r="C10" s="144"/>
    </row>
    <row r="11" spans="1:30" x14ac:dyDescent="0.25">
      <c r="A11" s="138" t="s">
        <v>250</v>
      </c>
      <c r="B11" s="138" t="s">
        <v>266</v>
      </c>
    </row>
    <row r="12" spans="1:30" x14ac:dyDescent="0.25">
      <c r="A12" s="138" t="s">
        <v>250</v>
      </c>
      <c r="C12" s="138" t="s">
        <v>800</v>
      </c>
      <c r="AA12" s="138" t="s">
        <v>986</v>
      </c>
    </row>
    <row r="13" spans="1:30" x14ac:dyDescent="0.25">
      <c r="A13" s="138" t="s">
        <v>250</v>
      </c>
      <c r="C13" s="138" t="s">
        <v>422</v>
      </c>
      <c r="AA13" s="138" t="s">
        <v>987</v>
      </c>
      <c r="AD13" s="138" t="s">
        <v>989</v>
      </c>
    </row>
    <row r="14" spans="1:30" x14ac:dyDescent="0.25">
      <c r="A14" s="138" t="s">
        <v>250</v>
      </c>
      <c r="B14" s="138" t="s">
        <v>251</v>
      </c>
      <c r="AA14" s="138" t="s">
        <v>994</v>
      </c>
      <c r="AD14" s="138" t="str">
        <f>CHAR(10)</f>
        <v xml:space="preserve">
</v>
      </c>
    </row>
    <row r="15" spans="1:30" s="139" customFormat="1" x14ac:dyDescent="0.25">
      <c r="A15" s="139" t="s">
        <v>250</v>
      </c>
      <c r="AA15" s="139" t="s">
        <v>988</v>
      </c>
      <c r="AB15" s="139" t="s">
        <v>995</v>
      </c>
      <c r="AD15" s="138" t="str">
        <f>CHAR(10)</f>
        <v xml:space="preserve">
</v>
      </c>
    </row>
    <row r="16" spans="1:30" x14ac:dyDescent="0.25">
      <c r="A16" s="138" t="s">
        <v>250</v>
      </c>
      <c r="AA16" s="138" t="s">
        <v>990</v>
      </c>
      <c r="AD16" s="138" t="str">
        <f>CHAR(10)</f>
        <v xml:space="preserve">
</v>
      </c>
    </row>
    <row r="17" spans="1:30" x14ac:dyDescent="0.25">
      <c r="A17" s="138" t="s">
        <v>250</v>
      </c>
      <c r="B17" s="138" t="s">
        <v>272</v>
      </c>
      <c r="AA17" s="138" t="s">
        <v>991</v>
      </c>
      <c r="AB17" s="138" t="s">
        <v>992</v>
      </c>
      <c r="AC17" s="138" t="s">
        <v>993</v>
      </c>
      <c r="AD17" s="138" t="str">
        <f>CHAR(10)</f>
        <v xml:space="preserve">
</v>
      </c>
    </row>
    <row r="18" spans="1:30" x14ac:dyDescent="0.25">
      <c r="A18" s="138" t="s">
        <v>250</v>
      </c>
      <c r="AA18" s="138" t="s">
        <v>991</v>
      </c>
      <c r="AB18" s="138" t="s">
        <v>992</v>
      </c>
      <c r="AC18" s="138" t="s">
        <v>993</v>
      </c>
    </row>
    <row r="19" spans="1:30" x14ac:dyDescent="0.25">
      <c r="A19" s="138" t="s">
        <v>250</v>
      </c>
      <c r="B19" s="372" t="s">
        <v>1052</v>
      </c>
    </row>
    <row r="20" spans="1:30" x14ac:dyDescent="0.25">
      <c r="A20" s="138" t="s">
        <v>250</v>
      </c>
    </row>
    <row r="21" spans="1:30" x14ac:dyDescent="0.25">
      <c r="A21" s="138" t="s">
        <v>365</v>
      </c>
    </row>
    <row r="22" spans="1:30" x14ac:dyDescent="0.25">
      <c r="B22" s="140" t="str">
        <f>"TABLE "&amp;$C$4</f>
        <v>TABLE LtgInputRestrictions</v>
      </c>
      <c r="C22" s="140"/>
    </row>
    <row r="23" spans="1:3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0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430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426</v>
      </c>
      <c r="L24" s="116" t="s">
        <v>432</v>
      </c>
      <c r="M24" s="116" t="s">
        <v>909</v>
      </c>
      <c r="N24" s="116" t="s">
        <v>984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1048</v>
      </c>
      <c r="Z24" s="139" t="s">
        <v>1049</v>
      </c>
    </row>
    <row r="25" spans="1:30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0" s="139" customFormat="1" x14ac:dyDescent="0.25">
      <c r="C26" s="138" t="s">
        <v>937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202</v>
      </c>
      <c r="U26" s="138">
        <f t="shared" ref="U26:U49" si="0">IF(SUM(D26:P26)&gt;0,1,0)</f>
        <v>1</v>
      </c>
      <c r="V26" s="329">
        <f>SUM(D26:R26)</f>
        <v>1</v>
      </c>
      <c r="W26" s="138">
        <f ca="1">OFFSET($C$9,0,MATCH(1,$D26:$R26,0))</f>
        <v>3</v>
      </c>
      <c r="X26" s="138" t="str">
        <f ca="1">IF(OFFSET($C$9,0,_xlfn.XMATCH(1,$D26:$R26,0,-1))&lt;&gt;W26,OFFSET($C$9,0,_xlfn.XMATCH(1,$D26:$R26,0,-1)),"")</f>
        <v/>
      </c>
      <c r="Y26" s="138" t="str">
        <f t="shared" ref="Y26:Y96" ca="1" si="1">OFFSET($C$9,15,MATCH(1,$D26:$R26,0))</f>
        <v>Ornamental</v>
      </c>
      <c r="Z26" s="138" t="str">
        <f ca="1">IF(OFFSET($C$9,15,_xlfn.XMATCH(1,$D26:$R26,0,-1))&lt;&gt;Y26,OFFSET($C$9,15,_xlfn.XMATCH(1,$D26:$R26,0,-1)),"")</f>
        <v/>
      </c>
      <c r="AA26" s="11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39" customFormat="1" x14ac:dyDescent="0.25">
      <c r="C27" s="138" t="s">
        <v>525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1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0</v>
      </c>
      <c r="S27" s="138" t="s">
        <v>250</v>
      </c>
      <c r="T27" s="138">
        <v>203</v>
      </c>
      <c r="U27" s="138">
        <f t="shared" si="0"/>
        <v>1</v>
      </c>
      <c r="V27" s="329">
        <f t="shared" ref="V27:V90" si="2">SUM(D27:R27)</f>
        <v>2</v>
      </c>
      <c r="W27" s="138">
        <f t="shared" ref="W27:W90" ca="1" si="3">OFFSET($C$9,0,MATCH(1,$D27:$R27,0))</f>
        <v>3</v>
      </c>
      <c r="X27" s="138">
        <f t="shared" ref="X27:X90" ca="1" si="4">IF(OFFSET($C$9,0,_xlfn.XMATCH(1,$D27:$R27,0,-1))&lt;&gt;W27,OFFSET($C$9,0,_xlfn.XMATCH(1,$D27:$R27,0,-1)),"")</f>
        <v>6</v>
      </c>
      <c r="Y27" s="138" t="str">
        <f t="shared" ca="1" si="1"/>
        <v>Ornamental</v>
      </c>
      <c r="Z27" s="138" t="str">
        <f t="shared" ref="Z27:Z90" ca="1" si="5">IF(OFFSET($C$9,15,_xlfn.XMATCH(1,$D27:$R27,0,-1))&lt;&gt;Y27,OFFSET($C$9,15,_xlfn.XMATCH(1,$D27:$R27,0,-1)),"")</f>
        <v>AccentDisplayFeature</v>
      </c>
      <c r="AA27" s="116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39" customFormat="1" x14ac:dyDescent="0.25">
      <c r="C28" s="138" t="s">
        <v>938</v>
      </c>
      <c r="D28" s="331">
        <v>1</v>
      </c>
      <c r="E28" s="331">
        <v>0</v>
      </c>
      <c r="F28" s="332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0</v>
      </c>
      <c r="R28" s="331">
        <v>0</v>
      </c>
      <c r="S28" s="138" t="s">
        <v>250</v>
      </c>
      <c r="T28" s="138">
        <v>204</v>
      </c>
      <c r="U28" s="138">
        <f t="shared" si="0"/>
        <v>1</v>
      </c>
      <c r="V28" s="329">
        <f t="shared" si="2"/>
        <v>1</v>
      </c>
      <c r="W28" s="138">
        <f t="shared" ca="1" si="3"/>
        <v>1</v>
      </c>
      <c r="X28" s="138" t="str">
        <f t="shared" ca="1" si="4"/>
        <v/>
      </c>
      <c r="Y28" s="138" t="str">
        <f t="shared" ca="1" si="1"/>
        <v>DetailedTaskWork</v>
      </c>
      <c r="Z28" s="138" t="str">
        <f t="shared" ca="1" si="5"/>
        <v/>
      </c>
      <c r="AA28" s="116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39" customFormat="1" x14ac:dyDescent="0.25">
      <c r="C29" s="138" t="s">
        <v>635</v>
      </c>
      <c r="D29" s="331">
        <v>1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0</v>
      </c>
      <c r="S29" s="138" t="s">
        <v>250</v>
      </c>
      <c r="T29" s="138">
        <v>205</v>
      </c>
      <c r="U29" s="138">
        <f t="shared" si="0"/>
        <v>1</v>
      </c>
      <c r="V29" s="329">
        <f t="shared" si="2"/>
        <v>2</v>
      </c>
      <c r="W29" s="138">
        <f t="shared" ca="1" si="3"/>
        <v>1</v>
      </c>
      <c r="X29" s="138">
        <f t="shared" ca="1" si="4"/>
        <v>3</v>
      </c>
      <c r="Y29" s="138" t="str">
        <f t="shared" ca="1" si="1"/>
        <v>DetailedTaskWork</v>
      </c>
      <c r="Z29" s="138" t="str">
        <f t="shared" ca="1" si="5"/>
        <v>Ornamental</v>
      </c>
      <c r="AA29" s="116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39" customFormat="1" x14ac:dyDescent="0.25">
      <c r="C30" s="138" t="s">
        <v>526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138" t="s">
        <v>250</v>
      </c>
      <c r="T30" s="138">
        <v>206</v>
      </c>
      <c r="U30" s="138">
        <f t="shared" si="0"/>
        <v>1</v>
      </c>
      <c r="V30" s="329">
        <f t="shared" si="2"/>
        <v>1</v>
      </c>
      <c r="W30" s="138">
        <f t="shared" ca="1" si="3"/>
        <v>3</v>
      </c>
      <c r="X30" s="138" t="str">
        <f t="shared" ca="1" si="4"/>
        <v/>
      </c>
      <c r="Y30" s="138" t="str">
        <f t="shared" ca="1" si="1"/>
        <v>Ornamental</v>
      </c>
      <c r="Z30" s="138" t="str">
        <f t="shared" ca="1" si="5"/>
        <v/>
      </c>
      <c r="AA30" s="116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39" customFormat="1" x14ac:dyDescent="0.25">
      <c r="C31" s="138" t="s">
        <v>939</v>
      </c>
      <c r="D31" s="331">
        <v>0</v>
      </c>
      <c r="E31" s="331">
        <v>0</v>
      </c>
      <c r="F31" s="332">
        <v>0</v>
      </c>
      <c r="G31" s="331">
        <v>0</v>
      </c>
      <c r="H31" s="331">
        <v>1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0</v>
      </c>
      <c r="S31" s="138" t="s">
        <v>250</v>
      </c>
      <c r="T31" s="138">
        <v>207</v>
      </c>
      <c r="U31" s="138">
        <f t="shared" si="0"/>
        <v>1</v>
      </c>
      <c r="V31" s="329">
        <f t="shared" si="2"/>
        <v>1</v>
      </c>
      <c r="W31" s="138">
        <f t="shared" ca="1" si="3"/>
        <v>5</v>
      </c>
      <c r="X31" s="138" t="str">
        <f t="shared" ca="1" si="4"/>
        <v/>
      </c>
      <c r="Y31" s="138" t="str">
        <f t="shared" ca="1" si="1"/>
        <v>WhiteOrChalkBoard</v>
      </c>
      <c r="Z31" s="138" t="str">
        <f t="shared" ca="1" si="5"/>
        <v/>
      </c>
      <c r="AA31" s="116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39" customFormat="1" x14ac:dyDescent="0.25">
      <c r="C32" s="138" t="s">
        <v>940</v>
      </c>
      <c r="D32" s="331">
        <v>0</v>
      </c>
      <c r="E32" s="331">
        <v>0</v>
      </c>
      <c r="F32" s="332">
        <v>0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208</v>
      </c>
      <c r="U32" s="138">
        <f t="shared" si="0"/>
        <v>0</v>
      </c>
      <c r="V32" s="329">
        <f t="shared" si="2"/>
        <v>0</v>
      </c>
      <c r="W32" s="138" t="e">
        <f ca="1">OFFSET($C$9,0,MATCH(1,$D32:$R32,0))</f>
        <v>#N/A</v>
      </c>
      <c r="X32" s="138" t="e">
        <f t="shared" ca="1" si="4"/>
        <v>#N/A</v>
      </c>
      <c r="Y32" s="138" t="e">
        <f t="shared" ca="1" si="1"/>
        <v>#N/A</v>
      </c>
      <c r="Z32" s="138" t="e">
        <f t="shared" ca="1" si="5"/>
        <v>#N/A</v>
      </c>
      <c r="AA32" s="116" t="str">
        <f t="shared" si="6"/>
        <v/>
      </c>
    </row>
    <row r="33" spans="2:27" s="139" customFormat="1" x14ac:dyDescent="0.25">
      <c r="C33" s="138" t="s">
        <v>941</v>
      </c>
      <c r="D33" s="331">
        <v>0</v>
      </c>
      <c r="E33" s="331">
        <v>0</v>
      </c>
      <c r="F33" s="332">
        <v>0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209</v>
      </c>
      <c r="U33" s="138">
        <f t="shared" si="0"/>
        <v>0</v>
      </c>
      <c r="V33" s="329">
        <f t="shared" si="2"/>
        <v>0</v>
      </c>
      <c r="W33" s="138" t="e">
        <f t="shared" ca="1" si="3"/>
        <v>#N/A</v>
      </c>
      <c r="X33" s="138" t="e">
        <f t="shared" ca="1" si="4"/>
        <v>#N/A</v>
      </c>
      <c r="Y33" s="138" t="e">
        <f t="shared" ca="1" si="1"/>
        <v>#N/A</v>
      </c>
      <c r="Z33" s="138" t="e">
        <f t="shared" ca="1" si="5"/>
        <v>#N/A</v>
      </c>
      <c r="AA33" s="116" t="str">
        <f t="shared" si="6"/>
        <v/>
      </c>
    </row>
    <row r="34" spans="2:27" x14ac:dyDescent="0.25">
      <c r="C34" s="138" t="s">
        <v>942</v>
      </c>
      <c r="D34" s="331">
        <v>0</v>
      </c>
      <c r="E34" s="331">
        <v>0</v>
      </c>
      <c r="F34" s="332">
        <v>0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210</v>
      </c>
      <c r="U34" s="138">
        <f t="shared" si="0"/>
        <v>0</v>
      </c>
      <c r="V34" s="329">
        <f t="shared" si="2"/>
        <v>0</v>
      </c>
      <c r="W34" s="138" t="e">
        <f t="shared" ca="1" si="3"/>
        <v>#N/A</v>
      </c>
      <c r="X34" s="138" t="e">
        <f t="shared" ca="1" si="4"/>
        <v>#N/A</v>
      </c>
      <c r="Y34" s="138" t="e">
        <f t="shared" ca="1" si="1"/>
        <v>#N/A</v>
      </c>
      <c r="Z34" s="138" t="e">
        <f t="shared" ca="1" si="5"/>
        <v>#N/A</v>
      </c>
      <c r="AA34" s="116" t="str">
        <f t="shared" si="6"/>
        <v/>
      </c>
    </row>
    <row r="35" spans="2:27" x14ac:dyDescent="0.25">
      <c r="B35" s="329"/>
      <c r="C35" s="138" t="s">
        <v>639</v>
      </c>
      <c r="D35" s="331">
        <v>0</v>
      </c>
      <c r="E35" s="331">
        <v>0</v>
      </c>
      <c r="F35" s="332">
        <v>0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211</v>
      </c>
      <c r="U35" s="138">
        <f t="shared" si="0"/>
        <v>0</v>
      </c>
      <c r="V35" s="329">
        <f t="shared" si="2"/>
        <v>0</v>
      </c>
      <c r="W35" s="138" t="e">
        <f t="shared" ca="1" si="3"/>
        <v>#N/A</v>
      </c>
      <c r="X35" s="138" t="e">
        <f t="shared" ca="1" si="4"/>
        <v>#N/A</v>
      </c>
      <c r="Y35" s="138" t="e">
        <f t="shared" ca="1" si="1"/>
        <v>#N/A</v>
      </c>
      <c r="Z35" s="138" t="e">
        <f t="shared" ca="1" si="5"/>
        <v>#N/A</v>
      </c>
      <c r="AA35" s="116" t="str">
        <f t="shared" si="6"/>
        <v/>
      </c>
    </row>
    <row r="36" spans="2:27" x14ac:dyDescent="0.25">
      <c r="B36" s="329"/>
      <c r="C36" s="138" t="s">
        <v>943</v>
      </c>
      <c r="D36" s="331">
        <v>0</v>
      </c>
      <c r="E36" s="331">
        <v>0</v>
      </c>
      <c r="F36" s="332">
        <v>1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212</v>
      </c>
      <c r="U36" s="138">
        <f t="shared" si="0"/>
        <v>1</v>
      </c>
      <c r="V36" s="329">
        <f t="shared" si="2"/>
        <v>1</v>
      </c>
      <c r="W36" s="138">
        <f t="shared" ca="1" si="3"/>
        <v>3</v>
      </c>
      <c r="X36" s="138" t="str">
        <f t="shared" ca="1" si="4"/>
        <v/>
      </c>
      <c r="Y36" s="138" t="str">
        <f t="shared" ca="1" si="1"/>
        <v>Ornamental</v>
      </c>
      <c r="Z36" s="138" t="str">
        <f t="shared" ca="1" si="5"/>
        <v/>
      </c>
      <c r="AA36" s="11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329"/>
      <c r="C37" s="138" t="s">
        <v>944</v>
      </c>
      <c r="D37" s="331">
        <v>0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213</v>
      </c>
      <c r="U37" s="138">
        <f t="shared" si="0"/>
        <v>1</v>
      </c>
      <c r="V37" s="329">
        <f t="shared" si="2"/>
        <v>1</v>
      </c>
      <c r="W37" s="138">
        <f t="shared" ca="1" si="3"/>
        <v>3</v>
      </c>
      <c r="X37" s="138" t="str">
        <f t="shared" ca="1" si="4"/>
        <v/>
      </c>
      <c r="Y37" s="138" t="str">
        <f t="shared" ca="1" si="1"/>
        <v>Ornamental</v>
      </c>
      <c r="Z37" s="138" t="str">
        <f t="shared" ca="1" si="5"/>
        <v/>
      </c>
      <c r="AA37" s="116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329"/>
      <c r="C38" s="138" t="s">
        <v>922</v>
      </c>
      <c r="D38" s="331">
        <v>0</v>
      </c>
      <c r="E38" s="331">
        <v>0</v>
      </c>
      <c r="F38" s="332">
        <v>0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214</v>
      </c>
      <c r="U38" s="138">
        <f t="shared" si="0"/>
        <v>0</v>
      </c>
      <c r="V38" s="329">
        <f t="shared" si="2"/>
        <v>0</v>
      </c>
      <c r="W38" s="138" t="e">
        <f t="shared" ca="1" si="3"/>
        <v>#N/A</v>
      </c>
      <c r="X38" s="138" t="e">
        <f t="shared" ca="1" si="4"/>
        <v>#N/A</v>
      </c>
      <c r="Y38" s="138" t="e">
        <f t="shared" ca="1" si="1"/>
        <v>#N/A</v>
      </c>
      <c r="Z38" s="138" t="e">
        <f t="shared" ca="1" si="5"/>
        <v>#N/A</v>
      </c>
      <c r="AA38" s="116" t="str">
        <f t="shared" si="6"/>
        <v/>
      </c>
    </row>
    <row r="39" spans="2:27" x14ac:dyDescent="0.25">
      <c r="B39" s="329"/>
      <c r="C39" s="138" t="s">
        <v>945</v>
      </c>
      <c r="D39" s="331">
        <v>0</v>
      </c>
      <c r="E39" s="331">
        <v>0</v>
      </c>
      <c r="F39" s="332">
        <v>0</v>
      </c>
      <c r="G39" s="331">
        <v>0</v>
      </c>
      <c r="H39" s="331">
        <v>0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215</v>
      </c>
      <c r="U39" s="138">
        <f t="shared" si="0"/>
        <v>0</v>
      </c>
      <c r="V39" s="329">
        <f t="shared" si="2"/>
        <v>0</v>
      </c>
      <c r="W39" s="138" t="e">
        <f t="shared" ca="1" si="3"/>
        <v>#N/A</v>
      </c>
      <c r="X39" s="138" t="e">
        <f t="shared" ca="1" si="4"/>
        <v>#N/A</v>
      </c>
      <c r="Y39" s="138" t="e">
        <f t="shared" ca="1" si="1"/>
        <v>#N/A</v>
      </c>
      <c r="Z39" s="138" t="e">
        <f t="shared" ca="1" si="5"/>
        <v>#N/A</v>
      </c>
      <c r="AA39" s="116" t="str">
        <f t="shared" si="6"/>
        <v/>
      </c>
    </row>
    <row r="40" spans="2:27" x14ac:dyDescent="0.25">
      <c r="B40" s="329"/>
      <c r="C40" s="138" t="s">
        <v>946</v>
      </c>
      <c r="D40" s="331">
        <v>0</v>
      </c>
      <c r="E40" s="331">
        <v>0</v>
      </c>
      <c r="F40" s="332">
        <v>1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216</v>
      </c>
      <c r="U40" s="138">
        <f t="shared" si="0"/>
        <v>1</v>
      </c>
      <c r="V40" s="329">
        <f t="shared" si="2"/>
        <v>1</v>
      </c>
      <c r="W40" s="138">
        <f t="shared" ca="1" si="3"/>
        <v>3</v>
      </c>
      <c r="X40" s="138" t="str">
        <f t="shared" ca="1" si="4"/>
        <v/>
      </c>
      <c r="Y40" s="138" t="str">
        <f t="shared" ca="1" si="1"/>
        <v>Ornamental</v>
      </c>
      <c r="Z40" s="138" t="str">
        <f t="shared" ca="1" si="5"/>
        <v/>
      </c>
      <c r="AA40" s="116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s="138" t="s">
        <v>947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217</v>
      </c>
      <c r="U41" s="138">
        <f t="shared" si="0"/>
        <v>1</v>
      </c>
      <c r="V41" s="329">
        <f t="shared" si="2"/>
        <v>1</v>
      </c>
      <c r="W41" s="138">
        <f t="shared" ca="1" si="3"/>
        <v>3</v>
      </c>
      <c r="X41" s="138" t="str">
        <f t="shared" ca="1" si="4"/>
        <v/>
      </c>
      <c r="Y41" s="138" t="str">
        <f t="shared" ca="1" si="1"/>
        <v>Ornamental</v>
      </c>
      <c r="Z41" s="138" t="str">
        <f t="shared" ca="1" si="5"/>
        <v/>
      </c>
      <c r="AA41" s="116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s="138" t="s">
        <v>948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218</v>
      </c>
      <c r="U42" s="138">
        <f t="shared" si="0"/>
        <v>1</v>
      </c>
      <c r="V42" s="329">
        <f t="shared" si="2"/>
        <v>1</v>
      </c>
      <c r="W42" s="138">
        <f t="shared" ca="1" si="3"/>
        <v>3</v>
      </c>
      <c r="X42" s="138" t="str">
        <f t="shared" ca="1" si="4"/>
        <v/>
      </c>
      <c r="Y42" s="138" t="str">
        <f t="shared" ca="1" si="1"/>
        <v>Ornamental</v>
      </c>
      <c r="Z42" s="138" t="str">
        <f t="shared" ca="1" si="5"/>
        <v/>
      </c>
      <c r="AA42" s="116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s="138" t="s">
        <v>643</v>
      </c>
      <c r="D43" s="331">
        <v>1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219</v>
      </c>
      <c r="U43" s="138">
        <f t="shared" si="0"/>
        <v>1</v>
      </c>
      <c r="V43" s="329">
        <f t="shared" si="2"/>
        <v>1</v>
      </c>
      <c r="W43" s="138">
        <f t="shared" ca="1" si="3"/>
        <v>1</v>
      </c>
      <c r="X43" s="138" t="str">
        <f t="shared" ca="1" si="4"/>
        <v/>
      </c>
      <c r="Y43" s="138" t="str">
        <f t="shared" ca="1" si="1"/>
        <v>DetailedTaskWork</v>
      </c>
      <c r="Z43" s="138" t="str">
        <f t="shared" ca="1" si="5"/>
        <v/>
      </c>
      <c r="AA43" s="116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s="138" t="s">
        <v>949</v>
      </c>
      <c r="D44" s="331">
        <v>0</v>
      </c>
      <c r="E44" s="331">
        <v>0</v>
      </c>
      <c r="F44" s="332">
        <v>0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220</v>
      </c>
      <c r="U44" s="138">
        <f t="shared" si="0"/>
        <v>0</v>
      </c>
      <c r="V44" s="329">
        <f t="shared" si="2"/>
        <v>0</v>
      </c>
      <c r="W44" s="138" t="e">
        <f t="shared" ca="1" si="3"/>
        <v>#N/A</v>
      </c>
      <c r="X44" s="138" t="e">
        <f t="shared" ca="1" si="4"/>
        <v>#N/A</v>
      </c>
      <c r="Y44" s="138" t="e">
        <f t="shared" ca="1" si="1"/>
        <v>#N/A</v>
      </c>
      <c r="Z44" s="138" t="e">
        <f t="shared" ca="1" si="5"/>
        <v>#N/A</v>
      </c>
      <c r="AA44" s="116" t="str">
        <f t="shared" si="6"/>
        <v/>
      </c>
    </row>
    <row r="45" spans="2:27" x14ac:dyDescent="0.25">
      <c r="B45" s="329"/>
      <c r="C45" s="138" t="s">
        <v>530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221</v>
      </c>
      <c r="U45" s="138">
        <f t="shared" si="0"/>
        <v>1</v>
      </c>
      <c r="V45" s="329">
        <f t="shared" si="2"/>
        <v>1</v>
      </c>
      <c r="W45" s="138">
        <f t="shared" ca="1" si="3"/>
        <v>3</v>
      </c>
      <c r="X45" s="138" t="str">
        <f t="shared" ca="1" si="4"/>
        <v/>
      </c>
      <c r="Y45" s="138" t="str">
        <f t="shared" ca="1" si="1"/>
        <v>Ornamental</v>
      </c>
      <c r="Z45" s="138" t="str">
        <f t="shared" ca="1" si="5"/>
        <v/>
      </c>
      <c r="AA45" s="116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329"/>
      <c r="C46" s="138" t="s">
        <v>950</v>
      </c>
      <c r="D46" s="331">
        <v>1</v>
      </c>
      <c r="E46" s="331">
        <v>0</v>
      </c>
      <c r="F46" s="332">
        <v>0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222</v>
      </c>
      <c r="U46" s="138">
        <f t="shared" si="0"/>
        <v>1</v>
      </c>
      <c r="V46" s="329">
        <f t="shared" si="2"/>
        <v>1</v>
      </c>
      <c r="W46" s="138">
        <f t="shared" ca="1" si="3"/>
        <v>1</v>
      </c>
      <c r="X46" s="138" t="str">
        <f t="shared" ca="1" si="4"/>
        <v/>
      </c>
      <c r="Y46" s="138" t="str">
        <f t="shared" ca="1" si="1"/>
        <v>DetailedTaskWork</v>
      </c>
      <c r="Z46" s="138" t="str">
        <f t="shared" ca="1" si="5"/>
        <v/>
      </c>
      <c r="AA46" s="11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s="138" t="s">
        <v>951</v>
      </c>
      <c r="D47" s="331">
        <v>1</v>
      </c>
      <c r="E47" s="331">
        <v>0</v>
      </c>
      <c r="F47" s="332">
        <v>0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223</v>
      </c>
      <c r="U47" s="138">
        <f t="shared" si="0"/>
        <v>1</v>
      </c>
      <c r="V47" s="329">
        <f t="shared" si="2"/>
        <v>1</v>
      </c>
      <c r="W47" s="138">
        <f t="shared" ca="1" si="3"/>
        <v>1</v>
      </c>
      <c r="X47" s="138" t="str">
        <f t="shared" ca="1" si="4"/>
        <v/>
      </c>
      <c r="Y47" s="138" t="str">
        <f t="shared" ca="1" si="1"/>
        <v>DetailedTaskWork</v>
      </c>
      <c r="Z47" s="138" t="str">
        <f t="shared" ca="1" si="5"/>
        <v/>
      </c>
      <c r="AA47" s="116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s="138" t="s">
        <v>952</v>
      </c>
      <c r="D48" s="331">
        <v>0</v>
      </c>
      <c r="E48" s="331">
        <v>0</v>
      </c>
      <c r="F48" s="332">
        <v>0</v>
      </c>
      <c r="G48" s="331">
        <v>1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224</v>
      </c>
      <c r="U48" s="138">
        <f t="shared" si="0"/>
        <v>1</v>
      </c>
      <c r="V48" s="329">
        <f t="shared" si="2"/>
        <v>1</v>
      </c>
      <c r="W48" s="138">
        <f t="shared" ca="1" si="3"/>
        <v>4</v>
      </c>
      <c r="X48" s="138" t="str">
        <f t="shared" ca="1" si="4"/>
        <v/>
      </c>
      <c r="Y48" s="138" t="str">
        <f t="shared" ca="1" si="1"/>
        <v>PrecisionWork</v>
      </c>
      <c r="Z48" s="138" t="str">
        <f t="shared" ca="1" si="5"/>
        <v/>
      </c>
      <c r="AA48" s="116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329"/>
      <c r="C49" s="138" t="s">
        <v>953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225</v>
      </c>
      <c r="U49" s="138">
        <f t="shared" si="0"/>
        <v>0</v>
      </c>
      <c r="V49" s="329">
        <f t="shared" si="2"/>
        <v>0</v>
      </c>
      <c r="W49" s="138" t="e">
        <f t="shared" ca="1" si="3"/>
        <v>#N/A</v>
      </c>
      <c r="X49" s="138" t="e">
        <f t="shared" ca="1" si="4"/>
        <v>#N/A</v>
      </c>
      <c r="Y49" s="138" t="e">
        <f t="shared" ca="1" si="1"/>
        <v>#N/A</v>
      </c>
      <c r="Z49" s="138" t="e">
        <f t="shared" ca="1" si="5"/>
        <v>#N/A</v>
      </c>
      <c r="AA49" s="116" t="str">
        <f t="shared" si="6"/>
        <v/>
      </c>
    </row>
    <row r="50" spans="2:27" x14ac:dyDescent="0.25">
      <c r="B50" s="329"/>
      <c r="C50" s="138" t="s">
        <v>1026</v>
      </c>
      <c r="D50" s="331">
        <v>0</v>
      </c>
      <c r="E50" s="331">
        <v>0</v>
      </c>
      <c r="F50" s="332">
        <v>0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277</v>
      </c>
      <c r="U50" s="138">
        <f>IF(SUM(D50:P50)&gt;0,1,0)</f>
        <v>0</v>
      </c>
      <c r="V50" s="329">
        <f t="shared" si="2"/>
        <v>0</v>
      </c>
      <c r="W50" s="138" t="e">
        <f t="shared" ca="1" si="3"/>
        <v>#N/A</v>
      </c>
      <c r="X50" s="138" t="e">
        <f t="shared" ca="1" si="4"/>
        <v>#N/A</v>
      </c>
      <c r="Y50" s="138" t="e">
        <f t="shared" ca="1" si="1"/>
        <v>#N/A</v>
      </c>
      <c r="Z50" s="138" t="e">
        <f t="shared" ca="1" si="5"/>
        <v>#N/A</v>
      </c>
      <c r="AA50" s="116" t="str">
        <f t="shared" si="6"/>
        <v/>
      </c>
    </row>
    <row r="51" spans="2:27" x14ac:dyDescent="0.25">
      <c r="B51" s="329"/>
      <c r="C51" s="138" t="s">
        <v>1027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278</v>
      </c>
      <c r="U51" s="138">
        <f>IF(SUM(D51:P51)&gt;0,1,0)</f>
        <v>0</v>
      </c>
      <c r="V51" s="329">
        <f t="shared" si="2"/>
        <v>0</v>
      </c>
      <c r="W51" s="138" t="e">
        <f t="shared" ca="1" si="3"/>
        <v>#N/A</v>
      </c>
      <c r="X51" s="138" t="e">
        <f t="shared" ca="1" si="4"/>
        <v>#N/A</v>
      </c>
      <c r="Y51" s="138" t="e">
        <f t="shared" ca="1" si="1"/>
        <v>#N/A</v>
      </c>
      <c r="Z51" s="138" t="e">
        <f t="shared" ca="1" si="5"/>
        <v>#N/A</v>
      </c>
      <c r="AA51" s="116" t="str">
        <f t="shared" si="6"/>
        <v/>
      </c>
    </row>
    <row r="52" spans="2:27" x14ac:dyDescent="0.25">
      <c r="B52" s="329"/>
      <c r="C52" s="138" t="s">
        <v>1028</v>
      </c>
      <c r="D52" s="331">
        <v>0</v>
      </c>
      <c r="E52" s="331">
        <v>0</v>
      </c>
      <c r="F52" s="332">
        <v>0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279</v>
      </c>
      <c r="U52" s="138">
        <v>1</v>
      </c>
      <c r="V52" s="329">
        <f t="shared" si="2"/>
        <v>1</v>
      </c>
      <c r="W52" s="138">
        <f t="shared" ca="1" si="3"/>
        <v>15</v>
      </c>
      <c r="X52" s="138" t="str">
        <f t="shared" ca="1" si="4"/>
        <v/>
      </c>
      <c r="Y52" s="138" t="str">
        <f t="shared" ca="1" si="1"/>
        <v>TunableWhiteOrDimToWarm</v>
      </c>
      <c r="Z52" s="138" t="str">
        <f t="shared" ca="1" si="5"/>
        <v/>
      </c>
      <c r="AA52" s="116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s="138" t="s">
        <v>1029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1</v>
      </c>
      <c r="S53" s="138" t="s">
        <v>250</v>
      </c>
      <c r="T53" s="329">
        <v>280</v>
      </c>
      <c r="U53" s="138">
        <v>1</v>
      </c>
      <c r="V53" s="329">
        <f t="shared" si="2"/>
        <v>1</v>
      </c>
      <c r="W53" s="138">
        <f t="shared" ca="1" si="3"/>
        <v>15</v>
      </c>
      <c r="X53" s="138" t="str">
        <f t="shared" ca="1" si="4"/>
        <v/>
      </c>
      <c r="Y53" s="138" t="str">
        <f t="shared" ca="1" si="1"/>
        <v>TunableWhiteOrDimToWarm</v>
      </c>
      <c r="Z53" s="138" t="str">
        <f t="shared" ca="1" si="5"/>
        <v/>
      </c>
      <c r="AA53" s="116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329"/>
      <c r="C54" s="138" t="s">
        <v>1030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0</v>
      </c>
      <c r="S54" s="138" t="s">
        <v>250</v>
      </c>
      <c r="T54" s="329">
        <v>281</v>
      </c>
      <c r="U54" s="138">
        <f>IF(SUM(D54:P54)&gt;0,1,0)</f>
        <v>0</v>
      </c>
      <c r="V54" s="329">
        <f t="shared" si="2"/>
        <v>0</v>
      </c>
      <c r="W54" s="138" t="e">
        <f t="shared" ca="1" si="3"/>
        <v>#N/A</v>
      </c>
      <c r="X54" s="138" t="e">
        <f t="shared" ca="1" si="4"/>
        <v>#N/A</v>
      </c>
      <c r="Y54" s="138" t="e">
        <f t="shared" ca="1" si="1"/>
        <v>#N/A</v>
      </c>
      <c r="Z54" s="138" t="e">
        <f t="shared" ca="1" si="5"/>
        <v>#N/A</v>
      </c>
      <c r="AA54" s="116" t="str">
        <f t="shared" si="6"/>
        <v/>
      </c>
    </row>
    <row r="55" spans="2:27" x14ac:dyDescent="0.25">
      <c r="B55" s="329"/>
      <c r="C55" s="138" t="s">
        <v>1031</v>
      </c>
      <c r="D55" s="331">
        <v>0</v>
      </c>
      <c r="E55" s="331">
        <v>0</v>
      </c>
      <c r="F55" s="332">
        <v>0</v>
      </c>
      <c r="G55" s="331">
        <v>0</v>
      </c>
      <c r="H55" s="331">
        <v>0</v>
      </c>
      <c r="I55" s="331">
        <v>0</v>
      </c>
      <c r="J55" s="331">
        <v>0</v>
      </c>
      <c r="K55" s="331">
        <v>1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282</v>
      </c>
      <c r="U55" s="138">
        <v>1</v>
      </c>
      <c r="V55" s="329">
        <f t="shared" si="2"/>
        <v>2</v>
      </c>
      <c r="W55" s="138">
        <f t="shared" ca="1" si="3"/>
        <v>8</v>
      </c>
      <c r="X55" s="138">
        <f t="shared" ca="1" si="4"/>
        <v>15</v>
      </c>
      <c r="Y55" s="138" t="str">
        <f t="shared" ca="1" si="1"/>
        <v>Decorative</v>
      </c>
      <c r="Z55" s="138" t="str">
        <f t="shared" ca="1" si="5"/>
        <v>TunableWhiteOrDimToWarm</v>
      </c>
      <c r="AA55" s="116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329"/>
      <c r="C56" s="138" t="s">
        <v>1032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1</v>
      </c>
      <c r="S56" s="138" t="s">
        <v>250</v>
      </c>
      <c r="T56" s="329">
        <v>283</v>
      </c>
      <c r="U56" s="138">
        <v>1</v>
      </c>
      <c r="V56" s="329">
        <f t="shared" si="2"/>
        <v>1</v>
      </c>
      <c r="W56" s="138">
        <f t="shared" ca="1" si="3"/>
        <v>15</v>
      </c>
      <c r="X56" s="138" t="str">
        <f t="shared" ca="1" si="4"/>
        <v/>
      </c>
      <c r="Y56" s="138" t="str">
        <f t="shared" ca="1" si="1"/>
        <v>TunableWhiteOrDimToWarm</v>
      </c>
      <c r="Z56" s="138" t="str">
        <f t="shared" ca="1" si="5"/>
        <v/>
      </c>
      <c r="AA56" s="11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329"/>
      <c r="C57" s="138" t="s">
        <v>1033</v>
      </c>
      <c r="D57" s="331">
        <v>0</v>
      </c>
      <c r="E57" s="331">
        <v>0</v>
      </c>
      <c r="F57" s="332">
        <v>0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1</v>
      </c>
      <c r="S57" s="138" t="s">
        <v>250</v>
      </c>
      <c r="T57" s="329">
        <v>284</v>
      </c>
      <c r="U57" s="138">
        <v>1</v>
      </c>
      <c r="V57" s="329">
        <f t="shared" si="2"/>
        <v>1</v>
      </c>
      <c r="W57" s="138">
        <f t="shared" ca="1" si="3"/>
        <v>15</v>
      </c>
      <c r="X57" s="138" t="str">
        <f t="shared" ca="1" si="4"/>
        <v/>
      </c>
      <c r="Y57" s="138" t="str">
        <f t="shared" ca="1" si="1"/>
        <v>TunableWhiteOrDimToWarm</v>
      </c>
      <c r="Z57" s="138" t="str">
        <f t="shared" ca="1" si="5"/>
        <v/>
      </c>
      <c r="AA57" s="116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s="138" t="s">
        <v>647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0</v>
      </c>
      <c r="S58" s="138" t="s">
        <v>250</v>
      </c>
      <c r="T58" s="138">
        <v>226</v>
      </c>
      <c r="U58" s="138">
        <f t="shared" ref="U58:U96" si="7">IF(SUM(D58:P58)&gt;0,1,0)</f>
        <v>0</v>
      </c>
      <c r="V58" s="329">
        <f t="shared" si="2"/>
        <v>0</v>
      </c>
      <c r="W58" s="138" t="e">
        <f t="shared" ca="1" si="3"/>
        <v>#N/A</v>
      </c>
      <c r="X58" s="138" t="e">
        <f t="shared" ca="1" si="4"/>
        <v>#N/A</v>
      </c>
      <c r="Y58" s="138" t="e">
        <f t="shared" ca="1" si="1"/>
        <v>#N/A</v>
      </c>
      <c r="Z58" s="138" t="e">
        <f t="shared" ca="1" si="5"/>
        <v>#N/A</v>
      </c>
      <c r="AA58" s="116" t="str">
        <f t="shared" si="6"/>
        <v/>
      </c>
    </row>
    <row r="59" spans="2:27" x14ac:dyDescent="0.25">
      <c r="C59" s="138" t="s">
        <v>532</v>
      </c>
      <c r="D59" s="331">
        <v>0</v>
      </c>
      <c r="E59" s="331">
        <v>0</v>
      </c>
      <c r="F59" s="332">
        <v>1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0</v>
      </c>
      <c r="S59" s="138" t="s">
        <v>250</v>
      </c>
      <c r="T59" s="138">
        <v>227</v>
      </c>
      <c r="U59" s="138">
        <f t="shared" si="7"/>
        <v>1</v>
      </c>
      <c r="V59" s="329">
        <f t="shared" si="2"/>
        <v>1</v>
      </c>
      <c r="W59" s="138">
        <f t="shared" ca="1" si="3"/>
        <v>3</v>
      </c>
      <c r="X59" s="138" t="str">
        <f t="shared" ca="1" si="4"/>
        <v/>
      </c>
      <c r="Y59" s="138" t="str">
        <f t="shared" ca="1" si="1"/>
        <v>Ornamental</v>
      </c>
      <c r="Z59" s="138" t="str">
        <f t="shared" ca="1" si="5"/>
        <v/>
      </c>
      <c r="AA59" s="116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s="138" t="s">
        <v>648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228</v>
      </c>
      <c r="U60" s="138">
        <f t="shared" si="7"/>
        <v>0</v>
      </c>
      <c r="V60" s="329">
        <f t="shared" si="2"/>
        <v>0</v>
      </c>
      <c r="W60" s="138" t="e">
        <f t="shared" ca="1" si="3"/>
        <v>#N/A</v>
      </c>
      <c r="X60" s="138" t="e">
        <f t="shared" ca="1" si="4"/>
        <v>#N/A</v>
      </c>
      <c r="Y60" s="138" t="e">
        <f t="shared" ca="1" si="1"/>
        <v>#N/A</v>
      </c>
      <c r="Z60" s="138" t="e">
        <f t="shared" ca="1" si="5"/>
        <v>#N/A</v>
      </c>
      <c r="AA60" s="116" t="str">
        <f t="shared" si="6"/>
        <v/>
      </c>
    </row>
    <row r="61" spans="2:27" x14ac:dyDescent="0.25">
      <c r="C61" s="138" t="s">
        <v>954</v>
      </c>
      <c r="D61" s="331">
        <v>0</v>
      </c>
      <c r="E61" s="331">
        <v>0</v>
      </c>
      <c r="F61" s="332">
        <v>0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229</v>
      </c>
      <c r="U61" s="138">
        <f t="shared" si="7"/>
        <v>0</v>
      </c>
      <c r="V61" s="329">
        <f t="shared" si="2"/>
        <v>0</v>
      </c>
      <c r="W61" s="138" t="e">
        <f t="shared" ca="1" si="3"/>
        <v>#N/A</v>
      </c>
      <c r="X61" s="138" t="e">
        <f t="shared" ca="1" si="4"/>
        <v>#N/A</v>
      </c>
      <c r="Y61" s="138" t="e">
        <f t="shared" ca="1" si="1"/>
        <v>#N/A</v>
      </c>
      <c r="Z61" s="138" t="e">
        <f t="shared" ca="1" si="5"/>
        <v>#N/A</v>
      </c>
      <c r="AA61" s="116" t="str">
        <f t="shared" si="6"/>
        <v/>
      </c>
    </row>
    <row r="62" spans="2:27" x14ac:dyDescent="0.25">
      <c r="C62" s="138" t="s">
        <v>652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230</v>
      </c>
      <c r="U62" s="138">
        <f t="shared" si="7"/>
        <v>0</v>
      </c>
      <c r="V62" s="329">
        <f t="shared" si="2"/>
        <v>0</v>
      </c>
      <c r="W62" s="138" t="e">
        <f t="shared" ca="1" si="3"/>
        <v>#N/A</v>
      </c>
      <c r="X62" s="138" t="e">
        <f t="shared" ca="1" si="4"/>
        <v>#N/A</v>
      </c>
      <c r="Y62" s="138" t="e">
        <f t="shared" ca="1" si="1"/>
        <v>#N/A</v>
      </c>
      <c r="Z62" s="138" t="e">
        <f t="shared" ca="1" si="5"/>
        <v>#N/A</v>
      </c>
      <c r="AA62" s="116" t="str">
        <f t="shared" si="6"/>
        <v/>
      </c>
    </row>
    <row r="63" spans="2:27" x14ac:dyDescent="0.25">
      <c r="C63" s="138" t="s">
        <v>955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231</v>
      </c>
      <c r="U63" s="138">
        <f t="shared" si="7"/>
        <v>0</v>
      </c>
      <c r="V63" s="329">
        <f t="shared" si="2"/>
        <v>0</v>
      </c>
      <c r="W63" s="138" t="e">
        <f t="shared" ca="1" si="3"/>
        <v>#N/A</v>
      </c>
      <c r="X63" s="138" t="e">
        <f t="shared" ca="1" si="4"/>
        <v>#N/A</v>
      </c>
      <c r="Y63" s="138" t="e">
        <f t="shared" ca="1" si="1"/>
        <v>#N/A</v>
      </c>
      <c r="Z63" s="138" t="e">
        <f t="shared" ca="1" si="5"/>
        <v>#N/A</v>
      </c>
      <c r="AA63" s="116" t="str">
        <f t="shared" si="6"/>
        <v/>
      </c>
    </row>
    <row r="64" spans="2:27" x14ac:dyDescent="0.25">
      <c r="C64" s="138" t="s">
        <v>956</v>
      </c>
      <c r="D64" s="331">
        <v>0</v>
      </c>
      <c r="E64" s="331">
        <v>0</v>
      </c>
      <c r="F64" s="332">
        <v>1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232</v>
      </c>
      <c r="U64" s="138">
        <f t="shared" si="7"/>
        <v>1</v>
      </c>
      <c r="V64" s="329">
        <f t="shared" si="2"/>
        <v>1</v>
      </c>
      <c r="W64" s="138">
        <f t="shared" ca="1" si="3"/>
        <v>3</v>
      </c>
      <c r="X64" s="138" t="str">
        <f t="shared" ca="1" si="4"/>
        <v/>
      </c>
      <c r="Y64" s="138" t="str">
        <f t="shared" ca="1" si="1"/>
        <v>Ornamental</v>
      </c>
      <c r="Z64" s="138" t="str">
        <f t="shared" ca="1" si="5"/>
        <v/>
      </c>
      <c r="AA64" s="116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s="138" t="s">
        <v>957</v>
      </c>
      <c r="D65" s="331">
        <v>0</v>
      </c>
      <c r="E65" s="331">
        <v>0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233</v>
      </c>
      <c r="U65" s="138">
        <f t="shared" si="7"/>
        <v>0</v>
      </c>
      <c r="V65" s="329">
        <f t="shared" si="2"/>
        <v>0</v>
      </c>
      <c r="W65" s="138" t="e">
        <f t="shared" ca="1" si="3"/>
        <v>#N/A</v>
      </c>
      <c r="X65" s="138" t="e">
        <f t="shared" ca="1" si="4"/>
        <v>#N/A</v>
      </c>
      <c r="Y65" s="138" t="e">
        <f t="shared" ca="1" si="1"/>
        <v>#N/A</v>
      </c>
      <c r="Z65" s="138" t="e">
        <f t="shared" ca="1" si="5"/>
        <v>#N/A</v>
      </c>
      <c r="AA65" s="116" t="str">
        <f t="shared" si="6"/>
        <v/>
      </c>
    </row>
    <row r="66" spans="2:27" x14ac:dyDescent="0.25">
      <c r="C66" s="138" t="s">
        <v>830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234</v>
      </c>
      <c r="U66" s="138">
        <f t="shared" si="7"/>
        <v>0</v>
      </c>
      <c r="V66" s="329">
        <f t="shared" si="2"/>
        <v>0</v>
      </c>
      <c r="W66" s="138" t="e">
        <f t="shared" ca="1" si="3"/>
        <v>#N/A</v>
      </c>
      <c r="X66" s="138" t="e">
        <f t="shared" ca="1" si="4"/>
        <v>#N/A</v>
      </c>
      <c r="Y66" s="138" t="e">
        <f t="shared" ca="1" si="1"/>
        <v>#N/A</v>
      </c>
      <c r="Z66" s="138" t="e">
        <f t="shared" ca="1" si="5"/>
        <v>#N/A</v>
      </c>
      <c r="AA66" s="116" t="str">
        <f t="shared" si="6"/>
        <v/>
      </c>
    </row>
    <row r="67" spans="2:27" x14ac:dyDescent="0.25">
      <c r="C67" s="138" t="s">
        <v>958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235</v>
      </c>
      <c r="U67" s="138">
        <f t="shared" si="7"/>
        <v>1</v>
      </c>
      <c r="V67" s="329">
        <f t="shared" si="2"/>
        <v>1</v>
      </c>
      <c r="W67" s="138">
        <f t="shared" ca="1" si="3"/>
        <v>3</v>
      </c>
      <c r="X67" s="138" t="str">
        <f t="shared" ca="1" si="4"/>
        <v/>
      </c>
      <c r="Y67" s="138" t="str">
        <f t="shared" ca="1" si="1"/>
        <v>Ornamental</v>
      </c>
      <c r="Z67" s="138" t="str">
        <f t="shared" ca="1" si="5"/>
        <v/>
      </c>
      <c r="AA67" s="116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329"/>
      <c r="C68" s="138" t="s">
        <v>959</v>
      </c>
      <c r="D68" s="331">
        <v>0</v>
      </c>
      <c r="E68" s="331">
        <v>0</v>
      </c>
      <c r="F68" s="332">
        <v>1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236</v>
      </c>
      <c r="U68" s="138">
        <f t="shared" si="7"/>
        <v>1</v>
      </c>
      <c r="V68" s="329">
        <f t="shared" si="2"/>
        <v>1</v>
      </c>
      <c r="W68" s="138">
        <f t="shared" ca="1" si="3"/>
        <v>3</v>
      </c>
      <c r="X68" s="138" t="str">
        <f t="shared" ca="1" si="4"/>
        <v/>
      </c>
      <c r="Y68" s="138" t="str">
        <f t="shared" ca="1" si="1"/>
        <v>Ornamental</v>
      </c>
      <c r="Z68" s="138" t="str">
        <f t="shared" ca="1" si="5"/>
        <v/>
      </c>
      <c r="AA68" s="116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s="138" t="s">
        <v>960</v>
      </c>
      <c r="D69" s="331">
        <v>0</v>
      </c>
      <c r="E69" s="331">
        <v>0</v>
      </c>
      <c r="F69" s="332">
        <v>0</v>
      </c>
      <c r="G69" s="331">
        <v>0</v>
      </c>
      <c r="H69" s="331">
        <v>0</v>
      </c>
      <c r="I69" s="331">
        <v>0</v>
      </c>
      <c r="J69" s="331">
        <v>1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237</v>
      </c>
      <c r="U69" s="138">
        <f t="shared" si="7"/>
        <v>1</v>
      </c>
      <c r="V69" s="329">
        <f t="shared" si="2"/>
        <v>1</v>
      </c>
      <c r="W69" s="138">
        <f ca="1">OFFSET($C$9,0,MATCH(1,$D69:$R69,0))</f>
        <v>7</v>
      </c>
      <c r="X69" s="138" t="str">
        <f t="shared" ca="1" si="4"/>
        <v/>
      </c>
      <c r="Y69" s="138" t="str">
        <f ca="1">OFFSET($C$9,15,MATCH(1,$D69:$R69,0))</f>
        <v>AccentDisplayFeature-Museum</v>
      </c>
      <c r="Z69" s="138" t="str">
        <f t="shared" ca="1" si="5"/>
        <v/>
      </c>
      <c r="AA69" s="116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s="138" t="s">
        <v>961</v>
      </c>
      <c r="D70" s="331">
        <v>1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238</v>
      </c>
      <c r="U70" s="138">
        <f t="shared" si="7"/>
        <v>1</v>
      </c>
      <c r="V70" s="329">
        <f t="shared" si="2"/>
        <v>1</v>
      </c>
      <c r="W70" s="138">
        <f t="shared" ca="1" si="3"/>
        <v>1</v>
      </c>
      <c r="X70" s="138" t="str">
        <f t="shared" ca="1" si="4"/>
        <v/>
      </c>
      <c r="Y70" s="138" t="str">
        <f t="shared" ca="1" si="1"/>
        <v>DetailedTaskWork</v>
      </c>
      <c r="Z70" s="138" t="str">
        <f t="shared" ca="1" si="5"/>
        <v/>
      </c>
      <c r="AA70" s="116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s="138" t="s">
        <v>962</v>
      </c>
      <c r="D71" s="331">
        <v>0</v>
      </c>
      <c r="E71" s="331">
        <v>0</v>
      </c>
      <c r="F71" s="332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1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239</v>
      </c>
      <c r="U71" s="138">
        <f t="shared" si="7"/>
        <v>1</v>
      </c>
      <c r="V71" s="329">
        <f t="shared" si="2"/>
        <v>1</v>
      </c>
      <c r="W71" s="138">
        <f t="shared" ca="1" si="3"/>
        <v>11</v>
      </c>
      <c r="X71" s="138" t="str">
        <f t="shared" ca="1" si="4"/>
        <v/>
      </c>
      <c r="Y71" s="138" t="str">
        <f t="shared" ca="1" si="1"/>
        <v>PortableLightingForOffice</v>
      </c>
      <c r="Z71" s="138" t="str">
        <f t="shared" ca="1" si="5"/>
        <v/>
      </c>
      <c r="AA71" s="116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s="138" t="s">
        <v>963</v>
      </c>
      <c r="D72" s="331">
        <v>0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1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240</v>
      </c>
      <c r="U72" s="138">
        <f t="shared" si="7"/>
        <v>1</v>
      </c>
      <c r="V72" s="329">
        <f t="shared" si="2"/>
        <v>1</v>
      </c>
      <c r="W72" s="138">
        <f t="shared" ca="1" si="3"/>
        <v>11</v>
      </c>
      <c r="X72" s="138" t="str">
        <f t="shared" ca="1" si="4"/>
        <v/>
      </c>
      <c r="Y72" s="138" t="str">
        <f t="shared" ca="1" si="1"/>
        <v>PortableLightingForOffice</v>
      </c>
      <c r="Z72" s="138" t="str">
        <f t="shared" ca="1" si="5"/>
        <v/>
      </c>
      <c r="AA72" s="116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329"/>
      <c r="C73" s="138" t="s">
        <v>964</v>
      </c>
      <c r="D73" s="331">
        <v>0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1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241</v>
      </c>
      <c r="U73" s="138">
        <f t="shared" si="7"/>
        <v>1</v>
      </c>
      <c r="V73" s="329">
        <f t="shared" si="2"/>
        <v>1</v>
      </c>
      <c r="W73" s="138">
        <f t="shared" ca="1" si="3"/>
        <v>11</v>
      </c>
      <c r="X73" s="138" t="str">
        <f t="shared" ca="1" si="4"/>
        <v/>
      </c>
      <c r="Y73" s="138" t="str">
        <f t="shared" ca="1" si="1"/>
        <v>PortableLightingForOffice</v>
      </c>
      <c r="Z73" s="138" t="str">
        <f t="shared" ca="1" si="5"/>
        <v/>
      </c>
      <c r="AA73" s="116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s="138" t="s">
        <v>965</v>
      </c>
      <c r="D74" s="331">
        <v>0</v>
      </c>
      <c r="E74" s="331">
        <v>0</v>
      </c>
      <c r="F74" s="332">
        <v>0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242</v>
      </c>
      <c r="U74" s="138">
        <f t="shared" si="7"/>
        <v>0</v>
      </c>
      <c r="V74" s="329">
        <f t="shared" si="2"/>
        <v>0</v>
      </c>
      <c r="W74" s="138" t="e">
        <f t="shared" ca="1" si="3"/>
        <v>#N/A</v>
      </c>
      <c r="X74" s="138" t="e">
        <f t="shared" ca="1" si="4"/>
        <v>#N/A</v>
      </c>
      <c r="Y74" s="138" t="e">
        <f t="shared" ca="1" si="1"/>
        <v>#N/A</v>
      </c>
      <c r="Z74" s="138" t="e">
        <f t="shared" ca="1" si="5"/>
        <v>#N/A</v>
      </c>
      <c r="AA74" s="116" t="str">
        <f t="shared" si="6"/>
        <v/>
      </c>
    </row>
    <row r="75" spans="2:27" x14ac:dyDescent="0.25">
      <c r="C75" s="138" t="s">
        <v>966</v>
      </c>
      <c r="D75" s="331">
        <v>0</v>
      </c>
      <c r="E75" s="331">
        <v>0</v>
      </c>
      <c r="F75" s="332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243</v>
      </c>
      <c r="U75" s="138">
        <f t="shared" si="7"/>
        <v>0</v>
      </c>
      <c r="V75" s="329">
        <f t="shared" si="2"/>
        <v>0</v>
      </c>
      <c r="W75" s="138" t="e">
        <f t="shared" ca="1" si="3"/>
        <v>#N/A</v>
      </c>
      <c r="X75" s="138" t="e">
        <f t="shared" ca="1" si="4"/>
        <v>#N/A</v>
      </c>
      <c r="Y75" s="138" t="e">
        <f t="shared" ca="1" si="1"/>
        <v>#N/A</v>
      </c>
      <c r="Z75" s="138" t="e">
        <f t="shared" ca="1" si="5"/>
        <v>#N/A</v>
      </c>
      <c r="AA75" s="116" t="str">
        <f t="shared" si="6"/>
        <v/>
      </c>
    </row>
    <row r="76" spans="2:27" x14ac:dyDescent="0.25">
      <c r="B76" s="329"/>
      <c r="C76" s="138" t="s">
        <v>967</v>
      </c>
      <c r="D76" s="331">
        <v>0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1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244</v>
      </c>
      <c r="U76" s="138">
        <f t="shared" si="7"/>
        <v>1</v>
      </c>
      <c r="V76" s="329">
        <f t="shared" si="2"/>
        <v>1</v>
      </c>
      <c r="W76" s="138">
        <f t="shared" ca="1" si="3"/>
        <v>10</v>
      </c>
      <c r="X76" s="138" t="str">
        <f t="shared" ca="1" si="4"/>
        <v/>
      </c>
      <c r="Y76" s="138" t="str">
        <f t="shared" ca="1" si="1"/>
        <v>ParkingGarageATMLighting</v>
      </c>
      <c r="Z76" s="138" t="str">
        <f t="shared" ca="1" si="5"/>
        <v/>
      </c>
      <c r="AA76" s="11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329"/>
      <c r="C77" s="138" t="s">
        <v>968</v>
      </c>
      <c r="D77" s="331">
        <v>0</v>
      </c>
      <c r="E77" s="331">
        <v>1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245</v>
      </c>
      <c r="U77" s="138">
        <f t="shared" si="7"/>
        <v>1</v>
      </c>
      <c r="V77" s="329">
        <f t="shared" si="2"/>
        <v>1</v>
      </c>
      <c r="W77" s="138">
        <f t="shared" ca="1" si="3"/>
        <v>2</v>
      </c>
      <c r="X77" s="138" t="str">
        <f t="shared" ca="1" si="4"/>
        <v/>
      </c>
      <c r="Y77" s="138" t="str">
        <f t="shared" ca="1" si="1"/>
        <v>SpecializedTaskWork</v>
      </c>
      <c r="Z77" s="138" t="str">
        <f t="shared" ca="1" si="5"/>
        <v/>
      </c>
      <c r="AA77" s="116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s="138" t="s">
        <v>537</v>
      </c>
      <c r="D78" s="331">
        <v>0</v>
      </c>
      <c r="E78" s="331">
        <v>0</v>
      </c>
      <c r="F78" s="332">
        <v>1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0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246</v>
      </c>
      <c r="U78" s="138">
        <f t="shared" si="7"/>
        <v>1</v>
      </c>
      <c r="V78" s="329">
        <f t="shared" si="2"/>
        <v>1</v>
      </c>
      <c r="W78" s="138">
        <f t="shared" ca="1" si="3"/>
        <v>3</v>
      </c>
      <c r="X78" s="138" t="str">
        <f t="shared" ca="1" si="4"/>
        <v/>
      </c>
      <c r="Y78" s="138" t="str">
        <f t="shared" ca="1" si="1"/>
        <v>Ornamental</v>
      </c>
      <c r="Z78" s="138" t="str">
        <f t="shared" ca="1" si="5"/>
        <v/>
      </c>
      <c r="AA78" s="116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s="138" t="s">
        <v>834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1</v>
      </c>
      <c r="J79" s="361">
        <v>0</v>
      </c>
      <c r="K79" s="361">
        <v>1</v>
      </c>
      <c r="L79" s="331">
        <v>0</v>
      </c>
      <c r="M79" s="331">
        <v>0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247</v>
      </c>
      <c r="U79" s="138">
        <f t="shared" si="7"/>
        <v>1</v>
      </c>
      <c r="V79" s="329">
        <f t="shared" si="2"/>
        <v>2</v>
      </c>
      <c r="W79" s="138">
        <f t="shared" ca="1" si="3"/>
        <v>6</v>
      </c>
      <c r="X79" s="138">
        <f t="shared" ca="1" si="4"/>
        <v>8</v>
      </c>
      <c r="Y79" s="138" t="str">
        <f t="shared" ca="1" si="1"/>
        <v>AccentDisplayFeature</v>
      </c>
      <c r="Z79" s="138" t="str">
        <f t="shared" ca="1" si="5"/>
        <v>Decorative</v>
      </c>
      <c r="AA79" s="116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329"/>
      <c r="C80" s="138" t="s">
        <v>969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1</v>
      </c>
      <c r="P80" s="331">
        <v>1</v>
      </c>
      <c r="Q80" s="331">
        <v>0</v>
      </c>
      <c r="R80" s="331">
        <v>0</v>
      </c>
      <c r="S80" s="138" t="s">
        <v>250</v>
      </c>
      <c r="T80" s="138">
        <v>248</v>
      </c>
      <c r="U80" s="138">
        <f t="shared" si="7"/>
        <v>1</v>
      </c>
      <c r="V80" s="329">
        <f t="shared" si="2"/>
        <v>2</v>
      </c>
      <c r="W80" s="138">
        <f t="shared" ca="1" si="3"/>
        <v>12</v>
      </c>
      <c r="X80" s="138">
        <f t="shared" ca="1" si="4"/>
        <v>13</v>
      </c>
      <c r="Y80" s="138" t="str">
        <f t="shared" ca="1" si="1"/>
        <v>ExternalIlluminatedMirror</v>
      </c>
      <c r="Z80" s="138" t="str">
        <f t="shared" ca="1" si="5"/>
        <v>InternalIlluminatedMirror</v>
      </c>
      <c r="AA80" s="116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329"/>
      <c r="C81" s="138" t="s">
        <v>970</v>
      </c>
      <c r="D81" s="331">
        <v>0</v>
      </c>
      <c r="E81" s="331">
        <v>0</v>
      </c>
      <c r="F81" s="332">
        <v>0</v>
      </c>
      <c r="G81" s="331">
        <v>0</v>
      </c>
      <c r="H81" s="331">
        <v>0</v>
      </c>
      <c r="I81" s="331">
        <v>1</v>
      </c>
      <c r="J81" s="331">
        <v>0</v>
      </c>
      <c r="K81" s="331">
        <v>1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249</v>
      </c>
      <c r="U81" s="138">
        <f t="shared" si="7"/>
        <v>1</v>
      </c>
      <c r="V81" s="329">
        <f t="shared" si="2"/>
        <v>2</v>
      </c>
      <c r="W81" s="138">
        <f t="shared" ca="1" si="3"/>
        <v>6</v>
      </c>
      <c r="X81" s="138">
        <f t="shared" ca="1" si="4"/>
        <v>8</v>
      </c>
      <c r="Y81" s="138" t="str">
        <f t="shared" ca="1" si="1"/>
        <v>AccentDisplayFeature</v>
      </c>
      <c r="Z81" s="138" t="str">
        <f t="shared" ca="1" si="5"/>
        <v>Decorative</v>
      </c>
      <c r="AA81" s="116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329"/>
      <c r="C82" s="138" t="s">
        <v>971</v>
      </c>
      <c r="D82" s="331">
        <v>0</v>
      </c>
      <c r="E82" s="331">
        <v>0</v>
      </c>
      <c r="F82" s="332">
        <v>0</v>
      </c>
      <c r="G82" s="331">
        <v>0</v>
      </c>
      <c r="H82" s="331">
        <v>0</v>
      </c>
      <c r="I82" s="331">
        <v>1</v>
      </c>
      <c r="J82" s="331">
        <v>0</v>
      </c>
      <c r="K82" s="331">
        <v>1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250</v>
      </c>
      <c r="U82" s="138">
        <f t="shared" si="7"/>
        <v>1</v>
      </c>
      <c r="V82" s="329">
        <f t="shared" si="2"/>
        <v>2</v>
      </c>
      <c r="W82" s="138">
        <f t="shared" ca="1" si="3"/>
        <v>6</v>
      </c>
      <c r="X82" s="138">
        <f t="shared" ca="1" si="4"/>
        <v>8</v>
      </c>
      <c r="Y82" s="138" t="str">
        <f t="shared" ca="1" si="1"/>
        <v>AccentDisplayFeature</v>
      </c>
      <c r="Z82" s="138" t="str">
        <f t="shared" ca="1" si="5"/>
        <v>Decorative</v>
      </c>
      <c r="AA82" s="116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s="138" t="s">
        <v>972</v>
      </c>
      <c r="D83" s="331">
        <v>0</v>
      </c>
      <c r="E83" s="331">
        <v>1</v>
      </c>
      <c r="F83" s="332">
        <v>0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251</v>
      </c>
      <c r="U83" s="138">
        <f t="shared" si="7"/>
        <v>1</v>
      </c>
      <c r="V83" s="329">
        <f t="shared" si="2"/>
        <v>1</v>
      </c>
      <c r="W83" s="138">
        <f t="shared" ca="1" si="3"/>
        <v>2</v>
      </c>
      <c r="X83" s="138" t="str">
        <f t="shared" ca="1" si="4"/>
        <v/>
      </c>
      <c r="Y83" s="138" t="str">
        <f t="shared" ca="1" si="1"/>
        <v>SpecializedTaskWork</v>
      </c>
      <c r="Z83" s="138" t="str">
        <f t="shared" ca="1" si="5"/>
        <v/>
      </c>
      <c r="AA83" s="116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s="138" t="s">
        <v>1012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0</v>
      </c>
      <c r="P84" s="331">
        <v>0</v>
      </c>
      <c r="Q84" s="331">
        <v>0</v>
      </c>
      <c r="R84" s="331">
        <v>0</v>
      </c>
      <c r="S84" s="138" t="s">
        <v>250</v>
      </c>
      <c r="T84" s="138">
        <v>252</v>
      </c>
      <c r="U84" s="138">
        <f t="shared" si="7"/>
        <v>0</v>
      </c>
      <c r="V84" s="329">
        <f t="shared" si="2"/>
        <v>0</v>
      </c>
      <c r="W84" s="138" t="e">
        <f t="shared" ca="1" si="3"/>
        <v>#N/A</v>
      </c>
      <c r="X84" s="138" t="e">
        <f t="shared" ca="1" si="4"/>
        <v>#N/A</v>
      </c>
      <c r="Y84" s="138" t="e">
        <f t="shared" ca="1" si="1"/>
        <v>#N/A</v>
      </c>
      <c r="Z84" s="138" t="e">
        <f t="shared" ca="1" si="5"/>
        <v>#N/A</v>
      </c>
      <c r="AA84" s="116" t="str">
        <f t="shared" si="6"/>
        <v/>
      </c>
    </row>
    <row r="85" spans="2:27" x14ac:dyDescent="0.25">
      <c r="B85" s="329"/>
      <c r="C85" s="138" t="s">
        <v>1013</v>
      </c>
      <c r="D85" s="331">
        <v>0</v>
      </c>
      <c r="E85" s="331">
        <v>0</v>
      </c>
      <c r="F85" s="332">
        <v>0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253</v>
      </c>
      <c r="U85" s="138">
        <f t="shared" si="7"/>
        <v>0</v>
      </c>
      <c r="V85" s="329">
        <f t="shared" si="2"/>
        <v>0</v>
      </c>
      <c r="W85" s="138" t="e">
        <f t="shared" ca="1" si="3"/>
        <v>#N/A</v>
      </c>
      <c r="X85" s="138" t="e">
        <f t="shared" ca="1" si="4"/>
        <v>#N/A</v>
      </c>
      <c r="Y85" s="138" t="e">
        <f t="shared" ca="1" si="1"/>
        <v>#N/A</v>
      </c>
      <c r="Z85" s="138" t="e">
        <f t="shared" ca="1" si="5"/>
        <v>#N/A</v>
      </c>
      <c r="AA85" s="116" t="str">
        <f t="shared" si="6"/>
        <v/>
      </c>
    </row>
    <row r="86" spans="2:27" x14ac:dyDescent="0.25">
      <c r="B86" s="329"/>
      <c r="C86" s="138" t="s">
        <v>1014</v>
      </c>
      <c r="D86" s="331">
        <v>0</v>
      </c>
      <c r="E86" s="331">
        <v>0</v>
      </c>
      <c r="F86" s="332">
        <v>0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254</v>
      </c>
      <c r="U86" s="138">
        <f t="shared" si="7"/>
        <v>0</v>
      </c>
      <c r="V86" s="329">
        <f t="shared" si="2"/>
        <v>0</v>
      </c>
      <c r="W86" s="138" t="e">
        <f t="shared" ca="1" si="3"/>
        <v>#N/A</v>
      </c>
      <c r="X86" s="138" t="e">
        <f t="shared" ca="1" si="4"/>
        <v>#N/A</v>
      </c>
      <c r="Y86" s="138" t="e">
        <f t="shared" ca="1" si="1"/>
        <v>#N/A</v>
      </c>
      <c r="Z86" s="138" t="e">
        <f t="shared" ca="1" si="5"/>
        <v>#N/A</v>
      </c>
      <c r="AA86" s="116" t="str">
        <f t="shared" si="6"/>
        <v/>
      </c>
    </row>
    <row r="87" spans="2:27" x14ac:dyDescent="0.25">
      <c r="B87" s="329"/>
      <c r="C87" s="138" t="s">
        <v>1015</v>
      </c>
      <c r="D87" s="331">
        <v>0</v>
      </c>
      <c r="E87" s="331">
        <v>0</v>
      </c>
      <c r="F87" s="332">
        <v>0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255</v>
      </c>
      <c r="U87" s="138">
        <f t="shared" si="7"/>
        <v>0</v>
      </c>
      <c r="V87" s="329">
        <f t="shared" si="2"/>
        <v>0</v>
      </c>
      <c r="W87" s="138" t="e">
        <f t="shared" ca="1" si="3"/>
        <v>#N/A</v>
      </c>
      <c r="X87" s="138" t="e">
        <f t="shared" ca="1" si="4"/>
        <v>#N/A</v>
      </c>
      <c r="Y87" s="138" t="e">
        <f t="shared" ca="1" si="1"/>
        <v>#N/A</v>
      </c>
      <c r="Z87" s="138" t="e">
        <f t="shared" ca="1" si="5"/>
        <v>#N/A</v>
      </c>
      <c r="AA87" s="116" t="str">
        <f t="shared" si="6"/>
        <v/>
      </c>
    </row>
    <row r="88" spans="2:27" x14ac:dyDescent="0.25">
      <c r="C88" s="138" t="s">
        <v>973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1</v>
      </c>
      <c r="J88" s="331">
        <v>0</v>
      </c>
      <c r="K88" s="331">
        <v>1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256</v>
      </c>
      <c r="U88" s="138">
        <f t="shared" si="7"/>
        <v>1</v>
      </c>
      <c r="V88" s="329">
        <f t="shared" si="2"/>
        <v>2</v>
      </c>
      <c r="W88" s="138">
        <f t="shared" ca="1" si="3"/>
        <v>6</v>
      </c>
      <c r="X88" s="138">
        <f t="shared" ca="1" si="4"/>
        <v>8</v>
      </c>
      <c r="Y88" s="138" t="str">
        <f t="shared" ca="1" si="1"/>
        <v>AccentDisplayFeature</v>
      </c>
      <c r="Z88" s="138" t="str">
        <f t="shared" ca="1" si="5"/>
        <v>Decorative</v>
      </c>
      <c r="AA88" s="116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329"/>
      <c r="C89" s="138" t="s">
        <v>974</v>
      </c>
      <c r="D89" s="331">
        <v>0</v>
      </c>
      <c r="E89" s="331">
        <v>0</v>
      </c>
      <c r="F89" s="332">
        <v>1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257</v>
      </c>
      <c r="U89" s="138">
        <f t="shared" si="7"/>
        <v>1</v>
      </c>
      <c r="V89" s="329">
        <f t="shared" si="2"/>
        <v>1</v>
      </c>
      <c r="W89" s="138">
        <f t="shared" ca="1" si="3"/>
        <v>3</v>
      </c>
      <c r="X89" s="138" t="str">
        <f t="shared" ca="1" si="4"/>
        <v/>
      </c>
      <c r="Y89" s="138" t="str">
        <f t="shared" ca="1" si="1"/>
        <v>Ornamental</v>
      </c>
      <c r="Z89" s="138" t="str">
        <f t="shared" ca="1" si="5"/>
        <v/>
      </c>
      <c r="AA89" s="116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329"/>
      <c r="C90" s="138" t="s">
        <v>975</v>
      </c>
      <c r="D90" s="331">
        <v>0</v>
      </c>
      <c r="E90" s="331">
        <v>0</v>
      </c>
      <c r="F90" s="332">
        <v>1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258</v>
      </c>
      <c r="U90" s="138">
        <f t="shared" si="7"/>
        <v>1</v>
      </c>
      <c r="V90" s="329">
        <f t="shared" si="2"/>
        <v>1</v>
      </c>
      <c r="W90" s="138">
        <f t="shared" ca="1" si="3"/>
        <v>3</v>
      </c>
      <c r="X90" s="138" t="str">
        <f t="shared" ca="1" si="4"/>
        <v/>
      </c>
      <c r="Y90" s="138" t="str">
        <f t="shared" ca="1" si="1"/>
        <v>Ornamental</v>
      </c>
      <c r="Z90" s="138" t="str">
        <f t="shared" ca="1" si="5"/>
        <v/>
      </c>
      <c r="AA90" s="116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329"/>
      <c r="C91" s="138" t="s">
        <v>976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259</v>
      </c>
      <c r="U91" s="138">
        <f t="shared" si="7"/>
        <v>0</v>
      </c>
      <c r="V91" s="329">
        <f t="shared" ref="V91:V109" si="8">SUM(D91:R91)</f>
        <v>0</v>
      </c>
      <c r="W91" s="138" t="e">
        <f t="shared" ref="W91:W109" ca="1" si="9">OFFSET($C$9,0,MATCH(1,$D91:$R91,0))</f>
        <v>#N/A</v>
      </c>
      <c r="X91" s="138" t="e">
        <f t="shared" ref="X91:X109" ca="1" si="10">IF(OFFSET($C$9,0,_xlfn.XMATCH(1,$D91:$R91,0,-1))&lt;&gt;W91,OFFSET($C$9,0,_xlfn.XMATCH(1,$D91:$R91,0,-1)),"")</f>
        <v>#N/A</v>
      </c>
      <c r="Y91" s="138" t="e">
        <f t="shared" ca="1" si="1"/>
        <v>#N/A</v>
      </c>
      <c r="Z91" s="138" t="e">
        <f t="shared" ref="Z91:Z109" ca="1" si="11">IF(OFFSET($C$9,15,_xlfn.XMATCH(1,$D91:$R91,0,-1))&lt;&gt;Y91,OFFSET($C$9,15,_xlfn.XMATCH(1,$D91:$R91,0,-1)),"")</f>
        <v>#N/A</v>
      </c>
      <c r="AA91" s="116" t="str">
        <f t="shared" si="6"/>
        <v/>
      </c>
    </row>
    <row r="92" spans="2:27" x14ac:dyDescent="0.25">
      <c r="B92" s="329"/>
      <c r="C92" s="138" t="s">
        <v>977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1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T92" s="138">
        <v>260</v>
      </c>
      <c r="U92" s="138">
        <f t="shared" si="7"/>
        <v>1</v>
      </c>
      <c r="V92" s="329">
        <f t="shared" si="8"/>
        <v>1</v>
      </c>
      <c r="W92" s="138">
        <f t="shared" ca="1" si="9"/>
        <v>6</v>
      </c>
      <c r="X92" s="138" t="str">
        <f t="shared" ca="1" si="10"/>
        <v/>
      </c>
      <c r="Y92" s="138" t="str">
        <f t="shared" ca="1" si="1"/>
        <v>AccentDisplayFeature</v>
      </c>
      <c r="Z92" s="138" t="str">
        <f t="shared" ca="1" si="11"/>
        <v/>
      </c>
      <c r="AA92" s="116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s="138" t="s">
        <v>935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T93" s="138">
        <v>261</v>
      </c>
      <c r="U93" s="138">
        <f t="shared" si="7"/>
        <v>0</v>
      </c>
      <c r="V93" s="329">
        <f t="shared" si="8"/>
        <v>0</v>
      </c>
      <c r="W93" s="138" t="e">
        <f t="shared" ca="1" si="9"/>
        <v>#N/A</v>
      </c>
      <c r="X93" s="138" t="e">
        <f t="shared" ca="1" si="10"/>
        <v>#N/A</v>
      </c>
      <c r="Y93" s="138" t="e">
        <f t="shared" ca="1" si="1"/>
        <v>#N/A</v>
      </c>
      <c r="Z93" s="138" t="e">
        <f t="shared" ca="1" si="11"/>
        <v>#N/A</v>
      </c>
      <c r="AA93" s="116" t="str">
        <f t="shared" si="12"/>
        <v/>
      </c>
    </row>
    <row r="94" spans="2:27" x14ac:dyDescent="0.25">
      <c r="C94" s="138" t="s">
        <v>666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T94" s="138">
        <v>262</v>
      </c>
      <c r="U94" s="138">
        <f t="shared" si="7"/>
        <v>0</v>
      </c>
      <c r="V94" s="329">
        <f t="shared" si="8"/>
        <v>0</v>
      </c>
      <c r="W94" s="138" t="e">
        <f t="shared" ca="1" si="9"/>
        <v>#N/A</v>
      </c>
      <c r="X94" s="138" t="e">
        <f t="shared" ca="1" si="10"/>
        <v>#N/A</v>
      </c>
      <c r="Y94" s="138" t="e">
        <f t="shared" ca="1" si="1"/>
        <v>#N/A</v>
      </c>
      <c r="Z94" s="138" t="e">
        <f t="shared" ca="1" si="11"/>
        <v>#N/A</v>
      </c>
      <c r="AA94" s="116" t="str">
        <f t="shared" si="12"/>
        <v/>
      </c>
    </row>
    <row r="95" spans="2:27" x14ac:dyDescent="0.25">
      <c r="C95" s="138" t="s">
        <v>667</v>
      </c>
      <c r="D95" s="331">
        <v>0</v>
      </c>
      <c r="E95" s="331">
        <v>0</v>
      </c>
      <c r="F95" s="331">
        <v>0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T95" s="138">
        <v>263</v>
      </c>
      <c r="U95" s="138">
        <f t="shared" si="7"/>
        <v>0</v>
      </c>
      <c r="V95" s="329">
        <f t="shared" si="8"/>
        <v>0</v>
      </c>
      <c r="W95" s="138" t="e">
        <f t="shared" ca="1" si="9"/>
        <v>#N/A</v>
      </c>
      <c r="X95" s="138" t="e">
        <f t="shared" ca="1" si="10"/>
        <v>#N/A</v>
      </c>
      <c r="Y95" s="138" t="e">
        <f t="shared" ca="1" si="1"/>
        <v>#N/A</v>
      </c>
      <c r="Z95" s="138" t="e">
        <f t="shared" ca="1" si="11"/>
        <v>#N/A</v>
      </c>
      <c r="AA95" s="116" t="str">
        <f t="shared" si="12"/>
        <v/>
      </c>
    </row>
    <row r="96" spans="2:27" x14ac:dyDescent="0.25">
      <c r="C96" s="138" t="s">
        <v>668</v>
      </c>
      <c r="D96" s="331">
        <v>0</v>
      </c>
      <c r="E96" s="331">
        <v>0</v>
      </c>
      <c r="F96" s="331">
        <v>0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1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T96" s="138">
        <v>264</v>
      </c>
      <c r="U96" s="138">
        <f t="shared" si="7"/>
        <v>1</v>
      </c>
      <c r="V96" s="329">
        <f t="shared" si="8"/>
        <v>1</v>
      </c>
      <c r="W96" s="138">
        <f t="shared" ca="1" si="9"/>
        <v>9</v>
      </c>
      <c r="X96" s="138" t="str">
        <f t="shared" ca="1" si="10"/>
        <v/>
      </c>
      <c r="Y96" s="138" t="str">
        <f t="shared" ca="1" si="1"/>
        <v>VideoconferencingStudioLighting</v>
      </c>
      <c r="Z96" s="138" t="str">
        <f t="shared" ca="1" si="11"/>
        <v/>
      </c>
      <c r="AA96" s="11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329"/>
      <c r="C97" s="149" t="s">
        <v>1018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1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269</v>
      </c>
      <c r="U97" s="139">
        <v>1</v>
      </c>
      <c r="V97" s="329">
        <f t="shared" si="8"/>
        <v>1</v>
      </c>
      <c r="W97" s="138">
        <f t="shared" ca="1" si="9"/>
        <v>8</v>
      </c>
      <c r="X97" s="138" t="str">
        <f t="shared" ca="1" si="10"/>
        <v/>
      </c>
      <c r="Y97" s="138" t="str">
        <f ca="1">OFFSET($C$9,15,MATCH(1,$D97:$R97,0))</f>
        <v>Decorative</v>
      </c>
      <c r="Z97" s="138" t="str">
        <f t="shared" ca="1" si="11"/>
        <v/>
      </c>
      <c r="AA97" s="116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329"/>
      <c r="C98" s="149" t="s">
        <v>1019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f>T97+1</f>
        <v>270</v>
      </c>
      <c r="U98" s="139">
        <v>1</v>
      </c>
      <c r="V98" s="329">
        <f t="shared" si="8"/>
        <v>1</v>
      </c>
      <c r="W98" s="138">
        <f t="shared" ca="1" si="9"/>
        <v>3</v>
      </c>
      <c r="X98" s="138" t="str">
        <f t="shared" ca="1" si="10"/>
        <v/>
      </c>
      <c r="Y98" s="138" t="str">
        <f t="shared" ref="Y98:Y105" ca="1" si="13">OFFSET($C$9,15,MATCH(1,$D98:$R98,0))</f>
        <v>Ornamental</v>
      </c>
      <c r="Z98" s="138" t="str">
        <f t="shared" ca="1" si="11"/>
        <v/>
      </c>
      <c r="AA98" s="116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329"/>
      <c r="C99" s="149" t="s">
        <v>1020</v>
      </c>
      <c r="D99" s="331">
        <v>0</v>
      </c>
      <c r="E99" s="331">
        <v>0</v>
      </c>
      <c r="F99" s="331">
        <v>1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f t="shared" ref="T99:T104" si="14">T98+1</f>
        <v>271</v>
      </c>
      <c r="U99" s="139">
        <v>1</v>
      </c>
      <c r="V99" s="329">
        <f t="shared" si="8"/>
        <v>1</v>
      </c>
      <c r="W99" s="138">
        <f t="shared" ca="1" si="9"/>
        <v>3</v>
      </c>
      <c r="X99" s="138" t="str">
        <f t="shared" ca="1" si="10"/>
        <v/>
      </c>
      <c r="Y99" s="138" t="str">
        <f t="shared" ca="1" si="13"/>
        <v>Ornamental</v>
      </c>
      <c r="Z99" s="138" t="str">
        <f t="shared" ca="1" si="11"/>
        <v/>
      </c>
      <c r="AA99" s="116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329"/>
      <c r="C100" s="149" t="s">
        <v>1021</v>
      </c>
      <c r="D100" s="331">
        <v>0</v>
      </c>
      <c r="E100" s="331">
        <v>0</v>
      </c>
      <c r="F100" s="331">
        <v>1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1</v>
      </c>
      <c r="R100" s="331">
        <v>0</v>
      </c>
      <c r="S100" s="138" t="s">
        <v>250</v>
      </c>
      <c r="T100" s="139">
        <f t="shared" si="14"/>
        <v>272</v>
      </c>
      <c r="U100" s="139">
        <v>1</v>
      </c>
      <c r="V100" s="329">
        <f t="shared" si="8"/>
        <v>2</v>
      </c>
      <c r="W100" s="138">
        <f t="shared" ca="1" si="9"/>
        <v>3</v>
      </c>
      <c r="X100" s="138">
        <f t="shared" ca="1" si="10"/>
        <v>14</v>
      </c>
      <c r="Y100" s="138" t="str">
        <f t="shared" ca="1" si="13"/>
        <v>Ornamental</v>
      </c>
      <c r="Z100" s="138" t="str">
        <f t="shared" ca="1" si="11"/>
        <v>TransitionLightingOffAtNight</v>
      </c>
      <c r="AA100" s="116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329"/>
      <c r="C101" s="149" t="s">
        <v>1022</v>
      </c>
      <c r="D101" s="331">
        <v>0</v>
      </c>
      <c r="E101" s="331">
        <v>0</v>
      </c>
      <c r="F101" s="331">
        <v>1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f t="shared" si="14"/>
        <v>273</v>
      </c>
      <c r="U101" s="139">
        <v>1</v>
      </c>
      <c r="V101" s="329">
        <f t="shared" si="8"/>
        <v>1</v>
      </c>
      <c r="W101" s="138">
        <f t="shared" ca="1" si="9"/>
        <v>3</v>
      </c>
      <c r="X101" s="138" t="str">
        <f t="shared" ca="1" si="10"/>
        <v/>
      </c>
      <c r="Y101" s="138" t="str">
        <f t="shared" ca="1" si="13"/>
        <v>Ornamental</v>
      </c>
      <c r="Z101" s="138" t="str">
        <f t="shared" ca="1" si="11"/>
        <v/>
      </c>
      <c r="AA101" s="116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49" t="s">
        <v>1023</v>
      </c>
      <c r="D102" s="331">
        <v>0</v>
      </c>
      <c r="E102" s="331">
        <v>0</v>
      </c>
      <c r="F102" s="331">
        <v>1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f t="shared" si="14"/>
        <v>274</v>
      </c>
      <c r="U102" s="139">
        <v>1</v>
      </c>
      <c r="V102" s="329">
        <f t="shared" si="8"/>
        <v>1</v>
      </c>
      <c r="W102" s="138">
        <f t="shared" ca="1" si="9"/>
        <v>3</v>
      </c>
      <c r="X102" s="138" t="str">
        <f t="shared" ca="1" si="10"/>
        <v/>
      </c>
      <c r="Y102" s="138" t="str">
        <f t="shared" ca="1" si="13"/>
        <v>Ornamental</v>
      </c>
      <c r="Z102" s="138" t="str">
        <f t="shared" ca="1" si="11"/>
        <v/>
      </c>
      <c r="AA102" s="116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49" t="s">
        <v>1024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1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f t="shared" si="14"/>
        <v>275</v>
      </c>
      <c r="U103" s="139">
        <v>1</v>
      </c>
      <c r="V103" s="329">
        <f t="shared" si="8"/>
        <v>1</v>
      </c>
      <c r="W103" s="138">
        <f t="shared" ca="1" si="9"/>
        <v>6</v>
      </c>
      <c r="X103" s="138" t="str">
        <f t="shared" ca="1" si="10"/>
        <v/>
      </c>
      <c r="Y103" s="138" t="str">
        <f t="shared" ca="1" si="13"/>
        <v>AccentDisplayFeature</v>
      </c>
      <c r="Z103" s="138" t="str">
        <f t="shared" ca="1" si="11"/>
        <v/>
      </c>
      <c r="AA103" s="116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49" t="s">
        <v>1025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f t="shared" si="14"/>
        <v>276</v>
      </c>
      <c r="U104" s="139">
        <v>0</v>
      </c>
      <c r="V104" s="329">
        <f t="shared" si="8"/>
        <v>0</v>
      </c>
      <c r="W104" s="138" t="e">
        <f t="shared" ca="1" si="9"/>
        <v>#N/A</v>
      </c>
      <c r="X104" s="138" t="e">
        <f t="shared" ca="1" si="10"/>
        <v>#N/A</v>
      </c>
      <c r="Y104" s="138" t="e">
        <f t="shared" ca="1" si="13"/>
        <v>#N/A</v>
      </c>
      <c r="Z104" s="138" t="e">
        <f t="shared" ca="1" si="11"/>
        <v>#N/A</v>
      </c>
      <c r="AA104" s="116" t="str">
        <f t="shared" si="12"/>
        <v/>
      </c>
    </row>
    <row r="105" spans="2:27" x14ac:dyDescent="0.25">
      <c r="B105" s="329"/>
      <c r="C105" s="138" t="s">
        <v>936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201</v>
      </c>
      <c r="U105" s="138">
        <f>IF(SUM(D105:P105)&gt;0,1,0)</f>
        <v>0</v>
      </c>
      <c r="V105" s="329">
        <f t="shared" si="8"/>
        <v>0</v>
      </c>
      <c r="W105" s="138" t="e">
        <f t="shared" ca="1" si="9"/>
        <v>#N/A</v>
      </c>
      <c r="X105" s="138" t="e">
        <f t="shared" ca="1" si="10"/>
        <v>#N/A</v>
      </c>
      <c r="Y105" s="138" t="e">
        <f t="shared" ca="1" si="13"/>
        <v>#N/A</v>
      </c>
      <c r="Z105" s="138" t="e">
        <f t="shared" ca="1" si="11"/>
        <v>#N/A</v>
      </c>
      <c r="AA105" s="116" t="str">
        <f t="shared" si="12"/>
        <v/>
      </c>
    </row>
    <row r="106" spans="2:27" x14ac:dyDescent="0.25">
      <c r="C106" s="138" t="s">
        <v>978</v>
      </c>
      <c r="D106" s="331">
        <v>0</v>
      </c>
      <c r="E106" s="331">
        <v>0</v>
      </c>
      <c r="F106" s="331">
        <v>0</v>
      </c>
      <c r="G106" s="331">
        <v>0</v>
      </c>
      <c r="H106" s="331">
        <v>0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331">
        <v>0</v>
      </c>
      <c r="Q106" s="331">
        <v>0</v>
      </c>
      <c r="R106" s="331">
        <v>0</v>
      </c>
      <c r="T106" s="138">
        <v>265</v>
      </c>
      <c r="U106" s="138">
        <f>IF(SUM(D106:P106)&gt;0,1,0)</f>
        <v>0</v>
      </c>
      <c r="V106" s="329">
        <f t="shared" si="8"/>
        <v>0</v>
      </c>
      <c r="W106" s="138" t="e">
        <f t="shared" ca="1" si="9"/>
        <v>#N/A</v>
      </c>
      <c r="X106" s="138" t="e">
        <f t="shared" ca="1" si="10"/>
        <v>#N/A</v>
      </c>
      <c r="Y106" s="138" t="e">
        <f ca="1">OFFSET($C$9,15,MATCH(1,$D106:$R106,0))</f>
        <v>#N/A</v>
      </c>
      <c r="Z106" s="138" t="e">
        <f t="shared" ca="1" si="11"/>
        <v>#N/A</v>
      </c>
      <c r="AA106" s="116" t="str">
        <f t="shared" si="12"/>
        <v/>
      </c>
    </row>
    <row r="107" spans="2:27" x14ac:dyDescent="0.25">
      <c r="C107" s="138" t="s">
        <v>979</v>
      </c>
      <c r="D107" s="331">
        <v>0</v>
      </c>
      <c r="E107" s="331">
        <v>0</v>
      </c>
      <c r="F107" s="331">
        <v>0</v>
      </c>
      <c r="G107" s="331">
        <v>0</v>
      </c>
      <c r="H107" s="331">
        <v>0</v>
      </c>
      <c r="I107" s="331">
        <v>0</v>
      </c>
      <c r="J107" s="331">
        <v>0</v>
      </c>
      <c r="K107" s="331">
        <v>0</v>
      </c>
      <c r="L107" s="331">
        <v>0</v>
      </c>
      <c r="M107" s="331">
        <v>0</v>
      </c>
      <c r="N107" s="331">
        <v>0</v>
      </c>
      <c r="O107" s="331">
        <v>0</v>
      </c>
      <c r="P107" s="331">
        <v>0</v>
      </c>
      <c r="Q107" s="331">
        <v>0</v>
      </c>
      <c r="R107" s="331">
        <v>0</v>
      </c>
      <c r="T107" s="138">
        <v>266</v>
      </c>
      <c r="U107" s="138">
        <f>IF(SUM(D107:P107)&gt;0,1,0)</f>
        <v>0</v>
      </c>
      <c r="V107" s="329">
        <f t="shared" si="8"/>
        <v>0</v>
      </c>
      <c r="W107" s="138" t="e">
        <f t="shared" ca="1" si="9"/>
        <v>#N/A</v>
      </c>
      <c r="X107" s="138" t="e">
        <f t="shared" ca="1" si="10"/>
        <v>#N/A</v>
      </c>
      <c r="Y107" s="138" t="e">
        <f ca="1">OFFSET($C$9,15,MATCH(1,$D107:$R107,0))</f>
        <v>#N/A</v>
      </c>
      <c r="Z107" s="138" t="e">
        <f t="shared" ca="1" si="11"/>
        <v>#N/A</v>
      </c>
      <c r="AA107" s="116" t="str">
        <f t="shared" si="12"/>
        <v/>
      </c>
    </row>
    <row r="108" spans="2:27" x14ac:dyDescent="0.25">
      <c r="C108" s="138" t="s">
        <v>980</v>
      </c>
      <c r="D108" s="331">
        <v>0</v>
      </c>
      <c r="E108" s="331">
        <v>0</v>
      </c>
      <c r="F108" s="331">
        <v>0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331">
        <v>0</v>
      </c>
      <c r="Q108" s="331">
        <v>0</v>
      </c>
      <c r="R108" s="331">
        <v>0</v>
      </c>
      <c r="T108" s="138">
        <v>267</v>
      </c>
      <c r="U108" s="138">
        <f>IF(SUM(D108:P108)&gt;0,1,0)</f>
        <v>0</v>
      </c>
      <c r="V108" s="329">
        <f t="shared" si="8"/>
        <v>0</v>
      </c>
      <c r="W108" s="138" t="e">
        <f t="shared" ca="1" si="9"/>
        <v>#N/A</v>
      </c>
      <c r="X108" s="138" t="e">
        <f t="shared" ca="1" si="10"/>
        <v>#N/A</v>
      </c>
      <c r="Y108" s="138" t="e">
        <f ca="1">OFFSET($C$9,15,MATCH(1,$D108:$R108,0))</f>
        <v>#N/A</v>
      </c>
      <c r="Z108" s="138" t="e">
        <f t="shared" ca="1" si="11"/>
        <v>#N/A</v>
      </c>
      <c r="AA108" s="116" t="str">
        <f t="shared" si="12"/>
        <v/>
      </c>
    </row>
    <row r="109" spans="2:27" x14ac:dyDescent="0.25">
      <c r="C109" s="138" t="s">
        <v>981</v>
      </c>
      <c r="D109" s="331">
        <v>0</v>
      </c>
      <c r="E109" s="331">
        <v>0</v>
      </c>
      <c r="F109" s="331">
        <v>0</v>
      </c>
      <c r="G109" s="331">
        <v>0</v>
      </c>
      <c r="H109" s="331">
        <v>0</v>
      </c>
      <c r="I109" s="331">
        <v>0</v>
      </c>
      <c r="J109" s="331">
        <v>0</v>
      </c>
      <c r="K109" s="331">
        <v>0</v>
      </c>
      <c r="L109" s="331">
        <v>0</v>
      </c>
      <c r="M109" s="331">
        <v>0</v>
      </c>
      <c r="N109" s="331">
        <v>0</v>
      </c>
      <c r="O109" s="331">
        <v>0</v>
      </c>
      <c r="P109" s="331">
        <v>0</v>
      </c>
      <c r="Q109" s="331">
        <v>0</v>
      </c>
      <c r="R109" s="331">
        <v>0</v>
      </c>
      <c r="T109" s="138">
        <v>268</v>
      </c>
      <c r="U109" s="138">
        <f>IF(SUM(D109:P109)&gt;0,1,0)</f>
        <v>0</v>
      </c>
      <c r="V109" s="329">
        <f t="shared" si="8"/>
        <v>0</v>
      </c>
      <c r="W109" s="138" t="e">
        <f t="shared" ca="1" si="9"/>
        <v>#N/A</v>
      </c>
      <c r="X109" s="138" t="e">
        <f t="shared" ca="1" si="10"/>
        <v>#N/A</v>
      </c>
      <c r="Y109" s="138" t="e">
        <f ca="1">OFFSET($C$9,15,MATCH(1,$D109:$R109,0))</f>
        <v>#N/A</v>
      </c>
      <c r="Z109" s="138" t="e">
        <f t="shared" ca="1" si="11"/>
        <v>#N/A</v>
      </c>
      <c r="AA109" s="116" t="str">
        <f t="shared" si="12"/>
        <v/>
      </c>
    </row>
    <row r="110" spans="2:27" x14ac:dyDescent="0.25">
      <c r="B110" s="138" t="s">
        <v>245</v>
      </c>
      <c r="V110" s="329"/>
      <c r="AA110" s="116"/>
    </row>
    <row r="111" spans="2:27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A111" s="116"/>
    </row>
    <row r="112" spans="2:27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A112" s="116"/>
    </row>
    <row r="113" spans="3:27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A113" s="116"/>
    </row>
    <row r="114" spans="3:27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AA114" s="116"/>
    </row>
    <row r="115" spans="3:27" x14ac:dyDescent="0.25">
      <c r="C115" s="149"/>
      <c r="D115" s="331"/>
      <c r="E115" s="331"/>
      <c r="F115" s="331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T115" s="139"/>
      <c r="U115" s="139"/>
      <c r="V115" s="139"/>
      <c r="AA115" s="116"/>
    </row>
    <row r="116" spans="3:27" x14ac:dyDescent="0.25">
      <c r="C116" s="149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T116" s="139"/>
      <c r="U116" s="139"/>
      <c r="V116" s="139"/>
      <c r="AA116" s="116"/>
    </row>
    <row r="117" spans="3:27" x14ac:dyDescent="0.25">
      <c r="C117" s="149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T117" s="139"/>
      <c r="U117" s="139"/>
      <c r="V117" s="139"/>
      <c r="AA117" s="116"/>
    </row>
    <row r="118" spans="3:27" x14ac:dyDescent="0.25">
      <c r="C118" s="149"/>
      <c r="D118" s="331"/>
      <c r="E118" s="331"/>
      <c r="F118" s="331"/>
      <c r="G118" s="331"/>
      <c r="H118" s="331"/>
      <c r="I118" s="331"/>
      <c r="J118" s="331"/>
      <c r="K118" s="331"/>
      <c r="L118" s="331"/>
      <c r="M118" s="331"/>
      <c r="N118" s="331"/>
      <c r="O118" s="331"/>
      <c r="P118" s="331"/>
      <c r="Q118" s="331"/>
      <c r="R118" s="331"/>
      <c r="T118" s="139"/>
      <c r="U118" s="139"/>
      <c r="V118" s="139"/>
      <c r="W118" s="139"/>
      <c r="X118" s="139"/>
      <c r="AA118" s="116"/>
    </row>
    <row r="119" spans="3:27" x14ac:dyDescent="0.25">
      <c r="D119" s="331"/>
      <c r="E119" s="331"/>
      <c r="F119" s="332"/>
      <c r="G119" s="331"/>
      <c r="H119" s="331"/>
      <c r="I119" s="331"/>
      <c r="J119" s="331"/>
      <c r="K119" s="331"/>
      <c r="L119" s="331"/>
      <c r="M119" s="331"/>
      <c r="N119" s="331"/>
      <c r="O119" s="331"/>
      <c r="P119" s="331"/>
      <c r="Q119" s="331"/>
      <c r="R119" s="331"/>
      <c r="AA119" s="116"/>
    </row>
  </sheetData>
  <autoFilter ref="A25:V110" xr:uid="{48B3A7D7-CEBA-4AA5-A817-AEA9D94D14BF}"/>
  <conditionalFormatting sqref="T59 D26:N96 P26:R96 T50 P106:R109 D106:N109">
    <cfRule type="expression" dxfId="43" priority="13">
      <formula>D26&gt;0</formula>
    </cfRule>
  </conditionalFormatting>
  <conditionalFormatting sqref="O26:O96 O106:O109">
    <cfRule type="expression" dxfId="42" priority="11">
      <formula>O26&gt;0</formula>
    </cfRule>
  </conditionalFormatting>
  <conditionalFormatting sqref="K26:R33">
    <cfRule type="expression" dxfId="41" priority="10">
      <formula>K26&gt;0</formula>
    </cfRule>
  </conditionalFormatting>
  <conditionalFormatting sqref="D26:J33">
    <cfRule type="expression" dxfId="40" priority="9">
      <formula>D26&gt;0</formula>
    </cfRule>
  </conditionalFormatting>
  <conditionalFormatting sqref="D119:N119 P119:R119">
    <cfRule type="expression" dxfId="39" priority="8">
      <formula>D119&gt;0</formula>
    </cfRule>
  </conditionalFormatting>
  <conditionalFormatting sqref="O119">
    <cfRule type="expression" dxfId="38" priority="7">
      <formula>O119&gt;0</formula>
    </cfRule>
  </conditionalFormatting>
  <conditionalFormatting sqref="K111:R118">
    <cfRule type="expression" dxfId="37" priority="6">
      <formula>K111&gt;0</formula>
    </cfRule>
  </conditionalFormatting>
  <conditionalFormatting sqref="D111:J118">
    <cfRule type="expression" dxfId="36" priority="5">
      <formula>D111&gt;0</formula>
    </cfRule>
  </conditionalFormatting>
  <conditionalFormatting sqref="D105:N105 P105:R105">
    <cfRule type="expression" dxfId="35" priority="4">
      <formula>D105&gt;0</formula>
    </cfRule>
  </conditionalFormatting>
  <conditionalFormatting sqref="O105">
    <cfRule type="expression" dxfId="34" priority="3">
      <formula>O105&gt;0</formula>
    </cfRule>
  </conditionalFormatting>
  <conditionalFormatting sqref="K97:R104">
    <cfRule type="expression" dxfId="33" priority="2">
      <formula>K97&gt;0</formula>
    </cfRule>
  </conditionalFormatting>
  <conditionalFormatting sqref="D97:J104">
    <cfRule type="expression" dxfId="32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abSelected="1"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5" width="9.7109375" style="138" customWidth="1"/>
    <col min="26" max="28" width="22.7109375" style="138" customWidth="1"/>
    <col min="29" max="29" width="63.42578125" style="138" customWidth="1"/>
    <col min="30" max="16384" width="9.140625" style="138"/>
  </cols>
  <sheetData>
    <row r="1" spans="1:32" x14ac:dyDescent="0.25">
      <c r="A1" s="138" t="s">
        <v>250</v>
      </c>
      <c r="B1" s="138" t="s">
        <v>918</v>
      </c>
    </row>
    <row r="2" spans="1:32" x14ac:dyDescent="0.25">
      <c r="A2" s="138" t="s">
        <v>250</v>
      </c>
    </row>
    <row r="3" spans="1:32" x14ac:dyDescent="0.25">
      <c r="A3" s="138" t="s">
        <v>250</v>
      </c>
      <c r="B3" s="138" t="s">
        <v>356</v>
      </c>
    </row>
    <row r="4" spans="1:32" x14ac:dyDescent="0.25">
      <c r="A4" s="138" t="s">
        <v>250</v>
      </c>
      <c r="C4" s="138" t="s">
        <v>796</v>
      </c>
    </row>
    <row r="5" spans="1:32" x14ac:dyDescent="0.25">
      <c r="A5" s="138" t="s">
        <v>250</v>
      </c>
    </row>
    <row r="6" spans="1:32" x14ac:dyDescent="0.25">
      <c r="A6" s="138" t="s">
        <v>250</v>
      </c>
      <c r="B6" s="138" t="s">
        <v>357</v>
      </c>
    </row>
    <row r="7" spans="1:32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2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2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2" x14ac:dyDescent="0.25">
      <c r="A10" s="138" t="s">
        <v>250</v>
      </c>
      <c r="B10" s="141"/>
      <c r="C10" s="144"/>
    </row>
    <row r="11" spans="1:32" x14ac:dyDescent="0.25">
      <c r="A11" s="138" t="s">
        <v>250</v>
      </c>
      <c r="B11" s="138" t="s">
        <v>266</v>
      </c>
    </row>
    <row r="12" spans="1:32" x14ac:dyDescent="0.25">
      <c r="A12" s="138" t="s">
        <v>250</v>
      </c>
      <c r="C12" s="138" t="s">
        <v>800</v>
      </c>
      <c r="AC12" s="138" t="s">
        <v>986</v>
      </c>
    </row>
    <row r="13" spans="1:32" x14ac:dyDescent="0.25">
      <c r="A13" s="138" t="s">
        <v>250</v>
      </c>
      <c r="C13" s="138" t="s">
        <v>422</v>
      </c>
      <c r="AC13" s="138" t="s">
        <v>987</v>
      </c>
      <c r="AF13" s="138" t="s">
        <v>989</v>
      </c>
    </row>
    <row r="14" spans="1:32" x14ac:dyDescent="0.25">
      <c r="A14" s="138" t="s">
        <v>250</v>
      </c>
      <c r="B14" s="138" t="s">
        <v>251</v>
      </c>
      <c r="AC14" s="138" t="s">
        <v>994</v>
      </c>
      <c r="AF14" s="138" t="str">
        <f>CHAR(10)</f>
        <v xml:space="preserve">
</v>
      </c>
    </row>
    <row r="15" spans="1:32" s="139" customFormat="1" x14ac:dyDescent="0.25">
      <c r="A15" s="139" t="s">
        <v>250</v>
      </c>
      <c r="AC15" s="139" t="s">
        <v>988</v>
      </c>
      <c r="AD15" s="139" t="s">
        <v>995</v>
      </c>
      <c r="AF15" s="138" t="str">
        <f>CHAR(10)</f>
        <v xml:space="preserve">
</v>
      </c>
    </row>
    <row r="16" spans="1:32" x14ac:dyDescent="0.25">
      <c r="A16" s="138" t="s">
        <v>250</v>
      </c>
      <c r="AC16" s="138" t="s">
        <v>990</v>
      </c>
      <c r="AF16" s="138" t="str">
        <f>CHAR(10)</f>
        <v xml:space="preserve">
</v>
      </c>
    </row>
    <row r="17" spans="1:32" x14ac:dyDescent="0.25">
      <c r="A17" s="138" t="s">
        <v>250</v>
      </c>
      <c r="B17" s="138" t="s">
        <v>272</v>
      </c>
      <c r="AC17" s="138" t="s">
        <v>991</v>
      </c>
      <c r="AD17" s="138" t="s">
        <v>992</v>
      </c>
      <c r="AE17" s="138" t="s">
        <v>993</v>
      </c>
      <c r="AF17" s="138" t="str">
        <f>CHAR(10)</f>
        <v xml:space="preserve">
</v>
      </c>
    </row>
    <row r="18" spans="1:32" x14ac:dyDescent="0.25">
      <c r="A18" s="138" t="s">
        <v>250</v>
      </c>
      <c r="AC18" s="138" t="s">
        <v>991</v>
      </c>
      <c r="AD18" s="138" t="s">
        <v>992</v>
      </c>
      <c r="AE18" s="138" t="s">
        <v>993</v>
      </c>
    </row>
    <row r="19" spans="1:32" x14ac:dyDescent="0.25">
      <c r="A19" s="138" t="s">
        <v>250</v>
      </c>
      <c r="B19" s="372" t="s">
        <v>1052</v>
      </c>
      <c r="AC19" s="138" t="s">
        <v>991</v>
      </c>
      <c r="AD19" s="138" t="s">
        <v>992</v>
      </c>
      <c r="AE19" s="138" t="s">
        <v>993</v>
      </c>
    </row>
    <row r="20" spans="1:32" x14ac:dyDescent="0.25">
      <c r="A20" s="138" t="s">
        <v>250</v>
      </c>
    </row>
    <row r="21" spans="1:32" x14ac:dyDescent="0.25">
      <c r="A21" s="138" t="s">
        <v>365</v>
      </c>
    </row>
    <row r="22" spans="1:32" x14ac:dyDescent="0.25">
      <c r="B22" s="140" t="str">
        <f>"TABLE "&amp;$C$4</f>
        <v>TABLE LtgInputRestrictions</v>
      </c>
      <c r="C22" s="140"/>
    </row>
    <row r="23" spans="1:32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2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1076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1077</v>
      </c>
      <c r="L24" s="116" t="s">
        <v>432</v>
      </c>
      <c r="M24" s="116" t="s">
        <v>909</v>
      </c>
      <c r="N24" s="116" t="s">
        <v>1195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1079</v>
      </c>
      <c r="Z24" s="139" t="s">
        <v>1048</v>
      </c>
      <c r="AA24" s="139" t="s">
        <v>1049</v>
      </c>
      <c r="AB24" s="139" t="s">
        <v>1078</v>
      </c>
    </row>
    <row r="25" spans="1:32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2" s="139" customFormat="1" x14ac:dyDescent="0.25">
      <c r="C26" s="138" t="s">
        <v>1018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302</v>
      </c>
      <c r="U26" s="138">
        <f t="shared" ref="U26:U49" si="0">IF(SUM(D26:P26)&gt;0,1,0)</f>
        <v>1</v>
      </c>
      <c r="V26" s="329">
        <f>SUM(D26:R26)</f>
        <v>1</v>
      </c>
      <c r="W26" s="138">
        <f ca="1">MATCH(1,OFFSET($C26,0,1,1,15),0)</f>
        <v>3</v>
      </c>
      <c r="X26" s="138" t="str">
        <f ca="1">IFERROR(W26+MATCH(1,OFFSET($C26,0,W26+1,1,15-W26),0),"")</f>
        <v/>
      </c>
      <c r="Y26" s="138" t="str">
        <f ca="1">IFERROR(X26+MATCH(1,OFFSET($C26,0,X26+1,1,15-X26),0),"")</f>
        <v/>
      </c>
      <c r="Z26" s="138" t="str">
        <f ca="1">OFFSET($C$9,15,W26)</f>
        <v>Decorative/Display</v>
      </c>
      <c r="AA26" s="138" t="str">
        <f ca="1">IF(X26&lt;&gt;"",OFFSET($C$9,15,X26),"")</f>
        <v/>
      </c>
      <c r="AB26" s="138" t="str">
        <f ca="1">IF(Y26&lt;&gt;"",OFFSET($C$9,15,Y26),"")</f>
        <v/>
      </c>
      <c r="AC26" s="11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39" customFormat="1" x14ac:dyDescent="0.25">
      <c r="C27" s="138" t="s">
        <v>1019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0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1</v>
      </c>
      <c r="S27" s="138" t="s">
        <v>250</v>
      </c>
      <c r="T27" s="138">
        <v>303</v>
      </c>
      <c r="U27" s="138">
        <f t="shared" si="0"/>
        <v>1</v>
      </c>
      <c r="V27" s="329">
        <f t="shared" ref="V27:V90" si="1">SUM(D27:R27)</f>
        <v>2</v>
      </c>
      <c r="W27" s="138">
        <f t="shared" ref="W27:W90" ca="1" si="2">MATCH(1,OFFSET($C27,0,1,1,15),0)</f>
        <v>3</v>
      </c>
      <c r="X27" s="138">
        <f t="shared" ref="X27:Y28" ca="1" si="3">IFERROR(W27+MATCH(1,OFFSET($C27,0,W27+1,1,15-W27),0),"")</f>
        <v>15</v>
      </c>
      <c r="Y27" s="138" t="str">
        <f t="shared" ca="1" si="3"/>
        <v/>
      </c>
      <c r="Z27" s="138" t="str">
        <f t="shared" ref="Z27:Z96" ca="1" si="4">OFFSET($C$9,15,MATCH(1,$D27:$R27,0))</f>
        <v>Decorative/Display</v>
      </c>
      <c r="AA27" s="138" t="str">
        <f t="shared" ref="AA27:AA31" ca="1" si="5">IF(X27&lt;&gt;"",OFFSET($C$9,15,X27),"")</f>
        <v>TunableWhiteOrDimToWarm</v>
      </c>
      <c r="AB27" s="138" t="str">
        <f t="shared" ref="AB27:AB31" ca="1" si="6">IF(Y27&lt;&gt;"",OFFSET($C$9,15,Y27),"")</f>
        <v/>
      </c>
      <c r="AC27" s="116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39" customFormat="1" x14ac:dyDescent="0.25">
      <c r="C28" s="138" t="s">
        <v>1065</v>
      </c>
      <c r="D28" s="331">
        <v>0</v>
      </c>
      <c r="E28" s="331">
        <v>0</v>
      </c>
      <c r="F28" s="332">
        <v>1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1</v>
      </c>
      <c r="R28" s="331">
        <v>1</v>
      </c>
      <c r="S28" s="138" t="s">
        <v>250</v>
      </c>
      <c r="T28" s="138">
        <v>304</v>
      </c>
      <c r="U28" s="138">
        <f t="shared" si="0"/>
        <v>1</v>
      </c>
      <c r="V28" s="329">
        <f t="shared" si="1"/>
        <v>3</v>
      </c>
      <c r="W28" s="138">
        <f t="shared" ca="1" si="2"/>
        <v>3</v>
      </c>
      <c r="X28" s="138">
        <f t="shared" ca="1" si="3"/>
        <v>14</v>
      </c>
      <c r="Y28" s="138">
        <f t="shared" ca="1" si="3"/>
        <v>15</v>
      </c>
      <c r="Z28" s="138" t="str">
        <f t="shared" ca="1" si="4"/>
        <v>Decorative/Display</v>
      </c>
      <c r="AA28" s="138" t="str">
        <f t="shared" ca="1" si="5"/>
        <v>TransitionLightingOffAtNight</v>
      </c>
      <c r="AB28" s="138" t="str">
        <f t="shared" ca="1" si="6"/>
        <v>TunableWhiteOrDimToWarm</v>
      </c>
      <c r="AC28" s="116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39" customFormat="1" x14ac:dyDescent="0.25">
      <c r="C29" s="138" t="s">
        <v>1020</v>
      </c>
      <c r="D29" s="331">
        <v>0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1</v>
      </c>
      <c r="S29" s="138" t="s">
        <v>250</v>
      </c>
      <c r="T29" s="138">
        <v>305</v>
      </c>
      <c r="U29" s="138">
        <f t="shared" si="0"/>
        <v>1</v>
      </c>
      <c r="V29" s="329">
        <f t="shared" si="1"/>
        <v>2</v>
      </c>
      <c r="W29" s="138">
        <f t="shared" ca="1" si="2"/>
        <v>3</v>
      </c>
      <c r="X29" s="138">
        <f t="shared" ref="X29:Y29" ca="1" si="8">IFERROR(W29+MATCH(1,OFFSET($C29,0,W29+1,1,15-W29),0),"")</f>
        <v>15</v>
      </c>
      <c r="Y29" s="138" t="str">
        <f t="shared" ca="1" si="8"/>
        <v/>
      </c>
      <c r="Z29" s="138" t="str">
        <f t="shared" ca="1" si="4"/>
        <v>Decorative/Display</v>
      </c>
      <c r="AA29" s="138" t="str">
        <f t="shared" ca="1" si="5"/>
        <v>TunableWhiteOrDimToWarm</v>
      </c>
      <c r="AB29" s="138" t="str">
        <f t="shared" ca="1" si="6"/>
        <v/>
      </c>
      <c r="AC29" s="116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39" customFormat="1" x14ac:dyDescent="0.25">
      <c r="C30" s="138" t="s">
        <v>1022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1</v>
      </c>
      <c r="S30" s="138" t="s">
        <v>250</v>
      </c>
      <c r="T30" s="138">
        <v>306</v>
      </c>
      <c r="U30" s="138">
        <f t="shared" si="0"/>
        <v>1</v>
      </c>
      <c r="V30" s="329">
        <f t="shared" si="1"/>
        <v>2</v>
      </c>
      <c r="W30" s="138">
        <f t="shared" ca="1" si="2"/>
        <v>3</v>
      </c>
      <c r="X30" s="138">
        <f t="shared" ref="X30:Y30" ca="1" si="9">IFERROR(W30+MATCH(1,OFFSET($C30,0,W30+1,1,15-W30),0),"")</f>
        <v>15</v>
      </c>
      <c r="Y30" s="138" t="str">
        <f t="shared" ca="1" si="9"/>
        <v/>
      </c>
      <c r="Z30" s="138" t="str">
        <f t="shared" ca="1" si="4"/>
        <v>Decorative/Display</v>
      </c>
      <c r="AA30" s="138" t="str">
        <f t="shared" ca="1" si="5"/>
        <v>TunableWhiteOrDimToWarm</v>
      </c>
      <c r="AB30" s="138" t="str">
        <f t="shared" ca="1" si="6"/>
        <v/>
      </c>
      <c r="AC30" s="116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39" customFormat="1" x14ac:dyDescent="0.25">
      <c r="C31" s="138" t="s">
        <v>1023</v>
      </c>
      <c r="D31" s="331">
        <v>0</v>
      </c>
      <c r="E31" s="331">
        <v>0</v>
      </c>
      <c r="F31" s="332">
        <v>1</v>
      </c>
      <c r="G31" s="331">
        <v>0</v>
      </c>
      <c r="H31" s="331">
        <v>0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1</v>
      </c>
      <c r="S31" s="138" t="s">
        <v>250</v>
      </c>
      <c r="T31" s="138">
        <v>307</v>
      </c>
      <c r="U31" s="138">
        <f t="shared" si="0"/>
        <v>1</v>
      </c>
      <c r="V31" s="329">
        <f t="shared" si="1"/>
        <v>2</v>
      </c>
      <c r="W31" s="138">
        <f t="shared" ca="1" si="2"/>
        <v>3</v>
      </c>
      <c r="X31" s="138">
        <f t="shared" ref="X31:Y31" ca="1" si="10">IFERROR(W31+MATCH(1,OFFSET($C31,0,W31+1,1,15-W31),0),"")</f>
        <v>15</v>
      </c>
      <c r="Y31" s="138" t="str">
        <f t="shared" ca="1" si="10"/>
        <v/>
      </c>
      <c r="Z31" s="138" t="str">
        <f t="shared" ca="1" si="4"/>
        <v>Decorative/Display</v>
      </c>
      <c r="AA31" s="138" t="str">
        <f t="shared" ca="1" si="5"/>
        <v>TunableWhiteOrDimToWarm</v>
      </c>
      <c r="AB31" s="138" t="str">
        <f t="shared" ca="1" si="6"/>
        <v/>
      </c>
      <c r="AC31" s="116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39" customFormat="1" x14ac:dyDescent="0.25">
      <c r="C32" s="138" t="s">
        <v>1024</v>
      </c>
      <c r="D32" s="331">
        <v>0</v>
      </c>
      <c r="E32" s="331">
        <v>0</v>
      </c>
      <c r="F32" s="332">
        <v>1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308</v>
      </c>
      <c r="U32" s="138">
        <f t="shared" si="0"/>
        <v>1</v>
      </c>
      <c r="V32" s="329">
        <f t="shared" si="1"/>
        <v>1</v>
      </c>
      <c r="W32" s="138">
        <f t="shared" ca="1" si="2"/>
        <v>3</v>
      </c>
      <c r="X32" s="138" t="str">
        <f t="shared" ref="X32:Y32" ca="1" si="11">IFERROR(W32+MATCH(1,OFFSET($C32,0,W32+1,1,15-W32),0),"")</f>
        <v/>
      </c>
      <c r="Y32" s="138" t="str">
        <f t="shared" ca="1" si="11"/>
        <v/>
      </c>
      <c r="Z32" s="138" t="str">
        <f t="shared" ca="1" si="4"/>
        <v>Decorative/Display</v>
      </c>
      <c r="AA32" s="138" t="str">
        <f t="shared" ref="AA32:AA95" ca="1" si="12">IF(X32&lt;&gt;"",OFFSET($C$9,15,X32),"")</f>
        <v/>
      </c>
      <c r="AB32" s="138" t="str">
        <f t="shared" ref="AB32:AB95" ca="1" si="13">IF(Y32&lt;&gt;"",OFFSET($C$9,15,Y32),"")</f>
        <v/>
      </c>
      <c r="AC32" s="116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39" customFormat="1" x14ac:dyDescent="0.25">
      <c r="C33" s="138" t="s">
        <v>1025</v>
      </c>
      <c r="D33" s="331">
        <v>0</v>
      </c>
      <c r="E33" s="331">
        <v>0</v>
      </c>
      <c r="F33" s="332">
        <v>1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309</v>
      </c>
      <c r="U33" s="138">
        <f t="shared" si="0"/>
        <v>1</v>
      </c>
      <c r="V33" s="329">
        <f t="shared" si="1"/>
        <v>1</v>
      </c>
      <c r="W33" s="138">
        <f t="shared" ca="1" si="2"/>
        <v>3</v>
      </c>
      <c r="X33" s="138" t="str">
        <f t="shared" ref="X33:Y33" ca="1" si="14">IFERROR(W33+MATCH(1,OFFSET($C33,0,W33+1,1,15-W33),0),"")</f>
        <v/>
      </c>
      <c r="Y33" s="138" t="str">
        <f t="shared" ca="1" si="14"/>
        <v/>
      </c>
      <c r="Z33" s="138" t="str">
        <f t="shared" ca="1" si="4"/>
        <v>Decorative/Display</v>
      </c>
      <c r="AA33" s="138" t="str">
        <f t="shared" ca="1" si="12"/>
        <v/>
      </c>
      <c r="AB33" s="138" t="str">
        <f t="shared" ca="1" si="13"/>
        <v/>
      </c>
      <c r="AC33" s="116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s="138" t="s">
        <v>937</v>
      </c>
      <c r="D34" s="331">
        <v>0</v>
      </c>
      <c r="E34" s="331">
        <v>0</v>
      </c>
      <c r="F34" s="332">
        <v>1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310</v>
      </c>
      <c r="U34" s="138">
        <f t="shared" si="0"/>
        <v>1</v>
      </c>
      <c r="V34" s="329">
        <f t="shared" si="1"/>
        <v>1</v>
      </c>
      <c r="W34" s="138">
        <f t="shared" ca="1" si="2"/>
        <v>3</v>
      </c>
      <c r="X34" s="138" t="str">
        <f t="shared" ref="X34:Y34" ca="1" si="15">IFERROR(W34+MATCH(1,OFFSET($C34,0,W34+1,1,15-W34),0),"")</f>
        <v/>
      </c>
      <c r="Y34" s="138" t="str">
        <f t="shared" ca="1" si="15"/>
        <v/>
      </c>
      <c r="Z34" s="138" t="str">
        <f t="shared" ca="1" si="4"/>
        <v>Decorative/Display</v>
      </c>
      <c r="AA34" s="138" t="str">
        <f t="shared" ca="1" si="12"/>
        <v/>
      </c>
      <c r="AB34" s="138" t="str">
        <f t="shared" ca="1" si="13"/>
        <v/>
      </c>
      <c r="AC34" s="116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329"/>
      <c r="C35" s="138" t="s">
        <v>525</v>
      </c>
      <c r="D35" s="331">
        <v>0</v>
      </c>
      <c r="E35" s="331">
        <v>0</v>
      </c>
      <c r="F35" s="332">
        <v>1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311</v>
      </c>
      <c r="U35" s="138">
        <f t="shared" si="0"/>
        <v>1</v>
      </c>
      <c r="V35" s="329">
        <f t="shared" si="1"/>
        <v>1</v>
      </c>
      <c r="W35" s="138">
        <f t="shared" ca="1" si="2"/>
        <v>3</v>
      </c>
      <c r="X35" s="138" t="str">
        <f t="shared" ref="X35:Y35" ca="1" si="16">IFERROR(W35+MATCH(1,OFFSET($C35,0,W35+1,1,15-W35),0),"")</f>
        <v/>
      </c>
      <c r="Y35" s="138" t="str">
        <f t="shared" ca="1" si="16"/>
        <v/>
      </c>
      <c r="Z35" s="138" t="str">
        <f t="shared" ca="1" si="4"/>
        <v>Decorative/Display</v>
      </c>
      <c r="AA35" s="138" t="str">
        <f t="shared" ca="1" si="12"/>
        <v/>
      </c>
      <c r="AB35" s="138" t="str">
        <f t="shared" ca="1" si="13"/>
        <v/>
      </c>
      <c r="AC35" s="116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329"/>
      <c r="C36" s="138" t="s">
        <v>938</v>
      </c>
      <c r="D36" s="331">
        <v>1</v>
      </c>
      <c r="E36" s="331">
        <v>0</v>
      </c>
      <c r="F36" s="332">
        <v>0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312</v>
      </c>
      <c r="U36" s="138">
        <f t="shared" si="0"/>
        <v>1</v>
      </c>
      <c r="V36" s="329">
        <f t="shared" si="1"/>
        <v>1</v>
      </c>
      <c r="W36" s="138">
        <f t="shared" ca="1" si="2"/>
        <v>1</v>
      </c>
      <c r="X36" s="138" t="str">
        <f t="shared" ref="X36:Y36" ca="1" si="17">IFERROR(W36+MATCH(1,OFFSET($C36,0,W36+1,1,15-W36),0),"")</f>
        <v/>
      </c>
      <c r="Y36" s="138" t="str">
        <f t="shared" ca="1" si="17"/>
        <v/>
      </c>
      <c r="Z36" s="138" t="str">
        <f t="shared" ca="1" si="4"/>
        <v>DetailedTaskWork</v>
      </c>
      <c r="AA36" s="138" t="str">
        <f t="shared" ca="1" si="12"/>
        <v/>
      </c>
      <c r="AB36" s="138" t="str">
        <f t="shared" ca="1" si="13"/>
        <v/>
      </c>
      <c r="AC36" s="11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329"/>
      <c r="C37" s="138" t="s">
        <v>1066</v>
      </c>
      <c r="D37" s="331">
        <v>1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313</v>
      </c>
      <c r="U37" s="138">
        <f t="shared" si="0"/>
        <v>1</v>
      </c>
      <c r="V37" s="329">
        <f t="shared" si="1"/>
        <v>2</v>
      </c>
      <c r="W37" s="138">
        <f t="shared" ca="1" si="2"/>
        <v>1</v>
      </c>
      <c r="X37" s="138">
        <f t="shared" ref="X37:Y37" ca="1" si="18">IFERROR(W37+MATCH(1,OFFSET($C37,0,W37+1,1,15-W37),0),"")</f>
        <v>3</v>
      </c>
      <c r="Y37" s="138" t="str">
        <f t="shared" ca="1" si="18"/>
        <v/>
      </c>
      <c r="Z37" s="138" t="str">
        <f t="shared" ca="1" si="4"/>
        <v>DetailedTaskWork</v>
      </c>
      <c r="AA37" s="138" t="str">
        <f t="shared" ca="1" si="12"/>
        <v>Decorative/Display</v>
      </c>
      <c r="AB37" s="138" t="str">
        <f t="shared" ca="1" si="13"/>
        <v/>
      </c>
      <c r="AC37" s="116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329"/>
      <c r="C38" s="138" t="s">
        <v>526</v>
      </c>
      <c r="D38" s="331">
        <v>0</v>
      </c>
      <c r="E38" s="331">
        <v>0</v>
      </c>
      <c r="F38" s="332">
        <v>1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314</v>
      </c>
      <c r="U38" s="138">
        <f t="shared" si="0"/>
        <v>1</v>
      </c>
      <c r="V38" s="329">
        <f t="shared" si="1"/>
        <v>1</v>
      </c>
      <c r="W38" s="138">
        <f t="shared" ca="1" si="2"/>
        <v>3</v>
      </c>
      <c r="X38" s="138" t="str">
        <f t="shared" ref="X38:Y38" ca="1" si="19">IFERROR(W38+MATCH(1,OFFSET($C38,0,W38+1,1,15-W38),0),"")</f>
        <v/>
      </c>
      <c r="Y38" s="138" t="str">
        <f t="shared" ca="1" si="19"/>
        <v/>
      </c>
      <c r="Z38" s="138" t="str">
        <f t="shared" ca="1" si="4"/>
        <v>Decorative/Display</v>
      </c>
      <c r="AA38" s="138" t="str">
        <f t="shared" ca="1" si="12"/>
        <v/>
      </c>
      <c r="AB38" s="138" t="str">
        <f t="shared" ca="1" si="13"/>
        <v/>
      </c>
      <c r="AC38" s="116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329"/>
      <c r="C39" s="138" t="s">
        <v>939</v>
      </c>
      <c r="D39" s="331">
        <v>0</v>
      </c>
      <c r="E39" s="331">
        <v>0</v>
      </c>
      <c r="F39" s="332">
        <v>0</v>
      </c>
      <c r="G39" s="331">
        <v>0</v>
      </c>
      <c r="H39" s="331">
        <v>1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315</v>
      </c>
      <c r="U39" s="138">
        <f t="shared" si="0"/>
        <v>1</v>
      </c>
      <c r="V39" s="329">
        <f t="shared" si="1"/>
        <v>1</v>
      </c>
      <c r="W39" s="138">
        <f t="shared" ca="1" si="2"/>
        <v>5</v>
      </c>
      <c r="X39" s="138" t="str">
        <f t="shared" ref="X39:Y39" ca="1" si="20">IFERROR(W39+MATCH(1,OFFSET($C39,0,W39+1,1,15-W39),0),"")</f>
        <v/>
      </c>
      <c r="Y39" s="138" t="str">
        <f t="shared" ca="1" si="20"/>
        <v/>
      </c>
      <c r="Z39" s="138" t="str">
        <f t="shared" ca="1" si="4"/>
        <v>WhiteOrChalkBoard</v>
      </c>
      <c r="AA39" s="138" t="str">
        <f t="shared" ca="1" si="12"/>
        <v/>
      </c>
      <c r="AB39" s="138" t="str">
        <f t="shared" ca="1" si="13"/>
        <v/>
      </c>
      <c r="AC39" s="116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329"/>
      <c r="C40" s="138" t="s">
        <v>639</v>
      </c>
      <c r="D40" s="331">
        <v>0</v>
      </c>
      <c r="E40" s="331">
        <v>0</v>
      </c>
      <c r="F40" s="332">
        <v>0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316</v>
      </c>
      <c r="U40" s="138">
        <f t="shared" si="0"/>
        <v>0</v>
      </c>
      <c r="V40" s="329">
        <f t="shared" si="1"/>
        <v>0</v>
      </c>
      <c r="W40" s="138" t="e">
        <f t="shared" ca="1" si="2"/>
        <v>#N/A</v>
      </c>
      <c r="X40" s="138" t="str">
        <f t="shared" ref="X40:Y40" ca="1" si="21">IFERROR(W40+MATCH(1,OFFSET($C40,0,W40+1,1,15-W40),0),"")</f>
        <v/>
      </c>
      <c r="Y40" s="138" t="str">
        <f t="shared" ca="1" si="21"/>
        <v/>
      </c>
      <c r="Z40" s="138" t="e">
        <f t="shared" ca="1" si="4"/>
        <v>#N/A</v>
      </c>
      <c r="AA40" s="138" t="str">
        <f t="shared" ca="1" si="12"/>
        <v/>
      </c>
      <c r="AB40" s="138" t="str">
        <f t="shared" ca="1" si="13"/>
        <v/>
      </c>
      <c r="AC40" s="116" t="str">
        <f t="shared" si="7"/>
        <v/>
      </c>
    </row>
    <row r="41" spans="2:29" x14ac:dyDescent="0.25">
      <c r="C41" s="138" t="s">
        <v>943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317</v>
      </c>
      <c r="U41" s="138">
        <f t="shared" si="0"/>
        <v>1</v>
      </c>
      <c r="V41" s="329">
        <f t="shared" si="1"/>
        <v>1</v>
      </c>
      <c r="W41" s="138">
        <f t="shared" ca="1" si="2"/>
        <v>3</v>
      </c>
      <c r="X41" s="138" t="str">
        <f t="shared" ref="X41:Y41" ca="1" si="22">IFERROR(W41+MATCH(1,OFFSET($C41,0,W41+1,1,15-W41),0),"")</f>
        <v/>
      </c>
      <c r="Y41" s="138" t="str">
        <f t="shared" ca="1" si="22"/>
        <v/>
      </c>
      <c r="Z41" s="138" t="str">
        <f t="shared" ca="1" si="4"/>
        <v>Decorative/Display</v>
      </c>
      <c r="AA41" s="138" t="str">
        <f t="shared" ca="1" si="12"/>
        <v/>
      </c>
      <c r="AB41" s="138" t="str">
        <f t="shared" ca="1" si="13"/>
        <v/>
      </c>
      <c r="AC41" s="116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s="138" t="s">
        <v>944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318</v>
      </c>
      <c r="U42" s="138">
        <f t="shared" si="0"/>
        <v>1</v>
      </c>
      <c r="V42" s="329">
        <f t="shared" si="1"/>
        <v>1</v>
      </c>
      <c r="W42" s="138">
        <f t="shared" ca="1" si="2"/>
        <v>3</v>
      </c>
      <c r="X42" s="138" t="str">
        <f t="shared" ref="X42:Y42" ca="1" si="23">IFERROR(W42+MATCH(1,OFFSET($C42,0,W42+1,1,15-W42),0),"")</f>
        <v/>
      </c>
      <c r="Y42" s="138" t="str">
        <f t="shared" ca="1" si="23"/>
        <v/>
      </c>
      <c r="Z42" s="138" t="str">
        <f t="shared" ca="1" si="4"/>
        <v>Decorative/Display</v>
      </c>
      <c r="AA42" s="138" t="str">
        <f t="shared" ca="1" si="12"/>
        <v/>
      </c>
      <c r="AB42" s="138" t="str">
        <f t="shared" ca="1" si="13"/>
        <v/>
      </c>
      <c r="AC42" s="116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s="138" t="s">
        <v>922</v>
      </c>
      <c r="D43" s="331">
        <v>0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319</v>
      </c>
      <c r="U43" s="138">
        <f t="shared" si="0"/>
        <v>0</v>
      </c>
      <c r="V43" s="329">
        <f t="shared" si="1"/>
        <v>0</v>
      </c>
      <c r="W43" s="138" t="e">
        <f ca="1">MATCH(1,OFFSET($C43,0,1,1,15),0)</f>
        <v>#N/A</v>
      </c>
      <c r="X43" s="138" t="str">
        <f t="shared" ref="X43:Y43" ca="1" si="24">IFERROR(W43+MATCH(1,OFFSET($C43,0,W43+1,1,15-W43),0),"")</f>
        <v/>
      </c>
      <c r="Y43" s="138" t="str">
        <f t="shared" ca="1" si="24"/>
        <v/>
      </c>
      <c r="Z43" s="138" t="e">
        <f t="shared" ca="1" si="4"/>
        <v>#N/A</v>
      </c>
      <c r="AA43" s="138" t="str">
        <f t="shared" ca="1" si="12"/>
        <v/>
      </c>
      <c r="AB43" s="138" t="str">
        <f t="shared" ca="1" si="13"/>
        <v/>
      </c>
      <c r="AC43" s="116" t="str">
        <f t="shared" si="7"/>
        <v/>
      </c>
    </row>
    <row r="44" spans="2:29" x14ac:dyDescent="0.25">
      <c r="C44" s="138" t="s">
        <v>945</v>
      </c>
      <c r="D44" s="331">
        <v>0</v>
      </c>
      <c r="E44" s="331">
        <v>0</v>
      </c>
      <c r="F44" s="332">
        <v>1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320</v>
      </c>
      <c r="U44" s="138">
        <f t="shared" si="0"/>
        <v>1</v>
      </c>
      <c r="V44" s="329">
        <f t="shared" si="1"/>
        <v>1</v>
      </c>
      <c r="W44" s="138">
        <f t="shared" ca="1" si="2"/>
        <v>3</v>
      </c>
      <c r="X44" s="138" t="str">
        <f t="shared" ref="X44:Y44" ca="1" si="25">IFERROR(W44+MATCH(1,OFFSET($C44,0,W44+1,1,15-W44),0),"")</f>
        <v/>
      </c>
      <c r="Y44" s="138" t="str">
        <f t="shared" ca="1" si="25"/>
        <v/>
      </c>
      <c r="Z44" s="138" t="str">
        <f t="shared" ca="1" si="4"/>
        <v>Decorative/Display</v>
      </c>
      <c r="AA44" s="138" t="str">
        <f t="shared" ca="1" si="12"/>
        <v/>
      </c>
      <c r="AB44" s="138" t="str">
        <f t="shared" ca="1" si="13"/>
        <v/>
      </c>
      <c r="AC44" s="116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329"/>
      <c r="C45" s="138" t="s">
        <v>946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321</v>
      </c>
      <c r="U45" s="138">
        <f t="shared" si="0"/>
        <v>1</v>
      </c>
      <c r="V45" s="329">
        <f t="shared" si="1"/>
        <v>1</v>
      </c>
      <c r="W45" s="138">
        <f t="shared" ca="1" si="2"/>
        <v>3</v>
      </c>
      <c r="X45" s="138" t="str">
        <f t="shared" ref="X45:Y45" ca="1" si="26">IFERROR(W45+MATCH(1,OFFSET($C45,0,W45+1,1,15-W45),0),"")</f>
        <v/>
      </c>
      <c r="Y45" s="138" t="str">
        <f t="shared" ca="1" si="26"/>
        <v/>
      </c>
      <c r="Z45" s="138" t="str">
        <f t="shared" ca="1" si="4"/>
        <v>Decorative/Display</v>
      </c>
      <c r="AA45" s="138" t="str">
        <f t="shared" ca="1" si="12"/>
        <v/>
      </c>
      <c r="AB45" s="138" t="str">
        <f t="shared" ca="1" si="13"/>
        <v/>
      </c>
      <c r="AC45" s="116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329"/>
      <c r="C46" s="138" t="s">
        <v>1203</v>
      </c>
      <c r="D46" s="331">
        <v>0</v>
      </c>
      <c r="E46" s="331">
        <v>0</v>
      </c>
      <c r="F46" s="332">
        <v>1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322</v>
      </c>
      <c r="U46" s="138">
        <f t="shared" si="0"/>
        <v>1</v>
      </c>
      <c r="V46" s="329">
        <f t="shared" si="1"/>
        <v>1</v>
      </c>
      <c r="W46" s="138">
        <f t="shared" ca="1" si="2"/>
        <v>3</v>
      </c>
      <c r="X46" s="138" t="str">
        <f t="shared" ref="X46:Y46" ca="1" si="27">IFERROR(W46+MATCH(1,OFFSET($C46,0,W46+1,1,15-W46),0),"")</f>
        <v/>
      </c>
      <c r="Y46" s="138" t="str">
        <f t="shared" ca="1" si="27"/>
        <v/>
      </c>
      <c r="Z46" s="138" t="str">
        <f t="shared" ca="1" si="4"/>
        <v>Decorative/Display</v>
      </c>
      <c r="AA46" s="138" t="str">
        <f t="shared" ca="1" si="12"/>
        <v/>
      </c>
      <c r="AB46" s="138" t="str">
        <f t="shared" ca="1" si="13"/>
        <v/>
      </c>
      <c r="AC46" s="11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25">
      <c r="C47" s="138" t="s">
        <v>948</v>
      </c>
      <c r="D47" s="331">
        <v>0</v>
      </c>
      <c r="E47" s="331">
        <v>0</v>
      </c>
      <c r="F47" s="332">
        <v>1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323</v>
      </c>
      <c r="U47" s="138">
        <f t="shared" si="0"/>
        <v>1</v>
      </c>
      <c r="V47" s="329">
        <f t="shared" si="1"/>
        <v>1</v>
      </c>
      <c r="W47" s="138">
        <f t="shared" ca="1" si="2"/>
        <v>3</v>
      </c>
      <c r="X47" s="138" t="str">
        <f t="shared" ref="X47:Y47" ca="1" si="28">IFERROR(W47+MATCH(1,OFFSET($C47,0,W47+1,1,15-W47),0),"")</f>
        <v/>
      </c>
      <c r="Y47" s="138" t="str">
        <f t="shared" ca="1" si="28"/>
        <v/>
      </c>
      <c r="Z47" s="138" t="str">
        <f t="shared" ca="1" si="4"/>
        <v>Decorative/Display</v>
      </c>
      <c r="AA47" s="138" t="str">
        <f t="shared" ca="1" si="12"/>
        <v/>
      </c>
      <c r="AB47" s="138" t="str">
        <f t="shared" ca="1" si="13"/>
        <v/>
      </c>
      <c r="AC47" s="116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s="138" t="s">
        <v>643</v>
      </c>
      <c r="D48" s="331">
        <v>1</v>
      </c>
      <c r="E48" s="331">
        <v>0</v>
      </c>
      <c r="F48" s="332">
        <v>0</v>
      </c>
      <c r="G48" s="331">
        <v>0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324</v>
      </c>
      <c r="U48" s="138">
        <f t="shared" si="0"/>
        <v>1</v>
      </c>
      <c r="V48" s="329">
        <f t="shared" si="1"/>
        <v>1</v>
      </c>
      <c r="W48" s="138">
        <f t="shared" ca="1" si="2"/>
        <v>1</v>
      </c>
      <c r="X48" s="138" t="str">
        <f t="shared" ref="X48:Y48" ca="1" si="29">IFERROR(W48+MATCH(1,OFFSET($C48,0,W48+1,1,15-W48),0),"")</f>
        <v/>
      </c>
      <c r="Y48" s="138" t="str">
        <f t="shared" ca="1" si="29"/>
        <v/>
      </c>
      <c r="Z48" s="138" t="str">
        <f t="shared" ca="1" si="4"/>
        <v>DetailedTaskWork</v>
      </c>
      <c r="AA48" s="138" t="str">
        <f t="shared" ca="1" si="12"/>
        <v/>
      </c>
      <c r="AB48" s="138" t="str">
        <f t="shared" ca="1" si="13"/>
        <v/>
      </c>
      <c r="AC48" s="116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329"/>
      <c r="C49" s="138" t="s">
        <v>949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325</v>
      </c>
      <c r="U49" s="138">
        <f t="shared" si="0"/>
        <v>0</v>
      </c>
      <c r="V49" s="329">
        <f t="shared" si="1"/>
        <v>0</v>
      </c>
      <c r="W49" s="138" t="e">
        <f t="shared" ca="1" si="2"/>
        <v>#N/A</v>
      </c>
      <c r="X49" s="138" t="str">
        <f t="shared" ref="X49:Y49" ca="1" si="30">IFERROR(W49+MATCH(1,OFFSET($C49,0,W49+1,1,15-W49),0),"")</f>
        <v/>
      </c>
      <c r="Y49" s="138" t="str">
        <f t="shared" ca="1" si="30"/>
        <v/>
      </c>
      <c r="Z49" s="138" t="e">
        <f t="shared" ca="1" si="4"/>
        <v>#N/A</v>
      </c>
      <c r="AA49" s="138" t="str">
        <f t="shared" ca="1" si="12"/>
        <v/>
      </c>
      <c r="AB49" s="138" t="str">
        <f t="shared" ca="1" si="13"/>
        <v/>
      </c>
      <c r="AC49" s="116" t="str">
        <f t="shared" si="7"/>
        <v/>
      </c>
    </row>
    <row r="50" spans="2:29" x14ac:dyDescent="0.25">
      <c r="B50" s="329"/>
      <c r="C50" s="138" t="s">
        <v>530</v>
      </c>
      <c r="D50" s="331">
        <v>0</v>
      </c>
      <c r="E50" s="331">
        <v>0</v>
      </c>
      <c r="F50" s="332">
        <v>1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326</v>
      </c>
      <c r="U50" s="138">
        <f>IF(SUM(D50:P50)&gt;0,1,0)</f>
        <v>1</v>
      </c>
      <c r="V50" s="329">
        <f t="shared" si="1"/>
        <v>1</v>
      </c>
      <c r="W50" s="138">
        <f t="shared" ca="1" si="2"/>
        <v>3</v>
      </c>
      <c r="X50" s="138" t="str">
        <f t="shared" ref="X50:Y50" ca="1" si="31">IFERROR(W50+MATCH(1,OFFSET($C50,0,W50+1,1,15-W50),0),"")</f>
        <v/>
      </c>
      <c r="Y50" s="138" t="str">
        <f t="shared" ca="1" si="31"/>
        <v/>
      </c>
      <c r="Z50" s="138" t="str">
        <f t="shared" ca="1" si="4"/>
        <v>Decorative/Display</v>
      </c>
      <c r="AA50" s="138" t="str">
        <f t="shared" ca="1" si="12"/>
        <v/>
      </c>
      <c r="AB50" s="138" t="str">
        <f t="shared" ca="1" si="13"/>
        <v/>
      </c>
      <c r="AC50" s="116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329"/>
      <c r="C51" s="138" t="s">
        <v>953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327</v>
      </c>
      <c r="U51" s="138">
        <f>IF(SUM(D51:P51)&gt;0,1,0)</f>
        <v>0</v>
      </c>
      <c r="V51" s="329">
        <f t="shared" si="1"/>
        <v>0</v>
      </c>
      <c r="W51" s="138" t="e">
        <f t="shared" ca="1" si="2"/>
        <v>#N/A</v>
      </c>
      <c r="X51" s="138" t="str">
        <f t="shared" ref="X51:Y51" ca="1" si="32">IFERROR(W51+MATCH(1,OFFSET($C51,0,W51+1,1,15-W51),0),"")</f>
        <v/>
      </c>
      <c r="Y51" s="138" t="str">
        <f t="shared" ca="1" si="32"/>
        <v/>
      </c>
      <c r="Z51" s="138" t="e">
        <f t="shared" ca="1" si="4"/>
        <v>#N/A</v>
      </c>
      <c r="AA51" s="138" t="str">
        <f t="shared" ca="1" si="12"/>
        <v/>
      </c>
      <c r="AB51" s="138" t="str">
        <f t="shared" ca="1" si="13"/>
        <v/>
      </c>
      <c r="AC51" s="116" t="str">
        <f t="shared" si="7"/>
        <v/>
      </c>
    </row>
    <row r="52" spans="2:29" x14ac:dyDescent="0.25">
      <c r="B52" s="329"/>
      <c r="C52" s="138" t="s">
        <v>1026</v>
      </c>
      <c r="D52" s="331">
        <v>0</v>
      </c>
      <c r="E52" s="331">
        <v>0</v>
      </c>
      <c r="F52" s="332">
        <v>1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328</v>
      </c>
      <c r="U52" s="138">
        <v>1</v>
      </c>
      <c r="V52" s="329">
        <f t="shared" si="1"/>
        <v>2</v>
      </c>
      <c r="W52" s="138">
        <f t="shared" ca="1" si="2"/>
        <v>3</v>
      </c>
      <c r="X52" s="138">
        <f t="shared" ref="X52:Y52" ca="1" si="33">IFERROR(W52+MATCH(1,OFFSET($C52,0,W52+1,1,15-W52),0),"")</f>
        <v>15</v>
      </c>
      <c r="Y52" s="138" t="str">
        <f t="shared" ca="1" si="33"/>
        <v/>
      </c>
      <c r="Z52" s="138" t="str">
        <f t="shared" ca="1" si="4"/>
        <v>Decorative/Display</v>
      </c>
      <c r="AA52" s="138" t="str">
        <f t="shared" ca="1" si="12"/>
        <v>TunableWhiteOrDimToWarm</v>
      </c>
      <c r="AB52" s="138" t="str">
        <f t="shared" ca="1" si="13"/>
        <v/>
      </c>
      <c r="AC52" s="116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s="138" t="s">
        <v>1027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0</v>
      </c>
      <c r="S53" s="138" t="s">
        <v>250</v>
      </c>
      <c r="T53" s="329">
        <v>329</v>
      </c>
      <c r="U53" s="138">
        <v>1</v>
      </c>
      <c r="V53" s="329">
        <f t="shared" si="1"/>
        <v>0</v>
      </c>
      <c r="W53" s="138" t="e">
        <f t="shared" ca="1" si="2"/>
        <v>#N/A</v>
      </c>
      <c r="X53" s="138" t="str">
        <f t="shared" ref="X53:Y53" ca="1" si="34">IFERROR(W53+MATCH(1,OFFSET($C53,0,W53+1,1,15-W53),0),"")</f>
        <v/>
      </c>
      <c r="Y53" s="138" t="str">
        <f t="shared" ca="1" si="34"/>
        <v/>
      </c>
      <c r="Z53" s="138" t="e">
        <f t="shared" ca="1" si="4"/>
        <v>#N/A</v>
      </c>
      <c r="AA53" s="138" t="str">
        <f t="shared" ca="1" si="12"/>
        <v/>
      </c>
      <c r="AB53" s="138" t="str">
        <f t="shared" ca="1" si="13"/>
        <v/>
      </c>
      <c r="AC53" s="116" t="str">
        <f t="shared" si="7"/>
        <v/>
      </c>
    </row>
    <row r="54" spans="2:29" x14ac:dyDescent="0.25">
      <c r="B54" s="329"/>
      <c r="C54" s="138" t="s">
        <v>1028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1</v>
      </c>
      <c r="S54" s="138" t="s">
        <v>250</v>
      </c>
      <c r="T54" s="329">
        <v>330</v>
      </c>
      <c r="U54" s="138">
        <f>IF(SUM(D54:P54)&gt;0,1,0)</f>
        <v>0</v>
      </c>
      <c r="V54" s="329">
        <f t="shared" si="1"/>
        <v>1</v>
      </c>
      <c r="W54" s="138">
        <f t="shared" ca="1" si="2"/>
        <v>15</v>
      </c>
      <c r="X54" s="138" t="str">
        <f t="shared" ref="X54:Y54" ca="1" si="35">IFERROR(W54+MATCH(1,OFFSET($C54,0,W54+1,1,15-W54),0),"")</f>
        <v/>
      </c>
      <c r="Y54" s="138" t="str">
        <f t="shared" ca="1" si="35"/>
        <v/>
      </c>
      <c r="Z54" s="138" t="str">
        <f t="shared" ca="1" si="4"/>
        <v>TunableWhiteOrDimToWarm</v>
      </c>
      <c r="AA54" s="138" t="str">
        <f t="shared" ca="1" si="12"/>
        <v/>
      </c>
      <c r="AB54" s="138" t="str">
        <f t="shared" ca="1" si="13"/>
        <v/>
      </c>
      <c r="AC54" s="116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329"/>
      <c r="C55" s="138" t="s">
        <v>1029</v>
      </c>
      <c r="D55" s="331">
        <v>0</v>
      </c>
      <c r="E55" s="331">
        <v>0</v>
      </c>
      <c r="F55" s="332">
        <v>1</v>
      </c>
      <c r="G55" s="331">
        <v>0</v>
      </c>
      <c r="H55" s="331">
        <v>0</v>
      </c>
      <c r="I55" s="331">
        <v>0</v>
      </c>
      <c r="J55" s="331">
        <v>0</v>
      </c>
      <c r="K55" s="331">
        <v>0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331</v>
      </c>
      <c r="U55" s="138">
        <v>1</v>
      </c>
      <c r="V55" s="329">
        <f t="shared" si="1"/>
        <v>2</v>
      </c>
      <c r="W55" s="138">
        <f t="shared" ca="1" si="2"/>
        <v>3</v>
      </c>
      <c r="X55" s="138">
        <f t="shared" ref="X55:Y55" ca="1" si="36">IFERROR(W55+MATCH(1,OFFSET($C55,0,W55+1,1,15-W55),0),"")</f>
        <v>15</v>
      </c>
      <c r="Y55" s="138" t="str">
        <f t="shared" ca="1" si="36"/>
        <v/>
      </c>
      <c r="Z55" s="138" t="str">
        <f t="shared" ca="1" si="4"/>
        <v>Decorative/Display</v>
      </c>
      <c r="AA55" s="138" t="str">
        <f t="shared" ca="1" si="12"/>
        <v>TunableWhiteOrDimToWarm</v>
      </c>
      <c r="AB55" s="138" t="str">
        <f t="shared" ca="1" si="13"/>
        <v/>
      </c>
      <c r="AC55" s="116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329"/>
      <c r="C56" s="138" t="s">
        <v>1030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0</v>
      </c>
      <c r="S56" s="138" t="s">
        <v>250</v>
      </c>
      <c r="T56" s="329">
        <v>332</v>
      </c>
      <c r="U56" s="138">
        <v>1</v>
      </c>
      <c r="V56" s="329">
        <f t="shared" si="1"/>
        <v>0</v>
      </c>
      <c r="W56" s="138" t="e">
        <f t="shared" ca="1" si="2"/>
        <v>#N/A</v>
      </c>
      <c r="X56" s="138" t="str">
        <f t="shared" ref="X56:Y56" ca="1" si="37">IFERROR(W56+MATCH(1,OFFSET($C56,0,W56+1,1,15-W56),0),"")</f>
        <v/>
      </c>
      <c r="Y56" s="138" t="str">
        <f t="shared" ca="1" si="37"/>
        <v/>
      </c>
      <c r="Z56" s="138" t="e">
        <f t="shared" ca="1" si="4"/>
        <v>#N/A</v>
      </c>
      <c r="AA56" s="138" t="str">
        <f t="shared" ca="1" si="12"/>
        <v/>
      </c>
      <c r="AB56" s="138" t="str">
        <f t="shared" ca="1" si="13"/>
        <v/>
      </c>
      <c r="AC56" s="116" t="str">
        <f t="shared" si="7"/>
        <v/>
      </c>
    </row>
    <row r="57" spans="2:29" x14ac:dyDescent="0.25">
      <c r="B57" s="329"/>
      <c r="C57" s="138" t="s">
        <v>1031</v>
      </c>
      <c r="D57" s="331">
        <v>0</v>
      </c>
      <c r="E57" s="331">
        <v>0</v>
      </c>
      <c r="F57" s="332">
        <v>1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0</v>
      </c>
      <c r="S57" s="138" t="s">
        <v>250</v>
      </c>
      <c r="T57" s="329">
        <v>333</v>
      </c>
      <c r="U57" s="138">
        <v>1</v>
      </c>
      <c r="V57" s="329">
        <f t="shared" si="1"/>
        <v>1</v>
      </c>
      <c r="W57" s="138">
        <f t="shared" ca="1" si="2"/>
        <v>3</v>
      </c>
      <c r="X57" s="138" t="str">
        <f t="shared" ref="X57:Y57" ca="1" si="38">IFERROR(W57+MATCH(1,OFFSET($C57,0,W57+1,1,15-W57),0),"")</f>
        <v/>
      </c>
      <c r="Y57" s="138" t="str">
        <f t="shared" ca="1" si="38"/>
        <v/>
      </c>
      <c r="Z57" s="138" t="str">
        <f t="shared" ca="1" si="4"/>
        <v>Decorative/Display</v>
      </c>
      <c r="AA57" s="138" t="str">
        <f t="shared" ca="1" si="12"/>
        <v/>
      </c>
      <c r="AB57" s="138" t="str">
        <f t="shared" ca="1" si="13"/>
        <v/>
      </c>
      <c r="AC57" s="116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s="138" t="s">
        <v>1032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1</v>
      </c>
      <c r="S58" s="138" t="s">
        <v>250</v>
      </c>
      <c r="T58" s="138">
        <v>334</v>
      </c>
      <c r="U58" s="138">
        <f t="shared" ref="U58:U96" si="39">IF(SUM(D58:P58)&gt;0,1,0)</f>
        <v>0</v>
      </c>
      <c r="V58" s="329">
        <f t="shared" si="1"/>
        <v>1</v>
      </c>
      <c r="W58" s="138">
        <f t="shared" ca="1" si="2"/>
        <v>15</v>
      </c>
      <c r="X58" s="138" t="str">
        <f t="shared" ref="X58:Y58" ca="1" si="40">IFERROR(W58+MATCH(1,OFFSET($C58,0,W58+1,1,15-W58),0),"")</f>
        <v/>
      </c>
      <c r="Y58" s="138" t="str">
        <f t="shared" ca="1" si="40"/>
        <v/>
      </c>
      <c r="Z58" s="138" t="str">
        <f t="shared" ca="1" si="4"/>
        <v>TunableWhiteOrDimToWarm</v>
      </c>
      <c r="AA58" s="138" t="str">
        <f t="shared" ca="1" si="12"/>
        <v/>
      </c>
      <c r="AB58" s="138" t="str">
        <f t="shared" ca="1" si="13"/>
        <v/>
      </c>
      <c r="AC58" s="116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s="138" t="s">
        <v>1033</v>
      </c>
      <c r="D59" s="331">
        <v>0</v>
      </c>
      <c r="E59" s="331">
        <v>0</v>
      </c>
      <c r="F59" s="332">
        <v>0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1</v>
      </c>
      <c r="S59" s="138" t="s">
        <v>250</v>
      </c>
      <c r="T59" s="138">
        <v>335</v>
      </c>
      <c r="U59" s="138">
        <f t="shared" si="39"/>
        <v>0</v>
      </c>
      <c r="V59" s="329">
        <f t="shared" si="1"/>
        <v>1</v>
      </c>
      <c r="W59" s="138">
        <f t="shared" ca="1" si="2"/>
        <v>15</v>
      </c>
      <c r="X59" s="138" t="str">
        <f t="shared" ref="X59:Y59" ca="1" si="41">IFERROR(W59+MATCH(1,OFFSET($C59,0,W59+1,1,15-W59),0),"")</f>
        <v/>
      </c>
      <c r="Y59" s="138" t="str">
        <f t="shared" ca="1" si="41"/>
        <v/>
      </c>
      <c r="Z59" s="138" t="str">
        <f t="shared" ca="1" si="4"/>
        <v>TunableWhiteOrDimToWarm</v>
      </c>
      <c r="AA59" s="138" t="str">
        <f t="shared" ca="1" si="12"/>
        <v/>
      </c>
      <c r="AB59" s="138" t="str">
        <f t="shared" ca="1" si="13"/>
        <v/>
      </c>
      <c r="AC59" s="116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s="138" t="s">
        <v>647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336</v>
      </c>
      <c r="U60" s="138">
        <f t="shared" si="39"/>
        <v>0</v>
      </c>
      <c r="V60" s="329">
        <f t="shared" si="1"/>
        <v>0</v>
      </c>
      <c r="W60" s="138" t="e">
        <f t="shared" ca="1" si="2"/>
        <v>#N/A</v>
      </c>
      <c r="X60" s="138" t="str">
        <f t="shared" ref="X60:Y60" ca="1" si="42">IFERROR(W60+MATCH(1,OFFSET($C60,0,W60+1,1,15-W60),0),"")</f>
        <v/>
      </c>
      <c r="Y60" s="138" t="str">
        <f t="shared" ca="1" si="42"/>
        <v/>
      </c>
      <c r="Z60" s="138" t="e">
        <f t="shared" ca="1" si="4"/>
        <v>#N/A</v>
      </c>
      <c r="AA60" s="138" t="str">
        <f t="shared" ca="1" si="12"/>
        <v/>
      </c>
      <c r="AB60" s="138" t="str">
        <f t="shared" ca="1" si="13"/>
        <v/>
      </c>
      <c r="AC60" s="116" t="str">
        <f t="shared" si="7"/>
        <v/>
      </c>
    </row>
    <row r="61" spans="2:29" x14ac:dyDescent="0.25">
      <c r="C61" s="138" t="s">
        <v>532</v>
      </c>
      <c r="D61" s="331">
        <v>0</v>
      </c>
      <c r="E61" s="331">
        <v>0</v>
      </c>
      <c r="F61" s="332">
        <v>1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337</v>
      </c>
      <c r="U61" s="138">
        <f t="shared" si="39"/>
        <v>1</v>
      </c>
      <c r="V61" s="329">
        <f t="shared" si="1"/>
        <v>1</v>
      </c>
      <c r="W61" s="138">
        <f t="shared" ca="1" si="2"/>
        <v>3</v>
      </c>
      <c r="X61" s="138" t="str">
        <f t="shared" ref="X61:Y61" ca="1" si="43">IFERROR(W61+MATCH(1,OFFSET($C61,0,W61+1,1,15-W61),0),"")</f>
        <v/>
      </c>
      <c r="Y61" s="138" t="str">
        <f t="shared" ca="1" si="43"/>
        <v/>
      </c>
      <c r="Z61" s="138" t="str">
        <f t="shared" ca="1" si="4"/>
        <v>Decorative/Display</v>
      </c>
      <c r="AA61" s="138" t="str">
        <f t="shared" ca="1" si="12"/>
        <v/>
      </c>
      <c r="AB61" s="138" t="str">
        <f t="shared" ca="1" si="13"/>
        <v/>
      </c>
      <c r="AC61" s="116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s="138" t="s">
        <v>648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338</v>
      </c>
      <c r="U62" s="138">
        <f t="shared" si="39"/>
        <v>0</v>
      </c>
      <c r="V62" s="329">
        <f t="shared" si="1"/>
        <v>0</v>
      </c>
      <c r="W62" s="138" t="e">
        <f t="shared" ca="1" si="2"/>
        <v>#N/A</v>
      </c>
      <c r="X62" s="138" t="str">
        <f t="shared" ref="X62:Y62" ca="1" si="44">IFERROR(W62+MATCH(1,OFFSET($C62,0,W62+1,1,15-W62),0),"")</f>
        <v/>
      </c>
      <c r="Y62" s="138" t="str">
        <f t="shared" ca="1" si="44"/>
        <v/>
      </c>
      <c r="Z62" s="138" t="e">
        <f t="shared" ca="1" si="4"/>
        <v>#N/A</v>
      </c>
      <c r="AA62" s="138" t="str">
        <f t="shared" ca="1" si="12"/>
        <v/>
      </c>
      <c r="AB62" s="138" t="str">
        <f t="shared" ca="1" si="13"/>
        <v/>
      </c>
      <c r="AC62" s="116" t="str">
        <f t="shared" si="7"/>
        <v/>
      </c>
    </row>
    <row r="63" spans="2:29" x14ac:dyDescent="0.25">
      <c r="C63" s="138" t="s">
        <v>954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339</v>
      </c>
      <c r="U63" s="138">
        <f t="shared" si="39"/>
        <v>0</v>
      </c>
      <c r="V63" s="329">
        <f t="shared" si="1"/>
        <v>0</v>
      </c>
      <c r="W63" s="138" t="e">
        <f t="shared" ca="1" si="2"/>
        <v>#N/A</v>
      </c>
      <c r="X63" s="138" t="str">
        <f t="shared" ref="X63:Y63" ca="1" si="45">IFERROR(W63+MATCH(1,OFFSET($C63,0,W63+1,1,15-W63),0),"")</f>
        <v/>
      </c>
      <c r="Y63" s="138" t="str">
        <f t="shared" ca="1" si="45"/>
        <v/>
      </c>
      <c r="Z63" s="138" t="e">
        <f t="shared" ca="1" si="4"/>
        <v>#N/A</v>
      </c>
      <c r="AA63" s="138" t="str">
        <f t="shared" ca="1" si="12"/>
        <v/>
      </c>
      <c r="AB63" s="138" t="str">
        <f t="shared" ca="1" si="13"/>
        <v/>
      </c>
      <c r="AC63" s="116" t="str">
        <f t="shared" si="7"/>
        <v/>
      </c>
    </row>
    <row r="64" spans="2:29" x14ac:dyDescent="0.25">
      <c r="C64" s="138" t="s">
        <v>652</v>
      </c>
      <c r="D64" s="331">
        <v>0</v>
      </c>
      <c r="E64" s="331">
        <v>0</v>
      </c>
      <c r="F64" s="332">
        <v>0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340</v>
      </c>
      <c r="U64" s="138">
        <f t="shared" si="39"/>
        <v>0</v>
      </c>
      <c r="V64" s="329">
        <f t="shared" si="1"/>
        <v>0</v>
      </c>
      <c r="W64" s="138" t="e">
        <f t="shared" ca="1" si="2"/>
        <v>#N/A</v>
      </c>
      <c r="X64" s="138" t="str">
        <f t="shared" ref="X64:Y64" ca="1" si="46">IFERROR(W64+MATCH(1,OFFSET($C64,0,W64+1,1,15-W64),0),"")</f>
        <v/>
      </c>
      <c r="Y64" s="138" t="str">
        <f t="shared" ca="1" si="46"/>
        <v/>
      </c>
      <c r="Z64" s="138" t="e">
        <f t="shared" ca="1" si="4"/>
        <v>#N/A</v>
      </c>
      <c r="AA64" s="138" t="str">
        <f t="shared" ca="1" si="12"/>
        <v/>
      </c>
      <c r="AB64" s="138" t="str">
        <f t="shared" ca="1" si="13"/>
        <v/>
      </c>
      <c r="AC64" s="116" t="str">
        <f t="shared" si="7"/>
        <v/>
      </c>
    </row>
    <row r="65" spans="2:29" x14ac:dyDescent="0.25">
      <c r="C65" s="138" t="s">
        <v>653</v>
      </c>
      <c r="D65" s="331">
        <v>0</v>
      </c>
      <c r="E65" s="331">
        <v>1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341</v>
      </c>
      <c r="U65" s="138">
        <f t="shared" si="39"/>
        <v>1</v>
      </c>
      <c r="V65" s="329">
        <f t="shared" si="1"/>
        <v>1</v>
      </c>
      <c r="W65" s="138">
        <f t="shared" ca="1" si="2"/>
        <v>2</v>
      </c>
      <c r="X65" s="138" t="str">
        <f t="shared" ref="X65:Y65" ca="1" si="47">IFERROR(W65+MATCH(1,OFFSET($C65,0,W65+1,1,15-W65),0),"")</f>
        <v/>
      </c>
      <c r="Y65" s="138" t="str">
        <f t="shared" ca="1" si="47"/>
        <v/>
      </c>
      <c r="Z65" s="138" t="str">
        <f t="shared" ca="1" si="4"/>
        <v>SpecializedTaskWork</v>
      </c>
      <c r="AA65" s="138" t="str">
        <f t="shared" ca="1" si="12"/>
        <v/>
      </c>
      <c r="AB65" s="138" t="str">
        <f t="shared" ca="1" si="13"/>
        <v/>
      </c>
      <c r="AC65" s="116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s="138" t="s">
        <v>955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342</v>
      </c>
      <c r="U66" s="138">
        <f t="shared" si="39"/>
        <v>0</v>
      </c>
      <c r="V66" s="329">
        <f t="shared" si="1"/>
        <v>0</v>
      </c>
      <c r="W66" s="138" t="e">
        <f t="shared" ca="1" si="2"/>
        <v>#N/A</v>
      </c>
      <c r="X66" s="138" t="str">
        <f t="shared" ref="X66:Y66" ca="1" si="48">IFERROR(W66+MATCH(1,OFFSET($C66,0,W66+1,1,15-W66),0),"")</f>
        <v/>
      </c>
      <c r="Y66" s="138" t="str">
        <f t="shared" ca="1" si="48"/>
        <v/>
      </c>
      <c r="Z66" s="138" t="e">
        <f t="shared" ca="1" si="4"/>
        <v>#N/A</v>
      </c>
      <c r="AA66" s="138" t="str">
        <f t="shared" ca="1" si="12"/>
        <v/>
      </c>
      <c r="AB66" s="138" t="str">
        <f t="shared" ca="1" si="13"/>
        <v/>
      </c>
      <c r="AC66" s="116" t="str">
        <f t="shared" si="7"/>
        <v/>
      </c>
    </row>
    <row r="67" spans="2:29" x14ac:dyDescent="0.25">
      <c r="C67" s="138" t="s">
        <v>956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343</v>
      </c>
      <c r="U67" s="138">
        <f t="shared" si="39"/>
        <v>1</v>
      </c>
      <c r="V67" s="329">
        <f t="shared" si="1"/>
        <v>1</v>
      </c>
      <c r="W67" s="138">
        <f t="shared" ca="1" si="2"/>
        <v>3</v>
      </c>
      <c r="X67" s="138" t="str">
        <f t="shared" ref="X67:Y67" ca="1" si="49">IFERROR(W67+MATCH(1,OFFSET($C67,0,W67+1,1,15-W67),0),"")</f>
        <v/>
      </c>
      <c r="Y67" s="138" t="str">
        <f t="shared" ca="1" si="49"/>
        <v/>
      </c>
      <c r="Z67" s="138" t="str">
        <f t="shared" ca="1" si="4"/>
        <v>Decorative/Display</v>
      </c>
      <c r="AA67" s="138" t="str">
        <f t="shared" ca="1" si="12"/>
        <v/>
      </c>
      <c r="AB67" s="138" t="str">
        <f t="shared" ca="1" si="13"/>
        <v/>
      </c>
      <c r="AC67" s="116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329"/>
      <c r="C68" s="138" t="s">
        <v>957</v>
      </c>
      <c r="D68" s="331">
        <v>0</v>
      </c>
      <c r="E68" s="331">
        <v>0</v>
      </c>
      <c r="F68" s="332">
        <v>0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344</v>
      </c>
      <c r="U68" s="138">
        <f t="shared" si="39"/>
        <v>0</v>
      </c>
      <c r="V68" s="329">
        <f t="shared" si="1"/>
        <v>0</v>
      </c>
      <c r="W68" s="138" t="e">
        <f t="shared" ca="1" si="2"/>
        <v>#N/A</v>
      </c>
      <c r="X68" s="138" t="str">
        <f t="shared" ref="X68:Y68" ca="1" si="50">IFERROR(W68+MATCH(1,OFFSET($C68,0,W68+1,1,15-W68),0),"")</f>
        <v/>
      </c>
      <c r="Y68" s="138" t="str">
        <f t="shared" ca="1" si="50"/>
        <v/>
      </c>
      <c r="Z68" s="138" t="e">
        <f t="shared" ca="1" si="4"/>
        <v>#N/A</v>
      </c>
      <c r="AA68" s="138" t="str">
        <f t="shared" ca="1" si="12"/>
        <v/>
      </c>
      <c r="AB68" s="138" t="str">
        <f t="shared" ca="1" si="13"/>
        <v/>
      </c>
      <c r="AC68" s="116" t="str">
        <f t="shared" si="7"/>
        <v/>
      </c>
    </row>
    <row r="69" spans="2:29" x14ac:dyDescent="0.25">
      <c r="C69" s="138" t="s">
        <v>534</v>
      </c>
      <c r="D69" s="331">
        <v>0</v>
      </c>
      <c r="E69" s="331">
        <v>0</v>
      </c>
      <c r="F69" s="332">
        <v>1</v>
      </c>
      <c r="G69" s="331">
        <v>0</v>
      </c>
      <c r="H69" s="331">
        <v>0</v>
      </c>
      <c r="I69" s="331">
        <v>0</v>
      </c>
      <c r="J69" s="331">
        <v>0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345</v>
      </c>
      <c r="U69" s="138">
        <f t="shared" si="39"/>
        <v>1</v>
      </c>
      <c r="V69" s="329">
        <f t="shared" si="1"/>
        <v>1</v>
      </c>
      <c r="W69" s="138">
        <f t="shared" ca="1" si="2"/>
        <v>3</v>
      </c>
      <c r="X69" s="138" t="str">
        <f t="shared" ref="X69:Y69" ca="1" si="51">IFERROR(W69+MATCH(1,OFFSET($C69,0,W69+1,1,15-W69),0),"")</f>
        <v/>
      </c>
      <c r="Y69" s="138" t="str">
        <f t="shared" ca="1" si="51"/>
        <v/>
      </c>
      <c r="Z69" s="138" t="str">
        <f ca="1">OFFSET($C$9,15,MATCH(1,$D69:$R69,0))</f>
        <v>Decorative/Display</v>
      </c>
      <c r="AA69" s="138" t="str">
        <f t="shared" ca="1" si="12"/>
        <v/>
      </c>
      <c r="AB69" s="138" t="str">
        <f t="shared" ca="1" si="13"/>
        <v/>
      </c>
      <c r="AC69" s="116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s="138" t="s">
        <v>830</v>
      </c>
      <c r="D70" s="331">
        <v>0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346</v>
      </c>
      <c r="U70" s="138">
        <f t="shared" si="39"/>
        <v>0</v>
      </c>
      <c r="V70" s="329">
        <f t="shared" si="1"/>
        <v>0</v>
      </c>
      <c r="W70" s="138" t="e">
        <f t="shared" ca="1" si="2"/>
        <v>#N/A</v>
      </c>
      <c r="X70" s="138" t="str">
        <f t="shared" ref="X70:Y70" ca="1" si="52">IFERROR(W70+MATCH(1,OFFSET($C70,0,W70+1,1,15-W70),0),"")</f>
        <v/>
      </c>
      <c r="Y70" s="138" t="str">
        <f t="shared" ca="1" si="52"/>
        <v/>
      </c>
      <c r="Z70" s="138" t="e">
        <f t="shared" ca="1" si="4"/>
        <v>#N/A</v>
      </c>
      <c r="AA70" s="138" t="str">
        <f t="shared" ca="1" si="12"/>
        <v/>
      </c>
      <c r="AB70" s="138" t="str">
        <f t="shared" ca="1" si="13"/>
        <v/>
      </c>
      <c r="AC70" s="116" t="str">
        <f t="shared" si="7"/>
        <v/>
      </c>
    </row>
    <row r="71" spans="2:29" x14ac:dyDescent="0.25">
      <c r="C71" s="138" t="s">
        <v>958</v>
      </c>
      <c r="D71" s="331">
        <v>0</v>
      </c>
      <c r="E71" s="331">
        <v>0</v>
      </c>
      <c r="F71" s="332">
        <v>1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0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347</v>
      </c>
      <c r="U71" s="138">
        <f t="shared" si="39"/>
        <v>1</v>
      </c>
      <c r="V71" s="329">
        <f t="shared" si="1"/>
        <v>1</v>
      </c>
      <c r="W71" s="138">
        <f t="shared" ca="1" si="2"/>
        <v>3</v>
      </c>
      <c r="X71" s="138" t="str">
        <f t="shared" ref="X71:Y71" ca="1" si="53">IFERROR(W71+MATCH(1,OFFSET($C71,0,W71+1,1,15-W71),0),"")</f>
        <v/>
      </c>
      <c r="Y71" s="138" t="str">
        <f t="shared" ca="1" si="53"/>
        <v/>
      </c>
      <c r="Z71" s="138" t="str">
        <f t="shared" ca="1" si="4"/>
        <v>Decorative/Display</v>
      </c>
      <c r="AA71" s="138" t="str">
        <f t="shared" ca="1" si="12"/>
        <v/>
      </c>
      <c r="AB71" s="138" t="str">
        <f t="shared" ca="1" si="13"/>
        <v/>
      </c>
      <c r="AC71" s="116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s="138" t="s">
        <v>1067</v>
      </c>
      <c r="D72" s="331">
        <v>1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0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348</v>
      </c>
      <c r="U72" s="138">
        <f t="shared" si="39"/>
        <v>1</v>
      </c>
      <c r="V72" s="329">
        <f t="shared" si="1"/>
        <v>1</v>
      </c>
      <c r="W72" s="138">
        <f t="shared" ca="1" si="2"/>
        <v>1</v>
      </c>
      <c r="X72" s="138" t="str">
        <f t="shared" ref="X72:Y72" ca="1" si="54">IFERROR(W72+MATCH(1,OFFSET($C72,0,W72+1,1,15-W72),0),"")</f>
        <v/>
      </c>
      <c r="Y72" s="138" t="str">
        <f t="shared" ca="1" si="54"/>
        <v/>
      </c>
      <c r="Z72" s="138" t="str">
        <f t="shared" ca="1" si="4"/>
        <v>DetailedTaskWork</v>
      </c>
      <c r="AA72" s="138" t="str">
        <f t="shared" ca="1" si="12"/>
        <v/>
      </c>
      <c r="AB72" s="138" t="str">
        <f t="shared" ca="1" si="13"/>
        <v/>
      </c>
      <c r="AC72" s="116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329"/>
      <c r="C73" s="138" t="s">
        <v>1068</v>
      </c>
      <c r="D73" s="331">
        <v>1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0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349</v>
      </c>
      <c r="U73" s="138">
        <f t="shared" si="39"/>
        <v>1</v>
      </c>
      <c r="V73" s="329">
        <f t="shared" si="1"/>
        <v>1</v>
      </c>
      <c r="W73" s="138">
        <f t="shared" ca="1" si="2"/>
        <v>1</v>
      </c>
      <c r="X73" s="138" t="str">
        <f t="shared" ref="X73:Y73" ca="1" si="55">IFERROR(W73+MATCH(1,OFFSET($C73,0,W73+1,1,15-W73),0),"")</f>
        <v/>
      </c>
      <c r="Y73" s="138" t="str">
        <f t="shared" ca="1" si="55"/>
        <v/>
      </c>
      <c r="Z73" s="138" t="str">
        <f t="shared" ca="1" si="4"/>
        <v>DetailedTaskWork</v>
      </c>
      <c r="AA73" s="138" t="str">
        <f t="shared" ca="1" si="12"/>
        <v/>
      </c>
      <c r="AB73" s="138" t="str">
        <f t="shared" ca="1" si="13"/>
        <v/>
      </c>
      <c r="AC73" s="116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s="138" t="s">
        <v>1069</v>
      </c>
      <c r="D74" s="331">
        <v>0</v>
      </c>
      <c r="E74" s="331">
        <v>0</v>
      </c>
      <c r="F74" s="332">
        <v>0</v>
      </c>
      <c r="G74" s="331">
        <v>1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350</v>
      </c>
      <c r="U74" s="138">
        <f t="shared" si="39"/>
        <v>1</v>
      </c>
      <c r="V74" s="329">
        <f t="shared" si="1"/>
        <v>1</v>
      </c>
      <c r="W74" s="138">
        <f t="shared" ca="1" si="2"/>
        <v>4</v>
      </c>
      <c r="X74" s="138" t="str">
        <f t="shared" ref="X74:Y74" ca="1" si="56">IFERROR(W74+MATCH(1,OFFSET($C74,0,W74+1,1,15-W74),0),"")</f>
        <v/>
      </c>
      <c r="Y74" s="138" t="str">
        <f t="shared" ca="1" si="56"/>
        <v/>
      </c>
      <c r="Z74" s="138" t="str">
        <f t="shared" ca="1" si="4"/>
        <v>PrecisionWork</v>
      </c>
      <c r="AA74" s="138" t="str">
        <f t="shared" ca="1" si="12"/>
        <v/>
      </c>
      <c r="AB74" s="138" t="str">
        <f t="shared" ca="1" si="13"/>
        <v/>
      </c>
      <c r="AC74" s="116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s="138" t="s">
        <v>960</v>
      </c>
      <c r="D75" s="331">
        <v>0</v>
      </c>
      <c r="E75" s="331">
        <v>0</v>
      </c>
      <c r="F75" s="332">
        <v>1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351</v>
      </c>
      <c r="U75" s="138">
        <f t="shared" si="39"/>
        <v>1</v>
      </c>
      <c r="V75" s="329">
        <f t="shared" si="1"/>
        <v>1</v>
      </c>
      <c r="W75" s="138">
        <f t="shared" ca="1" si="2"/>
        <v>3</v>
      </c>
      <c r="X75" s="138" t="str">
        <f t="shared" ref="X75:Y75" ca="1" si="57">IFERROR(W75+MATCH(1,OFFSET($C75,0,W75+1,1,15-W75),0),"")</f>
        <v/>
      </c>
      <c r="Y75" s="138" t="str">
        <f t="shared" ca="1" si="57"/>
        <v/>
      </c>
      <c r="Z75" s="138" t="str">
        <f t="shared" ca="1" si="4"/>
        <v>Decorative/Display</v>
      </c>
      <c r="AA75" s="138" t="str">
        <f t="shared" ca="1" si="12"/>
        <v/>
      </c>
      <c r="AB75" s="138" t="str">
        <f t="shared" ca="1" si="13"/>
        <v/>
      </c>
      <c r="AC75" s="116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329"/>
      <c r="C76" s="138" t="s">
        <v>961</v>
      </c>
      <c r="D76" s="331">
        <v>1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0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352</v>
      </c>
      <c r="U76" s="138">
        <f t="shared" si="39"/>
        <v>1</v>
      </c>
      <c r="V76" s="329">
        <f t="shared" si="1"/>
        <v>1</v>
      </c>
      <c r="W76" s="138">
        <f t="shared" ca="1" si="2"/>
        <v>1</v>
      </c>
      <c r="X76" s="138" t="str">
        <f t="shared" ref="X76:Y76" ca="1" si="58">IFERROR(W76+MATCH(1,OFFSET($C76,0,W76+1,1,15-W76),0),"")</f>
        <v/>
      </c>
      <c r="Y76" s="138" t="str">
        <f t="shared" ca="1" si="58"/>
        <v/>
      </c>
      <c r="Z76" s="138" t="str">
        <f t="shared" ca="1" si="4"/>
        <v>DetailedTaskWork</v>
      </c>
      <c r="AA76" s="138" t="str">
        <f t="shared" ca="1" si="12"/>
        <v/>
      </c>
      <c r="AB76" s="138" t="str">
        <f t="shared" ca="1" si="13"/>
        <v/>
      </c>
      <c r="AC76" s="11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329"/>
      <c r="C77" s="138" t="s">
        <v>963</v>
      </c>
      <c r="D77" s="331">
        <v>0</v>
      </c>
      <c r="E77" s="331">
        <v>0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1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353</v>
      </c>
      <c r="U77" s="138">
        <f t="shared" si="39"/>
        <v>1</v>
      </c>
      <c r="V77" s="329">
        <f t="shared" si="1"/>
        <v>1</v>
      </c>
      <c r="W77" s="138">
        <f t="shared" ca="1" si="2"/>
        <v>11</v>
      </c>
      <c r="X77" s="138" t="str">
        <f t="shared" ref="X77:Y77" ca="1" si="59">IFERROR(W77+MATCH(1,OFFSET($C77,0,W77+1,1,15-W77),0),"")</f>
        <v/>
      </c>
      <c r="Y77" s="138" t="str">
        <f t="shared" ca="1" si="59"/>
        <v/>
      </c>
      <c r="Z77" s="138" t="str">
        <f t="shared" ca="1" si="4"/>
        <v>Decorative/Display&amp;PortableLightingForOffice</v>
      </c>
      <c r="AA77" s="138" t="str">
        <f t="shared" ca="1" si="12"/>
        <v/>
      </c>
      <c r="AB77" s="138" t="str">
        <f t="shared" ca="1" si="13"/>
        <v/>
      </c>
      <c r="AC77" s="116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s="138" t="s">
        <v>962</v>
      </c>
      <c r="D78" s="331">
        <v>0</v>
      </c>
      <c r="E78" s="331">
        <v>0</v>
      </c>
      <c r="F78" s="332">
        <v>0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1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354</v>
      </c>
      <c r="U78" s="138">
        <f t="shared" si="39"/>
        <v>1</v>
      </c>
      <c r="V78" s="329">
        <f t="shared" si="1"/>
        <v>1</v>
      </c>
      <c r="W78" s="138">
        <f t="shared" ca="1" si="2"/>
        <v>11</v>
      </c>
      <c r="X78" s="138" t="str">
        <f t="shared" ref="X78:Y78" ca="1" si="60">IFERROR(W78+MATCH(1,OFFSET($C78,0,W78+1,1,15-W78),0),"")</f>
        <v/>
      </c>
      <c r="Y78" s="138" t="str">
        <f t="shared" ca="1" si="60"/>
        <v/>
      </c>
      <c r="Z78" s="138" t="str">
        <f t="shared" ca="1" si="4"/>
        <v>Decorative/Display&amp;PortableLightingForOffice</v>
      </c>
      <c r="AA78" s="138" t="str">
        <f t="shared" ca="1" si="12"/>
        <v/>
      </c>
      <c r="AB78" s="138" t="str">
        <f t="shared" ca="1" si="13"/>
        <v/>
      </c>
      <c r="AC78" s="116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s="138" t="s">
        <v>1070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0</v>
      </c>
      <c r="J79" s="361">
        <v>0</v>
      </c>
      <c r="K79" s="361">
        <v>0</v>
      </c>
      <c r="L79" s="331">
        <v>0</v>
      </c>
      <c r="M79" s="331">
        <v>1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355</v>
      </c>
      <c r="U79" s="138">
        <f t="shared" si="39"/>
        <v>1</v>
      </c>
      <c r="V79" s="329">
        <f t="shared" si="1"/>
        <v>1</v>
      </c>
      <c r="W79" s="138">
        <f t="shared" ca="1" si="2"/>
        <v>10</v>
      </c>
      <c r="X79" s="138" t="str">
        <f t="shared" ref="X79:Y79" ca="1" si="61">IFERROR(W79+MATCH(1,OFFSET($C79,0,W79+1,1,15-W79),0),"")</f>
        <v/>
      </c>
      <c r="Y79" s="138" t="str">
        <f t="shared" ca="1" si="61"/>
        <v/>
      </c>
      <c r="Z79" s="138" t="str">
        <f t="shared" ca="1" si="4"/>
        <v>ParkingGarageATMLighting</v>
      </c>
      <c r="AA79" s="138" t="str">
        <f t="shared" ca="1" si="12"/>
        <v/>
      </c>
      <c r="AB79" s="138" t="str">
        <f t="shared" ca="1" si="13"/>
        <v/>
      </c>
      <c r="AC79" s="116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329"/>
      <c r="C80" s="138" t="s">
        <v>965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0</v>
      </c>
      <c r="P80" s="331">
        <v>0</v>
      </c>
      <c r="Q80" s="331">
        <v>0</v>
      </c>
      <c r="R80" s="331">
        <v>0</v>
      </c>
      <c r="S80" s="138" t="s">
        <v>250</v>
      </c>
      <c r="T80" s="138">
        <v>356</v>
      </c>
      <c r="U80" s="138">
        <f t="shared" si="39"/>
        <v>0</v>
      </c>
      <c r="V80" s="329">
        <f t="shared" si="1"/>
        <v>0</v>
      </c>
      <c r="W80" s="138" t="e">
        <f t="shared" ca="1" si="2"/>
        <v>#N/A</v>
      </c>
      <c r="X80" s="138" t="str">
        <f t="shared" ref="X80:Y80" ca="1" si="62">IFERROR(W80+MATCH(1,OFFSET($C80,0,W80+1,1,15-W80),0),"")</f>
        <v/>
      </c>
      <c r="Y80" s="138" t="str">
        <f t="shared" ca="1" si="62"/>
        <v/>
      </c>
      <c r="Z80" s="138" t="e">
        <f t="shared" ca="1" si="4"/>
        <v>#N/A</v>
      </c>
      <c r="AA80" s="138" t="str">
        <f t="shared" ca="1" si="12"/>
        <v/>
      </c>
      <c r="AB80" s="138" t="str">
        <f t="shared" ca="1" si="13"/>
        <v/>
      </c>
      <c r="AC80" s="116" t="str">
        <f t="shared" si="7"/>
        <v/>
      </c>
    </row>
    <row r="81" spans="2:29" x14ac:dyDescent="0.25">
      <c r="B81" s="329"/>
      <c r="C81" s="138" t="s">
        <v>968</v>
      </c>
      <c r="D81" s="331">
        <v>0</v>
      </c>
      <c r="E81" s="331">
        <v>1</v>
      </c>
      <c r="F81" s="332">
        <v>0</v>
      </c>
      <c r="G81" s="331">
        <v>0</v>
      </c>
      <c r="H81" s="331">
        <v>0</v>
      </c>
      <c r="I81" s="331">
        <v>0</v>
      </c>
      <c r="J81" s="331">
        <v>0</v>
      </c>
      <c r="K81" s="331">
        <v>0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357</v>
      </c>
      <c r="U81" s="138">
        <f t="shared" si="39"/>
        <v>1</v>
      </c>
      <c r="V81" s="329">
        <f t="shared" si="1"/>
        <v>1</v>
      </c>
      <c r="W81" s="138">
        <f t="shared" ca="1" si="2"/>
        <v>2</v>
      </c>
      <c r="X81" s="138" t="str">
        <f t="shared" ref="X81:Y81" ca="1" si="63">IFERROR(W81+MATCH(1,OFFSET($C81,0,W81+1,1,15-W81),0),"")</f>
        <v/>
      </c>
      <c r="Y81" s="138" t="str">
        <f t="shared" ca="1" si="63"/>
        <v/>
      </c>
      <c r="Z81" s="138" t="str">
        <f t="shared" ca="1" si="4"/>
        <v>SpecializedTaskWork</v>
      </c>
      <c r="AA81" s="138" t="str">
        <f t="shared" ca="1" si="12"/>
        <v/>
      </c>
      <c r="AB81" s="138" t="str">
        <f t="shared" ca="1" si="13"/>
        <v/>
      </c>
      <c r="AC81" s="116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329"/>
      <c r="C82" s="138" t="s">
        <v>970</v>
      </c>
      <c r="D82" s="331">
        <v>0</v>
      </c>
      <c r="E82" s="331">
        <v>0</v>
      </c>
      <c r="F82" s="332">
        <v>1</v>
      </c>
      <c r="G82" s="331">
        <v>0</v>
      </c>
      <c r="H82" s="331">
        <v>0</v>
      </c>
      <c r="I82" s="331">
        <v>0</v>
      </c>
      <c r="J82" s="331">
        <v>0</v>
      </c>
      <c r="K82" s="331">
        <v>0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358</v>
      </c>
      <c r="U82" s="138">
        <f t="shared" si="39"/>
        <v>1</v>
      </c>
      <c r="V82" s="329">
        <f t="shared" si="1"/>
        <v>1</v>
      </c>
      <c r="W82" s="138">
        <f t="shared" ca="1" si="2"/>
        <v>3</v>
      </c>
      <c r="X82" s="138" t="str">
        <f t="shared" ref="X82:Y82" ca="1" si="64">IFERROR(W82+MATCH(1,OFFSET($C82,0,W82+1,1,15-W82),0),"")</f>
        <v/>
      </c>
      <c r="Y82" s="138" t="str">
        <f t="shared" ca="1" si="64"/>
        <v/>
      </c>
      <c r="Z82" s="138" t="str">
        <f t="shared" ca="1" si="4"/>
        <v>Decorative/Display</v>
      </c>
      <c r="AA82" s="138" t="str">
        <f t="shared" ca="1" si="12"/>
        <v/>
      </c>
      <c r="AB82" s="138" t="str">
        <f t="shared" ca="1" si="13"/>
        <v/>
      </c>
      <c r="AC82" s="116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s="138" t="s">
        <v>971</v>
      </c>
      <c r="D83" s="331">
        <v>0</v>
      </c>
      <c r="E83" s="331">
        <v>0</v>
      </c>
      <c r="F83" s="332">
        <v>1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359</v>
      </c>
      <c r="U83" s="138">
        <f t="shared" si="39"/>
        <v>1</v>
      </c>
      <c r="V83" s="329">
        <f t="shared" si="1"/>
        <v>1</v>
      </c>
      <c r="W83" s="138">
        <f t="shared" ca="1" si="2"/>
        <v>3</v>
      </c>
      <c r="X83" s="138" t="str">
        <f t="shared" ref="X83:Y83" ca="1" si="65">IFERROR(W83+MATCH(1,OFFSET($C83,0,W83+1,1,15-W83),0),"")</f>
        <v/>
      </c>
      <c r="Y83" s="138" t="str">
        <f t="shared" ca="1" si="65"/>
        <v/>
      </c>
      <c r="Z83" s="138" t="str">
        <f t="shared" ca="1" si="4"/>
        <v>Decorative/Display</v>
      </c>
      <c r="AA83" s="138" t="str">
        <f t="shared" ca="1" si="12"/>
        <v/>
      </c>
      <c r="AB83" s="138" t="str">
        <f t="shared" ca="1" si="13"/>
        <v/>
      </c>
      <c r="AC83" s="116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s="138" t="s">
        <v>969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1</v>
      </c>
      <c r="P84" s="331">
        <v>1</v>
      </c>
      <c r="Q84" s="331">
        <v>0</v>
      </c>
      <c r="R84" s="331">
        <v>0</v>
      </c>
      <c r="S84" s="138" t="s">
        <v>250</v>
      </c>
      <c r="T84" s="138">
        <v>360</v>
      </c>
      <c r="U84" s="138">
        <f t="shared" si="39"/>
        <v>1</v>
      </c>
      <c r="V84" s="329">
        <f t="shared" si="1"/>
        <v>2</v>
      </c>
      <c r="W84" s="138">
        <f t="shared" ca="1" si="2"/>
        <v>12</v>
      </c>
      <c r="X84" s="138">
        <f t="shared" ref="X84:Y84" ca="1" si="66">IFERROR(W84+MATCH(1,OFFSET($C84,0,W84+1,1,15-W84),0),"")</f>
        <v>13</v>
      </c>
      <c r="Y84" s="138" t="str">
        <f t="shared" ca="1" si="66"/>
        <v/>
      </c>
      <c r="Z84" s="138" t="str">
        <f t="shared" ca="1" si="4"/>
        <v>ExternalIlluminatedMirror</v>
      </c>
      <c r="AA84" s="138" t="str">
        <f t="shared" ca="1" si="12"/>
        <v>InternalIlluminatedMirror</v>
      </c>
      <c r="AB84" s="138" t="str">
        <f t="shared" ca="1" si="13"/>
        <v/>
      </c>
      <c r="AC84" s="116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329"/>
      <c r="C85" s="138" t="s">
        <v>537</v>
      </c>
      <c r="D85" s="331">
        <v>0</v>
      </c>
      <c r="E85" s="331">
        <v>0</v>
      </c>
      <c r="F85" s="332">
        <v>1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361</v>
      </c>
      <c r="U85" s="138">
        <f t="shared" si="39"/>
        <v>1</v>
      </c>
      <c r="V85" s="329">
        <f t="shared" si="1"/>
        <v>1</v>
      </c>
      <c r="W85" s="138">
        <f t="shared" ca="1" si="2"/>
        <v>3</v>
      </c>
      <c r="X85" s="138" t="str">
        <f t="shared" ref="X85:Y85" ca="1" si="67">IFERROR(W85+MATCH(1,OFFSET($C85,0,W85+1,1,15-W85),0),"")</f>
        <v/>
      </c>
      <c r="Y85" s="138" t="str">
        <f t="shared" ca="1" si="67"/>
        <v/>
      </c>
      <c r="Z85" s="138" t="str">
        <f t="shared" ca="1" si="4"/>
        <v>Decorative/Display</v>
      </c>
      <c r="AA85" s="138" t="str">
        <f t="shared" ca="1" si="12"/>
        <v/>
      </c>
      <c r="AB85" s="138" t="str">
        <f t="shared" ca="1" si="13"/>
        <v/>
      </c>
      <c r="AC85" s="116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329"/>
      <c r="C86" s="138" t="s">
        <v>834</v>
      </c>
      <c r="D86" s="331">
        <v>0</v>
      </c>
      <c r="E86" s="331">
        <v>0</v>
      </c>
      <c r="F86" s="332">
        <v>1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362</v>
      </c>
      <c r="U86" s="138">
        <f t="shared" si="39"/>
        <v>1</v>
      </c>
      <c r="V86" s="329">
        <f t="shared" si="1"/>
        <v>1</v>
      </c>
      <c r="W86" s="138">
        <f t="shared" ca="1" si="2"/>
        <v>3</v>
      </c>
      <c r="X86" s="138" t="str">
        <f t="shared" ref="X86:Y86" ca="1" si="68">IFERROR(W86+MATCH(1,OFFSET($C86,0,W86+1,1,15-W86),0),"")</f>
        <v/>
      </c>
      <c r="Y86" s="138" t="str">
        <f t="shared" ca="1" si="68"/>
        <v/>
      </c>
      <c r="Z86" s="138" t="str">
        <f t="shared" ca="1" si="4"/>
        <v>Decorative/Display</v>
      </c>
      <c r="AA86" s="138" t="str">
        <f t="shared" ca="1" si="12"/>
        <v/>
      </c>
      <c r="AB86" s="138" t="str">
        <f t="shared" ca="1" si="13"/>
        <v/>
      </c>
      <c r="AC86" s="11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329"/>
      <c r="C87" s="138" t="s">
        <v>973</v>
      </c>
      <c r="D87" s="331">
        <v>0</v>
      </c>
      <c r="E87" s="331">
        <v>0</v>
      </c>
      <c r="F87" s="332">
        <v>1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363</v>
      </c>
      <c r="U87" s="138">
        <f t="shared" si="39"/>
        <v>1</v>
      </c>
      <c r="V87" s="329">
        <f t="shared" si="1"/>
        <v>1</v>
      </c>
      <c r="W87" s="138">
        <f t="shared" ca="1" si="2"/>
        <v>3</v>
      </c>
      <c r="X87" s="138" t="str">
        <f t="shared" ref="X87:Y87" ca="1" si="69">IFERROR(W87+MATCH(1,OFFSET($C87,0,W87+1,1,15-W87),0),"")</f>
        <v/>
      </c>
      <c r="Y87" s="138" t="str">
        <f t="shared" ca="1" si="69"/>
        <v/>
      </c>
      <c r="Z87" s="138" t="str">
        <f t="shared" ca="1" si="4"/>
        <v>Decorative/Display</v>
      </c>
      <c r="AA87" s="138" t="str">
        <f t="shared" ca="1" si="12"/>
        <v/>
      </c>
      <c r="AB87" s="138" t="str">
        <f t="shared" ca="1" si="13"/>
        <v/>
      </c>
      <c r="AC87" s="116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s="138" t="s">
        <v>1071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0</v>
      </c>
      <c r="J88" s="331">
        <v>0</v>
      </c>
      <c r="K88" s="331">
        <v>0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364</v>
      </c>
      <c r="U88" s="138">
        <f t="shared" si="39"/>
        <v>0</v>
      </c>
      <c r="V88" s="329">
        <f t="shared" si="1"/>
        <v>0</v>
      </c>
      <c r="W88" s="138" t="e">
        <f t="shared" ca="1" si="2"/>
        <v>#N/A</v>
      </c>
      <c r="X88" s="138" t="str">
        <f t="shared" ref="X88:Y88" ca="1" si="70">IFERROR(W88+MATCH(1,OFFSET($C88,0,W88+1,1,15-W88),0),"")</f>
        <v/>
      </c>
      <c r="Y88" s="138" t="str">
        <f t="shared" ca="1" si="70"/>
        <v/>
      </c>
      <c r="Z88" s="138" t="e">
        <f t="shared" ca="1" si="4"/>
        <v>#N/A</v>
      </c>
      <c r="AA88" s="138" t="str">
        <f t="shared" ca="1" si="12"/>
        <v/>
      </c>
      <c r="AB88" s="138" t="str">
        <f t="shared" ca="1" si="13"/>
        <v/>
      </c>
      <c r="AC88" s="116" t="str">
        <f t="shared" si="7"/>
        <v/>
      </c>
    </row>
    <row r="89" spans="2:29" x14ac:dyDescent="0.25">
      <c r="B89" s="329"/>
      <c r="C89" s="138" t="s">
        <v>1072</v>
      </c>
      <c r="D89" s="331">
        <v>0</v>
      </c>
      <c r="E89" s="331">
        <v>0</v>
      </c>
      <c r="F89" s="332">
        <v>0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365</v>
      </c>
      <c r="U89" s="138">
        <f t="shared" si="39"/>
        <v>0</v>
      </c>
      <c r="V89" s="329">
        <f t="shared" si="1"/>
        <v>0</v>
      </c>
      <c r="W89" s="138" t="e">
        <f t="shared" ca="1" si="2"/>
        <v>#N/A</v>
      </c>
      <c r="X89" s="138" t="str">
        <f t="shared" ref="X89:Y89" ca="1" si="71">IFERROR(W89+MATCH(1,OFFSET($C89,0,W89+1,1,15-W89),0),"")</f>
        <v/>
      </c>
      <c r="Y89" s="138" t="str">
        <f t="shared" ca="1" si="71"/>
        <v/>
      </c>
      <c r="Z89" s="138" t="e">
        <f t="shared" ca="1" si="4"/>
        <v>#N/A</v>
      </c>
      <c r="AA89" s="138" t="str">
        <f t="shared" ca="1" si="12"/>
        <v/>
      </c>
      <c r="AB89" s="138" t="str">
        <f t="shared" ca="1" si="13"/>
        <v/>
      </c>
      <c r="AC89" s="116" t="str">
        <f t="shared" si="7"/>
        <v/>
      </c>
    </row>
    <row r="90" spans="2:29" x14ac:dyDescent="0.25">
      <c r="B90" s="329"/>
      <c r="C90" s="138" t="s">
        <v>1073</v>
      </c>
      <c r="D90" s="331">
        <v>0</v>
      </c>
      <c r="E90" s="331">
        <v>0</v>
      </c>
      <c r="F90" s="332">
        <v>0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366</v>
      </c>
      <c r="U90" s="138">
        <f t="shared" si="39"/>
        <v>0</v>
      </c>
      <c r="V90" s="329">
        <f t="shared" si="1"/>
        <v>0</v>
      </c>
      <c r="W90" s="138" t="e">
        <f t="shared" ca="1" si="2"/>
        <v>#N/A</v>
      </c>
      <c r="X90" s="138" t="str">
        <f t="shared" ref="X90:Y90" ca="1" si="72">IFERROR(W90+MATCH(1,OFFSET($C90,0,W90+1,1,15-W90),0),"")</f>
        <v/>
      </c>
      <c r="Y90" s="138" t="str">
        <f t="shared" ca="1" si="72"/>
        <v/>
      </c>
      <c r="Z90" s="138" t="e">
        <f t="shared" ca="1" si="4"/>
        <v>#N/A</v>
      </c>
      <c r="AA90" s="138" t="str">
        <f t="shared" ca="1" si="12"/>
        <v/>
      </c>
      <c r="AB90" s="138" t="str">
        <f t="shared" ca="1" si="13"/>
        <v/>
      </c>
      <c r="AC90" s="116" t="str">
        <f t="shared" si="7"/>
        <v/>
      </c>
    </row>
    <row r="91" spans="2:29" x14ac:dyDescent="0.25">
      <c r="B91" s="329"/>
      <c r="C91" s="138" t="s">
        <v>1012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367</v>
      </c>
      <c r="U91" s="138">
        <f t="shared" si="39"/>
        <v>0</v>
      </c>
      <c r="V91" s="329">
        <f t="shared" ref="V91:V105" si="73">SUM(D91:R91)</f>
        <v>0</v>
      </c>
      <c r="W91" s="138" t="e">
        <f t="shared" ref="W91:W105" ca="1" si="74">MATCH(1,OFFSET($C91,0,1,1,15),0)</f>
        <v>#N/A</v>
      </c>
      <c r="X91" s="138" t="str">
        <f t="shared" ref="X91:Y91" ca="1" si="75">IFERROR(W91+MATCH(1,OFFSET($C91,0,W91+1,1,15-W91),0),"")</f>
        <v/>
      </c>
      <c r="Y91" s="138" t="str">
        <f t="shared" ca="1" si="75"/>
        <v/>
      </c>
      <c r="Z91" s="138" t="e">
        <f t="shared" ca="1" si="4"/>
        <v>#N/A</v>
      </c>
      <c r="AA91" s="138" t="str">
        <f t="shared" ca="1" si="12"/>
        <v/>
      </c>
      <c r="AB91" s="138" t="str">
        <f t="shared" ca="1" si="13"/>
        <v/>
      </c>
      <c r="AC91" s="116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329"/>
      <c r="C92" s="138" t="s">
        <v>1013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0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S92" s="138" t="s">
        <v>250</v>
      </c>
      <c r="T92" s="138">
        <v>368</v>
      </c>
      <c r="U92" s="138">
        <f t="shared" si="39"/>
        <v>0</v>
      </c>
      <c r="V92" s="329">
        <f t="shared" si="73"/>
        <v>0</v>
      </c>
      <c r="W92" s="138" t="e">
        <f t="shared" ca="1" si="74"/>
        <v>#N/A</v>
      </c>
      <c r="X92" s="138" t="str">
        <f t="shared" ref="X92:Y92" ca="1" si="77">IFERROR(W92+MATCH(1,OFFSET($C92,0,W92+1,1,15-W92),0),"")</f>
        <v/>
      </c>
      <c r="Y92" s="138" t="str">
        <f t="shared" ca="1" si="77"/>
        <v/>
      </c>
      <c r="Z92" s="138" t="e">
        <f t="shared" ca="1" si="4"/>
        <v>#N/A</v>
      </c>
      <c r="AA92" s="138" t="str">
        <f t="shared" ca="1" si="12"/>
        <v/>
      </c>
      <c r="AB92" s="138" t="str">
        <f t="shared" ca="1" si="13"/>
        <v/>
      </c>
      <c r="AC92" s="116" t="str">
        <f t="shared" si="76"/>
        <v/>
      </c>
    </row>
    <row r="93" spans="2:29" x14ac:dyDescent="0.25">
      <c r="C93" s="138" t="s">
        <v>1014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S93" s="138" t="s">
        <v>250</v>
      </c>
      <c r="T93" s="138">
        <v>369</v>
      </c>
      <c r="U93" s="138">
        <f t="shared" si="39"/>
        <v>0</v>
      </c>
      <c r="V93" s="329">
        <f t="shared" si="73"/>
        <v>0</v>
      </c>
      <c r="W93" s="138" t="e">
        <f t="shared" ca="1" si="74"/>
        <v>#N/A</v>
      </c>
      <c r="X93" s="138" t="str">
        <f t="shared" ref="X93:Y93" ca="1" si="78">IFERROR(W93+MATCH(1,OFFSET($C93,0,W93+1,1,15-W93),0),"")</f>
        <v/>
      </c>
      <c r="Y93" s="138" t="str">
        <f t="shared" ca="1" si="78"/>
        <v/>
      </c>
      <c r="Z93" s="138" t="e">
        <f t="shared" ca="1" si="4"/>
        <v>#N/A</v>
      </c>
      <c r="AA93" s="138" t="str">
        <f t="shared" ca="1" si="12"/>
        <v/>
      </c>
      <c r="AB93" s="138" t="str">
        <f t="shared" ca="1" si="13"/>
        <v/>
      </c>
      <c r="AC93" s="116" t="str">
        <f t="shared" si="76"/>
        <v/>
      </c>
    </row>
    <row r="94" spans="2:29" x14ac:dyDescent="0.25">
      <c r="C94" s="138" t="s">
        <v>1015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S94" s="138" t="s">
        <v>250</v>
      </c>
      <c r="T94" s="138">
        <v>370</v>
      </c>
      <c r="U94" s="138">
        <f t="shared" si="39"/>
        <v>0</v>
      </c>
      <c r="V94" s="329">
        <f t="shared" si="73"/>
        <v>0</v>
      </c>
      <c r="W94" s="138" t="e">
        <f t="shared" ca="1" si="74"/>
        <v>#N/A</v>
      </c>
      <c r="X94" s="138" t="str">
        <f t="shared" ref="X94:Y94" ca="1" si="79">IFERROR(W94+MATCH(1,OFFSET($C94,0,W94+1,1,15-W94),0),"")</f>
        <v/>
      </c>
      <c r="Y94" s="138" t="str">
        <f t="shared" ca="1" si="79"/>
        <v/>
      </c>
      <c r="Z94" s="138" t="e">
        <f t="shared" ca="1" si="4"/>
        <v>#N/A</v>
      </c>
      <c r="AA94" s="138" t="str">
        <f t="shared" ca="1" si="12"/>
        <v/>
      </c>
      <c r="AB94" s="138" t="str">
        <f t="shared" ca="1" si="13"/>
        <v/>
      </c>
      <c r="AC94" s="116" t="str">
        <f t="shared" si="76"/>
        <v/>
      </c>
    </row>
    <row r="95" spans="2:29" x14ac:dyDescent="0.25">
      <c r="C95" s="138" t="s">
        <v>974</v>
      </c>
      <c r="D95" s="331">
        <v>0</v>
      </c>
      <c r="E95" s="331">
        <v>0</v>
      </c>
      <c r="F95" s="331">
        <v>1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S95" s="138" t="s">
        <v>250</v>
      </c>
      <c r="T95" s="138">
        <v>371</v>
      </c>
      <c r="U95" s="138">
        <f t="shared" si="39"/>
        <v>1</v>
      </c>
      <c r="V95" s="329">
        <f t="shared" si="73"/>
        <v>1</v>
      </c>
      <c r="W95" s="138">
        <f t="shared" ca="1" si="74"/>
        <v>3</v>
      </c>
      <c r="X95" s="138" t="str">
        <f t="shared" ref="X95:Y95" ca="1" si="80">IFERROR(W95+MATCH(1,OFFSET($C95,0,W95+1,1,15-W95),0),"")</f>
        <v/>
      </c>
      <c r="Y95" s="138" t="str">
        <f t="shared" ca="1" si="80"/>
        <v/>
      </c>
      <c r="Z95" s="138" t="str">
        <f t="shared" ca="1" si="4"/>
        <v>Decorative/Display</v>
      </c>
      <c r="AA95" s="138" t="str">
        <f t="shared" ca="1" si="12"/>
        <v/>
      </c>
      <c r="AB95" s="138" t="str">
        <f t="shared" ca="1" si="13"/>
        <v/>
      </c>
      <c r="AC95" s="116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s="138" t="s">
        <v>975</v>
      </c>
      <c r="D96" s="331">
        <v>0</v>
      </c>
      <c r="E96" s="331">
        <v>0</v>
      </c>
      <c r="F96" s="331">
        <v>1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0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S96" s="138" t="s">
        <v>250</v>
      </c>
      <c r="T96" s="138">
        <v>372</v>
      </c>
      <c r="U96" s="138">
        <f t="shared" si="39"/>
        <v>1</v>
      </c>
      <c r="V96" s="329">
        <f t="shared" si="73"/>
        <v>1</v>
      </c>
      <c r="W96" s="138">
        <f t="shared" ca="1" si="74"/>
        <v>3</v>
      </c>
      <c r="X96" s="138" t="str">
        <f t="shared" ref="X96:Y96" ca="1" si="81">IFERROR(W96+MATCH(1,OFFSET($C96,0,W96+1,1,15-W96),0),"")</f>
        <v/>
      </c>
      <c r="Y96" s="138" t="str">
        <f t="shared" ca="1" si="81"/>
        <v/>
      </c>
      <c r="Z96" s="138" t="str">
        <f t="shared" ca="1" si="4"/>
        <v>Decorative/Display</v>
      </c>
      <c r="AA96" s="138" t="str">
        <f t="shared" ref="AA96:AA105" ca="1" si="82">IF(X96&lt;&gt;"",OFFSET($C$9,15,X96),"")</f>
        <v/>
      </c>
      <c r="AB96" s="138" t="str">
        <f t="shared" ref="AB96:AB105" ca="1" si="83">IF(Y96&lt;&gt;"",OFFSET($C$9,15,Y96),"")</f>
        <v/>
      </c>
      <c r="AC96" s="11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329"/>
      <c r="C97" s="149" t="s">
        <v>976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0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373</v>
      </c>
      <c r="U97" s="139">
        <v>1</v>
      </c>
      <c r="V97" s="329">
        <f t="shared" si="73"/>
        <v>0</v>
      </c>
      <c r="W97" s="138" t="e">
        <f t="shared" ca="1" si="74"/>
        <v>#N/A</v>
      </c>
      <c r="X97" s="138" t="str">
        <f t="shared" ref="X97:Y97" ca="1" si="84">IFERROR(W97+MATCH(1,OFFSET($C97,0,W97+1,1,15-W97),0),"")</f>
        <v/>
      </c>
      <c r="Y97" s="138" t="str">
        <f t="shared" ca="1" si="84"/>
        <v/>
      </c>
      <c r="Z97" s="138" t="e">
        <f ca="1">OFFSET($C$9,15,MATCH(1,$D97:$R97,0))</f>
        <v>#N/A</v>
      </c>
      <c r="AA97" s="138" t="str">
        <f t="shared" ca="1" si="82"/>
        <v/>
      </c>
      <c r="AB97" s="138" t="str">
        <f t="shared" ca="1" si="83"/>
        <v/>
      </c>
      <c r="AC97" s="116" t="str">
        <f t="shared" si="76"/>
        <v/>
      </c>
    </row>
    <row r="98" spans="2:29" x14ac:dyDescent="0.25">
      <c r="B98" s="329"/>
      <c r="C98" s="149" t="s">
        <v>977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v>374</v>
      </c>
      <c r="U98" s="139">
        <v>1</v>
      </c>
      <c r="V98" s="329">
        <f t="shared" si="73"/>
        <v>1</v>
      </c>
      <c r="W98" s="138">
        <f t="shared" ca="1" si="74"/>
        <v>3</v>
      </c>
      <c r="X98" s="138" t="str">
        <f t="shared" ref="X98:Y98" ca="1" si="85">IFERROR(W98+MATCH(1,OFFSET($C98,0,W98+1,1,15-W98),0),"")</f>
        <v/>
      </c>
      <c r="Y98" s="138" t="str">
        <f t="shared" ca="1" si="85"/>
        <v/>
      </c>
      <c r="Z98" s="138" t="str">
        <f t="shared" ref="Z98:Z105" ca="1" si="86">OFFSET($C$9,15,MATCH(1,$D98:$R98,0))</f>
        <v>Decorative/Display</v>
      </c>
      <c r="AA98" s="138" t="str">
        <f t="shared" ca="1" si="82"/>
        <v/>
      </c>
      <c r="AB98" s="138" t="str">
        <f t="shared" ca="1" si="83"/>
        <v/>
      </c>
      <c r="AC98" s="116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329"/>
      <c r="C99" s="149" t="s">
        <v>935</v>
      </c>
      <c r="D99" s="331">
        <v>0</v>
      </c>
      <c r="E99" s="331">
        <v>0</v>
      </c>
      <c r="F99" s="331">
        <v>0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v>375</v>
      </c>
      <c r="U99" s="139">
        <v>1</v>
      </c>
      <c r="V99" s="329">
        <f t="shared" si="73"/>
        <v>0</v>
      </c>
      <c r="W99" s="138" t="e">
        <f t="shared" ca="1" si="74"/>
        <v>#N/A</v>
      </c>
      <c r="X99" s="138" t="str">
        <f t="shared" ref="X99:Y99" ca="1" si="87">IFERROR(W99+MATCH(1,OFFSET($C99,0,W99+1,1,15-W99),0),"")</f>
        <v/>
      </c>
      <c r="Y99" s="138" t="str">
        <f t="shared" ca="1" si="87"/>
        <v/>
      </c>
      <c r="Z99" s="138" t="e">
        <f t="shared" ca="1" si="86"/>
        <v>#N/A</v>
      </c>
      <c r="AA99" s="138" t="str">
        <f t="shared" ca="1" si="82"/>
        <v/>
      </c>
      <c r="AB99" s="138" t="str">
        <f t="shared" ca="1" si="83"/>
        <v/>
      </c>
      <c r="AC99" s="116" t="str">
        <f t="shared" si="76"/>
        <v/>
      </c>
    </row>
    <row r="100" spans="2:29" x14ac:dyDescent="0.25">
      <c r="B100" s="329"/>
      <c r="C100" s="149" t="s">
        <v>666</v>
      </c>
      <c r="D100" s="331">
        <v>0</v>
      </c>
      <c r="E100" s="331">
        <v>0</v>
      </c>
      <c r="F100" s="331">
        <v>0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0</v>
      </c>
      <c r="R100" s="331">
        <v>0</v>
      </c>
      <c r="S100" s="138" t="s">
        <v>250</v>
      </c>
      <c r="T100" s="139">
        <v>376</v>
      </c>
      <c r="U100" s="139">
        <v>1</v>
      </c>
      <c r="V100" s="329">
        <f t="shared" si="73"/>
        <v>0</v>
      </c>
      <c r="W100" s="138" t="e">
        <f t="shared" ca="1" si="74"/>
        <v>#N/A</v>
      </c>
      <c r="X100" s="138" t="str">
        <f t="shared" ref="X100:Y100" ca="1" si="88">IFERROR(W100+MATCH(1,OFFSET($C100,0,W100+1,1,15-W100),0),"")</f>
        <v/>
      </c>
      <c r="Y100" s="138" t="str">
        <f t="shared" ca="1" si="88"/>
        <v/>
      </c>
      <c r="Z100" s="138" t="e">
        <f t="shared" ca="1" si="86"/>
        <v>#N/A</v>
      </c>
      <c r="AA100" s="138" t="str">
        <f t="shared" ca="1" si="82"/>
        <v/>
      </c>
      <c r="AB100" s="138" t="str">
        <f t="shared" ca="1" si="83"/>
        <v/>
      </c>
      <c r="AC100" s="116" t="str">
        <f t="shared" si="76"/>
        <v/>
      </c>
    </row>
    <row r="101" spans="2:29" x14ac:dyDescent="0.25">
      <c r="B101" s="329"/>
      <c r="C101" s="149" t="s">
        <v>667</v>
      </c>
      <c r="D101" s="331">
        <v>0</v>
      </c>
      <c r="E101" s="331">
        <v>0</v>
      </c>
      <c r="F101" s="331">
        <v>0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v>377</v>
      </c>
      <c r="U101" s="139">
        <v>1</v>
      </c>
      <c r="V101" s="329">
        <f t="shared" si="73"/>
        <v>0</v>
      </c>
      <c r="W101" s="138" t="e">
        <f t="shared" ca="1" si="74"/>
        <v>#N/A</v>
      </c>
      <c r="X101" s="138" t="str">
        <f t="shared" ref="X101:Y101" ca="1" si="89">IFERROR(W101+MATCH(1,OFFSET($C101,0,W101+1,1,15-W101),0),"")</f>
        <v/>
      </c>
      <c r="Y101" s="138" t="str">
        <f t="shared" ca="1" si="89"/>
        <v/>
      </c>
      <c r="Z101" s="138" t="e">
        <f t="shared" ca="1" si="86"/>
        <v>#N/A</v>
      </c>
      <c r="AA101" s="138" t="str">
        <f t="shared" ca="1" si="82"/>
        <v/>
      </c>
      <c r="AB101" s="138" t="str">
        <f t="shared" ca="1" si="83"/>
        <v/>
      </c>
      <c r="AC101" s="116" t="str">
        <f t="shared" si="76"/>
        <v/>
      </c>
    </row>
    <row r="102" spans="2:29" x14ac:dyDescent="0.25">
      <c r="C102" s="149" t="s">
        <v>668</v>
      </c>
      <c r="D102" s="331">
        <v>0</v>
      </c>
      <c r="E102" s="331">
        <v>0</v>
      </c>
      <c r="F102" s="331">
        <v>0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1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v>378</v>
      </c>
      <c r="U102" s="139">
        <v>1</v>
      </c>
      <c r="V102" s="329">
        <f t="shared" si="73"/>
        <v>1</v>
      </c>
      <c r="W102" s="138">
        <f t="shared" ca="1" si="74"/>
        <v>9</v>
      </c>
      <c r="X102" s="138" t="str">
        <f t="shared" ref="X102:Y102" ca="1" si="90">IFERROR(W102+MATCH(1,OFFSET($C102,0,W102+1,1,15-W102),0),"")</f>
        <v/>
      </c>
      <c r="Y102" s="138" t="str">
        <f t="shared" ca="1" si="90"/>
        <v/>
      </c>
      <c r="Z102" s="138" t="str">
        <f t="shared" ca="1" si="86"/>
        <v>VideoconferencingStudioLighting</v>
      </c>
      <c r="AA102" s="138" t="str">
        <f t="shared" ca="1" si="82"/>
        <v/>
      </c>
      <c r="AB102" s="138" t="str">
        <f t="shared" ca="1" si="83"/>
        <v/>
      </c>
      <c r="AC102" s="116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49" t="s">
        <v>936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0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v>301</v>
      </c>
      <c r="U103" s="139">
        <v>1</v>
      </c>
      <c r="V103" s="329">
        <f t="shared" si="73"/>
        <v>0</v>
      </c>
      <c r="W103" s="138" t="e">
        <f t="shared" ca="1" si="74"/>
        <v>#N/A</v>
      </c>
      <c r="X103" s="138" t="str">
        <f t="shared" ref="X103:Y103" ca="1" si="91">IFERROR(W103+MATCH(1,OFFSET($C103,0,W103+1,1,15-W103),0),"")</f>
        <v/>
      </c>
      <c r="Y103" s="138" t="str">
        <f t="shared" ca="1" si="91"/>
        <v/>
      </c>
      <c r="Z103" s="138" t="e">
        <f t="shared" ca="1" si="86"/>
        <v>#N/A</v>
      </c>
      <c r="AA103" s="138" t="str">
        <f t="shared" ca="1" si="82"/>
        <v/>
      </c>
      <c r="AB103" s="138" t="str">
        <f t="shared" ca="1" si="83"/>
        <v/>
      </c>
      <c r="AC103" s="116" t="str">
        <f t="shared" si="76"/>
        <v/>
      </c>
    </row>
    <row r="104" spans="2:29" x14ac:dyDescent="0.25">
      <c r="C104" s="149" t="s">
        <v>1074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v>379</v>
      </c>
      <c r="U104" s="139">
        <v>0</v>
      </c>
      <c r="V104" s="329">
        <f t="shared" si="73"/>
        <v>0</v>
      </c>
      <c r="W104" s="138" t="e">
        <f t="shared" ca="1" si="74"/>
        <v>#N/A</v>
      </c>
      <c r="X104" s="138" t="str">
        <f t="shared" ref="X104:Y104" ca="1" si="92">IFERROR(W104+MATCH(1,OFFSET($C104,0,W104+1,1,15-W104),0),"")</f>
        <v/>
      </c>
      <c r="Y104" s="138" t="str">
        <f t="shared" ca="1" si="92"/>
        <v/>
      </c>
      <c r="Z104" s="138" t="e">
        <f t="shared" ca="1" si="86"/>
        <v>#N/A</v>
      </c>
      <c r="AA104" s="138" t="str">
        <f t="shared" ca="1" si="82"/>
        <v/>
      </c>
      <c r="AB104" s="138" t="str">
        <f t="shared" ca="1" si="83"/>
        <v/>
      </c>
      <c r="AC104" s="116" t="str">
        <f t="shared" si="76"/>
        <v/>
      </c>
    </row>
    <row r="105" spans="2:29" x14ac:dyDescent="0.25">
      <c r="B105" s="329"/>
      <c r="C105" s="138" t="s">
        <v>1075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380</v>
      </c>
      <c r="U105" s="138">
        <f>IF(SUM(D105:P105)&gt;0,1,0)</f>
        <v>0</v>
      </c>
      <c r="V105" s="329">
        <f t="shared" si="73"/>
        <v>0</v>
      </c>
      <c r="W105" s="138" t="e">
        <f t="shared" ca="1" si="74"/>
        <v>#N/A</v>
      </c>
      <c r="X105" s="138" t="str">
        <f t="shared" ref="X105:Y105" ca="1" si="93">IFERROR(W105+MATCH(1,OFFSET($C105,0,W105+1,1,15-W105),0),"")</f>
        <v/>
      </c>
      <c r="Y105" s="138" t="str">
        <f t="shared" ca="1" si="93"/>
        <v/>
      </c>
      <c r="Z105" s="138" t="e">
        <f t="shared" ca="1" si="86"/>
        <v>#N/A</v>
      </c>
      <c r="AA105" s="138" t="str">
        <f t="shared" ca="1" si="82"/>
        <v/>
      </c>
      <c r="AB105" s="138" t="str">
        <f t="shared" ca="1" si="83"/>
        <v/>
      </c>
      <c r="AC105" s="116" t="str">
        <f t="shared" si="76"/>
        <v/>
      </c>
    </row>
    <row r="106" spans="2:29" x14ac:dyDescent="0.25">
      <c r="B106" s="138" t="s">
        <v>245</v>
      </c>
      <c r="V106" s="329"/>
      <c r="AC106" s="116"/>
    </row>
    <row r="107" spans="2:29" x14ac:dyDescent="0.25">
      <c r="C107" s="149"/>
      <c r="D107" s="331"/>
      <c r="E107" s="331"/>
      <c r="F107" s="331"/>
      <c r="G107" s="331"/>
      <c r="H107" s="331"/>
      <c r="I107" s="331"/>
      <c r="J107" s="331"/>
      <c r="K107" s="331"/>
      <c r="L107" s="331"/>
      <c r="M107" s="331"/>
      <c r="N107" s="331"/>
      <c r="O107" s="331"/>
      <c r="P107" s="331"/>
      <c r="Q107" s="331"/>
      <c r="R107" s="331"/>
      <c r="V107" s="329"/>
      <c r="AC107" s="116"/>
    </row>
    <row r="108" spans="2:29" x14ac:dyDescent="0.25">
      <c r="C108" s="149"/>
      <c r="D108" s="331"/>
      <c r="E108" s="331"/>
      <c r="F108" s="331"/>
      <c r="G108" s="331"/>
      <c r="H108" s="331"/>
      <c r="I108" s="331"/>
      <c r="J108" s="331"/>
      <c r="K108" s="331"/>
      <c r="L108" s="331"/>
      <c r="M108" s="331"/>
      <c r="N108" s="331"/>
      <c r="O108" s="331"/>
      <c r="P108" s="331"/>
      <c r="Q108" s="331"/>
      <c r="R108" s="331"/>
      <c r="T108" s="139"/>
      <c r="U108" s="139"/>
      <c r="V108" s="139"/>
      <c r="AC108" s="116"/>
    </row>
    <row r="109" spans="2:29" x14ac:dyDescent="0.25">
      <c r="C109" s="149"/>
      <c r="D109" s="331"/>
      <c r="E109" s="331"/>
      <c r="F109" s="331"/>
      <c r="G109" s="331"/>
      <c r="H109" s="331"/>
      <c r="I109" s="331"/>
      <c r="J109" s="331"/>
      <c r="K109" s="331"/>
      <c r="L109" s="331"/>
      <c r="M109" s="331"/>
      <c r="N109" s="331"/>
      <c r="O109" s="331"/>
      <c r="P109" s="331"/>
      <c r="Q109" s="331"/>
      <c r="R109" s="331"/>
      <c r="T109" s="139"/>
      <c r="U109" s="139"/>
      <c r="V109" s="139"/>
      <c r="AC109" s="116"/>
    </row>
    <row r="110" spans="2:29" x14ac:dyDescent="0.25">
      <c r="C110" s="149"/>
      <c r="D110" s="331"/>
      <c r="E110" s="331"/>
      <c r="F110" s="331"/>
      <c r="G110" s="331"/>
      <c r="H110" s="331"/>
      <c r="I110" s="331"/>
      <c r="J110" s="331"/>
      <c r="K110" s="331"/>
      <c r="L110" s="331"/>
      <c r="M110" s="331"/>
      <c r="N110" s="331"/>
      <c r="O110" s="331"/>
      <c r="P110" s="331"/>
      <c r="Q110" s="331"/>
      <c r="R110" s="331"/>
      <c r="T110" s="139"/>
      <c r="U110" s="139"/>
      <c r="V110" s="139"/>
      <c r="AC110" s="116"/>
    </row>
    <row r="111" spans="2:29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C111" s="116"/>
    </row>
    <row r="112" spans="2:29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C112" s="116"/>
    </row>
    <row r="113" spans="3:29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C113" s="116"/>
    </row>
    <row r="114" spans="3:29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W114" s="139"/>
      <c r="X114" s="139"/>
      <c r="Y114" s="139"/>
      <c r="AC114" s="116"/>
    </row>
    <row r="115" spans="3:29" x14ac:dyDescent="0.25">
      <c r="D115" s="331"/>
      <c r="E115" s="331"/>
      <c r="F115" s="332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AC115" s="116"/>
    </row>
  </sheetData>
  <autoFilter ref="A25:V106" xr:uid="{48B3A7D7-CEBA-4AA5-A817-AEA9D94D14BF}"/>
  <conditionalFormatting sqref="T59 D26:N96 P26:R96 T50">
    <cfRule type="expression" dxfId="31" priority="12">
      <formula>D26&gt;0</formula>
    </cfRule>
  </conditionalFormatting>
  <conditionalFormatting sqref="O26:O96">
    <cfRule type="expression" dxfId="30" priority="11">
      <formula>O26&gt;0</formula>
    </cfRule>
  </conditionalFormatting>
  <conditionalFormatting sqref="K26:R33">
    <cfRule type="expression" dxfId="29" priority="10">
      <formula>K26&gt;0</formula>
    </cfRule>
  </conditionalFormatting>
  <conditionalFormatting sqref="D26:J33">
    <cfRule type="expression" dxfId="28" priority="9">
      <formula>D26&gt;0</formula>
    </cfRule>
  </conditionalFormatting>
  <conditionalFormatting sqref="D115:N115 P115:R115">
    <cfRule type="expression" dxfId="27" priority="8">
      <formula>D115&gt;0</formula>
    </cfRule>
  </conditionalFormatting>
  <conditionalFormatting sqref="O115">
    <cfRule type="expression" dxfId="26" priority="7">
      <formula>O115&gt;0</formula>
    </cfRule>
  </conditionalFormatting>
  <conditionalFormatting sqref="K107:R114">
    <cfRule type="expression" dxfId="25" priority="6">
      <formula>K107&gt;0</formula>
    </cfRule>
  </conditionalFormatting>
  <conditionalFormatting sqref="D107:J114">
    <cfRule type="expression" dxfId="24" priority="5">
      <formula>D107&gt;0</formula>
    </cfRule>
  </conditionalFormatting>
  <conditionalFormatting sqref="D105:N105 P105:R105">
    <cfRule type="expression" dxfId="23" priority="4">
      <formula>D105&gt;0</formula>
    </cfRule>
  </conditionalFormatting>
  <conditionalFormatting sqref="O105">
    <cfRule type="expression" dxfId="22" priority="3">
      <formula>O105&gt;0</formula>
    </cfRule>
  </conditionalFormatting>
  <conditionalFormatting sqref="K97:R104">
    <cfRule type="expression" dxfId="21" priority="2">
      <formula>K97&gt;0</formula>
    </cfRule>
  </conditionalFormatting>
  <conditionalFormatting sqref="D97:J104">
    <cfRule type="expression" dxfId="20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59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40625" defaultRowHeight="12.75" x14ac:dyDescent="0.25"/>
  <cols>
    <col min="1" max="1" width="56.5703125" style="374" customWidth="1"/>
    <col min="2" max="2" width="30.140625" style="374" customWidth="1"/>
    <col min="3" max="5" width="17.28515625" style="374" customWidth="1"/>
    <col min="6" max="6" width="38" style="374" customWidth="1"/>
    <col min="7" max="11" width="9.140625" style="374"/>
    <col min="12" max="12" width="28.7109375" style="374" customWidth="1"/>
    <col min="13" max="16384" width="9.140625" style="374"/>
  </cols>
  <sheetData>
    <row r="1" spans="1:14" x14ac:dyDescent="0.2">
      <c r="F1" s="375" t="s">
        <v>986</v>
      </c>
      <c r="G1" s="376"/>
      <c r="H1" s="376"/>
      <c r="I1" s="376"/>
    </row>
    <row r="2" spans="1:14" x14ac:dyDescent="0.2">
      <c r="F2" s="376"/>
      <c r="G2" s="376"/>
      <c r="H2" s="376"/>
      <c r="I2" s="376"/>
    </row>
    <row r="3" spans="1:14" x14ac:dyDescent="0.2">
      <c r="B3" s="377"/>
      <c r="F3" s="378" t="s">
        <v>1080</v>
      </c>
      <c r="G3" s="378" t="s">
        <v>1081</v>
      </c>
      <c r="H3" s="378" t="s">
        <v>1082</v>
      </c>
      <c r="I3" s="378" t="str">
        <f>CHAR(10)</f>
        <v xml:space="preserve">
</v>
      </c>
    </row>
    <row r="4" spans="1:14" x14ac:dyDescent="0.2">
      <c r="F4" s="379" t="s">
        <v>988</v>
      </c>
      <c r="G4" s="379" t="s">
        <v>1083</v>
      </c>
      <c r="H4" s="378" t="s">
        <v>1084</v>
      </c>
      <c r="I4" s="378"/>
    </row>
    <row r="5" spans="1:14" x14ac:dyDescent="0.2">
      <c r="F5" s="379" t="s">
        <v>991</v>
      </c>
      <c r="G5" s="379" t="s">
        <v>1085</v>
      </c>
      <c r="H5" s="379"/>
      <c r="I5" s="378"/>
    </row>
    <row r="6" spans="1:14" x14ac:dyDescent="0.2">
      <c r="A6" s="380" t="s">
        <v>1086</v>
      </c>
      <c r="B6" s="380" t="s">
        <v>1087</v>
      </c>
      <c r="C6" s="374" t="s">
        <v>1088</v>
      </c>
      <c r="D6" s="374" t="s">
        <v>1089</v>
      </c>
      <c r="F6" s="381"/>
      <c r="G6" s="381"/>
      <c r="H6" s="381"/>
      <c r="I6" s="381"/>
    </row>
    <row r="7" spans="1:14" x14ac:dyDescent="0.2">
      <c r="A7" s="374" t="s">
        <v>1090</v>
      </c>
      <c r="B7" s="374" t="s">
        <v>1091</v>
      </c>
      <c r="F7" s="376" t="s">
        <v>1092</v>
      </c>
      <c r="G7" s="376"/>
      <c r="H7" s="376"/>
      <c r="I7" s="376"/>
    </row>
    <row r="8" spans="1:14" x14ac:dyDescent="0.2">
      <c r="A8" s="374" t="s">
        <v>1018</v>
      </c>
      <c r="B8" s="382" t="s">
        <v>1093</v>
      </c>
      <c r="C8" s="374">
        <f>INDEX('[2]For CSV - 2022 SpcFuncData'!$AN$5:$AN$89,MATCH($A8,'[2]For CSV - 2022 SpcFuncData'!$B$5:$B$89,0))</f>
        <v>302</v>
      </c>
      <c r="D8" s="374">
        <f t="shared" ref="D8:D71" si="0">VLOOKUP(B8,$L$8:$M$23,2,0)</f>
        <v>0</v>
      </c>
      <c r="E8" s="374">
        <f>IF(A8&lt;&gt;A7,1,IF(A8&lt;&gt;A6,2,3))</f>
        <v>1</v>
      </c>
      <c r="F8" s="376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376"/>
      <c r="H8" s="376"/>
      <c r="I8" s="376"/>
      <c r="L8" s="374" t="str">
        <f>"- none specified -"</f>
        <v>- none specified -</v>
      </c>
      <c r="M8" s="374">
        <v>0</v>
      </c>
      <c r="N8" s="374" t="s">
        <v>1196</v>
      </c>
    </row>
    <row r="9" spans="1:14" x14ac:dyDescent="0.2">
      <c r="A9" s="374" t="s">
        <v>1018</v>
      </c>
      <c r="B9" s="382" t="s">
        <v>1093</v>
      </c>
      <c r="C9" s="374">
        <f>INDEX('[2]For CSV - 2022 SpcFuncData'!$AN$5:$AN$89,MATCH($A9,'[2]For CSV - 2022 SpcFuncData'!$B$5:$B$89,0))</f>
        <v>302</v>
      </c>
      <c r="D9" s="374">
        <f t="shared" si="0"/>
        <v>0</v>
      </c>
      <c r="E9" s="374">
        <f t="shared" ref="E9:E72" si="1">IF(A9&lt;&gt;A8,1,IF(A9&lt;&gt;A7,2,3))</f>
        <v>2</v>
      </c>
      <c r="F9" s="376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376" t="s">
        <v>983</v>
      </c>
      <c r="M9" s="374">
        <v>1</v>
      </c>
      <c r="N9" s="374">
        <f>COUNTIF($B$8:$B$329,L9)</f>
        <v>7</v>
      </c>
    </row>
    <row r="10" spans="1:14" x14ac:dyDescent="0.2">
      <c r="A10" s="374" t="s">
        <v>1018</v>
      </c>
      <c r="B10" s="382" t="s">
        <v>1093</v>
      </c>
      <c r="C10" s="374">
        <f>INDEX('[2]For CSV - 2022 SpcFuncData'!$AN$5:$AN$89,MATCH($A10,'[2]For CSV - 2022 SpcFuncData'!$B$5:$B$89,0))</f>
        <v>302</v>
      </c>
      <c r="D10" s="374">
        <f t="shared" si="0"/>
        <v>0</v>
      </c>
      <c r="E10" s="374">
        <f t="shared" si="1"/>
        <v>3</v>
      </c>
      <c r="F10" s="376" t="str">
        <f t="shared" si="2"/>
        <v>2,              0,     "- none specified -"</v>
      </c>
      <c r="L10" s="376" t="s">
        <v>429</v>
      </c>
      <c r="M10" s="374">
        <f>M9+1</f>
        <v>2</v>
      </c>
      <c r="N10" s="374">
        <f t="shared" ref="N10:N23" si="3">COUNTIF($B$8:$B$329,L10)</f>
        <v>2</v>
      </c>
    </row>
    <row r="11" spans="1:14" x14ac:dyDescent="0.2">
      <c r="A11" s="374" t="s">
        <v>1018</v>
      </c>
      <c r="B11" s="382" t="str">
        <f>'[2]For CSV - 2022 SpcFuncData'!L5</f>
        <v>Decorative/Display</v>
      </c>
      <c r="C11" s="374">
        <f>INDEX('[2]For CSV - 2022 SpcFuncData'!$AN$5:$AN$89,MATCH($A11,'[2]For CSV - 2022 SpcFuncData'!$B$5:$B$89,0))</f>
        <v>302</v>
      </c>
      <c r="D11" s="374">
        <f t="shared" si="0"/>
        <v>3</v>
      </c>
      <c r="E11" s="374">
        <f t="shared" si="1"/>
        <v>3</v>
      </c>
      <c r="F11" s="376" t="str">
        <f t="shared" si="2"/>
        <v>2,              3,     "Decorative/Display"</v>
      </c>
      <c r="L11" s="376" t="s">
        <v>1076</v>
      </c>
      <c r="M11" s="374">
        <f t="shared" ref="M11:M23" si="4">M10+1</f>
        <v>3</v>
      </c>
      <c r="N11" s="374">
        <f t="shared" si="3"/>
        <v>34</v>
      </c>
    </row>
    <row r="12" spans="1:14" x14ac:dyDescent="0.2">
      <c r="A12" s="374" t="s">
        <v>1019</v>
      </c>
      <c r="B12" s="382" t="s">
        <v>1093</v>
      </c>
      <c r="C12" s="374">
        <f>INDEX('[2]For CSV - 2022 SpcFuncData'!$AN$5:$AN$89,MATCH($A12,'[2]For CSV - 2022 SpcFuncData'!$B$5:$B$89,0))</f>
        <v>303</v>
      </c>
      <c r="D12" s="374">
        <f t="shared" si="0"/>
        <v>0</v>
      </c>
      <c r="E12" s="374">
        <f t="shared" si="1"/>
        <v>1</v>
      </c>
      <c r="F12" s="376" t="str">
        <f t="shared" si="2"/>
        <v>1,    IntLtgSys:IntLtgSpecMthd,   1,    0   ; AreaCategoryMethod</v>
      </c>
      <c r="L12" s="376" t="s">
        <v>996</v>
      </c>
      <c r="M12" s="374">
        <f t="shared" si="4"/>
        <v>4</v>
      </c>
      <c r="N12" s="374">
        <f t="shared" si="3"/>
        <v>1</v>
      </c>
    </row>
    <row r="13" spans="1:14" x14ac:dyDescent="0.2">
      <c r="A13" s="374" t="s">
        <v>1019</v>
      </c>
      <c r="B13" s="382" t="s">
        <v>1093</v>
      </c>
      <c r="C13" s="374">
        <f>INDEX('[2]For CSV - 2022 SpcFuncData'!$AN$5:$AN$89,MATCH($A13,'[2]For CSV - 2022 SpcFuncData'!$B$5:$B$89,0))</f>
        <v>303</v>
      </c>
      <c r="D13" s="374">
        <f t="shared" si="0"/>
        <v>0</v>
      </c>
      <c r="E13" s="374">
        <f t="shared" si="1"/>
        <v>2</v>
      </c>
      <c r="F13" s="376" t="str">
        <f t="shared" si="2"/>
        <v>1,    IntLtgSys:ParentSpcFunc,  303,    0   ; Aging Eye/Low-vision (Dining)</v>
      </c>
      <c r="L13" s="376" t="s">
        <v>424</v>
      </c>
      <c r="M13" s="374">
        <f t="shared" si="4"/>
        <v>5</v>
      </c>
      <c r="N13" s="374">
        <f t="shared" si="3"/>
        <v>1</v>
      </c>
    </row>
    <row r="14" spans="1:14" x14ac:dyDescent="0.2">
      <c r="A14" s="374" t="s">
        <v>1019</v>
      </c>
      <c r="B14" s="382" t="s">
        <v>1093</v>
      </c>
      <c r="C14" s="374">
        <f>INDEX('[2]For CSV - 2022 SpcFuncData'!$AN$5:$AN$89,MATCH($A14,'[2]For CSV - 2022 SpcFuncData'!$B$5:$B$89,0))</f>
        <v>303</v>
      </c>
      <c r="D14" s="374">
        <f t="shared" si="0"/>
        <v>0</v>
      </c>
      <c r="E14" s="374">
        <f t="shared" si="1"/>
        <v>3</v>
      </c>
      <c r="F14" s="376" t="str">
        <f t="shared" si="2"/>
        <v>2,              0,     "- none specified -"</v>
      </c>
      <c r="L14" s="376" t="s">
        <v>425</v>
      </c>
      <c r="M14" s="374">
        <f t="shared" si="4"/>
        <v>6</v>
      </c>
      <c r="N14" s="374">
        <f t="shared" si="3"/>
        <v>0</v>
      </c>
    </row>
    <row r="15" spans="1:14" x14ac:dyDescent="0.2">
      <c r="A15" s="374" t="s">
        <v>1019</v>
      </c>
      <c r="B15" s="382" t="s">
        <v>1076</v>
      </c>
      <c r="C15" s="374">
        <f>INDEX('[2]For CSV - 2022 SpcFuncData'!$AN$5:$AN$89,MATCH($A15,'[2]For CSV - 2022 SpcFuncData'!$B$5:$B$89,0))</f>
        <v>303</v>
      </c>
      <c r="D15" s="374">
        <f t="shared" si="0"/>
        <v>3</v>
      </c>
      <c r="E15" s="374">
        <f t="shared" si="1"/>
        <v>3</v>
      </c>
      <c r="F15" s="376" t="str">
        <f t="shared" si="2"/>
        <v>2,              3,     "Decorative/Display"</v>
      </c>
      <c r="L15" s="376" t="s">
        <v>1046</v>
      </c>
      <c r="M15" s="374">
        <f t="shared" si="4"/>
        <v>7</v>
      </c>
      <c r="N15" s="374">
        <f t="shared" si="3"/>
        <v>0</v>
      </c>
    </row>
    <row r="16" spans="1:14" x14ac:dyDescent="0.2">
      <c r="A16" s="374" t="s">
        <v>1019</v>
      </c>
      <c r="B16" s="382" t="s">
        <v>1017</v>
      </c>
      <c r="C16" s="374">
        <f>INDEX('[2]For CSV - 2022 SpcFuncData'!$AN$5:$AN$89,MATCH($A16,'[2]For CSV - 2022 SpcFuncData'!$B$5:$B$89,0))</f>
        <v>303</v>
      </c>
      <c r="D16" s="374">
        <f t="shared" si="0"/>
        <v>15</v>
      </c>
      <c r="E16" s="374">
        <f t="shared" si="1"/>
        <v>3</v>
      </c>
      <c r="F16" s="376" t="str">
        <f t="shared" si="2"/>
        <v>2,              15,     "TunableWhiteOrDimToWarm"</v>
      </c>
      <c r="L16" s="376" t="s">
        <v>1077</v>
      </c>
      <c r="M16" s="374">
        <f t="shared" si="4"/>
        <v>8</v>
      </c>
      <c r="N16" s="374">
        <f t="shared" si="3"/>
        <v>0</v>
      </c>
    </row>
    <row r="17" spans="1:14" x14ac:dyDescent="0.2">
      <c r="A17" s="374" t="s">
        <v>1065</v>
      </c>
      <c r="B17" s="382" t="s">
        <v>1093</v>
      </c>
      <c r="C17" s="374">
        <f>INDEX('[2]For CSV - 2022 SpcFuncData'!$AN$5:$AN$89,MATCH($A17,'[2]For CSV - 2022 SpcFuncData'!$B$5:$B$89,0))</f>
        <v>304</v>
      </c>
      <c r="D17" s="374">
        <f t="shared" si="0"/>
        <v>0</v>
      </c>
      <c r="E17" s="374">
        <f t="shared" si="1"/>
        <v>1</v>
      </c>
      <c r="F17" s="376" t="str">
        <f t="shared" si="2"/>
        <v>1,    IntLtgSys:IntLtgSpecMthd,   1,    0   ; AreaCategoryMethod</v>
      </c>
      <c r="L17" s="376" t="s">
        <v>432</v>
      </c>
      <c r="M17" s="374">
        <f t="shared" si="4"/>
        <v>9</v>
      </c>
      <c r="N17" s="374">
        <f t="shared" si="3"/>
        <v>1</v>
      </c>
    </row>
    <row r="18" spans="1:14" x14ac:dyDescent="0.2">
      <c r="A18" s="374" t="s">
        <v>1065</v>
      </c>
      <c r="B18" s="382" t="s">
        <v>1093</v>
      </c>
      <c r="C18" s="374">
        <f>INDEX('[2]For CSV - 2022 SpcFuncData'!$AN$5:$AN$89,MATCH($A18,'[2]For CSV - 2022 SpcFuncData'!$B$5:$B$89,0))</f>
        <v>304</v>
      </c>
      <c r="D18" s="374">
        <f t="shared" si="0"/>
        <v>0</v>
      </c>
      <c r="E18" s="374">
        <f t="shared" si="1"/>
        <v>2</v>
      </c>
      <c r="F18" s="376" t="str">
        <f t="shared" si="2"/>
        <v>1,    IntLtgSys:ParentSpcFunc,  304,    0   ; Aging Eye/Low-vision (Lobby, Main Entry)</v>
      </c>
      <c r="L18" s="376" t="s">
        <v>1197</v>
      </c>
      <c r="M18" s="374">
        <f t="shared" si="4"/>
        <v>10</v>
      </c>
      <c r="N18" s="374">
        <f t="shared" si="3"/>
        <v>1</v>
      </c>
    </row>
    <row r="19" spans="1:14" x14ac:dyDescent="0.2">
      <c r="A19" s="374" t="s">
        <v>1065</v>
      </c>
      <c r="B19" s="382" t="s">
        <v>1093</v>
      </c>
      <c r="C19" s="374">
        <f>INDEX('[2]For CSV - 2022 SpcFuncData'!$AN$5:$AN$89,MATCH($A19,'[2]For CSV - 2022 SpcFuncData'!$B$5:$B$89,0))</f>
        <v>304</v>
      </c>
      <c r="D19" s="374">
        <f t="shared" si="0"/>
        <v>0</v>
      </c>
      <c r="E19" s="374">
        <f t="shared" si="1"/>
        <v>3</v>
      </c>
      <c r="F19" s="376" t="str">
        <f t="shared" si="2"/>
        <v>2,              0,     "- none specified -"</v>
      </c>
      <c r="L19" s="376" t="s">
        <v>1195</v>
      </c>
      <c r="M19" s="374">
        <f t="shared" si="4"/>
        <v>11</v>
      </c>
      <c r="N19" s="374">
        <f t="shared" si="3"/>
        <v>2</v>
      </c>
    </row>
    <row r="20" spans="1:14" x14ac:dyDescent="0.2">
      <c r="A20" s="374" t="s">
        <v>1065</v>
      </c>
      <c r="B20" s="382" t="s">
        <v>1076</v>
      </c>
      <c r="C20" s="374">
        <f>INDEX('[2]For CSV - 2022 SpcFuncData'!$AN$5:$AN$89,MATCH($A20,'[2]For CSV - 2022 SpcFuncData'!$B$5:$B$89,0))</f>
        <v>304</v>
      </c>
      <c r="D20" s="374">
        <f t="shared" si="0"/>
        <v>3</v>
      </c>
      <c r="E20" s="374">
        <f t="shared" si="1"/>
        <v>3</v>
      </c>
      <c r="F20" s="376" t="str">
        <f t="shared" si="2"/>
        <v>2,              3,     "Decorative/Display"</v>
      </c>
      <c r="L20" s="376" t="s">
        <v>1010</v>
      </c>
      <c r="M20" s="374">
        <f t="shared" si="4"/>
        <v>12</v>
      </c>
      <c r="N20" s="374">
        <f t="shared" si="3"/>
        <v>1</v>
      </c>
    </row>
    <row r="21" spans="1:14" x14ac:dyDescent="0.2">
      <c r="A21" s="374" t="s">
        <v>1065</v>
      </c>
      <c r="B21" s="382" t="s">
        <v>1016</v>
      </c>
      <c r="C21" s="374">
        <f>INDEX('[2]For CSV - 2022 SpcFuncData'!$AN$5:$AN$89,MATCH($A21,'[2]For CSV - 2022 SpcFuncData'!$B$5:$B$89,0))</f>
        <v>304</v>
      </c>
      <c r="D21" s="374">
        <f t="shared" si="0"/>
        <v>14</v>
      </c>
      <c r="E21" s="374">
        <f t="shared" si="1"/>
        <v>3</v>
      </c>
      <c r="F21" s="376" t="str">
        <f t="shared" si="2"/>
        <v>2,              14,     "TransitionLightingOffAtNight"</v>
      </c>
      <c r="L21" s="376" t="s">
        <v>1011</v>
      </c>
      <c r="M21" s="374">
        <f t="shared" si="4"/>
        <v>13</v>
      </c>
      <c r="N21" s="374">
        <f t="shared" si="3"/>
        <v>1</v>
      </c>
    </row>
    <row r="22" spans="1:14" x14ac:dyDescent="0.2">
      <c r="A22" s="374" t="s">
        <v>1065</v>
      </c>
      <c r="B22" s="382" t="s">
        <v>1017</v>
      </c>
      <c r="C22" s="374">
        <f>INDEX('[2]For CSV - 2022 SpcFuncData'!$AN$5:$AN$89,MATCH($A22,'[2]For CSV - 2022 SpcFuncData'!$B$5:$B$89,0))</f>
        <v>304</v>
      </c>
      <c r="D22" s="374">
        <f t="shared" si="0"/>
        <v>15</v>
      </c>
      <c r="E22" s="374">
        <f t="shared" si="1"/>
        <v>3</v>
      </c>
      <c r="F22" s="376" t="str">
        <f t="shared" si="2"/>
        <v>2,              15,     "TunableWhiteOrDimToWarm"</v>
      </c>
      <c r="L22" s="376" t="s">
        <v>1016</v>
      </c>
      <c r="M22" s="374">
        <f t="shared" si="4"/>
        <v>14</v>
      </c>
      <c r="N22" s="374">
        <f t="shared" si="3"/>
        <v>1</v>
      </c>
    </row>
    <row r="23" spans="1:14" x14ac:dyDescent="0.2">
      <c r="A23" s="374" t="s">
        <v>1020</v>
      </c>
      <c r="B23" s="382" t="s">
        <v>1093</v>
      </c>
      <c r="C23" s="374">
        <f>INDEX('[2]For CSV - 2022 SpcFuncData'!$AN$5:$AN$89,MATCH($A23,'[2]For CSV - 2022 SpcFuncData'!$B$5:$B$89,0))</f>
        <v>305</v>
      </c>
      <c r="D23" s="374">
        <f t="shared" si="0"/>
        <v>0</v>
      </c>
      <c r="E23" s="374">
        <f t="shared" si="1"/>
        <v>1</v>
      </c>
      <c r="F23" s="376" t="str">
        <f t="shared" si="2"/>
        <v>1,    IntLtgSys:IntLtgSpecMthd,   1,    0   ; AreaCategoryMethod</v>
      </c>
      <c r="L23" s="376" t="s">
        <v>1017</v>
      </c>
      <c r="M23" s="374">
        <f t="shared" si="4"/>
        <v>15</v>
      </c>
      <c r="N23" s="374">
        <f t="shared" si="3"/>
        <v>10</v>
      </c>
    </row>
    <row r="24" spans="1:14" x14ac:dyDescent="0.2">
      <c r="A24" s="374" t="s">
        <v>1020</v>
      </c>
      <c r="B24" s="382" t="s">
        <v>1093</v>
      </c>
      <c r="C24" s="374">
        <f>INDEX('[2]For CSV - 2022 SpcFuncData'!$AN$5:$AN$89,MATCH($A24,'[2]For CSV - 2022 SpcFuncData'!$B$5:$B$89,0))</f>
        <v>305</v>
      </c>
      <c r="D24" s="374">
        <f t="shared" si="0"/>
        <v>0</v>
      </c>
      <c r="E24" s="374">
        <f t="shared" si="1"/>
        <v>2</v>
      </c>
      <c r="F24" s="376" t="str">
        <f t="shared" si="2"/>
        <v>1,    IntLtgSys:ParentSpcFunc,  305,    0   ; Aging Eye/Low-vision (Lounge/Waiting Area)</v>
      </c>
    </row>
    <row r="25" spans="1:14" x14ac:dyDescent="0.2">
      <c r="A25" s="374" t="s">
        <v>1020</v>
      </c>
      <c r="B25" s="382" t="s">
        <v>1093</v>
      </c>
      <c r="C25" s="374">
        <f>INDEX('[2]For CSV - 2022 SpcFuncData'!$AN$5:$AN$89,MATCH($A25,'[2]For CSV - 2022 SpcFuncData'!$B$5:$B$89,0))</f>
        <v>305</v>
      </c>
      <c r="D25" s="374">
        <f t="shared" si="0"/>
        <v>0</v>
      </c>
      <c r="E25" s="374">
        <f t="shared" si="1"/>
        <v>3</v>
      </c>
      <c r="F25" s="376" t="str">
        <f t="shared" si="2"/>
        <v>2,              0,     "- none specified -"</v>
      </c>
    </row>
    <row r="26" spans="1:14" x14ac:dyDescent="0.2">
      <c r="A26" s="374" t="s">
        <v>1020</v>
      </c>
      <c r="B26" s="382" t="s">
        <v>1076</v>
      </c>
      <c r="C26" s="374">
        <f>INDEX('[2]For CSV - 2022 SpcFuncData'!$AN$5:$AN$89,MATCH($A26,'[2]For CSV - 2022 SpcFuncData'!$B$5:$B$89,0))</f>
        <v>305</v>
      </c>
      <c r="D26" s="374">
        <f t="shared" si="0"/>
        <v>3</v>
      </c>
      <c r="E26" s="374">
        <f t="shared" si="1"/>
        <v>3</v>
      </c>
      <c r="F26" s="376" t="str">
        <f t="shared" si="2"/>
        <v>2,              3,     "Decorative/Display"</v>
      </c>
    </row>
    <row r="27" spans="1:14" x14ac:dyDescent="0.2">
      <c r="A27" s="374" t="s">
        <v>1020</v>
      </c>
      <c r="B27" s="382" t="s">
        <v>1017</v>
      </c>
      <c r="C27" s="374">
        <f>INDEX('[2]For CSV - 2022 SpcFuncData'!$AN$5:$AN$89,MATCH($A27,'[2]For CSV - 2022 SpcFuncData'!$B$5:$B$89,0))</f>
        <v>305</v>
      </c>
      <c r="D27" s="374">
        <f t="shared" si="0"/>
        <v>15</v>
      </c>
      <c r="E27" s="374">
        <f t="shared" si="1"/>
        <v>3</v>
      </c>
      <c r="F27" s="376" t="str">
        <f t="shared" si="2"/>
        <v>2,              15,     "TunableWhiteOrDimToWarm"</v>
      </c>
    </row>
    <row r="28" spans="1:14" x14ac:dyDescent="0.2">
      <c r="A28" s="374" t="s">
        <v>1022</v>
      </c>
      <c r="B28" s="382" t="s">
        <v>1093</v>
      </c>
      <c r="C28" s="374">
        <f>INDEX('[2]For CSV - 2022 SpcFuncData'!$AN$5:$AN$89,MATCH($A28,'[2]For CSV - 2022 SpcFuncData'!$B$5:$B$89,0))</f>
        <v>306</v>
      </c>
      <c r="D28" s="374">
        <f t="shared" si="0"/>
        <v>0</v>
      </c>
      <c r="E28" s="374">
        <f t="shared" si="1"/>
        <v>1</v>
      </c>
      <c r="F28" s="376" t="str">
        <f t="shared" si="2"/>
        <v>1,    IntLtgSys:IntLtgSpecMthd,   1,    0   ; AreaCategoryMethod</v>
      </c>
    </row>
    <row r="29" spans="1:14" x14ac:dyDescent="0.2">
      <c r="A29" s="374" t="s">
        <v>1022</v>
      </c>
      <c r="B29" s="382" t="s">
        <v>1093</v>
      </c>
      <c r="C29" s="374">
        <f>INDEX('[2]For CSV - 2022 SpcFuncData'!$AN$5:$AN$89,MATCH($A29,'[2]For CSV - 2022 SpcFuncData'!$B$5:$B$89,0))</f>
        <v>306</v>
      </c>
      <c r="D29" s="374">
        <f t="shared" si="0"/>
        <v>0</v>
      </c>
      <c r="E29" s="374">
        <f t="shared" si="1"/>
        <v>2</v>
      </c>
      <c r="F29" s="376" t="str">
        <f t="shared" si="2"/>
        <v>1,    IntLtgSys:ParentSpcFunc,  306,    0   ; Aging Eye/Low-vision (Multipurpose Room)</v>
      </c>
    </row>
    <row r="30" spans="1:14" x14ac:dyDescent="0.2">
      <c r="A30" s="374" t="s">
        <v>1022</v>
      </c>
      <c r="B30" s="382" t="s">
        <v>1093</v>
      </c>
      <c r="C30" s="374">
        <f>INDEX('[2]For CSV - 2022 SpcFuncData'!$AN$5:$AN$89,MATCH($A30,'[2]For CSV - 2022 SpcFuncData'!$B$5:$B$89,0))</f>
        <v>306</v>
      </c>
      <c r="D30" s="374">
        <f t="shared" si="0"/>
        <v>0</v>
      </c>
      <c r="E30" s="374">
        <f t="shared" si="1"/>
        <v>3</v>
      </c>
      <c r="F30" s="376" t="str">
        <f t="shared" si="2"/>
        <v>2,              0,     "- none specified -"</v>
      </c>
    </row>
    <row r="31" spans="1:14" x14ac:dyDescent="0.2">
      <c r="A31" s="374" t="s">
        <v>1022</v>
      </c>
      <c r="B31" s="382" t="s">
        <v>1076</v>
      </c>
      <c r="C31" s="374">
        <f>INDEX('[2]For CSV - 2022 SpcFuncData'!$AN$5:$AN$89,MATCH($A31,'[2]For CSV - 2022 SpcFuncData'!$B$5:$B$89,0))</f>
        <v>306</v>
      </c>
      <c r="D31" s="374">
        <f t="shared" si="0"/>
        <v>3</v>
      </c>
      <c r="E31" s="374">
        <f t="shared" si="1"/>
        <v>3</v>
      </c>
      <c r="F31" s="376" t="str">
        <f t="shared" si="2"/>
        <v>2,              3,     "Decorative/Display"</v>
      </c>
    </row>
    <row r="32" spans="1:14" x14ac:dyDescent="0.2">
      <c r="A32" s="374" t="s">
        <v>1022</v>
      </c>
      <c r="B32" s="382" t="s">
        <v>1017</v>
      </c>
      <c r="C32" s="374">
        <f>INDEX('[2]For CSV - 2022 SpcFuncData'!$AN$5:$AN$89,MATCH($A32,'[2]For CSV - 2022 SpcFuncData'!$B$5:$B$89,0))</f>
        <v>306</v>
      </c>
      <c r="D32" s="374">
        <f t="shared" si="0"/>
        <v>15</v>
      </c>
      <c r="E32" s="374">
        <f t="shared" si="1"/>
        <v>3</v>
      </c>
      <c r="F32" s="376" t="str">
        <f t="shared" si="2"/>
        <v>2,              15,     "TunableWhiteOrDimToWarm"</v>
      </c>
    </row>
    <row r="33" spans="1:6" x14ac:dyDescent="0.2">
      <c r="A33" s="374" t="s">
        <v>1023</v>
      </c>
      <c r="B33" s="382" t="s">
        <v>1093</v>
      </c>
      <c r="C33" s="374">
        <f>INDEX('[2]For CSV - 2022 SpcFuncData'!$AN$5:$AN$89,MATCH($A33,'[2]For CSV - 2022 SpcFuncData'!$B$5:$B$89,0))</f>
        <v>307</v>
      </c>
      <c r="D33" s="374">
        <f t="shared" si="0"/>
        <v>0</v>
      </c>
      <c r="E33" s="374">
        <f t="shared" si="1"/>
        <v>1</v>
      </c>
      <c r="F33" s="376" t="str">
        <f t="shared" si="2"/>
        <v>1,    IntLtgSys:IntLtgSpecMthd,   1,    0   ; AreaCategoryMethod</v>
      </c>
    </row>
    <row r="34" spans="1:6" x14ac:dyDescent="0.2">
      <c r="A34" s="374" t="s">
        <v>1023</v>
      </c>
      <c r="B34" s="382" t="s">
        <v>1093</v>
      </c>
      <c r="C34" s="374">
        <f>INDEX('[2]For CSV - 2022 SpcFuncData'!$AN$5:$AN$89,MATCH($A34,'[2]For CSV - 2022 SpcFuncData'!$B$5:$B$89,0))</f>
        <v>307</v>
      </c>
      <c r="D34" s="374">
        <f t="shared" si="0"/>
        <v>0</v>
      </c>
      <c r="E34" s="374">
        <f t="shared" si="1"/>
        <v>2</v>
      </c>
      <c r="F34" s="376" t="str">
        <f t="shared" si="2"/>
        <v>1,    IntLtgSys:ParentSpcFunc,  307,    0   ; Aging Eye/Low-vision (Religious Worship Area)</v>
      </c>
    </row>
    <row r="35" spans="1:6" x14ac:dyDescent="0.2">
      <c r="A35" s="374" t="s">
        <v>1023</v>
      </c>
      <c r="B35" s="382" t="s">
        <v>1093</v>
      </c>
      <c r="C35" s="374">
        <f>INDEX('[2]For CSV - 2022 SpcFuncData'!$AN$5:$AN$89,MATCH($A35,'[2]For CSV - 2022 SpcFuncData'!$B$5:$B$89,0))</f>
        <v>307</v>
      </c>
      <c r="D35" s="374">
        <f t="shared" si="0"/>
        <v>0</v>
      </c>
      <c r="E35" s="374">
        <f t="shared" si="1"/>
        <v>3</v>
      </c>
      <c r="F35" s="376" t="str">
        <f t="shared" si="2"/>
        <v>2,              0,     "- none specified -"</v>
      </c>
    </row>
    <row r="36" spans="1:6" x14ac:dyDescent="0.2">
      <c r="A36" s="374" t="s">
        <v>1023</v>
      </c>
      <c r="B36" s="382" t="s">
        <v>1076</v>
      </c>
      <c r="C36" s="374">
        <f>INDEX('[2]For CSV - 2022 SpcFuncData'!$AN$5:$AN$89,MATCH($A36,'[2]For CSV - 2022 SpcFuncData'!$B$5:$B$89,0))</f>
        <v>307</v>
      </c>
      <c r="D36" s="374">
        <f t="shared" si="0"/>
        <v>3</v>
      </c>
      <c r="E36" s="374">
        <f t="shared" si="1"/>
        <v>3</v>
      </c>
      <c r="F36" s="376" t="str">
        <f t="shared" si="2"/>
        <v>2,              3,     "Decorative/Display"</v>
      </c>
    </row>
    <row r="37" spans="1:6" x14ac:dyDescent="0.2">
      <c r="A37" s="374" t="s">
        <v>1023</v>
      </c>
      <c r="B37" s="382" t="s">
        <v>1017</v>
      </c>
      <c r="C37" s="374">
        <f>INDEX('[2]For CSV - 2022 SpcFuncData'!$AN$5:$AN$89,MATCH($A37,'[2]For CSV - 2022 SpcFuncData'!$B$5:$B$89,0))</f>
        <v>307</v>
      </c>
      <c r="D37" s="374">
        <f t="shared" si="0"/>
        <v>15</v>
      </c>
      <c r="E37" s="374">
        <f t="shared" si="1"/>
        <v>3</v>
      </c>
      <c r="F37" s="376" t="str">
        <f t="shared" si="2"/>
        <v>2,              15,     "TunableWhiteOrDimToWarm"</v>
      </c>
    </row>
    <row r="38" spans="1:6" x14ac:dyDescent="0.2">
      <c r="A38" s="374" t="s">
        <v>1024</v>
      </c>
      <c r="B38" s="382" t="s">
        <v>1093</v>
      </c>
      <c r="C38" s="374">
        <f>INDEX('[2]For CSV - 2022 SpcFuncData'!$AN$5:$AN$89,MATCH($A38,'[2]For CSV - 2022 SpcFuncData'!$B$5:$B$89,0))</f>
        <v>308</v>
      </c>
      <c r="D38" s="374">
        <f t="shared" si="0"/>
        <v>0</v>
      </c>
      <c r="E38" s="374">
        <f t="shared" si="1"/>
        <v>1</v>
      </c>
      <c r="F38" s="376" t="str">
        <f t="shared" si="2"/>
        <v>1,    IntLtgSys:IntLtgSpecMthd,   1,    0   ; AreaCategoryMethod</v>
      </c>
    </row>
    <row r="39" spans="1:6" x14ac:dyDescent="0.2">
      <c r="A39" s="374" t="s">
        <v>1024</v>
      </c>
      <c r="B39" s="382" t="s">
        <v>1093</v>
      </c>
      <c r="C39" s="374">
        <f>INDEX('[2]For CSV - 2022 SpcFuncData'!$AN$5:$AN$89,MATCH($A39,'[2]For CSV - 2022 SpcFuncData'!$B$5:$B$89,0))</f>
        <v>308</v>
      </c>
      <c r="D39" s="374">
        <f t="shared" si="0"/>
        <v>0</v>
      </c>
      <c r="E39" s="374">
        <f t="shared" si="1"/>
        <v>2</v>
      </c>
      <c r="F39" s="376" t="str">
        <f t="shared" si="2"/>
        <v>1,    IntLtgSys:ParentSpcFunc,  308,    0   ; Aging Eye/Low-vision (Restroom)</v>
      </c>
    </row>
    <row r="40" spans="1:6" x14ac:dyDescent="0.2">
      <c r="A40" s="374" t="s">
        <v>1024</v>
      </c>
      <c r="B40" s="382" t="s">
        <v>1093</v>
      </c>
      <c r="C40" s="374">
        <f>INDEX('[2]For CSV - 2022 SpcFuncData'!$AN$5:$AN$89,MATCH($A40,'[2]For CSV - 2022 SpcFuncData'!$B$5:$B$89,0))</f>
        <v>308</v>
      </c>
      <c r="D40" s="374">
        <f t="shared" si="0"/>
        <v>0</v>
      </c>
      <c r="E40" s="374">
        <f t="shared" si="1"/>
        <v>3</v>
      </c>
      <c r="F40" s="376" t="str">
        <f t="shared" si="2"/>
        <v>2,              0,     "- none specified -"</v>
      </c>
    </row>
    <row r="41" spans="1:6" x14ac:dyDescent="0.2">
      <c r="A41" s="374" t="s">
        <v>1024</v>
      </c>
      <c r="B41" s="382" t="s">
        <v>1076</v>
      </c>
      <c r="C41" s="374">
        <f>INDEX('[2]For CSV - 2022 SpcFuncData'!$AN$5:$AN$89,MATCH($A41,'[2]For CSV - 2022 SpcFuncData'!$B$5:$B$89,0))</f>
        <v>308</v>
      </c>
      <c r="D41" s="374">
        <f t="shared" si="0"/>
        <v>3</v>
      </c>
      <c r="E41" s="374">
        <f t="shared" si="1"/>
        <v>3</v>
      </c>
      <c r="F41" s="376" t="str">
        <f t="shared" si="2"/>
        <v>2,              3,     "Decorative/Display"</v>
      </c>
    </row>
    <row r="42" spans="1:6" x14ac:dyDescent="0.2">
      <c r="A42" s="374" t="s">
        <v>1025</v>
      </c>
      <c r="B42" s="382" t="s">
        <v>1093</v>
      </c>
      <c r="C42" s="374">
        <f>INDEX('[2]For CSV - 2022 SpcFuncData'!$AN$5:$AN$89,MATCH($A42,'[2]For CSV - 2022 SpcFuncData'!$B$5:$B$89,0))</f>
        <v>309</v>
      </c>
      <c r="D42" s="374">
        <f t="shared" si="0"/>
        <v>0</v>
      </c>
      <c r="E42" s="374">
        <f t="shared" si="1"/>
        <v>1</v>
      </c>
      <c r="F42" s="376" t="str">
        <f t="shared" si="2"/>
        <v>1,    IntLtgSys:IntLtgSpecMthd,   1,    0   ; AreaCategoryMethod</v>
      </c>
    </row>
    <row r="43" spans="1:6" x14ac:dyDescent="0.2">
      <c r="A43" s="374" t="s">
        <v>1025</v>
      </c>
      <c r="B43" s="382" t="s">
        <v>1093</v>
      </c>
      <c r="C43" s="374">
        <f>INDEX('[2]For CSV - 2022 SpcFuncData'!$AN$5:$AN$89,MATCH($A43,'[2]For CSV - 2022 SpcFuncData'!$B$5:$B$89,0))</f>
        <v>309</v>
      </c>
      <c r="D43" s="374">
        <f t="shared" si="0"/>
        <v>0</v>
      </c>
      <c r="E43" s="374">
        <f t="shared" si="1"/>
        <v>2</v>
      </c>
      <c r="F43" s="376" t="str">
        <f t="shared" si="2"/>
        <v>1,    IntLtgSys:ParentSpcFunc,  309,    0   ; Aging Eye/Low-vision (Stairwell)</v>
      </c>
    </row>
    <row r="44" spans="1:6" x14ac:dyDescent="0.2">
      <c r="A44" s="374" t="s">
        <v>1025</v>
      </c>
      <c r="B44" s="382" t="s">
        <v>1093</v>
      </c>
      <c r="C44" s="374">
        <f>INDEX('[2]For CSV - 2022 SpcFuncData'!$AN$5:$AN$89,MATCH($A44,'[2]For CSV - 2022 SpcFuncData'!$B$5:$B$89,0))</f>
        <v>309</v>
      </c>
      <c r="D44" s="374">
        <f t="shared" si="0"/>
        <v>0</v>
      </c>
      <c r="E44" s="374">
        <f t="shared" si="1"/>
        <v>3</v>
      </c>
      <c r="F44" s="376" t="str">
        <f t="shared" si="2"/>
        <v>2,              0,     "- none specified -"</v>
      </c>
    </row>
    <row r="45" spans="1:6" x14ac:dyDescent="0.2">
      <c r="A45" s="374" t="s">
        <v>1025</v>
      </c>
      <c r="B45" s="382" t="s">
        <v>1076</v>
      </c>
      <c r="C45" s="374">
        <f>INDEX('[2]For CSV - 2022 SpcFuncData'!$AN$5:$AN$89,MATCH($A45,'[2]For CSV - 2022 SpcFuncData'!$B$5:$B$89,0))</f>
        <v>309</v>
      </c>
      <c r="D45" s="374">
        <f t="shared" si="0"/>
        <v>3</v>
      </c>
      <c r="E45" s="374">
        <f t="shared" si="1"/>
        <v>3</v>
      </c>
      <c r="F45" s="376" t="str">
        <f t="shared" si="2"/>
        <v>2,              3,     "Decorative/Display"</v>
      </c>
    </row>
    <row r="46" spans="1:6" x14ac:dyDescent="0.2">
      <c r="A46" s="374" t="s">
        <v>937</v>
      </c>
      <c r="B46" s="382" t="s">
        <v>1093</v>
      </c>
      <c r="C46" s="374">
        <f>INDEX('[2]For CSV - 2022 SpcFuncData'!$AN$5:$AN$89,MATCH($A46,'[2]For CSV - 2022 SpcFuncData'!$B$5:$B$89,0))</f>
        <v>310</v>
      </c>
      <c r="D46" s="374">
        <f t="shared" si="0"/>
        <v>0</v>
      </c>
      <c r="E46" s="374">
        <f t="shared" si="1"/>
        <v>1</v>
      </c>
      <c r="F46" s="376" t="str">
        <f t="shared" si="2"/>
        <v>1,    IntLtgSys:IntLtgSpecMthd,   1,    0   ; AreaCategoryMethod</v>
      </c>
    </row>
    <row r="47" spans="1:6" x14ac:dyDescent="0.2">
      <c r="A47" s="374" t="s">
        <v>937</v>
      </c>
      <c r="B47" s="382" t="s">
        <v>1093</v>
      </c>
      <c r="C47" s="374">
        <f>INDEX('[2]For CSV - 2022 SpcFuncData'!$AN$5:$AN$89,MATCH($A47,'[2]For CSV - 2022 SpcFuncData'!$B$5:$B$89,0))</f>
        <v>310</v>
      </c>
      <c r="D47" s="374">
        <f t="shared" si="0"/>
        <v>0</v>
      </c>
      <c r="E47" s="374">
        <f t="shared" si="1"/>
        <v>2</v>
      </c>
      <c r="F47" s="376" t="str">
        <f t="shared" si="2"/>
        <v>1,    IntLtgSys:ParentSpcFunc,  310,    0   ; Audience Seating Area</v>
      </c>
    </row>
    <row r="48" spans="1:6" x14ac:dyDescent="0.2">
      <c r="A48" s="374" t="s">
        <v>937</v>
      </c>
      <c r="B48" s="382" t="s">
        <v>1093</v>
      </c>
      <c r="C48" s="374">
        <f>INDEX('[2]For CSV - 2022 SpcFuncData'!$AN$5:$AN$89,MATCH($A48,'[2]For CSV - 2022 SpcFuncData'!$B$5:$B$89,0))</f>
        <v>310</v>
      </c>
      <c r="D48" s="374">
        <f t="shared" si="0"/>
        <v>0</v>
      </c>
      <c r="E48" s="374">
        <f t="shared" si="1"/>
        <v>3</v>
      </c>
      <c r="F48" s="376" t="str">
        <f t="shared" si="2"/>
        <v>2,              0,     "- none specified -"</v>
      </c>
    </row>
    <row r="49" spans="1:6" x14ac:dyDescent="0.2">
      <c r="A49" s="374" t="s">
        <v>937</v>
      </c>
      <c r="B49" s="382" t="s">
        <v>1076</v>
      </c>
      <c r="C49" s="374">
        <f>INDEX('[2]For CSV - 2022 SpcFuncData'!$AN$5:$AN$89,MATCH($A49,'[2]For CSV - 2022 SpcFuncData'!$B$5:$B$89,0))</f>
        <v>310</v>
      </c>
      <c r="D49" s="374">
        <f t="shared" si="0"/>
        <v>3</v>
      </c>
      <c r="E49" s="374">
        <f t="shared" si="1"/>
        <v>3</v>
      </c>
      <c r="F49" s="376" t="str">
        <f t="shared" si="2"/>
        <v>2,              3,     "Decorative/Display"</v>
      </c>
    </row>
    <row r="50" spans="1:6" x14ac:dyDescent="0.2">
      <c r="A50" s="374" t="s">
        <v>525</v>
      </c>
      <c r="B50" s="382" t="s">
        <v>1093</v>
      </c>
      <c r="C50" s="374">
        <f>INDEX('[2]For CSV - 2022 SpcFuncData'!$AN$5:$AN$89,MATCH($A50,'[2]For CSV - 2022 SpcFuncData'!$B$5:$B$89,0))</f>
        <v>311</v>
      </c>
      <c r="D50" s="374">
        <f t="shared" si="0"/>
        <v>0</v>
      </c>
      <c r="E50" s="374">
        <f t="shared" si="1"/>
        <v>1</v>
      </c>
      <c r="F50" s="376" t="str">
        <f t="shared" si="2"/>
        <v>1,    IntLtgSys:IntLtgSpecMthd,   1,    0   ; AreaCategoryMethod</v>
      </c>
    </row>
    <row r="51" spans="1:6" x14ac:dyDescent="0.2">
      <c r="A51" s="374" t="s">
        <v>525</v>
      </c>
      <c r="B51" s="382" t="s">
        <v>1093</v>
      </c>
      <c r="C51" s="374">
        <f>INDEX('[2]For CSV - 2022 SpcFuncData'!$AN$5:$AN$89,MATCH($A51,'[2]For CSV - 2022 SpcFuncData'!$B$5:$B$89,0))</f>
        <v>311</v>
      </c>
      <c r="D51" s="374">
        <f t="shared" si="0"/>
        <v>0</v>
      </c>
      <c r="E51" s="374">
        <f t="shared" si="1"/>
        <v>2</v>
      </c>
      <c r="F51" s="376" t="str">
        <f t="shared" si="2"/>
        <v>1,    IntLtgSys:ParentSpcFunc,  311,    0   ; Auditorium Area</v>
      </c>
    </row>
    <row r="52" spans="1:6" x14ac:dyDescent="0.2">
      <c r="A52" s="374" t="s">
        <v>525</v>
      </c>
      <c r="B52" s="382" t="s">
        <v>1093</v>
      </c>
      <c r="C52" s="374">
        <f>INDEX('[2]For CSV - 2022 SpcFuncData'!$AN$5:$AN$89,MATCH($A52,'[2]For CSV - 2022 SpcFuncData'!$B$5:$B$89,0))</f>
        <v>311</v>
      </c>
      <c r="D52" s="374">
        <f t="shared" si="0"/>
        <v>0</v>
      </c>
      <c r="E52" s="374">
        <f t="shared" si="1"/>
        <v>3</v>
      </c>
      <c r="F52" s="376" t="str">
        <f t="shared" si="2"/>
        <v>2,              0,     "- none specified -"</v>
      </c>
    </row>
    <row r="53" spans="1:6" x14ac:dyDescent="0.2">
      <c r="A53" s="374" t="s">
        <v>525</v>
      </c>
      <c r="B53" s="382" t="s">
        <v>1076</v>
      </c>
      <c r="C53" s="374">
        <f>INDEX('[2]For CSV - 2022 SpcFuncData'!$AN$5:$AN$89,MATCH($A53,'[2]For CSV - 2022 SpcFuncData'!$B$5:$B$89,0))</f>
        <v>311</v>
      </c>
      <c r="D53" s="374">
        <f t="shared" si="0"/>
        <v>3</v>
      </c>
      <c r="E53" s="374">
        <f t="shared" si="1"/>
        <v>3</v>
      </c>
      <c r="F53" s="376" t="str">
        <f t="shared" si="2"/>
        <v>2,              3,     "Decorative/Display"</v>
      </c>
    </row>
    <row r="54" spans="1:6" x14ac:dyDescent="0.2">
      <c r="A54" s="374" t="s">
        <v>938</v>
      </c>
      <c r="B54" s="382" t="s">
        <v>1093</v>
      </c>
      <c r="C54" s="374">
        <f>INDEX('[2]For CSV - 2022 SpcFuncData'!$AN$5:$AN$89,MATCH($A54,'[2]For CSV - 2022 SpcFuncData'!$B$5:$B$89,0))</f>
        <v>312</v>
      </c>
      <c r="D54" s="374">
        <f t="shared" si="0"/>
        <v>0</v>
      </c>
      <c r="E54" s="374">
        <f t="shared" si="1"/>
        <v>1</v>
      </c>
      <c r="F54" s="376" t="str">
        <f t="shared" si="2"/>
        <v>1,    IntLtgSys:IntLtgSpecMthd,   1,    0   ; AreaCategoryMethod</v>
      </c>
    </row>
    <row r="55" spans="1:6" x14ac:dyDescent="0.2">
      <c r="A55" s="374" t="s">
        <v>938</v>
      </c>
      <c r="B55" s="382" t="s">
        <v>1093</v>
      </c>
      <c r="C55" s="374">
        <f>INDEX('[2]For CSV - 2022 SpcFuncData'!$AN$5:$AN$89,MATCH($A55,'[2]For CSV - 2022 SpcFuncData'!$B$5:$B$89,0))</f>
        <v>312</v>
      </c>
      <c r="D55" s="374">
        <f t="shared" si="0"/>
        <v>0</v>
      </c>
      <c r="E55" s="374">
        <f t="shared" si="1"/>
        <v>2</v>
      </c>
      <c r="F55" s="376" t="str">
        <f t="shared" si="2"/>
        <v>1,    IntLtgSys:ParentSpcFunc,  312,    0   ; Auto Repair / Maintenance Area</v>
      </c>
    </row>
    <row r="56" spans="1:6" x14ac:dyDescent="0.2">
      <c r="A56" s="374" t="s">
        <v>938</v>
      </c>
      <c r="B56" s="382" t="s">
        <v>1093</v>
      </c>
      <c r="C56" s="374">
        <f>INDEX('[2]For CSV - 2022 SpcFuncData'!$AN$5:$AN$89,MATCH($A56,'[2]For CSV - 2022 SpcFuncData'!$B$5:$B$89,0))</f>
        <v>312</v>
      </c>
      <c r="D56" s="374">
        <f t="shared" si="0"/>
        <v>0</v>
      </c>
      <c r="E56" s="374">
        <f t="shared" si="1"/>
        <v>3</v>
      </c>
      <c r="F56" s="376" t="str">
        <f t="shared" si="2"/>
        <v>2,              0,     "- none specified -"</v>
      </c>
    </row>
    <row r="57" spans="1:6" x14ac:dyDescent="0.2">
      <c r="A57" s="374" t="s">
        <v>938</v>
      </c>
      <c r="B57" s="382" t="s">
        <v>983</v>
      </c>
      <c r="C57" s="374">
        <f>INDEX('[2]For CSV - 2022 SpcFuncData'!$AN$5:$AN$89,MATCH($A57,'[2]For CSV - 2022 SpcFuncData'!$B$5:$B$89,0))</f>
        <v>312</v>
      </c>
      <c r="D57" s="374">
        <f t="shared" si="0"/>
        <v>1</v>
      </c>
      <c r="E57" s="374">
        <f t="shared" si="1"/>
        <v>3</v>
      </c>
      <c r="F57" s="376" t="str">
        <f t="shared" si="2"/>
        <v>2,              1,     "DetailedTaskWork"</v>
      </c>
    </row>
    <row r="58" spans="1:6" x14ac:dyDescent="0.2">
      <c r="A58" s="374" t="s">
        <v>1066</v>
      </c>
      <c r="B58" s="382" t="s">
        <v>1093</v>
      </c>
      <c r="C58" s="374">
        <f>INDEX('[2]For CSV - 2022 SpcFuncData'!$AN$5:$AN$89,MATCH($A58,'[2]For CSV - 2022 SpcFuncData'!$B$5:$B$89,0))</f>
        <v>313</v>
      </c>
      <c r="D58" s="374">
        <f t="shared" si="0"/>
        <v>0</v>
      </c>
      <c r="E58" s="374">
        <f t="shared" si="1"/>
        <v>1</v>
      </c>
      <c r="F58" s="376" t="str">
        <f t="shared" si="2"/>
        <v>1,    IntLtgSys:IntLtgSpecMthd,   1,    0   ; AreaCategoryMethod</v>
      </c>
    </row>
    <row r="59" spans="1:6" x14ac:dyDescent="0.2">
      <c r="A59" s="374" t="s">
        <v>1066</v>
      </c>
      <c r="B59" s="382" t="s">
        <v>1093</v>
      </c>
      <c r="C59" s="374">
        <f>INDEX('[2]For CSV - 2022 SpcFuncData'!$AN$5:$AN$89,MATCH($A59,'[2]For CSV - 2022 SpcFuncData'!$B$5:$B$89,0))</f>
        <v>313</v>
      </c>
      <c r="D59" s="374">
        <f t="shared" si="0"/>
        <v>0</v>
      </c>
      <c r="E59" s="374">
        <f t="shared" si="1"/>
        <v>2</v>
      </c>
      <c r="F59" s="376" t="str">
        <f t="shared" si="2"/>
        <v>1,    IntLtgSys:ParentSpcFunc,  313,    0   ; Barber, Beauty Salon, Spa Area</v>
      </c>
    </row>
    <row r="60" spans="1:6" x14ac:dyDescent="0.2">
      <c r="A60" s="374" t="s">
        <v>1066</v>
      </c>
      <c r="B60" s="382" t="s">
        <v>1093</v>
      </c>
      <c r="C60" s="374">
        <f>INDEX('[2]For CSV - 2022 SpcFuncData'!$AN$5:$AN$89,MATCH($A60,'[2]For CSV - 2022 SpcFuncData'!$B$5:$B$89,0))</f>
        <v>313</v>
      </c>
      <c r="D60" s="374">
        <f t="shared" si="0"/>
        <v>0</v>
      </c>
      <c r="E60" s="374">
        <f t="shared" si="1"/>
        <v>3</v>
      </c>
      <c r="F60" s="376" t="str">
        <f t="shared" si="2"/>
        <v>2,              0,     "- none specified -"</v>
      </c>
    </row>
    <row r="61" spans="1:6" x14ac:dyDescent="0.2">
      <c r="A61" s="374" t="s">
        <v>1066</v>
      </c>
      <c r="B61" s="382" t="s">
        <v>983</v>
      </c>
      <c r="C61" s="374">
        <f>INDEX('[2]For CSV - 2022 SpcFuncData'!$AN$5:$AN$89,MATCH($A61,'[2]For CSV - 2022 SpcFuncData'!$B$5:$B$89,0))</f>
        <v>313</v>
      </c>
      <c r="D61" s="374">
        <f t="shared" si="0"/>
        <v>1</v>
      </c>
      <c r="E61" s="374">
        <f t="shared" si="1"/>
        <v>3</v>
      </c>
      <c r="F61" s="376" t="str">
        <f t="shared" si="2"/>
        <v>2,              1,     "DetailedTaskWork"</v>
      </c>
    </row>
    <row r="62" spans="1:6" x14ac:dyDescent="0.2">
      <c r="A62" s="374" t="s">
        <v>1066</v>
      </c>
      <c r="B62" s="382" t="s">
        <v>1076</v>
      </c>
      <c r="C62" s="374">
        <f>INDEX('[2]For CSV - 2022 SpcFuncData'!$AN$5:$AN$89,MATCH($A62,'[2]For CSV - 2022 SpcFuncData'!$B$5:$B$89,0))</f>
        <v>313</v>
      </c>
      <c r="D62" s="374">
        <f t="shared" si="0"/>
        <v>3</v>
      </c>
      <c r="E62" s="374">
        <f t="shared" si="1"/>
        <v>3</v>
      </c>
      <c r="F62" s="376" t="str">
        <f t="shared" si="2"/>
        <v>2,              3,     "Decorative/Display"</v>
      </c>
    </row>
    <row r="63" spans="1:6" x14ac:dyDescent="0.2">
      <c r="A63" s="374" t="s">
        <v>526</v>
      </c>
      <c r="B63" s="382" t="s">
        <v>1093</v>
      </c>
      <c r="C63" s="374">
        <f>INDEX('[2]For CSV - 2022 SpcFuncData'!$AN$5:$AN$89,MATCH($A63,'[2]For CSV - 2022 SpcFuncData'!$B$5:$B$89,0))</f>
        <v>314</v>
      </c>
      <c r="D63" s="374">
        <f t="shared" si="0"/>
        <v>0</v>
      </c>
      <c r="E63" s="374">
        <f t="shared" si="1"/>
        <v>1</v>
      </c>
      <c r="F63" s="376" t="str">
        <f t="shared" si="2"/>
        <v>1,    IntLtgSys:IntLtgSpecMthd,   1,    0   ; AreaCategoryMethod</v>
      </c>
    </row>
    <row r="64" spans="1:6" x14ac:dyDescent="0.2">
      <c r="A64" s="374" t="s">
        <v>526</v>
      </c>
      <c r="B64" s="382" t="s">
        <v>1093</v>
      </c>
      <c r="C64" s="374">
        <f>INDEX('[2]For CSV - 2022 SpcFuncData'!$AN$5:$AN$89,MATCH($A64,'[2]For CSV - 2022 SpcFuncData'!$B$5:$B$89,0))</f>
        <v>314</v>
      </c>
      <c r="D64" s="374">
        <f t="shared" si="0"/>
        <v>0</v>
      </c>
      <c r="E64" s="374">
        <f t="shared" si="1"/>
        <v>2</v>
      </c>
      <c r="F64" s="376" t="str">
        <f t="shared" si="2"/>
        <v>1,    IntLtgSys:ParentSpcFunc,  314,    0   ; Civic Meeting Place Area</v>
      </c>
    </row>
    <row r="65" spans="1:6" x14ac:dyDescent="0.2">
      <c r="A65" s="374" t="s">
        <v>526</v>
      </c>
      <c r="B65" s="382" t="s">
        <v>1093</v>
      </c>
      <c r="C65" s="374">
        <f>INDEX('[2]For CSV - 2022 SpcFuncData'!$AN$5:$AN$89,MATCH($A65,'[2]For CSV - 2022 SpcFuncData'!$B$5:$B$89,0))</f>
        <v>314</v>
      </c>
      <c r="D65" s="374">
        <f t="shared" si="0"/>
        <v>0</v>
      </c>
      <c r="E65" s="374">
        <f t="shared" si="1"/>
        <v>3</v>
      </c>
      <c r="F65" s="376" t="str">
        <f t="shared" si="2"/>
        <v>2,              0,     "- none specified -"</v>
      </c>
    </row>
    <row r="66" spans="1:6" x14ac:dyDescent="0.2">
      <c r="A66" s="374" t="s">
        <v>526</v>
      </c>
      <c r="B66" s="382" t="s">
        <v>1076</v>
      </c>
      <c r="C66" s="374">
        <f>INDEX('[2]For CSV - 2022 SpcFuncData'!$AN$5:$AN$89,MATCH($A66,'[2]For CSV - 2022 SpcFuncData'!$B$5:$B$89,0))</f>
        <v>314</v>
      </c>
      <c r="D66" s="374">
        <f t="shared" si="0"/>
        <v>3</v>
      </c>
      <c r="E66" s="374">
        <f t="shared" si="1"/>
        <v>3</v>
      </c>
      <c r="F66" s="376" t="str">
        <f t="shared" si="2"/>
        <v>2,              3,     "Decorative/Display"</v>
      </c>
    </row>
    <row r="67" spans="1:6" x14ac:dyDescent="0.2">
      <c r="A67" s="374" t="s">
        <v>939</v>
      </c>
      <c r="B67" s="382" t="s">
        <v>1093</v>
      </c>
      <c r="C67" s="374">
        <f>INDEX('[2]For CSV - 2022 SpcFuncData'!$AN$5:$AN$89,MATCH($A67,'[2]For CSV - 2022 SpcFuncData'!$B$5:$B$89,0))</f>
        <v>315</v>
      </c>
      <c r="D67" s="374">
        <f t="shared" si="0"/>
        <v>0</v>
      </c>
      <c r="E67" s="374">
        <f t="shared" si="1"/>
        <v>1</v>
      </c>
      <c r="F67" s="376" t="str">
        <f t="shared" si="2"/>
        <v>1,    IntLtgSys:IntLtgSpecMthd,   1,    0   ; AreaCategoryMethod</v>
      </c>
    </row>
    <row r="68" spans="1:6" x14ac:dyDescent="0.2">
      <c r="A68" s="374" t="s">
        <v>939</v>
      </c>
      <c r="B68" s="382" t="s">
        <v>1093</v>
      </c>
      <c r="C68" s="374">
        <f>INDEX('[2]For CSV - 2022 SpcFuncData'!$AN$5:$AN$89,MATCH($A68,'[2]For CSV - 2022 SpcFuncData'!$B$5:$B$89,0))</f>
        <v>315</v>
      </c>
      <c r="D68" s="374">
        <f t="shared" si="0"/>
        <v>0</v>
      </c>
      <c r="E68" s="374">
        <f t="shared" si="1"/>
        <v>2</v>
      </c>
      <c r="F68" s="376" t="str">
        <f t="shared" si="2"/>
        <v>1,    IntLtgSys:ParentSpcFunc,  315,    0   ; Classroom, Lecture, Training, Vocational Areas</v>
      </c>
    </row>
    <row r="69" spans="1:6" x14ac:dyDescent="0.2">
      <c r="A69" s="374" t="s">
        <v>939</v>
      </c>
      <c r="B69" s="382" t="s">
        <v>1093</v>
      </c>
      <c r="C69" s="374">
        <f>INDEX('[2]For CSV - 2022 SpcFuncData'!$AN$5:$AN$89,MATCH($A69,'[2]For CSV - 2022 SpcFuncData'!$B$5:$B$89,0))</f>
        <v>315</v>
      </c>
      <c r="D69" s="374">
        <f t="shared" si="0"/>
        <v>0</v>
      </c>
      <c r="E69" s="374">
        <f t="shared" si="1"/>
        <v>3</v>
      </c>
      <c r="F69" s="376" t="str">
        <f t="shared" si="2"/>
        <v>2,              0,     "- none specified -"</v>
      </c>
    </row>
    <row r="70" spans="1:6" x14ac:dyDescent="0.2">
      <c r="A70" s="374" t="s">
        <v>939</v>
      </c>
      <c r="B70" s="382" t="s">
        <v>424</v>
      </c>
      <c r="C70" s="374">
        <f>INDEX('[2]For CSV - 2022 SpcFuncData'!$AN$5:$AN$89,MATCH($A70,'[2]For CSV - 2022 SpcFuncData'!$B$5:$B$89,0))</f>
        <v>315</v>
      </c>
      <c r="D70" s="374">
        <f t="shared" si="0"/>
        <v>5</v>
      </c>
      <c r="E70" s="374">
        <f t="shared" si="1"/>
        <v>3</v>
      </c>
      <c r="F70" s="376" t="str">
        <f t="shared" si="2"/>
        <v>2,              5,     "WhiteOrChalkBoard"</v>
      </c>
    </row>
    <row r="71" spans="1:6" x14ac:dyDescent="0.2">
      <c r="A71" s="374" t="s">
        <v>943</v>
      </c>
      <c r="B71" s="382" t="s">
        <v>1093</v>
      </c>
      <c r="C71" s="374">
        <f>INDEX('[2]For CSV - 2022 SpcFuncData'!$AN$5:$AN$89,MATCH($A71,'[2]For CSV - 2022 SpcFuncData'!$B$5:$B$89,0))</f>
        <v>317</v>
      </c>
      <c r="D71" s="374">
        <f t="shared" si="0"/>
        <v>0</v>
      </c>
      <c r="E71" s="374">
        <f t="shared" si="1"/>
        <v>1</v>
      </c>
      <c r="F71" s="376" t="str">
        <f t="shared" si="2"/>
        <v>1,    IntLtgSys:IntLtgSpecMthd,   1,    0   ; AreaCategoryMethod</v>
      </c>
    </row>
    <row r="72" spans="1:6" x14ac:dyDescent="0.2">
      <c r="A72" s="374" t="s">
        <v>943</v>
      </c>
      <c r="B72" s="382" t="s">
        <v>1093</v>
      </c>
      <c r="C72" s="374">
        <f>INDEX('[2]For CSV - 2022 SpcFuncData'!$AN$5:$AN$89,MATCH($A72,'[2]For CSV - 2022 SpcFuncData'!$B$5:$B$89,0))</f>
        <v>317</v>
      </c>
      <c r="D72" s="374">
        <f t="shared" ref="D72:D135" si="5">VLOOKUP(B72,$L$8:$M$23,2,0)</f>
        <v>0</v>
      </c>
      <c r="E72" s="374">
        <f t="shared" si="1"/>
        <v>2</v>
      </c>
      <c r="F72" s="376" t="str">
        <f t="shared" si="2"/>
        <v>1,    IntLtgSys:ParentSpcFunc,  317,    0   ; Concourse and Atria Area</v>
      </c>
    </row>
    <row r="73" spans="1:6" x14ac:dyDescent="0.2">
      <c r="A73" s="374" t="s">
        <v>943</v>
      </c>
      <c r="B73" s="382" t="s">
        <v>1093</v>
      </c>
      <c r="C73" s="374">
        <f>INDEX('[2]For CSV - 2022 SpcFuncData'!$AN$5:$AN$89,MATCH($A73,'[2]For CSV - 2022 SpcFuncData'!$B$5:$B$89,0))</f>
        <v>317</v>
      </c>
      <c r="D73" s="374">
        <f t="shared" si="5"/>
        <v>0</v>
      </c>
      <c r="E73" s="374">
        <f t="shared" ref="E73:E136" si="6">IF(A73&lt;&gt;A72,1,IF(A73&lt;&gt;A71,2,3))</f>
        <v>3</v>
      </c>
      <c r="F73" s="376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374" t="s">
        <v>943</v>
      </c>
      <c r="B74" s="382" t="s">
        <v>1076</v>
      </c>
      <c r="C74" s="374">
        <f>INDEX('[2]For CSV - 2022 SpcFuncData'!$AN$5:$AN$89,MATCH($A74,'[2]For CSV - 2022 SpcFuncData'!$B$5:$B$89,0))</f>
        <v>317</v>
      </c>
      <c r="D74" s="374">
        <f t="shared" si="5"/>
        <v>3</v>
      </c>
      <c r="E74" s="374">
        <f t="shared" si="6"/>
        <v>3</v>
      </c>
      <c r="F74" s="376" t="str">
        <f t="shared" si="7"/>
        <v>2,              3,     "Decorative/Display"</v>
      </c>
    </row>
    <row r="75" spans="1:6" x14ac:dyDescent="0.2">
      <c r="A75" s="374" t="s">
        <v>944</v>
      </c>
      <c r="B75" s="382" t="s">
        <v>1093</v>
      </c>
      <c r="C75" s="374">
        <f>INDEX('[2]For CSV - 2022 SpcFuncData'!$AN$5:$AN$89,MATCH($A75,'[2]For CSV - 2022 SpcFuncData'!$B$5:$B$89,0))</f>
        <v>318</v>
      </c>
      <c r="D75" s="374">
        <f t="shared" si="5"/>
        <v>0</v>
      </c>
      <c r="E75" s="374">
        <f t="shared" si="6"/>
        <v>1</v>
      </c>
      <c r="F75" s="376" t="str">
        <f t="shared" si="7"/>
        <v>1,    IntLtgSys:IntLtgSpecMthd,   1,    0   ; AreaCategoryMethod</v>
      </c>
    </row>
    <row r="76" spans="1:6" x14ac:dyDescent="0.2">
      <c r="A76" s="374" t="s">
        <v>944</v>
      </c>
      <c r="B76" s="382" t="s">
        <v>1093</v>
      </c>
      <c r="C76" s="374">
        <f>INDEX('[2]For CSV - 2022 SpcFuncData'!$AN$5:$AN$89,MATCH($A76,'[2]For CSV - 2022 SpcFuncData'!$B$5:$B$89,0))</f>
        <v>318</v>
      </c>
      <c r="D76" s="374">
        <f t="shared" si="5"/>
        <v>0</v>
      </c>
      <c r="E76" s="374">
        <f t="shared" si="6"/>
        <v>2</v>
      </c>
      <c r="F76" s="376" t="str">
        <f t="shared" si="7"/>
        <v>1,    IntLtgSys:ParentSpcFunc,  318,    0   ; Convention, Conference, Multipurpose and Meeting Area</v>
      </c>
    </row>
    <row r="77" spans="1:6" x14ac:dyDescent="0.2">
      <c r="A77" s="374" t="s">
        <v>944</v>
      </c>
      <c r="B77" s="382" t="s">
        <v>1093</v>
      </c>
      <c r="C77" s="374">
        <f>INDEX('[2]For CSV - 2022 SpcFuncData'!$AN$5:$AN$89,MATCH($A77,'[2]For CSV - 2022 SpcFuncData'!$B$5:$B$89,0))</f>
        <v>318</v>
      </c>
      <c r="D77" s="374">
        <f t="shared" si="5"/>
        <v>0</v>
      </c>
      <c r="E77" s="374">
        <f t="shared" si="6"/>
        <v>3</v>
      </c>
      <c r="F77" s="376" t="str">
        <f t="shared" si="7"/>
        <v>2,              0,     "- none specified -"</v>
      </c>
    </row>
    <row r="78" spans="1:6" x14ac:dyDescent="0.2">
      <c r="A78" s="374" t="s">
        <v>944</v>
      </c>
      <c r="B78" s="382" t="s">
        <v>1076</v>
      </c>
      <c r="C78" s="374">
        <f>INDEX('[2]For CSV - 2022 SpcFuncData'!$AN$5:$AN$89,MATCH($A78,'[2]For CSV - 2022 SpcFuncData'!$B$5:$B$89,0))</f>
        <v>318</v>
      </c>
      <c r="D78" s="374">
        <f t="shared" si="5"/>
        <v>3</v>
      </c>
      <c r="E78" s="374">
        <f t="shared" si="6"/>
        <v>3</v>
      </c>
      <c r="F78" s="376" t="str">
        <f t="shared" si="7"/>
        <v>2,              3,     "Decorative/Display"</v>
      </c>
    </row>
    <row r="79" spans="1:6" x14ac:dyDescent="0.2">
      <c r="A79" s="374" t="s">
        <v>945</v>
      </c>
      <c r="B79" s="382" t="s">
        <v>1093</v>
      </c>
      <c r="C79" s="374">
        <f>INDEX('[2]For CSV - 2022 SpcFuncData'!$AN$5:$AN$89,MATCH($A79,'[2]For CSV - 2022 SpcFuncData'!$B$5:$B$89,0))</f>
        <v>320</v>
      </c>
      <c r="D79" s="374">
        <f t="shared" si="5"/>
        <v>0</v>
      </c>
      <c r="E79" s="374">
        <f t="shared" si="6"/>
        <v>1</v>
      </c>
      <c r="F79" s="376" t="str">
        <f t="shared" si="7"/>
        <v>1,    IntLtgSys:IntLtgSpecMthd,   1,    0   ; AreaCategoryMethod</v>
      </c>
    </row>
    <row r="80" spans="1:6" x14ac:dyDescent="0.2">
      <c r="A80" s="374" t="s">
        <v>945</v>
      </c>
      <c r="B80" s="382" t="s">
        <v>1093</v>
      </c>
      <c r="C80" s="374">
        <f>INDEX('[2]For CSV - 2022 SpcFuncData'!$AN$5:$AN$89,MATCH($A80,'[2]For CSV - 2022 SpcFuncData'!$B$5:$B$89,0))</f>
        <v>320</v>
      </c>
      <c r="D80" s="374">
        <f t="shared" si="5"/>
        <v>0</v>
      </c>
      <c r="E80" s="374">
        <f t="shared" si="6"/>
        <v>2</v>
      </c>
      <c r="F80" s="376" t="str">
        <f t="shared" si="7"/>
        <v>1,    IntLtgSys:ParentSpcFunc,  320,    0   ; Corridor Area</v>
      </c>
    </row>
    <row r="81" spans="1:6" x14ac:dyDescent="0.2">
      <c r="A81" s="374" t="s">
        <v>945</v>
      </c>
      <c r="B81" s="382" t="s">
        <v>1093</v>
      </c>
      <c r="C81" s="374">
        <f>INDEX('[2]For CSV - 2022 SpcFuncData'!$AN$5:$AN$89,MATCH($A81,'[2]For CSV - 2022 SpcFuncData'!$B$5:$B$89,0))</f>
        <v>320</v>
      </c>
      <c r="D81" s="374">
        <f t="shared" si="5"/>
        <v>0</v>
      </c>
      <c r="E81" s="374">
        <f t="shared" si="6"/>
        <v>3</v>
      </c>
      <c r="F81" s="376" t="str">
        <f t="shared" si="7"/>
        <v>2,              0,     "- none specified -"</v>
      </c>
    </row>
    <row r="82" spans="1:6" x14ac:dyDescent="0.2">
      <c r="A82" s="374" t="s">
        <v>945</v>
      </c>
      <c r="B82" s="382" t="s">
        <v>1076</v>
      </c>
      <c r="C82" s="374">
        <f>INDEX('[2]For CSV - 2022 SpcFuncData'!$AN$5:$AN$89,MATCH($A82,'[2]For CSV - 2022 SpcFuncData'!$B$5:$B$89,0))</f>
        <v>320</v>
      </c>
      <c r="D82" s="374">
        <f t="shared" si="5"/>
        <v>3</v>
      </c>
      <c r="E82" s="374">
        <f t="shared" si="6"/>
        <v>3</v>
      </c>
      <c r="F82" s="376" t="str">
        <f t="shared" si="7"/>
        <v>2,              3,     "Decorative/Display"</v>
      </c>
    </row>
    <row r="83" spans="1:6" x14ac:dyDescent="0.2">
      <c r="A83" s="374" t="s">
        <v>946</v>
      </c>
      <c r="B83" s="382" t="s">
        <v>1093</v>
      </c>
      <c r="C83" s="374">
        <f>INDEX('[2]For CSV - 2022 SpcFuncData'!$AN$5:$AN$89,MATCH($A83,'[2]For CSV - 2022 SpcFuncData'!$B$5:$B$89,0))</f>
        <v>321</v>
      </c>
      <c r="D83" s="374">
        <f t="shared" si="5"/>
        <v>0</v>
      </c>
      <c r="E83" s="374">
        <f t="shared" si="6"/>
        <v>1</v>
      </c>
      <c r="F83" s="376" t="str">
        <f t="shared" si="7"/>
        <v>1,    IntLtgSys:IntLtgSpecMthd,   1,    0   ; AreaCategoryMethod</v>
      </c>
    </row>
    <row r="84" spans="1:6" x14ac:dyDescent="0.2">
      <c r="A84" s="374" t="s">
        <v>946</v>
      </c>
      <c r="B84" s="382" t="s">
        <v>1093</v>
      </c>
      <c r="C84" s="374">
        <f>INDEX('[2]For CSV - 2022 SpcFuncData'!$AN$5:$AN$89,MATCH($A84,'[2]For CSV - 2022 SpcFuncData'!$B$5:$B$89,0))</f>
        <v>321</v>
      </c>
      <c r="D84" s="374">
        <f t="shared" si="5"/>
        <v>0</v>
      </c>
      <c r="E84" s="374">
        <f t="shared" si="6"/>
        <v>2</v>
      </c>
      <c r="F84" s="376" t="str">
        <f t="shared" si="7"/>
        <v>1,    IntLtgSys:ParentSpcFunc,  321,    0   ; Dining Area (Bar/Lounge and Fine Dining)</v>
      </c>
    </row>
    <row r="85" spans="1:6" x14ac:dyDescent="0.2">
      <c r="A85" s="374" t="s">
        <v>946</v>
      </c>
      <c r="B85" s="382" t="s">
        <v>1093</v>
      </c>
      <c r="C85" s="374">
        <f>INDEX('[2]For CSV - 2022 SpcFuncData'!$AN$5:$AN$89,MATCH($A85,'[2]For CSV - 2022 SpcFuncData'!$B$5:$B$89,0))</f>
        <v>321</v>
      </c>
      <c r="D85" s="374">
        <f t="shared" si="5"/>
        <v>0</v>
      </c>
      <c r="E85" s="374">
        <f t="shared" si="6"/>
        <v>3</v>
      </c>
      <c r="F85" s="376" t="str">
        <f t="shared" si="7"/>
        <v>2,              0,     "- none specified -"</v>
      </c>
    </row>
    <row r="86" spans="1:6" x14ac:dyDescent="0.2">
      <c r="A86" s="374" t="s">
        <v>946</v>
      </c>
      <c r="B86" s="382" t="s">
        <v>1076</v>
      </c>
      <c r="C86" s="374">
        <f>INDEX('[2]For CSV - 2022 SpcFuncData'!$AN$5:$AN$89,MATCH($A86,'[2]For CSV - 2022 SpcFuncData'!$B$5:$B$89,0))</f>
        <v>321</v>
      </c>
      <c r="D86" s="374">
        <f t="shared" si="5"/>
        <v>3</v>
      </c>
      <c r="E86" s="374">
        <f t="shared" si="6"/>
        <v>3</v>
      </c>
      <c r="F86" s="376" t="str">
        <f t="shared" si="7"/>
        <v>2,              3,     "Decorative/Display"</v>
      </c>
    </row>
    <row r="87" spans="1:6" x14ac:dyDescent="0.2">
      <c r="A87" s="374" t="s">
        <v>1203</v>
      </c>
      <c r="B87" s="382" t="s">
        <v>1093</v>
      </c>
      <c r="C87" s="374">
        <f>INDEX('[2]For CSV - 2022 SpcFuncData'!$AN$5:$AN$89,MATCH($A87,'[2]For CSV - 2022 SpcFuncData'!$B$5:$B$89,0))</f>
        <v>322</v>
      </c>
      <c r="D87" s="374">
        <f t="shared" si="5"/>
        <v>0</v>
      </c>
      <c r="E87" s="374">
        <f t="shared" si="6"/>
        <v>1</v>
      </c>
      <c r="F87" s="376" t="str">
        <f t="shared" si="7"/>
        <v>1,    IntLtgSys:IntLtgSpecMthd,   1,    0   ; AreaCategoryMethod</v>
      </c>
    </row>
    <row r="88" spans="1:6" x14ac:dyDescent="0.2">
      <c r="A88" s="374" t="s">
        <v>1203</v>
      </c>
      <c r="B88" s="382" t="s">
        <v>1093</v>
      </c>
      <c r="C88" s="374">
        <f>INDEX('[2]For CSV - 2022 SpcFuncData'!$AN$5:$AN$89,MATCH($A88,'[2]For CSV - 2022 SpcFuncData'!$B$5:$B$89,0))</f>
        <v>322</v>
      </c>
      <c r="D88" s="374">
        <f t="shared" si="5"/>
        <v>0</v>
      </c>
      <c r="E88" s="374">
        <f t="shared" si="6"/>
        <v>2</v>
      </c>
      <c r="F88" s="376" t="str">
        <f t="shared" si="7"/>
        <v>1,    IntLtgSys:ParentSpcFunc,  322,    0   ; Dining Area (Cafeteria/Fast Food)</v>
      </c>
    </row>
    <row r="89" spans="1:6" x14ac:dyDescent="0.2">
      <c r="A89" s="374" t="s">
        <v>1203</v>
      </c>
      <c r="B89" s="382" t="s">
        <v>1093</v>
      </c>
      <c r="C89" s="374">
        <f>INDEX('[2]For CSV - 2022 SpcFuncData'!$AN$5:$AN$89,MATCH($A89,'[2]For CSV - 2022 SpcFuncData'!$B$5:$B$89,0))</f>
        <v>322</v>
      </c>
      <c r="D89" s="374">
        <f t="shared" si="5"/>
        <v>0</v>
      </c>
      <c r="E89" s="374">
        <f t="shared" si="6"/>
        <v>3</v>
      </c>
      <c r="F89" s="376" t="str">
        <f t="shared" si="7"/>
        <v>2,              0,     "- none specified -"</v>
      </c>
    </row>
    <row r="90" spans="1:6" x14ac:dyDescent="0.2">
      <c r="A90" s="374" t="s">
        <v>1203</v>
      </c>
      <c r="B90" s="382" t="s">
        <v>1076</v>
      </c>
      <c r="C90" s="374">
        <f>INDEX('[2]For CSV - 2022 SpcFuncData'!$AN$5:$AN$89,MATCH($A90,'[2]For CSV - 2022 SpcFuncData'!$B$5:$B$89,0))</f>
        <v>322</v>
      </c>
      <c r="D90" s="374">
        <f t="shared" si="5"/>
        <v>3</v>
      </c>
      <c r="E90" s="374">
        <f t="shared" si="6"/>
        <v>3</v>
      </c>
      <c r="F90" s="376" t="str">
        <f t="shared" si="7"/>
        <v>2,              3,     "Decorative/Display"</v>
      </c>
    </row>
    <row r="91" spans="1:6" x14ac:dyDescent="0.2">
      <c r="A91" s="374" t="s">
        <v>948</v>
      </c>
      <c r="B91" s="382" t="s">
        <v>1093</v>
      </c>
      <c r="C91" s="374">
        <f>INDEX('[2]For CSV - 2022 SpcFuncData'!$AN$5:$AN$89,MATCH($A91,'[2]For CSV - 2022 SpcFuncData'!$B$5:$B$89,0))</f>
        <v>323</v>
      </c>
      <c r="D91" s="374">
        <f t="shared" si="5"/>
        <v>0</v>
      </c>
      <c r="E91" s="374">
        <f t="shared" si="6"/>
        <v>1</v>
      </c>
      <c r="F91" s="376" t="str">
        <f t="shared" si="7"/>
        <v>1,    IntLtgSys:IntLtgSpecMthd,   1,    0   ; AreaCategoryMethod</v>
      </c>
    </row>
    <row r="92" spans="1:6" x14ac:dyDescent="0.2">
      <c r="A92" s="374" t="s">
        <v>948</v>
      </c>
      <c r="B92" s="382" t="s">
        <v>1093</v>
      </c>
      <c r="C92" s="374">
        <f>INDEX('[2]For CSV - 2022 SpcFuncData'!$AN$5:$AN$89,MATCH($A92,'[2]For CSV - 2022 SpcFuncData'!$B$5:$B$89,0))</f>
        <v>323</v>
      </c>
      <c r="D92" s="374">
        <f t="shared" si="5"/>
        <v>0</v>
      </c>
      <c r="E92" s="374">
        <f t="shared" si="6"/>
        <v>2</v>
      </c>
      <c r="F92" s="376" t="str">
        <f t="shared" si="7"/>
        <v>1,    IntLtgSys:ParentSpcFunc,  323,    0   ; Dining Area (Family and Leisure)</v>
      </c>
    </row>
    <row r="93" spans="1:6" x14ac:dyDescent="0.2">
      <c r="A93" s="374" t="s">
        <v>948</v>
      </c>
      <c r="B93" s="382" t="s">
        <v>1093</v>
      </c>
      <c r="C93" s="374">
        <f>INDEX('[2]For CSV - 2022 SpcFuncData'!$AN$5:$AN$89,MATCH($A93,'[2]For CSV - 2022 SpcFuncData'!$B$5:$B$89,0))</f>
        <v>323</v>
      </c>
      <c r="D93" s="374">
        <f t="shared" si="5"/>
        <v>0</v>
      </c>
      <c r="E93" s="374">
        <f t="shared" si="6"/>
        <v>3</v>
      </c>
      <c r="F93" s="376" t="str">
        <f t="shared" si="7"/>
        <v>2,              0,     "- none specified -"</v>
      </c>
    </row>
    <row r="94" spans="1:6" x14ac:dyDescent="0.2">
      <c r="A94" s="374" t="s">
        <v>948</v>
      </c>
      <c r="B94" s="382" t="s">
        <v>1076</v>
      </c>
      <c r="C94" s="374">
        <f>INDEX('[2]For CSV - 2022 SpcFuncData'!$AN$5:$AN$89,MATCH($A94,'[2]For CSV - 2022 SpcFuncData'!$B$5:$B$89,0))</f>
        <v>323</v>
      </c>
      <c r="D94" s="374">
        <f t="shared" si="5"/>
        <v>3</v>
      </c>
      <c r="E94" s="374">
        <f t="shared" si="6"/>
        <v>3</v>
      </c>
      <c r="F94" s="376" t="str">
        <f t="shared" si="7"/>
        <v>2,              3,     "Decorative/Display"</v>
      </c>
    </row>
    <row r="95" spans="1:6" x14ac:dyDescent="0.2">
      <c r="A95" s="374" t="s">
        <v>643</v>
      </c>
      <c r="B95" s="382" t="s">
        <v>1093</v>
      </c>
      <c r="C95" s="374">
        <f>INDEX('[2]For CSV - 2022 SpcFuncData'!$AN$5:$AN$89,MATCH($A95,'[2]For CSV - 2022 SpcFuncData'!$B$5:$B$89,0))</f>
        <v>324</v>
      </c>
      <c r="D95" s="374">
        <f t="shared" si="5"/>
        <v>0</v>
      </c>
      <c r="E95" s="374">
        <f t="shared" si="6"/>
        <v>1</v>
      </c>
      <c r="F95" s="376" t="str">
        <f t="shared" si="7"/>
        <v>1,    IntLtgSys:IntLtgSpecMthd,   1,    0   ; AreaCategoryMethod</v>
      </c>
    </row>
    <row r="96" spans="1:6" x14ac:dyDescent="0.2">
      <c r="A96" s="374" t="s">
        <v>643</v>
      </c>
      <c r="B96" s="382" t="s">
        <v>1093</v>
      </c>
      <c r="C96" s="374">
        <f>INDEX('[2]For CSV - 2022 SpcFuncData'!$AN$5:$AN$89,MATCH($A96,'[2]For CSV - 2022 SpcFuncData'!$B$5:$B$89,0))</f>
        <v>324</v>
      </c>
      <c r="D96" s="374">
        <f t="shared" si="5"/>
        <v>0</v>
      </c>
      <c r="E96" s="374">
        <f t="shared" si="6"/>
        <v>2</v>
      </c>
      <c r="F96" s="376" t="str">
        <f t="shared" si="7"/>
        <v>1,    IntLtgSys:ParentSpcFunc,  324,    0   ; Electrical, Mechanical, Telephone Rooms</v>
      </c>
    </row>
    <row r="97" spans="1:6" x14ac:dyDescent="0.2">
      <c r="A97" s="374" t="s">
        <v>643</v>
      </c>
      <c r="B97" s="382" t="s">
        <v>1093</v>
      </c>
      <c r="C97" s="374">
        <f>INDEX('[2]For CSV - 2022 SpcFuncData'!$AN$5:$AN$89,MATCH($A97,'[2]For CSV - 2022 SpcFuncData'!$B$5:$B$89,0))</f>
        <v>324</v>
      </c>
      <c r="D97" s="374">
        <f t="shared" si="5"/>
        <v>0</v>
      </c>
      <c r="E97" s="374">
        <f t="shared" si="6"/>
        <v>3</v>
      </c>
      <c r="F97" s="376" t="str">
        <f t="shared" si="7"/>
        <v>2,              0,     "- none specified -"</v>
      </c>
    </row>
    <row r="98" spans="1:6" x14ac:dyDescent="0.2">
      <c r="A98" s="374" t="s">
        <v>643</v>
      </c>
      <c r="B98" s="382" t="s">
        <v>983</v>
      </c>
      <c r="C98" s="374">
        <f>INDEX('[2]For CSV - 2022 SpcFuncData'!$AN$5:$AN$89,MATCH($A98,'[2]For CSV - 2022 SpcFuncData'!$B$5:$B$89,0))</f>
        <v>324</v>
      </c>
      <c r="D98" s="374">
        <f t="shared" si="5"/>
        <v>1</v>
      </c>
      <c r="E98" s="374">
        <f t="shared" si="6"/>
        <v>3</v>
      </c>
      <c r="F98" s="376" t="str">
        <f t="shared" si="7"/>
        <v>2,              1,     "DetailedTaskWork"</v>
      </c>
    </row>
    <row r="99" spans="1:6" x14ac:dyDescent="0.2">
      <c r="A99" s="374" t="s">
        <v>530</v>
      </c>
      <c r="B99" s="382" t="s">
        <v>1093</v>
      </c>
      <c r="C99" s="374">
        <f>INDEX('[2]For CSV - 2022 SpcFuncData'!$AN$5:$AN$89,MATCH($A99,'[2]For CSV - 2022 SpcFuncData'!$B$5:$B$89,0))</f>
        <v>326</v>
      </c>
      <c r="D99" s="374">
        <f t="shared" si="5"/>
        <v>0</v>
      </c>
      <c r="E99" s="374">
        <f t="shared" si="6"/>
        <v>1</v>
      </c>
      <c r="F99" s="376" t="str">
        <f t="shared" si="7"/>
        <v>1,    IntLtgSys:IntLtgSpecMthd,   1,    0   ; AreaCategoryMethod</v>
      </c>
    </row>
    <row r="100" spans="1:6" x14ac:dyDescent="0.2">
      <c r="A100" s="374" t="s">
        <v>530</v>
      </c>
      <c r="B100" s="382" t="s">
        <v>1093</v>
      </c>
      <c r="C100" s="374">
        <f>INDEX('[2]For CSV - 2022 SpcFuncData'!$AN$5:$AN$89,MATCH($A100,'[2]For CSV - 2022 SpcFuncData'!$B$5:$B$89,0))</f>
        <v>326</v>
      </c>
      <c r="D100" s="374">
        <f t="shared" si="5"/>
        <v>0</v>
      </c>
      <c r="E100" s="374">
        <f t="shared" si="6"/>
        <v>2</v>
      </c>
      <c r="F100" s="376" t="str">
        <f t="shared" si="7"/>
        <v>1,    IntLtgSys:ParentSpcFunc,  326,    0   ; Financial Transaction Area</v>
      </c>
    </row>
    <row r="101" spans="1:6" x14ac:dyDescent="0.2">
      <c r="A101" s="374" t="s">
        <v>530</v>
      </c>
      <c r="B101" s="382" t="s">
        <v>1093</v>
      </c>
      <c r="C101" s="374">
        <f>INDEX('[2]For CSV - 2022 SpcFuncData'!$AN$5:$AN$89,MATCH($A101,'[2]For CSV - 2022 SpcFuncData'!$B$5:$B$89,0))</f>
        <v>326</v>
      </c>
      <c r="D101" s="374">
        <f t="shared" si="5"/>
        <v>0</v>
      </c>
      <c r="E101" s="374">
        <f t="shared" si="6"/>
        <v>3</v>
      </c>
      <c r="F101" s="376" t="str">
        <f t="shared" si="7"/>
        <v>2,              0,     "- none specified -"</v>
      </c>
    </row>
    <row r="102" spans="1:6" x14ac:dyDescent="0.2">
      <c r="A102" s="374" t="s">
        <v>530</v>
      </c>
      <c r="B102" s="382" t="s">
        <v>1076</v>
      </c>
      <c r="C102" s="374">
        <f>INDEX('[2]For CSV - 2022 SpcFuncData'!$AN$5:$AN$89,MATCH($A102,'[2]For CSV - 2022 SpcFuncData'!$B$5:$B$89,0))</f>
        <v>326</v>
      </c>
      <c r="D102" s="374">
        <f t="shared" si="5"/>
        <v>3</v>
      </c>
      <c r="E102" s="374">
        <f t="shared" si="6"/>
        <v>3</v>
      </c>
      <c r="F102" s="376" t="str">
        <f t="shared" si="7"/>
        <v>2,              3,     "Decorative/Display"</v>
      </c>
    </row>
    <row r="103" spans="1:6" x14ac:dyDescent="0.2">
      <c r="A103" s="374" t="s">
        <v>1026</v>
      </c>
      <c r="B103" s="382" t="s">
        <v>1093</v>
      </c>
      <c r="C103" s="374">
        <f>INDEX('[2]For CSV - 2022 SpcFuncData'!$AN$5:$AN$89,MATCH($A103,'[2]For CSV - 2022 SpcFuncData'!$B$5:$B$89,0))</f>
        <v>328</v>
      </c>
      <c r="D103" s="374">
        <f t="shared" si="5"/>
        <v>0</v>
      </c>
      <c r="E103" s="374">
        <f t="shared" si="6"/>
        <v>1</v>
      </c>
      <c r="F103" s="376" t="str">
        <f t="shared" si="7"/>
        <v>1,    IntLtgSys:IntLtgSpecMthd,   1,    0   ; AreaCategoryMethod</v>
      </c>
    </row>
    <row r="104" spans="1:6" x14ac:dyDescent="0.2">
      <c r="A104" s="374" t="s">
        <v>1026</v>
      </c>
      <c r="B104" s="382" t="s">
        <v>1093</v>
      </c>
      <c r="C104" s="374">
        <f>INDEX('[2]For CSV - 2022 SpcFuncData'!$AN$5:$AN$89,MATCH($A104,'[2]For CSV - 2022 SpcFuncData'!$B$5:$B$89,0))</f>
        <v>328</v>
      </c>
      <c r="D104" s="374">
        <f t="shared" si="5"/>
        <v>0</v>
      </c>
      <c r="E104" s="374">
        <f t="shared" si="6"/>
        <v>2</v>
      </c>
      <c r="F104" s="376" t="str">
        <f t="shared" si="7"/>
        <v>1,    IntLtgSys:ParentSpcFunc,  328,    0   ; Healthcare Facility and Hospitals (Imaging Room)</v>
      </c>
    </row>
    <row r="105" spans="1:6" x14ac:dyDescent="0.2">
      <c r="A105" s="374" t="s">
        <v>1026</v>
      </c>
      <c r="B105" s="382" t="s">
        <v>1093</v>
      </c>
      <c r="C105" s="374">
        <f>INDEX('[2]For CSV - 2022 SpcFuncData'!$AN$5:$AN$89,MATCH($A105,'[2]For CSV - 2022 SpcFuncData'!$B$5:$B$89,0))</f>
        <v>328</v>
      </c>
      <c r="D105" s="374">
        <f t="shared" si="5"/>
        <v>0</v>
      </c>
      <c r="E105" s="374">
        <f t="shared" si="6"/>
        <v>3</v>
      </c>
      <c r="F105" s="376" t="str">
        <f t="shared" si="7"/>
        <v>2,              0,     "- none specified -"</v>
      </c>
    </row>
    <row r="106" spans="1:6" x14ac:dyDescent="0.2">
      <c r="A106" s="374" t="s">
        <v>1026</v>
      </c>
      <c r="B106" s="382" t="s">
        <v>1076</v>
      </c>
      <c r="C106" s="374">
        <f>INDEX('[2]For CSV - 2022 SpcFuncData'!$AN$5:$AN$89,MATCH($A106,'[2]For CSV - 2022 SpcFuncData'!$B$5:$B$89,0))</f>
        <v>328</v>
      </c>
      <c r="D106" s="374">
        <f t="shared" si="5"/>
        <v>3</v>
      </c>
      <c r="E106" s="374">
        <f t="shared" si="6"/>
        <v>3</v>
      </c>
      <c r="F106" s="376" t="str">
        <f t="shared" si="7"/>
        <v>2,              3,     "Decorative/Display"</v>
      </c>
    </row>
    <row r="107" spans="1:6" x14ac:dyDescent="0.2">
      <c r="A107" s="374" t="s">
        <v>1026</v>
      </c>
      <c r="B107" s="382" t="s">
        <v>1017</v>
      </c>
      <c r="C107" s="374">
        <f>INDEX('[2]For CSV - 2022 SpcFuncData'!$AN$5:$AN$89,MATCH($A107,'[2]For CSV - 2022 SpcFuncData'!$B$5:$B$89,0))</f>
        <v>328</v>
      </c>
      <c r="D107" s="374">
        <f t="shared" si="5"/>
        <v>15</v>
      </c>
      <c r="E107" s="374">
        <f t="shared" si="6"/>
        <v>3</v>
      </c>
      <c r="F107" s="376" t="str">
        <f t="shared" si="7"/>
        <v>2,              15,     "TunableWhiteOrDimToWarm"</v>
      </c>
    </row>
    <row r="108" spans="1:6" x14ac:dyDescent="0.2">
      <c r="A108" s="374" t="s">
        <v>1028</v>
      </c>
      <c r="B108" s="382" t="s">
        <v>1093</v>
      </c>
      <c r="C108" s="374">
        <f>INDEX('[2]For CSV - 2022 SpcFuncData'!$AN$5:$AN$89,MATCH($A108,'[2]For CSV - 2022 SpcFuncData'!$B$5:$B$89,0))</f>
        <v>330</v>
      </c>
      <c r="D108" s="374">
        <f t="shared" si="5"/>
        <v>0</v>
      </c>
      <c r="E108" s="374">
        <f t="shared" si="6"/>
        <v>1</v>
      </c>
      <c r="F108" s="376" t="str">
        <f t="shared" si="7"/>
        <v>1,    IntLtgSys:IntLtgSpecMthd,   1,    0   ; AreaCategoryMethod</v>
      </c>
    </row>
    <row r="109" spans="1:6" x14ac:dyDescent="0.2">
      <c r="A109" s="374" t="s">
        <v>1028</v>
      </c>
      <c r="B109" s="382" t="s">
        <v>1093</v>
      </c>
      <c r="C109" s="374">
        <f>INDEX('[2]For CSV - 2022 SpcFuncData'!$AN$5:$AN$89,MATCH($A109,'[2]For CSV - 2022 SpcFuncData'!$B$5:$B$89,0))</f>
        <v>330</v>
      </c>
      <c r="D109" s="374">
        <f t="shared" si="5"/>
        <v>0</v>
      </c>
      <c r="E109" s="374">
        <f t="shared" si="6"/>
        <v>2</v>
      </c>
      <c r="F109" s="376" t="str">
        <f t="shared" si="7"/>
        <v>1,    IntLtgSys:ParentSpcFunc,  330,    0   ; Healthcare Facility and Hospitals (Nursery)</v>
      </c>
    </row>
    <row r="110" spans="1:6" x14ac:dyDescent="0.2">
      <c r="A110" s="374" t="s">
        <v>1028</v>
      </c>
      <c r="B110" s="382" t="s">
        <v>1093</v>
      </c>
      <c r="C110" s="374">
        <f>INDEX('[2]For CSV - 2022 SpcFuncData'!$AN$5:$AN$89,MATCH($A110,'[2]For CSV - 2022 SpcFuncData'!$B$5:$B$89,0))</f>
        <v>330</v>
      </c>
      <c r="D110" s="374">
        <f t="shared" si="5"/>
        <v>0</v>
      </c>
      <c r="E110" s="374">
        <f t="shared" si="6"/>
        <v>3</v>
      </c>
      <c r="F110" s="376" t="str">
        <f t="shared" si="7"/>
        <v>2,              0,     "- none specified -"</v>
      </c>
    </row>
    <row r="111" spans="1:6" x14ac:dyDescent="0.2">
      <c r="A111" s="374" t="s">
        <v>1028</v>
      </c>
      <c r="B111" s="382" t="s">
        <v>1017</v>
      </c>
      <c r="C111" s="374">
        <f>INDEX('[2]For CSV - 2022 SpcFuncData'!$AN$5:$AN$89,MATCH($A111,'[2]For CSV - 2022 SpcFuncData'!$B$5:$B$89,0))</f>
        <v>330</v>
      </c>
      <c r="D111" s="374">
        <f t="shared" si="5"/>
        <v>15</v>
      </c>
      <c r="E111" s="374">
        <f t="shared" si="6"/>
        <v>3</v>
      </c>
      <c r="F111" s="376" t="str">
        <f t="shared" si="7"/>
        <v>2,              15,     "TunableWhiteOrDimToWarm"</v>
      </c>
    </row>
    <row r="112" spans="1:6" x14ac:dyDescent="0.2">
      <c r="A112" s="374" t="s">
        <v>1029</v>
      </c>
      <c r="B112" s="382" t="s">
        <v>1093</v>
      </c>
      <c r="C112" s="374">
        <f>INDEX('[2]For CSV - 2022 SpcFuncData'!$AN$5:$AN$89,MATCH($A112,'[2]For CSV - 2022 SpcFuncData'!$B$5:$B$89,0))</f>
        <v>331</v>
      </c>
      <c r="D112" s="374">
        <f t="shared" si="5"/>
        <v>0</v>
      </c>
      <c r="E112" s="374">
        <f t="shared" si="6"/>
        <v>1</v>
      </c>
      <c r="F112" s="376" t="str">
        <f t="shared" si="7"/>
        <v>1,    IntLtgSys:IntLtgSpecMthd,   1,    0   ; AreaCategoryMethod</v>
      </c>
    </row>
    <row r="113" spans="1:6" x14ac:dyDescent="0.2">
      <c r="A113" s="374" t="s">
        <v>1029</v>
      </c>
      <c r="B113" s="382" t="s">
        <v>1093</v>
      </c>
      <c r="C113" s="374">
        <f>INDEX('[2]For CSV - 2022 SpcFuncData'!$AN$5:$AN$89,MATCH($A113,'[2]For CSV - 2022 SpcFuncData'!$B$5:$B$89,0))</f>
        <v>331</v>
      </c>
      <c r="D113" s="374">
        <f t="shared" si="5"/>
        <v>0</v>
      </c>
      <c r="E113" s="374">
        <f t="shared" si="6"/>
        <v>2</v>
      </c>
      <c r="F113" s="376" t="str">
        <f t="shared" si="7"/>
        <v>1,    IntLtgSys:ParentSpcFunc,  331,    0   ; Healthcare Facility and Hospitals (Nurse's Station)</v>
      </c>
    </row>
    <row r="114" spans="1:6" x14ac:dyDescent="0.2">
      <c r="A114" s="374" t="s">
        <v>1029</v>
      </c>
      <c r="B114" s="382" t="s">
        <v>1093</v>
      </c>
      <c r="C114" s="374">
        <f>INDEX('[2]For CSV - 2022 SpcFuncData'!$AN$5:$AN$89,MATCH($A114,'[2]For CSV - 2022 SpcFuncData'!$B$5:$B$89,0))</f>
        <v>331</v>
      </c>
      <c r="D114" s="374">
        <f t="shared" si="5"/>
        <v>0</v>
      </c>
      <c r="E114" s="374">
        <f t="shared" si="6"/>
        <v>3</v>
      </c>
      <c r="F114" s="376" t="str">
        <f t="shared" si="7"/>
        <v>2,              0,     "- none specified -"</v>
      </c>
    </row>
    <row r="115" spans="1:6" x14ac:dyDescent="0.2">
      <c r="A115" s="374" t="s">
        <v>1029</v>
      </c>
      <c r="B115" s="382" t="s">
        <v>1017</v>
      </c>
      <c r="C115" s="374">
        <f>INDEX('[2]For CSV - 2022 SpcFuncData'!$AN$5:$AN$89,MATCH($A115,'[2]For CSV - 2022 SpcFuncData'!$B$5:$B$89,0))</f>
        <v>331</v>
      </c>
      <c r="D115" s="374">
        <f t="shared" si="5"/>
        <v>15</v>
      </c>
      <c r="E115" s="374">
        <f t="shared" si="6"/>
        <v>3</v>
      </c>
      <c r="F115" s="376" t="str">
        <f t="shared" si="7"/>
        <v>2,              15,     "TunableWhiteOrDimToWarm"</v>
      </c>
    </row>
    <row r="116" spans="1:6" x14ac:dyDescent="0.2">
      <c r="A116" s="374" t="s">
        <v>1029</v>
      </c>
      <c r="B116" s="382" t="s">
        <v>983</v>
      </c>
      <c r="C116" s="374">
        <f>INDEX('[2]For CSV - 2022 SpcFuncData'!$AN$5:$AN$89,MATCH($A116,'[2]For CSV - 2022 SpcFuncData'!$B$5:$B$89,0))</f>
        <v>331</v>
      </c>
      <c r="D116" s="374">
        <f t="shared" si="5"/>
        <v>1</v>
      </c>
      <c r="E116" s="374">
        <f t="shared" si="6"/>
        <v>3</v>
      </c>
      <c r="F116" s="376" t="str">
        <f t="shared" si="7"/>
        <v>2,              1,     "DetailedTaskWork"</v>
      </c>
    </row>
    <row r="117" spans="1:6" x14ac:dyDescent="0.2">
      <c r="A117" s="374" t="s">
        <v>1031</v>
      </c>
      <c r="B117" s="382" t="s">
        <v>1093</v>
      </c>
      <c r="C117" s="374">
        <f>INDEX('[2]For CSV - 2022 SpcFuncData'!$AN$5:$AN$89,MATCH($A117,'[2]For CSV - 2022 SpcFuncData'!$B$5:$B$89,0))</f>
        <v>333</v>
      </c>
      <c r="D117" s="374">
        <f t="shared" si="5"/>
        <v>0</v>
      </c>
      <c r="E117" s="374">
        <f t="shared" si="6"/>
        <v>1</v>
      </c>
      <c r="F117" s="376" t="str">
        <f t="shared" si="7"/>
        <v>1,    IntLtgSys:IntLtgSpecMthd,   1,    0   ; AreaCategoryMethod</v>
      </c>
    </row>
    <row r="118" spans="1:6" x14ac:dyDescent="0.2">
      <c r="A118" s="374" t="s">
        <v>1031</v>
      </c>
      <c r="B118" s="382" t="s">
        <v>1093</v>
      </c>
      <c r="C118" s="374">
        <f>INDEX('[2]For CSV - 2022 SpcFuncData'!$AN$5:$AN$89,MATCH($A118,'[2]For CSV - 2022 SpcFuncData'!$B$5:$B$89,0))</f>
        <v>333</v>
      </c>
      <c r="D118" s="374">
        <f t="shared" si="5"/>
        <v>0</v>
      </c>
      <c r="E118" s="374">
        <f t="shared" si="6"/>
        <v>2</v>
      </c>
      <c r="F118" s="376" t="str">
        <f t="shared" si="7"/>
        <v>1,    IntLtgSys:ParentSpcFunc,  333,    0   ; Healthcare Facility and Hospitals (Patient Room)</v>
      </c>
    </row>
    <row r="119" spans="1:6" x14ac:dyDescent="0.2">
      <c r="A119" s="374" t="s">
        <v>1031</v>
      </c>
      <c r="B119" s="382" t="s">
        <v>1093</v>
      </c>
      <c r="C119" s="374">
        <f>INDEX('[2]For CSV - 2022 SpcFuncData'!$AN$5:$AN$89,MATCH($A119,'[2]For CSV - 2022 SpcFuncData'!$B$5:$B$89,0))</f>
        <v>333</v>
      </c>
      <c r="D119" s="374">
        <f t="shared" si="5"/>
        <v>0</v>
      </c>
      <c r="E119" s="374">
        <f t="shared" si="6"/>
        <v>3</v>
      </c>
      <c r="F119" s="376" t="str">
        <f t="shared" si="7"/>
        <v>2,              0,     "- none specified -"</v>
      </c>
    </row>
    <row r="120" spans="1:6" x14ac:dyDescent="0.2">
      <c r="A120" s="374" t="s">
        <v>1031</v>
      </c>
      <c r="B120" s="382" t="s">
        <v>1076</v>
      </c>
      <c r="C120" s="374">
        <f>INDEX('[2]For CSV - 2022 SpcFuncData'!$AN$5:$AN$89,MATCH($A120,'[2]For CSV - 2022 SpcFuncData'!$B$5:$B$89,0))</f>
        <v>333</v>
      </c>
      <c r="D120" s="374">
        <f t="shared" si="5"/>
        <v>3</v>
      </c>
      <c r="E120" s="374">
        <f t="shared" si="6"/>
        <v>3</v>
      </c>
      <c r="F120" s="376" t="str">
        <f t="shared" si="7"/>
        <v>2,              3,     "Decorative/Display"</v>
      </c>
    </row>
    <row r="121" spans="1:6" x14ac:dyDescent="0.2">
      <c r="A121" s="374" t="s">
        <v>1032</v>
      </c>
      <c r="B121" s="382" t="s">
        <v>1093</v>
      </c>
      <c r="C121" s="374">
        <f>INDEX('[2]For CSV - 2022 SpcFuncData'!$AN$5:$AN$89,MATCH($A121,'[2]For CSV - 2022 SpcFuncData'!$B$5:$B$89,0))</f>
        <v>334</v>
      </c>
      <c r="D121" s="374">
        <f t="shared" si="5"/>
        <v>0</v>
      </c>
      <c r="E121" s="374">
        <f t="shared" si="6"/>
        <v>1</v>
      </c>
      <c r="F121" s="376" t="str">
        <f t="shared" si="7"/>
        <v>1,    IntLtgSys:IntLtgSpecMthd,   1,    0   ; AreaCategoryMethod</v>
      </c>
    </row>
    <row r="122" spans="1:6" x14ac:dyDescent="0.2">
      <c r="A122" s="374" t="s">
        <v>1032</v>
      </c>
      <c r="B122" s="382" t="s">
        <v>1093</v>
      </c>
      <c r="C122" s="374">
        <f>INDEX('[2]For CSV - 2022 SpcFuncData'!$AN$5:$AN$89,MATCH($A122,'[2]For CSV - 2022 SpcFuncData'!$B$5:$B$89,0))</f>
        <v>334</v>
      </c>
      <c r="D122" s="374">
        <f t="shared" si="5"/>
        <v>0</v>
      </c>
      <c r="E122" s="374">
        <f t="shared" si="6"/>
        <v>2</v>
      </c>
      <c r="F122" s="376" t="str">
        <f t="shared" si="7"/>
        <v>1,    IntLtgSys:ParentSpcFunc,  334,    0   ; Healthcare Facility and Hospitals (Physical Therapy Room)</v>
      </c>
    </row>
    <row r="123" spans="1:6" x14ac:dyDescent="0.2">
      <c r="A123" s="374" t="s">
        <v>1032</v>
      </c>
      <c r="B123" s="382" t="s">
        <v>1093</v>
      </c>
      <c r="C123" s="374">
        <f>INDEX('[2]For CSV - 2022 SpcFuncData'!$AN$5:$AN$89,MATCH($A123,'[2]For CSV - 2022 SpcFuncData'!$B$5:$B$89,0))</f>
        <v>334</v>
      </c>
      <c r="D123" s="374">
        <f t="shared" si="5"/>
        <v>0</v>
      </c>
      <c r="E123" s="374">
        <f t="shared" si="6"/>
        <v>3</v>
      </c>
      <c r="F123" s="376" t="str">
        <f t="shared" si="7"/>
        <v>2,              0,     "- none specified -"</v>
      </c>
    </row>
    <row r="124" spans="1:6" x14ac:dyDescent="0.2">
      <c r="A124" s="374" t="s">
        <v>1032</v>
      </c>
      <c r="B124" s="382" t="s">
        <v>1017</v>
      </c>
      <c r="C124" s="374">
        <f>INDEX('[2]For CSV - 2022 SpcFuncData'!$AN$5:$AN$89,MATCH($A124,'[2]For CSV - 2022 SpcFuncData'!$B$5:$B$89,0))</f>
        <v>334</v>
      </c>
      <c r="D124" s="374">
        <f t="shared" si="5"/>
        <v>15</v>
      </c>
      <c r="E124" s="374">
        <f t="shared" si="6"/>
        <v>3</v>
      </c>
      <c r="F124" s="376" t="str">
        <f t="shared" si="7"/>
        <v>2,              15,     "TunableWhiteOrDimToWarm"</v>
      </c>
    </row>
    <row r="125" spans="1:6" x14ac:dyDescent="0.2">
      <c r="A125" s="374" t="s">
        <v>1033</v>
      </c>
      <c r="B125" s="382" t="s">
        <v>1093</v>
      </c>
      <c r="C125" s="374">
        <f>INDEX('[2]For CSV - 2022 SpcFuncData'!$AN$5:$AN$89,MATCH($A125,'[2]For CSV - 2022 SpcFuncData'!$B$5:$B$89,0))</f>
        <v>335</v>
      </c>
      <c r="D125" s="374">
        <f t="shared" si="5"/>
        <v>0</v>
      </c>
      <c r="E125" s="374">
        <f t="shared" si="6"/>
        <v>1</v>
      </c>
      <c r="F125" s="376" t="str">
        <f t="shared" si="7"/>
        <v>1,    IntLtgSys:IntLtgSpecMthd,   1,    0   ; AreaCategoryMethod</v>
      </c>
    </row>
    <row r="126" spans="1:6" x14ac:dyDescent="0.2">
      <c r="A126" s="374" t="s">
        <v>1033</v>
      </c>
      <c r="B126" s="382" t="s">
        <v>1093</v>
      </c>
      <c r="C126" s="374">
        <f>INDEX('[2]For CSV - 2022 SpcFuncData'!$AN$5:$AN$89,MATCH($A126,'[2]For CSV - 2022 SpcFuncData'!$B$5:$B$89,0))</f>
        <v>335</v>
      </c>
      <c r="D126" s="374">
        <f t="shared" si="5"/>
        <v>0</v>
      </c>
      <c r="E126" s="374">
        <f t="shared" si="6"/>
        <v>2</v>
      </c>
      <c r="F126" s="376" t="str">
        <f t="shared" si="7"/>
        <v>1,    IntLtgSys:ParentSpcFunc,  335,    0   ; Healthcare Facility and Hospitals (Recovery Room)</v>
      </c>
    </row>
    <row r="127" spans="1:6" x14ac:dyDescent="0.2">
      <c r="A127" s="374" t="s">
        <v>1033</v>
      </c>
      <c r="B127" s="382" t="s">
        <v>1093</v>
      </c>
      <c r="C127" s="374">
        <f>INDEX('[2]For CSV - 2022 SpcFuncData'!$AN$5:$AN$89,MATCH($A127,'[2]For CSV - 2022 SpcFuncData'!$B$5:$B$89,0))</f>
        <v>335</v>
      </c>
      <c r="D127" s="374">
        <f t="shared" si="5"/>
        <v>0</v>
      </c>
      <c r="E127" s="374">
        <f t="shared" si="6"/>
        <v>3</v>
      </c>
      <c r="F127" s="376" t="str">
        <f t="shared" si="7"/>
        <v>2,              0,     "- none specified -"</v>
      </c>
    </row>
    <row r="128" spans="1:6" x14ac:dyDescent="0.2">
      <c r="A128" s="374" t="s">
        <v>1033</v>
      </c>
      <c r="B128" s="382" t="s">
        <v>1017</v>
      </c>
      <c r="C128" s="374">
        <f>INDEX('[2]For CSV - 2022 SpcFuncData'!$AN$5:$AN$89,MATCH($A128,'[2]For CSV - 2022 SpcFuncData'!$B$5:$B$89,0))</f>
        <v>335</v>
      </c>
      <c r="D128" s="374">
        <f t="shared" si="5"/>
        <v>15</v>
      </c>
      <c r="E128" s="374">
        <f t="shared" si="6"/>
        <v>3</v>
      </c>
      <c r="F128" s="376" t="str">
        <f t="shared" si="7"/>
        <v>2,              15,     "TunableWhiteOrDimToWarm"</v>
      </c>
    </row>
    <row r="129" spans="1:6" x14ac:dyDescent="0.2">
      <c r="A129" s="374" t="s">
        <v>532</v>
      </c>
      <c r="B129" s="382" t="s">
        <v>1093</v>
      </c>
      <c r="C129" s="374">
        <f>INDEX('[2]For CSV - 2022 SpcFuncData'!$AN$5:$AN$89,MATCH($A129,'[2]For CSV - 2022 SpcFuncData'!$B$5:$B$89,0))</f>
        <v>337</v>
      </c>
      <c r="D129" s="374">
        <f t="shared" si="5"/>
        <v>0</v>
      </c>
      <c r="E129" s="374">
        <f t="shared" si="6"/>
        <v>1</v>
      </c>
      <c r="F129" s="376" t="str">
        <f t="shared" si="7"/>
        <v>1,    IntLtgSys:IntLtgSpecMthd,   1,    0   ; AreaCategoryMethod</v>
      </c>
    </row>
    <row r="130" spans="1:6" x14ac:dyDescent="0.2">
      <c r="A130" s="374" t="s">
        <v>532</v>
      </c>
      <c r="B130" s="382" t="s">
        <v>1093</v>
      </c>
      <c r="C130" s="374">
        <f>INDEX('[2]For CSV - 2022 SpcFuncData'!$AN$5:$AN$89,MATCH($A130,'[2]For CSV - 2022 SpcFuncData'!$B$5:$B$89,0))</f>
        <v>337</v>
      </c>
      <c r="D130" s="374">
        <f t="shared" si="5"/>
        <v>0</v>
      </c>
      <c r="E130" s="374">
        <f t="shared" si="6"/>
        <v>2</v>
      </c>
      <c r="F130" s="376" t="str">
        <f t="shared" si="7"/>
        <v>1,    IntLtgSys:ParentSpcFunc,  337,    0   ; Hotel Function Area</v>
      </c>
    </row>
    <row r="131" spans="1:6" x14ac:dyDescent="0.2">
      <c r="A131" s="374" t="s">
        <v>532</v>
      </c>
      <c r="B131" s="382" t="s">
        <v>1093</v>
      </c>
      <c r="C131" s="374">
        <f>INDEX('[2]For CSV - 2022 SpcFuncData'!$AN$5:$AN$89,MATCH($A131,'[2]For CSV - 2022 SpcFuncData'!$B$5:$B$89,0))</f>
        <v>337</v>
      </c>
      <c r="D131" s="374">
        <f t="shared" si="5"/>
        <v>0</v>
      </c>
      <c r="E131" s="374">
        <f t="shared" si="6"/>
        <v>3</v>
      </c>
      <c r="F131" s="376" t="str">
        <f t="shared" si="7"/>
        <v>2,              0,     "- none specified -"</v>
      </c>
    </row>
    <row r="132" spans="1:6" x14ac:dyDescent="0.2">
      <c r="A132" s="374" t="s">
        <v>532</v>
      </c>
      <c r="B132" s="382" t="s">
        <v>1076</v>
      </c>
      <c r="C132" s="374">
        <f>INDEX('[2]For CSV - 2022 SpcFuncData'!$AN$5:$AN$89,MATCH($A132,'[2]For CSV - 2022 SpcFuncData'!$B$5:$B$89,0))</f>
        <v>337</v>
      </c>
      <c r="D132" s="374">
        <f t="shared" si="5"/>
        <v>3</v>
      </c>
      <c r="E132" s="374">
        <f t="shared" si="6"/>
        <v>3</v>
      </c>
      <c r="F132" s="376" t="str">
        <f t="shared" si="7"/>
        <v>2,              3,     "Decorative/Display"</v>
      </c>
    </row>
    <row r="133" spans="1:6" x14ac:dyDescent="0.2">
      <c r="A133" s="374" t="s">
        <v>653</v>
      </c>
      <c r="B133" s="382" t="s">
        <v>1093</v>
      </c>
      <c r="C133" s="374">
        <f>INDEX('[2]For CSV - 2022 SpcFuncData'!$AN$5:$AN$89,MATCH($A133,'[2]For CSV - 2022 SpcFuncData'!$B$5:$B$89,0))</f>
        <v>341</v>
      </c>
      <c r="D133" s="374">
        <f t="shared" si="5"/>
        <v>0</v>
      </c>
      <c r="E133" s="374">
        <f t="shared" si="6"/>
        <v>1</v>
      </c>
      <c r="F133" s="376" t="str">
        <f t="shared" si="7"/>
        <v>1,    IntLtgSys:IntLtgSpecMthd,   1,    0   ; AreaCategoryMethod</v>
      </c>
    </row>
    <row r="134" spans="1:6" x14ac:dyDescent="0.2">
      <c r="A134" s="374" t="s">
        <v>653</v>
      </c>
      <c r="B134" s="382" t="s">
        <v>1093</v>
      </c>
      <c r="C134" s="374">
        <f>INDEX('[2]For CSV - 2022 SpcFuncData'!$AN$5:$AN$89,MATCH($A134,'[2]For CSV - 2022 SpcFuncData'!$B$5:$B$89,0))</f>
        <v>341</v>
      </c>
      <c r="D134" s="374">
        <f t="shared" si="5"/>
        <v>0</v>
      </c>
      <c r="E134" s="374">
        <f t="shared" si="6"/>
        <v>2</v>
      </c>
      <c r="F134" s="376" t="str">
        <f t="shared" si="7"/>
        <v>1,    IntLtgSys:ParentSpcFunc,  341,    0   ; Laboratory, Scientific</v>
      </c>
    </row>
    <row r="135" spans="1:6" x14ac:dyDescent="0.2">
      <c r="A135" s="374" t="s">
        <v>653</v>
      </c>
      <c r="B135" s="382" t="s">
        <v>1093</v>
      </c>
      <c r="C135" s="374">
        <f>INDEX('[2]For CSV - 2022 SpcFuncData'!$AN$5:$AN$89,MATCH($A135,'[2]For CSV - 2022 SpcFuncData'!$B$5:$B$89,0))</f>
        <v>341</v>
      </c>
      <c r="D135" s="374">
        <f t="shared" si="5"/>
        <v>0</v>
      </c>
      <c r="E135" s="374">
        <f t="shared" si="6"/>
        <v>3</v>
      </c>
      <c r="F135" s="376" t="str">
        <f t="shared" si="7"/>
        <v>2,              0,     "- none specified -"</v>
      </c>
    </row>
    <row r="136" spans="1:6" x14ac:dyDescent="0.2">
      <c r="A136" s="374" t="s">
        <v>653</v>
      </c>
      <c r="B136" s="382" t="s">
        <v>429</v>
      </c>
      <c r="C136" s="374">
        <f>INDEX('[2]For CSV - 2022 SpcFuncData'!$AN$5:$AN$89,MATCH($A136,'[2]For CSV - 2022 SpcFuncData'!$B$5:$B$89,0))</f>
        <v>341</v>
      </c>
      <c r="D136" s="374">
        <f t="shared" ref="D136:D199" si="8">VLOOKUP(B136,$L$8:$M$23,2,0)</f>
        <v>2</v>
      </c>
      <c r="E136" s="374">
        <f t="shared" si="6"/>
        <v>3</v>
      </c>
      <c r="F136" s="376" t="str">
        <f t="shared" si="7"/>
        <v>2,              2,     "SpecializedTaskWork"</v>
      </c>
    </row>
    <row r="137" spans="1:6" x14ac:dyDescent="0.2">
      <c r="A137" s="374" t="s">
        <v>956</v>
      </c>
      <c r="B137" s="382" t="s">
        <v>1093</v>
      </c>
      <c r="C137" s="374">
        <f>INDEX('[2]For CSV - 2022 SpcFuncData'!$AN$5:$AN$89,MATCH($A137,'[2]For CSV - 2022 SpcFuncData'!$B$5:$B$89,0))</f>
        <v>343</v>
      </c>
      <c r="D137" s="374">
        <f t="shared" si="8"/>
        <v>0</v>
      </c>
      <c r="E137" s="374">
        <f t="shared" ref="E137:E200" si="9">IF(A137&lt;&gt;A136,1,IF(A137&lt;&gt;A135,2,3))</f>
        <v>1</v>
      </c>
      <c r="F137" s="376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374" t="s">
        <v>956</v>
      </c>
      <c r="B138" s="382" t="s">
        <v>1093</v>
      </c>
      <c r="C138" s="374">
        <f>INDEX('[2]For CSV - 2022 SpcFuncData'!$AN$5:$AN$89,MATCH($A138,'[2]For CSV - 2022 SpcFuncData'!$B$5:$B$89,0))</f>
        <v>343</v>
      </c>
      <c r="D138" s="374">
        <f t="shared" si="8"/>
        <v>0</v>
      </c>
      <c r="E138" s="374">
        <f t="shared" si="9"/>
        <v>2</v>
      </c>
      <c r="F138" s="376" t="str">
        <f t="shared" si="10"/>
        <v>1,    IntLtgSys:ParentSpcFunc,  343,    0   ; Library (Reading Area)</v>
      </c>
    </row>
    <row r="139" spans="1:6" x14ac:dyDescent="0.2">
      <c r="A139" s="374" t="s">
        <v>956</v>
      </c>
      <c r="B139" s="382" t="s">
        <v>1093</v>
      </c>
      <c r="C139" s="374">
        <f>INDEX('[2]For CSV - 2022 SpcFuncData'!$AN$5:$AN$89,MATCH($A139,'[2]For CSV - 2022 SpcFuncData'!$B$5:$B$89,0))</f>
        <v>343</v>
      </c>
      <c r="D139" s="374">
        <f t="shared" si="8"/>
        <v>0</v>
      </c>
      <c r="E139" s="374">
        <f t="shared" si="9"/>
        <v>3</v>
      </c>
      <c r="F139" s="376" t="str">
        <f t="shared" si="10"/>
        <v>2,              0,     "- none specified -"</v>
      </c>
    </row>
    <row r="140" spans="1:6" x14ac:dyDescent="0.2">
      <c r="A140" s="374" t="s">
        <v>956</v>
      </c>
      <c r="B140" s="382" t="s">
        <v>1076</v>
      </c>
      <c r="C140" s="374">
        <f>INDEX('[2]For CSV - 2022 SpcFuncData'!$AN$5:$AN$89,MATCH($A140,'[2]For CSV - 2022 SpcFuncData'!$B$5:$B$89,0))</f>
        <v>343</v>
      </c>
      <c r="D140" s="374">
        <f t="shared" si="8"/>
        <v>3</v>
      </c>
      <c r="E140" s="374">
        <f t="shared" si="9"/>
        <v>3</v>
      </c>
      <c r="F140" s="376" t="str">
        <f t="shared" si="10"/>
        <v>2,              3,     "Decorative/Display"</v>
      </c>
    </row>
    <row r="141" spans="1:6" x14ac:dyDescent="0.2">
      <c r="A141" s="374" t="s">
        <v>534</v>
      </c>
      <c r="B141" s="382" t="s">
        <v>1093</v>
      </c>
      <c r="C141" s="374">
        <f>INDEX('[2]For CSV - 2022 SpcFuncData'!$AN$5:$AN$89,MATCH($A141,'[2]For CSV - 2022 SpcFuncData'!$B$5:$B$89,0))</f>
        <v>345</v>
      </c>
      <c r="D141" s="374">
        <f t="shared" si="8"/>
        <v>0</v>
      </c>
      <c r="E141" s="374">
        <f t="shared" si="9"/>
        <v>1</v>
      </c>
      <c r="F141" s="376" t="str">
        <f t="shared" si="10"/>
        <v>1,    IntLtgSys:IntLtgSpecMthd,   1,    0   ; AreaCategoryMethod</v>
      </c>
    </row>
    <row r="142" spans="1:6" x14ac:dyDescent="0.2">
      <c r="A142" s="374" t="s">
        <v>534</v>
      </c>
      <c r="B142" s="382" t="s">
        <v>1093</v>
      </c>
      <c r="C142" s="374">
        <f>INDEX('[2]For CSV - 2022 SpcFuncData'!$AN$5:$AN$89,MATCH($A142,'[2]For CSV - 2022 SpcFuncData'!$B$5:$B$89,0))</f>
        <v>345</v>
      </c>
      <c r="D142" s="374">
        <f t="shared" si="8"/>
        <v>0</v>
      </c>
      <c r="E142" s="374">
        <f t="shared" si="9"/>
        <v>2</v>
      </c>
      <c r="F142" s="376" t="str">
        <f t="shared" si="10"/>
        <v>1,    IntLtgSys:ParentSpcFunc,  345,    0   ; Lobby, Main Entry</v>
      </c>
    </row>
    <row r="143" spans="1:6" x14ac:dyDescent="0.2">
      <c r="A143" s="374" t="s">
        <v>534</v>
      </c>
      <c r="B143" s="382" t="s">
        <v>1093</v>
      </c>
      <c r="C143" s="374">
        <f>INDEX('[2]For CSV - 2022 SpcFuncData'!$AN$5:$AN$89,MATCH($A143,'[2]For CSV - 2022 SpcFuncData'!$B$5:$B$89,0))</f>
        <v>345</v>
      </c>
      <c r="D143" s="374">
        <f t="shared" si="8"/>
        <v>0</v>
      </c>
      <c r="E143" s="374">
        <f t="shared" si="9"/>
        <v>3</v>
      </c>
      <c r="F143" s="376" t="str">
        <f t="shared" si="10"/>
        <v>2,              0,     "- none specified -"</v>
      </c>
    </row>
    <row r="144" spans="1:6" x14ac:dyDescent="0.2">
      <c r="A144" s="374" t="s">
        <v>534</v>
      </c>
      <c r="B144" s="382" t="s">
        <v>1076</v>
      </c>
      <c r="C144" s="374">
        <f>INDEX('[2]For CSV - 2022 SpcFuncData'!$AN$5:$AN$89,MATCH($A144,'[2]For CSV - 2022 SpcFuncData'!$B$5:$B$89,0))</f>
        <v>345</v>
      </c>
      <c r="D144" s="374">
        <f t="shared" si="8"/>
        <v>3</v>
      </c>
      <c r="E144" s="374">
        <f t="shared" si="9"/>
        <v>3</v>
      </c>
      <c r="F144" s="376" t="str">
        <f t="shared" si="10"/>
        <v>2,              3,     "Decorative/Display"</v>
      </c>
    </row>
    <row r="145" spans="1:6" x14ac:dyDescent="0.2">
      <c r="A145" s="374" t="s">
        <v>958</v>
      </c>
      <c r="B145" s="382" t="s">
        <v>1093</v>
      </c>
      <c r="C145" s="374">
        <f>INDEX('[2]For CSV - 2022 SpcFuncData'!$AN$5:$AN$89,MATCH($A145,'[2]For CSV - 2022 SpcFuncData'!$B$5:$B$89,0))</f>
        <v>347</v>
      </c>
      <c r="D145" s="374">
        <f t="shared" si="8"/>
        <v>0</v>
      </c>
      <c r="E145" s="374">
        <f t="shared" si="9"/>
        <v>1</v>
      </c>
      <c r="F145" s="376" t="str">
        <f t="shared" si="10"/>
        <v>1,    IntLtgSys:IntLtgSpecMthd,   1,    0   ; AreaCategoryMethod</v>
      </c>
    </row>
    <row r="146" spans="1:6" x14ac:dyDescent="0.2">
      <c r="A146" s="374" t="s">
        <v>958</v>
      </c>
      <c r="B146" s="382" t="s">
        <v>1093</v>
      </c>
      <c r="C146" s="374">
        <f>INDEX('[2]For CSV - 2022 SpcFuncData'!$AN$5:$AN$89,MATCH($A146,'[2]For CSV - 2022 SpcFuncData'!$B$5:$B$89,0))</f>
        <v>347</v>
      </c>
      <c r="D146" s="374">
        <f t="shared" si="8"/>
        <v>0</v>
      </c>
      <c r="E146" s="374">
        <f t="shared" si="9"/>
        <v>2</v>
      </c>
      <c r="F146" s="376" t="str">
        <f t="shared" si="10"/>
        <v>1,    IntLtgSys:ParentSpcFunc,  347,    0   ; Lounge, Breakroom, or Waiting Area</v>
      </c>
    </row>
    <row r="147" spans="1:6" x14ac:dyDescent="0.2">
      <c r="A147" s="374" t="s">
        <v>958</v>
      </c>
      <c r="B147" s="382" t="s">
        <v>1093</v>
      </c>
      <c r="C147" s="374">
        <f>INDEX('[2]For CSV - 2022 SpcFuncData'!$AN$5:$AN$89,MATCH($A147,'[2]For CSV - 2022 SpcFuncData'!$B$5:$B$89,0))</f>
        <v>347</v>
      </c>
      <c r="D147" s="374">
        <f t="shared" si="8"/>
        <v>0</v>
      </c>
      <c r="E147" s="374">
        <f t="shared" si="9"/>
        <v>3</v>
      </c>
      <c r="F147" s="376" t="str">
        <f t="shared" si="10"/>
        <v>2,              0,     "- none specified -"</v>
      </c>
    </row>
    <row r="148" spans="1:6" x14ac:dyDescent="0.2">
      <c r="A148" s="374" t="s">
        <v>958</v>
      </c>
      <c r="B148" s="382" t="s">
        <v>1076</v>
      </c>
      <c r="C148" s="374">
        <f>INDEX('[2]For CSV - 2022 SpcFuncData'!$AN$5:$AN$89,MATCH($A148,'[2]For CSV - 2022 SpcFuncData'!$B$5:$B$89,0))</f>
        <v>347</v>
      </c>
      <c r="D148" s="374">
        <f t="shared" si="8"/>
        <v>3</v>
      </c>
      <c r="E148" s="374">
        <f t="shared" si="9"/>
        <v>3</v>
      </c>
      <c r="F148" s="376" t="str">
        <f t="shared" si="10"/>
        <v>2,              3,     "Decorative/Display"</v>
      </c>
    </row>
    <row r="149" spans="1:6" x14ac:dyDescent="0.2">
      <c r="A149" s="374" t="s">
        <v>1067</v>
      </c>
      <c r="B149" s="382" t="s">
        <v>1093</v>
      </c>
      <c r="C149" s="374">
        <f>INDEX('[2]For CSV - 2022 SpcFuncData'!$AN$5:$AN$89,MATCH($A149,'[2]For CSV - 2022 SpcFuncData'!$B$5:$B$89,0))</f>
        <v>348</v>
      </c>
      <c r="D149" s="374">
        <f t="shared" si="8"/>
        <v>0</v>
      </c>
      <c r="E149" s="374">
        <f t="shared" si="9"/>
        <v>1</v>
      </c>
      <c r="F149" s="376" t="str">
        <f t="shared" si="10"/>
        <v>1,    IntLtgSys:IntLtgSpecMthd,   1,    0   ; AreaCategoryMethod</v>
      </c>
    </row>
    <row r="150" spans="1:6" x14ac:dyDescent="0.2">
      <c r="A150" s="374" t="s">
        <v>1067</v>
      </c>
      <c r="B150" s="382" t="s">
        <v>1093</v>
      </c>
      <c r="C150" s="374">
        <f>INDEX('[2]For CSV - 2022 SpcFuncData'!$AN$5:$AN$89,MATCH($A150,'[2]For CSV - 2022 SpcFuncData'!$B$5:$B$89,0))</f>
        <v>348</v>
      </c>
      <c r="D150" s="374">
        <f t="shared" si="8"/>
        <v>0</v>
      </c>
      <c r="E150" s="374">
        <f t="shared" si="9"/>
        <v>2</v>
      </c>
      <c r="F150" s="376" t="str">
        <f t="shared" si="10"/>
        <v>1,    IntLtgSys:ParentSpcFunc,  348,    0   ; Manufacturing, Commercial &amp; Industrial Work Area (Low Bay)</v>
      </c>
    </row>
    <row r="151" spans="1:6" x14ac:dyDescent="0.2">
      <c r="A151" s="374" t="s">
        <v>1067</v>
      </c>
      <c r="B151" s="382" t="s">
        <v>1093</v>
      </c>
      <c r="C151" s="374">
        <f>INDEX('[2]For CSV - 2022 SpcFuncData'!$AN$5:$AN$89,MATCH($A151,'[2]For CSV - 2022 SpcFuncData'!$B$5:$B$89,0))</f>
        <v>348</v>
      </c>
      <c r="D151" s="374">
        <f t="shared" si="8"/>
        <v>0</v>
      </c>
      <c r="E151" s="374">
        <f t="shared" si="9"/>
        <v>3</v>
      </c>
      <c r="F151" s="376" t="str">
        <f t="shared" si="10"/>
        <v>2,              0,     "- none specified -"</v>
      </c>
    </row>
    <row r="152" spans="1:6" x14ac:dyDescent="0.2">
      <c r="A152" s="374" t="s">
        <v>1067</v>
      </c>
      <c r="B152" s="382" t="s">
        <v>983</v>
      </c>
      <c r="C152" s="374">
        <f>INDEX('[2]For CSV - 2022 SpcFuncData'!$AN$5:$AN$89,MATCH($A152,'[2]For CSV - 2022 SpcFuncData'!$B$5:$B$89,0))</f>
        <v>348</v>
      </c>
      <c r="D152" s="374">
        <f t="shared" si="8"/>
        <v>1</v>
      </c>
      <c r="E152" s="374">
        <f t="shared" si="9"/>
        <v>3</v>
      </c>
      <c r="F152" s="376" t="str">
        <f t="shared" si="10"/>
        <v>2,              1,     "DetailedTaskWork"</v>
      </c>
    </row>
    <row r="153" spans="1:6" x14ac:dyDescent="0.2">
      <c r="A153" s="374" t="s">
        <v>1068</v>
      </c>
      <c r="B153" s="382" t="s">
        <v>1093</v>
      </c>
      <c r="C153" s="374">
        <f>INDEX('[2]For CSV - 2022 SpcFuncData'!$AN$5:$AN$89,MATCH($A153,'[2]For CSV - 2022 SpcFuncData'!$B$5:$B$89,0))</f>
        <v>349</v>
      </c>
      <c r="D153" s="374">
        <f t="shared" si="8"/>
        <v>0</v>
      </c>
      <c r="E153" s="374">
        <f t="shared" si="9"/>
        <v>1</v>
      </c>
      <c r="F153" s="376" t="str">
        <f t="shared" si="10"/>
        <v>1,    IntLtgSys:IntLtgSpecMthd,   1,    0   ; AreaCategoryMethod</v>
      </c>
    </row>
    <row r="154" spans="1:6" x14ac:dyDescent="0.2">
      <c r="A154" s="374" t="s">
        <v>1068</v>
      </c>
      <c r="B154" s="382" t="s">
        <v>1093</v>
      </c>
      <c r="C154" s="374">
        <f>INDEX('[2]For CSV - 2022 SpcFuncData'!$AN$5:$AN$89,MATCH($A154,'[2]For CSV - 2022 SpcFuncData'!$B$5:$B$89,0))</f>
        <v>349</v>
      </c>
      <c r="D154" s="374">
        <f t="shared" si="8"/>
        <v>0</v>
      </c>
      <c r="E154" s="374">
        <f t="shared" si="9"/>
        <v>2</v>
      </c>
      <c r="F154" s="376" t="str">
        <f t="shared" si="10"/>
        <v>1,    IntLtgSys:ParentSpcFunc,  349,    0   ; Manufacturing, Commercial &amp; Industrial Work Area (High Bay)</v>
      </c>
    </row>
    <row r="155" spans="1:6" x14ac:dyDescent="0.2">
      <c r="A155" s="374" t="s">
        <v>1068</v>
      </c>
      <c r="B155" s="382" t="s">
        <v>1093</v>
      </c>
      <c r="C155" s="374">
        <f>INDEX('[2]For CSV - 2022 SpcFuncData'!$AN$5:$AN$89,MATCH($A155,'[2]For CSV - 2022 SpcFuncData'!$B$5:$B$89,0))</f>
        <v>349</v>
      </c>
      <c r="D155" s="374">
        <f t="shared" si="8"/>
        <v>0</v>
      </c>
      <c r="E155" s="374">
        <f t="shared" si="9"/>
        <v>3</v>
      </c>
      <c r="F155" s="376" t="str">
        <f t="shared" si="10"/>
        <v>2,              0,     "- none specified -"</v>
      </c>
    </row>
    <row r="156" spans="1:6" x14ac:dyDescent="0.2">
      <c r="A156" s="374" t="s">
        <v>1068</v>
      </c>
      <c r="B156" s="382" t="s">
        <v>983</v>
      </c>
      <c r="C156" s="374">
        <f>INDEX('[2]For CSV - 2022 SpcFuncData'!$AN$5:$AN$89,MATCH($A156,'[2]For CSV - 2022 SpcFuncData'!$B$5:$B$89,0))</f>
        <v>349</v>
      </c>
      <c r="D156" s="374">
        <f t="shared" si="8"/>
        <v>1</v>
      </c>
      <c r="E156" s="374">
        <f t="shared" si="9"/>
        <v>3</v>
      </c>
      <c r="F156" s="376" t="str">
        <f t="shared" si="10"/>
        <v>2,              1,     "DetailedTaskWork"</v>
      </c>
    </row>
    <row r="157" spans="1:6" x14ac:dyDescent="0.2">
      <c r="A157" s="374" t="s">
        <v>1069</v>
      </c>
      <c r="B157" s="382" t="s">
        <v>1093</v>
      </c>
      <c r="C157" s="374">
        <f>INDEX('[2]For CSV - 2022 SpcFuncData'!$AN$5:$AN$89,MATCH($A157,'[2]For CSV - 2022 SpcFuncData'!$B$5:$B$89,0))</f>
        <v>350</v>
      </c>
      <c r="D157" s="374">
        <f t="shared" si="8"/>
        <v>0</v>
      </c>
      <c r="E157" s="374">
        <f t="shared" si="9"/>
        <v>1</v>
      </c>
      <c r="F157" s="376" t="str">
        <f t="shared" si="10"/>
        <v>1,    IntLtgSys:IntLtgSpecMthd,   1,    0   ; AreaCategoryMethod</v>
      </c>
    </row>
    <row r="158" spans="1:6" x14ac:dyDescent="0.2">
      <c r="A158" s="374" t="s">
        <v>1069</v>
      </c>
      <c r="B158" s="382" t="s">
        <v>1093</v>
      </c>
      <c r="C158" s="374">
        <f>INDEX('[2]For CSV - 2022 SpcFuncData'!$AN$5:$AN$89,MATCH($A158,'[2]For CSV - 2022 SpcFuncData'!$B$5:$B$89,0))</f>
        <v>350</v>
      </c>
      <c r="D158" s="374">
        <f t="shared" si="8"/>
        <v>0</v>
      </c>
      <c r="E158" s="374">
        <f t="shared" si="9"/>
        <v>2</v>
      </c>
      <c r="F158" s="376" t="str">
        <f t="shared" si="10"/>
        <v>1,    IntLtgSys:ParentSpcFunc,  350,    0   ; Manufacturing, Commercial &amp; Industrial Work Area (Precision)</v>
      </c>
    </row>
    <row r="159" spans="1:6" x14ac:dyDescent="0.2">
      <c r="A159" s="374" t="s">
        <v>1069</v>
      </c>
      <c r="B159" s="382" t="s">
        <v>1093</v>
      </c>
      <c r="C159" s="374">
        <f>INDEX('[2]For CSV - 2022 SpcFuncData'!$AN$5:$AN$89,MATCH($A159,'[2]For CSV - 2022 SpcFuncData'!$B$5:$B$89,0))</f>
        <v>350</v>
      </c>
      <c r="D159" s="374">
        <f t="shared" si="8"/>
        <v>0</v>
      </c>
      <c r="E159" s="374">
        <f t="shared" si="9"/>
        <v>3</v>
      </c>
      <c r="F159" s="376" t="str">
        <f t="shared" si="10"/>
        <v>2,              0,     "- none specified -"</v>
      </c>
    </row>
    <row r="160" spans="1:6" x14ac:dyDescent="0.2">
      <c r="A160" s="374" t="s">
        <v>1069</v>
      </c>
      <c r="B160" s="382" t="s">
        <v>996</v>
      </c>
      <c r="C160" s="374">
        <f>INDEX('[2]For CSV - 2022 SpcFuncData'!$AN$5:$AN$89,MATCH($A160,'[2]For CSV - 2022 SpcFuncData'!$B$5:$B$89,0))</f>
        <v>350</v>
      </c>
      <c r="D160" s="374">
        <f t="shared" si="8"/>
        <v>4</v>
      </c>
      <c r="E160" s="374">
        <f t="shared" si="9"/>
        <v>3</v>
      </c>
      <c r="F160" s="376" t="str">
        <f t="shared" si="10"/>
        <v>2,              4,     "PrecisionWork"</v>
      </c>
    </row>
    <row r="161" spans="1:6" x14ac:dyDescent="0.2">
      <c r="A161" s="374" t="s">
        <v>960</v>
      </c>
      <c r="B161" s="382" t="s">
        <v>1093</v>
      </c>
      <c r="C161" s="374">
        <f>INDEX('[2]For CSV - 2022 SpcFuncData'!$AN$5:$AN$89,MATCH($A161,'[2]For CSV - 2022 SpcFuncData'!$B$5:$B$89,0))</f>
        <v>351</v>
      </c>
      <c r="D161" s="374">
        <f t="shared" si="8"/>
        <v>0</v>
      </c>
      <c r="E161" s="374">
        <f t="shared" si="9"/>
        <v>1</v>
      </c>
      <c r="F161" s="376" t="str">
        <f t="shared" si="10"/>
        <v>1,    IntLtgSys:IntLtgSpecMthd,   1,    0   ; AreaCategoryMethod</v>
      </c>
    </row>
    <row r="162" spans="1:6" x14ac:dyDescent="0.2">
      <c r="A162" s="374" t="s">
        <v>960</v>
      </c>
      <c r="B162" s="382" t="s">
        <v>1093</v>
      </c>
      <c r="C162" s="374">
        <f>INDEX('[2]For CSV - 2022 SpcFuncData'!$AN$5:$AN$89,MATCH($A162,'[2]For CSV - 2022 SpcFuncData'!$B$5:$B$89,0))</f>
        <v>351</v>
      </c>
      <c r="D162" s="374">
        <f t="shared" si="8"/>
        <v>0</v>
      </c>
      <c r="E162" s="374">
        <f t="shared" si="9"/>
        <v>2</v>
      </c>
      <c r="F162" s="376" t="str">
        <f t="shared" si="10"/>
        <v>1,    IntLtgSys:ParentSpcFunc,  351,    0   ; Museum Area (Exhibition/Display)</v>
      </c>
    </row>
    <row r="163" spans="1:6" x14ac:dyDescent="0.2">
      <c r="A163" s="374" t="s">
        <v>960</v>
      </c>
      <c r="B163" s="382" t="s">
        <v>1093</v>
      </c>
      <c r="C163" s="374">
        <f>INDEX('[2]For CSV - 2022 SpcFuncData'!$AN$5:$AN$89,MATCH($A163,'[2]For CSV - 2022 SpcFuncData'!$B$5:$B$89,0))</f>
        <v>351</v>
      </c>
      <c r="D163" s="374">
        <f t="shared" si="8"/>
        <v>0</v>
      </c>
      <c r="E163" s="374">
        <f t="shared" si="9"/>
        <v>3</v>
      </c>
      <c r="F163" s="376" t="str">
        <f t="shared" si="10"/>
        <v>2,              0,     "- none specified -"</v>
      </c>
    </row>
    <row r="164" spans="1:6" x14ac:dyDescent="0.2">
      <c r="A164" s="374" t="s">
        <v>960</v>
      </c>
      <c r="B164" s="382" t="s">
        <v>1076</v>
      </c>
      <c r="C164" s="374">
        <f>INDEX('[2]For CSV - 2022 SpcFuncData'!$AN$5:$AN$89,MATCH($A164,'[2]For CSV - 2022 SpcFuncData'!$B$5:$B$89,0))</f>
        <v>351</v>
      </c>
      <c r="D164" s="374">
        <f t="shared" si="8"/>
        <v>3</v>
      </c>
      <c r="E164" s="374">
        <f t="shared" si="9"/>
        <v>3</v>
      </c>
      <c r="F164" s="376" t="str">
        <f t="shared" si="10"/>
        <v>2,              3,     "Decorative/Display"</v>
      </c>
    </row>
    <row r="165" spans="1:6" x14ac:dyDescent="0.2">
      <c r="A165" s="374" t="s">
        <v>961</v>
      </c>
      <c r="B165" s="382" t="s">
        <v>1093</v>
      </c>
      <c r="C165" s="374">
        <f>INDEX('[2]For CSV - 2022 SpcFuncData'!$AN$5:$AN$89,MATCH($A165,'[2]For CSV - 2022 SpcFuncData'!$B$5:$B$89,0))</f>
        <v>352</v>
      </c>
      <c r="D165" s="374">
        <f t="shared" si="8"/>
        <v>0</v>
      </c>
      <c r="E165" s="374">
        <f t="shared" si="9"/>
        <v>1</v>
      </c>
      <c r="F165" s="376" t="str">
        <f t="shared" si="10"/>
        <v>1,    IntLtgSys:IntLtgSpecMthd,   1,    0   ; AreaCategoryMethod</v>
      </c>
    </row>
    <row r="166" spans="1:6" x14ac:dyDescent="0.2">
      <c r="A166" s="374" t="s">
        <v>961</v>
      </c>
      <c r="B166" s="382" t="s">
        <v>1093</v>
      </c>
      <c r="C166" s="374">
        <f>INDEX('[2]For CSV - 2022 SpcFuncData'!$AN$5:$AN$89,MATCH($A166,'[2]For CSV - 2022 SpcFuncData'!$B$5:$B$89,0))</f>
        <v>352</v>
      </c>
      <c r="D166" s="374">
        <f t="shared" si="8"/>
        <v>0</v>
      </c>
      <c r="E166" s="374">
        <f t="shared" si="9"/>
        <v>2</v>
      </c>
      <c r="F166" s="376" t="str">
        <f t="shared" si="10"/>
        <v>1,    IntLtgSys:ParentSpcFunc,  352,    0   ; Museum Area (Restoration Room)</v>
      </c>
    </row>
    <row r="167" spans="1:6" x14ac:dyDescent="0.2">
      <c r="A167" s="374" t="s">
        <v>961</v>
      </c>
      <c r="B167" s="382" t="s">
        <v>1093</v>
      </c>
      <c r="C167" s="374">
        <f>INDEX('[2]For CSV - 2022 SpcFuncData'!$AN$5:$AN$89,MATCH($A167,'[2]For CSV - 2022 SpcFuncData'!$B$5:$B$89,0))</f>
        <v>352</v>
      </c>
      <c r="D167" s="374">
        <f t="shared" si="8"/>
        <v>0</v>
      </c>
      <c r="E167" s="374">
        <f t="shared" si="9"/>
        <v>3</v>
      </c>
      <c r="F167" s="376" t="str">
        <f t="shared" si="10"/>
        <v>2,              0,     "- none specified -"</v>
      </c>
    </row>
    <row r="168" spans="1:6" x14ac:dyDescent="0.2">
      <c r="A168" s="374" t="s">
        <v>961</v>
      </c>
      <c r="B168" s="382" t="s">
        <v>983</v>
      </c>
      <c r="C168" s="374">
        <f>INDEX('[2]For CSV - 2022 SpcFuncData'!$AN$5:$AN$89,MATCH($A168,'[2]For CSV - 2022 SpcFuncData'!$B$5:$B$89,0))</f>
        <v>352</v>
      </c>
      <c r="D168" s="374">
        <f t="shared" si="8"/>
        <v>1</v>
      </c>
      <c r="E168" s="374">
        <f t="shared" si="9"/>
        <v>3</v>
      </c>
      <c r="F168" s="376" t="str">
        <f t="shared" si="10"/>
        <v>2,              1,     "DetailedTaskWork"</v>
      </c>
    </row>
    <row r="169" spans="1:6" x14ac:dyDescent="0.2">
      <c r="A169" s="374" t="s">
        <v>963</v>
      </c>
      <c r="B169" s="382" t="s">
        <v>1093</v>
      </c>
      <c r="C169" s="374">
        <f>INDEX('[2]For CSV - 2022 SpcFuncData'!$AN$5:$AN$89,MATCH($A169,'[2]For CSV - 2022 SpcFuncData'!$B$5:$B$89,0))</f>
        <v>353</v>
      </c>
      <c r="D169" s="374">
        <f t="shared" si="8"/>
        <v>0</v>
      </c>
      <c r="E169" s="374">
        <f t="shared" si="9"/>
        <v>1</v>
      </c>
      <c r="F169" s="376" t="str">
        <f t="shared" si="10"/>
        <v>1,    IntLtgSys:IntLtgSpecMthd,   1,    0   ; AreaCategoryMethod</v>
      </c>
    </row>
    <row r="170" spans="1:6" x14ac:dyDescent="0.2">
      <c r="A170" s="374" t="s">
        <v>963</v>
      </c>
      <c r="B170" s="382" t="s">
        <v>1093</v>
      </c>
      <c r="C170" s="374">
        <f>INDEX('[2]For CSV - 2022 SpcFuncData'!$AN$5:$AN$89,MATCH($A170,'[2]For CSV - 2022 SpcFuncData'!$B$5:$B$89,0))</f>
        <v>353</v>
      </c>
      <c r="D170" s="374">
        <f t="shared" si="8"/>
        <v>0</v>
      </c>
      <c r="E170" s="374">
        <f t="shared" si="9"/>
        <v>2</v>
      </c>
      <c r="F170" s="376" t="str">
        <f t="shared" si="10"/>
        <v>1,    IntLtgSys:ParentSpcFunc,  353,    0   ; Office Area (&gt;250 square feet)</v>
      </c>
    </row>
    <row r="171" spans="1:6" x14ac:dyDescent="0.2">
      <c r="A171" s="374" t="s">
        <v>963</v>
      </c>
      <c r="B171" s="382" t="s">
        <v>1093</v>
      </c>
      <c r="C171" s="374">
        <f>INDEX('[2]For CSV - 2022 SpcFuncData'!$AN$5:$AN$89,MATCH($A171,'[2]For CSV - 2022 SpcFuncData'!$B$5:$B$89,0))</f>
        <v>353</v>
      </c>
      <c r="D171" s="374">
        <f t="shared" si="8"/>
        <v>0</v>
      </c>
      <c r="E171" s="374">
        <f t="shared" si="9"/>
        <v>3</v>
      </c>
      <c r="F171" s="376" t="str">
        <f t="shared" si="10"/>
        <v>2,              0,     "- none specified -"</v>
      </c>
    </row>
    <row r="172" spans="1:6" x14ac:dyDescent="0.2">
      <c r="A172" s="374" t="s">
        <v>963</v>
      </c>
      <c r="B172" s="382" t="s">
        <v>1195</v>
      </c>
      <c r="C172" s="374">
        <f>INDEX('[2]For CSV - 2022 SpcFuncData'!$AN$5:$AN$89,MATCH($A172,'[2]For CSV - 2022 SpcFuncData'!$B$5:$B$89,0))</f>
        <v>353</v>
      </c>
      <c r="D172" s="374">
        <f t="shared" si="8"/>
        <v>11</v>
      </c>
      <c r="E172" s="374">
        <f t="shared" si="9"/>
        <v>3</v>
      </c>
      <c r="F172" s="376" t="str">
        <f t="shared" si="10"/>
        <v>2,              11,     "Decorative/Display&amp;PortableLightingForOffice"</v>
      </c>
    </row>
    <row r="173" spans="1:6" x14ac:dyDescent="0.2">
      <c r="A173" s="374" t="s">
        <v>962</v>
      </c>
      <c r="B173" s="382" t="s">
        <v>1093</v>
      </c>
      <c r="C173" s="374">
        <f>INDEX('[2]For CSV - 2022 SpcFuncData'!$AN$5:$AN$89,MATCH($A173,'[2]For CSV - 2022 SpcFuncData'!$B$5:$B$89,0))</f>
        <v>354</v>
      </c>
      <c r="D173" s="374">
        <f t="shared" si="8"/>
        <v>0</v>
      </c>
      <c r="E173" s="374">
        <f t="shared" si="9"/>
        <v>1</v>
      </c>
      <c r="F173" s="376" t="str">
        <f t="shared" si="10"/>
        <v>1,    IntLtgSys:IntLtgSpecMthd,   1,    0   ; AreaCategoryMethod</v>
      </c>
    </row>
    <row r="174" spans="1:6" x14ac:dyDescent="0.2">
      <c r="A174" s="374" t="s">
        <v>962</v>
      </c>
      <c r="B174" s="382" t="s">
        <v>1093</v>
      </c>
      <c r="C174" s="374">
        <f>INDEX('[2]For CSV - 2022 SpcFuncData'!$AN$5:$AN$89,MATCH($A174,'[2]For CSV - 2022 SpcFuncData'!$B$5:$B$89,0))</f>
        <v>354</v>
      </c>
      <c r="D174" s="374">
        <f t="shared" si="8"/>
        <v>0</v>
      </c>
      <c r="E174" s="374">
        <f t="shared" si="9"/>
        <v>2</v>
      </c>
      <c r="F174" s="376" t="str">
        <f t="shared" si="10"/>
        <v>1,    IntLtgSys:ParentSpcFunc,  354,    0   ; Office Area (&lt;250 square feet)</v>
      </c>
    </row>
    <row r="175" spans="1:6" x14ac:dyDescent="0.2">
      <c r="A175" s="374" t="s">
        <v>962</v>
      </c>
      <c r="B175" s="382" t="s">
        <v>1093</v>
      </c>
      <c r="C175" s="374">
        <f>INDEX('[2]For CSV - 2022 SpcFuncData'!$AN$5:$AN$89,MATCH($A175,'[2]For CSV - 2022 SpcFuncData'!$B$5:$B$89,0))</f>
        <v>354</v>
      </c>
      <c r="D175" s="374">
        <f t="shared" si="8"/>
        <v>0</v>
      </c>
      <c r="E175" s="374">
        <f t="shared" si="9"/>
        <v>3</v>
      </c>
      <c r="F175" s="376" t="str">
        <f t="shared" si="10"/>
        <v>2,              0,     "- none specified -"</v>
      </c>
    </row>
    <row r="176" spans="1:6" x14ac:dyDescent="0.2">
      <c r="A176" s="374" t="s">
        <v>962</v>
      </c>
      <c r="B176" s="382" t="s">
        <v>1195</v>
      </c>
      <c r="C176" s="374">
        <f>INDEX('[2]For CSV - 2022 SpcFuncData'!$AN$5:$AN$89,MATCH($A176,'[2]For CSV - 2022 SpcFuncData'!$B$5:$B$89,0))</f>
        <v>354</v>
      </c>
      <c r="D176" s="374">
        <f t="shared" si="8"/>
        <v>11</v>
      </c>
      <c r="E176" s="374">
        <f t="shared" si="9"/>
        <v>3</v>
      </c>
      <c r="F176" s="376" t="str">
        <f t="shared" si="10"/>
        <v>2,              11,     "Decorative/Display&amp;PortableLightingForOffice"</v>
      </c>
    </row>
    <row r="177" spans="1:6" x14ac:dyDescent="0.2">
      <c r="A177" s="374" t="s">
        <v>1070</v>
      </c>
      <c r="B177" s="382" t="s">
        <v>1093</v>
      </c>
      <c r="C177" s="374">
        <f>INDEX('[2]For CSV - 2022 SpcFuncData'!$AN$5:$AN$89,MATCH($A177,'[2]For CSV - 2022 SpcFuncData'!$B$5:$B$89,0))</f>
        <v>355</v>
      </c>
      <c r="D177" s="374">
        <f t="shared" si="8"/>
        <v>0</v>
      </c>
      <c r="E177" s="374">
        <f t="shared" si="9"/>
        <v>1</v>
      </c>
      <c r="F177" s="376" t="str">
        <f t="shared" si="10"/>
        <v>1,    IntLtgSys:IntLtgSpecMthd,   1,    0   ; AreaCategoryMethod</v>
      </c>
    </row>
    <row r="178" spans="1:6" x14ac:dyDescent="0.2">
      <c r="A178" s="374" t="s">
        <v>1070</v>
      </c>
      <c r="B178" s="382" t="s">
        <v>1093</v>
      </c>
      <c r="C178" s="374">
        <f>INDEX('[2]For CSV - 2022 SpcFuncData'!$AN$5:$AN$89,MATCH($A178,'[2]For CSV - 2022 SpcFuncData'!$B$5:$B$89,0))</f>
        <v>355</v>
      </c>
      <c r="D178" s="374">
        <f t="shared" si="8"/>
        <v>0</v>
      </c>
      <c r="E178" s="374">
        <f t="shared" si="9"/>
        <v>2</v>
      </c>
      <c r="F178" s="376" t="str">
        <f t="shared" si="10"/>
        <v>1,    IntLtgSys:ParentSpcFunc,  355,    0   ; Parking Garage Area (Parking Zone and Ramps)</v>
      </c>
    </row>
    <row r="179" spans="1:6" x14ac:dyDescent="0.2">
      <c r="A179" s="374" t="s">
        <v>1070</v>
      </c>
      <c r="B179" s="382" t="s">
        <v>1093</v>
      </c>
      <c r="C179" s="374">
        <f>INDEX('[2]For CSV - 2022 SpcFuncData'!$AN$5:$AN$89,MATCH($A179,'[2]For CSV - 2022 SpcFuncData'!$B$5:$B$89,0))</f>
        <v>355</v>
      </c>
      <c r="D179" s="374">
        <f t="shared" si="8"/>
        <v>0</v>
      </c>
      <c r="E179" s="374">
        <f t="shared" si="9"/>
        <v>3</v>
      </c>
      <c r="F179" s="376" t="str">
        <f t="shared" si="10"/>
        <v>2,              0,     "- none specified -"</v>
      </c>
    </row>
    <row r="180" spans="1:6" x14ac:dyDescent="0.2">
      <c r="A180" s="374" t="s">
        <v>1070</v>
      </c>
      <c r="B180" s="382" t="s">
        <v>1197</v>
      </c>
      <c r="C180" s="374">
        <f>INDEX('[2]For CSV - 2022 SpcFuncData'!$AN$5:$AN$89,MATCH($A180,'[2]For CSV - 2022 SpcFuncData'!$B$5:$B$89,0))</f>
        <v>355</v>
      </c>
      <c r="D180" s="374">
        <f t="shared" si="8"/>
        <v>10</v>
      </c>
      <c r="E180" s="374">
        <f t="shared" si="9"/>
        <v>3</v>
      </c>
      <c r="F180" s="376" t="str">
        <f t="shared" si="10"/>
        <v>2,              10,     "ParkingGarageATM/TicketMachine"</v>
      </c>
    </row>
    <row r="181" spans="1:6" x14ac:dyDescent="0.2">
      <c r="A181" s="374" t="s">
        <v>968</v>
      </c>
      <c r="B181" s="382" t="s">
        <v>1093</v>
      </c>
      <c r="C181" s="374">
        <f>INDEX('[2]For CSV - 2022 SpcFuncData'!$AN$5:$AN$89,MATCH($A181,'[2]For CSV - 2022 SpcFuncData'!$B$5:$B$89,0))</f>
        <v>357</v>
      </c>
      <c r="D181" s="374">
        <f t="shared" si="8"/>
        <v>0</v>
      </c>
      <c r="E181" s="374">
        <f t="shared" si="9"/>
        <v>1</v>
      </c>
      <c r="F181" s="376" t="str">
        <f t="shared" si="10"/>
        <v>1,    IntLtgSys:IntLtgSpecMthd,   1,    0   ; AreaCategoryMethod</v>
      </c>
    </row>
    <row r="182" spans="1:6" x14ac:dyDescent="0.2">
      <c r="A182" s="374" t="s">
        <v>968</v>
      </c>
      <c r="B182" s="382" t="s">
        <v>1093</v>
      </c>
      <c r="C182" s="374">
        <f>INDEX('[2]For CSV - 2022 SpcFuncData'!$AN$5:$AN$89,MATCH($A182,'[2]For CSV - 2022 SpcFuncData'!$B$5:$B$89,0))</f>
        <v>357</v>
      </c>
      <c r="D182" s="374">
        <f t="shared" si="8"/>
        <v>0</v>
      </c>
      <c r="E182" s="374">
        <f t="shared" si="9"/>
        <v>2</v>
      </c>
      <c r="F182" s="376" t="str">
        <f t="shared" si="10"/>
        <v>1,    IntLtgSys:ParentSpcFunc,  357,    0   ; Pharmacy Area</v>
      </c>
    </row>
    <row r="183" spans="1:6" x14ac:dyDescent="0.2">
      <c r="A183" s="374" t="s">
        <v>968</v>
      </c>
      <c r="B183" s="382" t="s">
        <v>1093</v>
      </c>
      <c r="C183" s="374">
        <f>INDEX('[2]For CSV - 2022 SpcFuncData'!$AN$5:$AN$89,MATCH($A183,'[2]For CSV - 2022 SpcFuncData'!$B$5:$B$89,0))</f>
        <v>357</v>
      </c>
      <c r="D183" s="374">
        <f t="shared" si="8"/>
        <v>0</v>
      </c>
      <c r="E183" s="374">
        <f t="shared" si="9"/>
        <v>3</v>
      </c>
      <c r="F183" s="376" t="str">
        <f t="shared" si="10"/>
        <v>2,              0,     "- none specified -"</v>
      </c>
    </row>
    <row r="184" spans="1:6" x14ac:dyDescent="0.2">
      <c r="A184" s="374" t="s">
        <v>968</v>
      </c>
      <c r="B184" s="382" t="s">
        <v>429</v>
      </c>
      <c r="C184" s="374">
        <f>INDEX('[2]For CSV - 2022 SpcFuncData'!$AN$5:$AN$89,MATCH($A184,'[2]For CSV - 2022 SpcFuncData'!$B$5:$B$89,0))</f>
        <v>357</v>
      </c>
      <c r="D184" s="374">
        <f t="shared" si="8"/>
        <v>2</v>
      </c>
      <c r="E184" s="374">
        <f t="shared" si="9"/>
        <v>3</v>
      </c>
      <c r="F184" s="376" t="str">
        <f t="shared" si="10"/>
        <v>2,              2,     "SpecializedTaskWork"</v>
      </c>
    </row>
    <row r="185" spans="1:6" x14ac:dyDescent="0.2">
      <c r="A185" s="374" t="s">
        <v>970</v>
      </c>
      <c r="B185" s="382" t="s">
        <v>1093</v>
      </c>
      <c r="C185" s="374">
        <f>INDEX('[2]For CSV - 2022 SpcFuncData'!$AN$5:$AN$89,MATCH($A185,'[2]For CSV - 2022 SpcFuncData'!$B$5:$B$89,0))</f>
        <v>358</v>
      </c>
      <c r="D185" s="374">
        <f t="shared" si="8"/>
        <v>0</v>
      </c>
      <c r="E185" s="374">
        <f t="shared" si="9"/>
        <v>1</v>
      </c>
      <c r="F185" s="376" t="str">
        <f t="shared" si="10"/>
        <v>1,    IntLtgSys:IntLtgSpecMthd,   1,    0   ; AreaCategoryMethod</v>
      </c>
    </row>
    <row r="186" spans="1:6" x14ac:dyDescent="0.2">
      <c r="A186" s="374" t="s">
        <v>970</v>
      </c>
      <c r="B186" s="382" t="s">
        <v>1093</v>
      </c>
      <c r="C186" s="374">
        <f>INDEX('[2]For CSV - 2022 SpcFuncData'!$AN$5:$AN$89,MATCH($A186,'[2]For CSV - 2022 SpcFuncData'!$B$5:$B$89,0))</f>
        <v>358</v>
      </c>
      <c r="D186" s="374">
        <f t="shared" si="8"/>
        <v>0</v>
      </c>
      <c r="E186" s="374">
        <f t="shared" si="9"/>
        <v>2</v>
      </c>
      <c r="F186" s="376" t="str">
        <f t="shared" si="10"/>
        <v>1,    IntLtgSys:ParentSpcFunc,  358,    0   ; Retail Sales Area (Grocery Sales)</v>
      </c>
    </row>
    <row r="187" spans="1:6" x14ac:dyDescent="0.2">
      <c r="A187" s="374" t="s">
        <v>970</v>
      </c>
      <c r="B187" s="382" t="s">
        <v>1093</v>
      </c>
      <c r="C187" s="374">
        <f>INDEX('[2]For CSV - 2022 SpcFuncData'!$AN$5:$AN$89,MATCH($A187,'[2]For CSV - 2022 SpcFuncData'!$B$5:$B$89,0))</f>
        <v>358</v>
      </c>
      <c r="D187" s="374">
        <f t="shared" si="8"/>
        <v>0</v>
      </c>
      <c r="E187" s="374">
        <f t="shared" si="9"/>
        <v>3</v>
      </c>
      <c r="F187" s="376" t="str">
        <f t="shared" si="10"/>
        <v>2,              0,     "- none specified -"</v>
      </c>
    </row>
    <row r="188" spans="1:6" x14ac:dyDescent="0.2">
      <c r="A188" s="374" t="s">
        <v>970</v>
      </c>
      <c r="B188" s="382" t="s">
        <v>1076</v>
      </c>
      <c r="C188" s="374">
        <f>INDEX('[2]For CSV - 2022 SpcFuncData'!$AN$5:$AN$89,MATCH($A188,'[2]For CSV - 2022 SpcFuncData'!$B$5:$B$89,0))</f>
        <v>358</v>
      </c>
      <c r="D188" s="374">
        <f t="shared" si="8"/>
        <v>3</v>
      </c>
      <c r="E188" s="374">
        <f t="shared" si="9"/>
        <v>3</v>
      </c>
      <c r="F188" s="376" t="str">
        <f t="shared" si="10"/>
        <v>2,              3,     "Decorative/Display"</v>
      </c>
    </row>
    <row r="189" spans="1:6" x14ac:dyDescent="0.2">
      <c r="A189" s="374" t="s">
        <v>971</v>
      </c>
      <c r="B189" s="382" t="s">
        <v>1093</v>
      </c>
      <c r="C189" s="374">
        <f>INDEX('[2]For CSV - 2022 SpcFuncData'!$AN$5:$AN$89,MATCH($A189,'[2]For CSV - 2022 SpcFuncData'!$B$5:$B$89,0))</f>
        <v>359</v>
      </c>
      <c r="D189" s="374">
        <f t="shared" si="8"/>
        <v>0</v>
      </c>
      <c r="E189" s="374">
        <f t="shared" si="9"/>
        <v>1</v>
      </c>
      <c r="F189" s="376" t="str">
        <f t="shared" si="10"/>
        <v>1,    IntLtgSys:IntLtgSpecMthd,   1,    0   ; AreaCategoryMethod</v>
      </c>
    </row>
    <row r="190" spans="1:6" x14ac:dyDescent="0.2">
      <c r="A190" s="374" t="s">
        <v>971</v>
      </c>
      <c r="B190" s="382" t="s">
        <v>1093</v>
      </c>
      <c r="C190" s="374">
        <f>INDEX('[2]For CSV - 2022 SpcFuncData'!$AN$5:$AN$89,MATCH($A190,'[2]For CSV - 2022 SpcFuncData'!$B$5:$B$89,0))</f>
        <v>359</v>
      </c>
      <c r="D190" s="374">
        <f t="shared" si="8"/>
        <v>0</v>
      </c>
      <c r="E190" s="374">
        <f t="shared" si="9"/>
        <v>2</v>
      </c>
      <c r="F190" s="376" t="str">
        <f t="shared" si="10"/>
        <v>1,    IntLtgSys:ParentSpcFunc,  359,    0   ; Retail Sales Area (Retail Merchandise Sales)</v>
      </c>
    </row>
    <row r="191" spans="1:6" x14ac:dyDescent="0.2">
      <c r="A191" s="374" t="s">
        <v>971</v>
      </c>
      <c r="B191" s="382" t="s">
        <v>1093</v>
      </c>
      <c r="C191" s="374">
        <f>INDEX('[2]For CSV - 2022 SpcFuncData'!$AN$5:$AN$89,MATCH($A191,'[2]For CSV - 2022 SpcFuncData'!$B$5:$B$89,0))</f>
        <v>359</v>
      </c>
      <c r="D191" s="374">
        <f t="shared" si="8"/>
        <v>0</v>
      </c>
      <c r="E191" s="374">
        <f t="shared" si="9"/>
        <v>3</v>
      </c>
      <c r="F191" s="376" t="str">
        <f t="shared" si="10"/>
        <v>2,              0,     "- none specified -"</v>
      </c>
    </row>
    <row r="192" spans="1:6" x14ac:dyDescent="0.2">
      <c r="A192" s="374" t="s">
        <v>971</v>
      </c>
      <c r="B192" s="382" t="s">
        <v>1076</v>
      </c>
      <c r="C192" s="374">
        <f>INDEX('[2]For CSV - 2022 SpcFuncData'!$AN$5:$AN$89,MATCH($A192,'[2]For CSV - 2022 SpcFuncData'!$B$5:$B$89,0))</f>
        <v>359</v>
      </c>
      <c r="D192" s="374">
        <f t="shared" si="8"/>
        <v>3</v>
      </c>
      <c r="E192" s="374">
        <f t="shared" si="9"/>
        <v>3</v>
      </c>
      <c r="F192" s="376" t="str">
        <f t="shared" si="10"/>
        <v>2,              3,     "Decorative/Display"</v>
      </c>
    </row>
    <row r="193" spans="1:6" x14ac:dyDescent="0.2">
      <c r="A193" s="374" t="s">
        <v>969</v>
      </c>
      <c r="B193" s="382" t="s">
        <v>1093</v>
      </c>
      <c r="C193" s="374">
        <f>INDEX('[2]For CSV - 2022 SpcFuncData'!$AN$5:$AN$89,MATCH($A193,'[2]For CSV - 2022 SpcFuncData'!$B$5:$B$89,0))</f>
        <v>360</v>
      </c>
      <c r="D193" s="374">
        <f t="shared" si="8"/>
        <v>0</v>
      </c>
      <c r="E193" s="374">
        <f t="shared" si="9"/>
        <v>1</v>
      </c>
      <c r="F193" s="376" t="str">
        <f t="shared" si="10"/>
        <v>1,    IntLtgSys:IntLtgSpecMthd,   1,    0   ; AreaCategoryMethod</v>
      </c>
    </row>
    <row r="194" spans="1:6" x14ac:dyDescent="0.2">
      <c r="A194" s="374" t="s">
        <v>969</v>
      </c>
      <c r="B194" s="382" t="s">
        <v>1093</v>
      </c>
      <c r="C194" s="374">
        <f>INDEX('[2]For CSV - 2022 SpcFuncData'!$AN$5:$AN$89,MATCH($A194,'[2]For CSV - 2022 SpcFuncData'!$B$5:$B$89,0))</f>
        <v>360</v>
      </c>
      <c r="D194" s="374">
        <f t="shared" si="8"/>
        <v>0</v>
      </c>
      <c r="E194" s="374">
        <f t="shared" si="9"/>
        <v>2</v>
      </c>
      <c r="F194" s="376" t="str">
        <f t="shared" si="10"/>
        <v>1,    IntLtgSys:ParentSpcFunc,  360,    0   ; Retail Sales Area (Fitting Room)</v>
      </c>
    </row>
    <row r="195" spans="1:6" x14ac:dyDescent="0.2">
      <c r="A195" s="374" t="s">
        <v>969</v>
      </c>
      <c r="B195" s="382" t="s">
        <v>1093</v>
      </c>
      <c r="C195" s="374">
        <f>INDEX('[2]For CSV - 2022 SpcFuncData'!$AN$5:$AN$89,MATCH($A195,'[2]For CSV - 2022 SpcFuncData'!$B$5:$B$89,0))</f>
        <v>360</v>
      </c>
      <c r="D195" s="374">
        <f t="shared" si="8"/>
        <v>0</v>
      </c>
      <c r="E195" s="374">
        <f t="shared" si="9"/>
        <v>3</v>
      </c>
      <c r="F195" s="376" t="str">
        <f t="shared" si="10"/>
        <v>2,              0,     "- none specified -"</v>
      </c>
    </row>
    <row r="196" spans="1:6" x14ac:dyDescent="0.2">
      <c r="A196" s="374" t="s">
        <v>969</v>
      </c>
      <c r="B196" s="382" t="s">
        <v>1010</v>
      </c>
      <c r="C196" s="374">
        <f>INDEX('[2]For CSV - 2022 SpcFuncData'!$AN$5:$AN$89,MATCH($A196,'[2]For CSV - 2022 SpcFuncData'!$B$5:$B$89,0))</f>
        <v>360</v>
      </c>
      <c r="D196" s="374">
        <f t="shared" si="8"/>
        <v>12</v>
      </c>
      <c r="E196" s="374">
        <f t="shared" si="9"/>
        <v>3</v>
      </c>
      <c r="F196" s="376" t="str">
        <f t="shared" si="10"/>
        <v>2,              12,     "ExternalIlluminatedMirror"</v>
      </c>
    </row>
    <row r="197" spans="1:6" x14ac:dyDescent="0.2">
      <c r="A197" s="374" t="s">
        <v>969</v>
      </c>
      <c r="B197" s="382" t="s">
        <v>1011</v>
      </c>
      <c r="C197" s="374">
        <f>INDEX('[2]For CSV - 2022 SpcFuncData'!$AN$5:$AN$89,MATCH($A197,'[2]For CSV - 2022 SpcFuncData'!$B$5:$B$89,0))</f>
        <v>360</v>
      </c>
      <c r="D197" s="374">
        <f t="shared" si="8"/>
        <v>13</v>
      </c>
      <c r="E197" s="374">
        <f t="shared" si="9"/>
        <v>3</v>
      </c>
      <c r="F197" s="376" t="str">
        <f t="shared" si="10"/>
        <v>2,              13,     "InternalIlluminatedMirror"</v>
      </c>
    </row>
    <row r="198" spans="1:6" x14ac:dyDescent="0.2">
      <c r="A198" s="374" t="s">
        <v>537</v>
      </c>
      <c r="B198" s="382" t="s">
        <v>1093</v>
      </c>
      <c r="C198" s="374">
        <f>INDEX('[2]For CSV - 2022 SpcFuncData'!$AN$5:$AN$89,MATCH($A198,'[2]For CSV - 2022 SpcFuncData'!$B$5:$B$89,0))</f>
        <v>361</v>
      </c>
      <c r="D198" s="374">
        <f t="shared" si="8"/>
        <v>0</v>
      </c>
      <c r="E198" s="374">
        <f t="shared" si="9"/>
        <v>1</v>
      </c>
      <c r="F198" s="376" t="str">
        <f t="shared" si="10"/>
        <v>1,    IntLtgSys:IntLtgSpecMthd,   1,    0   ; AreaCategoryMethod</v>
      </c>
    </row>
    <row r="199" spans="1:6" x14ac:dyDescent="0.2">
      <c r="A199" s="374" t="s">
        <v>537</v>
      </c>
      <c r="B199" s="382" t="s">
        <v>1093</v>
      </c>
      <c r="C199" s="374">
        <f>INDEX('[2]For CSV - 2022 SpcFuncData'!$AN$5:$AN$89,MATCH($A199,'[2]For CSV - 2022 SpcFuncData'!$B$5:$B$89,0))</f>
        <v>361</v>
      </c>
      <c r="D199" s="374">
        <f t="shared" si="8"/>
        <v>0</v>
      </c>
      <c r="E199" s="374">
        <f t="shared" si="9"/>
        <v>2</v>
      </c>
      <c r="F199" s="376" t="str">
        <f t="shared" si="10"/>
        <v>1,    IntLtgSys:ParentSpcFunc,  361,    0   ; Religious Worship Area</v>
      </c>
    </row>
    <row r="200" spans="1:6" x14ac:dyDescent="0.2">
      <c r="A200" s="374" t="s">
        <v>537</v>
      </c>
      <c r="B200" s="382" t="s">
        <v>1093</v>
      </c>
      <c r="C200" s="374">
        <f>INDEX('[2]For CSV - 2022 SpcFuncData'!$AN$5:$AN$89,MATCH($A200,'[2]For CSV - 2022 SpcFuncData'!$B$5:$B$89,0))</f>
        <v>361</v>
      </c>
      <c r="D200" s="374">
        <f t="shared" ref="D200:D263" si="11">VLOOKUP(B200,$L$8:$M$23,2,0)</f>
        <v>0</v>
      </c>
      <c r="E200" s="374">
        <f t="shared" si="9"/>
        <v>3</v>
      </c>
      <c r="F200" s="376" t="str">
        <f t="shared" si="10"/>
        <v>2,              0,     "- none specified -"</v>
      </c>
    </row>
    <row r="201" spans="1:6" x14ac:dyDescent="0.2">
      <c r="A201" s="374" t="s">
        <v>537</v>
      </c>
      <c r="B201" s="382" t="s">
        <v>1076</v>
      </c>
      <c r="C201" s="374">
        <f>INDEX('[2]For CSV - 2022 SpcFuncData'!$AN$5:$AN$89,MATCH($A201,'[2]For CSV - 2022 SpcFuncData'!$B$5:$B$89,0))</f>
        <v>361</v>
      </c>
      <c r="D201" s="374">
        <f t="shared" si="11"/>
        <v>3</v>
      </c>
      <c r="E201" s="374">
        <f t="shared" ref="E201:E264" si="12">IF(A201&lt;&gt;A200,1,IF(A201&lt;&gt;A199,2,3))</f>
        <v>3</v>
      </c>
      <c r="F201" s="376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374" t="s">
        <v>834</v>
      </c>
      <c r="B202" s="382" t="s">
        <v>1093</v>
      </c>
      <c r="C202" s="374">
        <f>INDEX('[2]For CSV - 2022 SpcFuncData'!$AN$5:$AN$89,MATCH($A202,'[2]For CSV - 2022 SpcFuncData'!$B$5:$B$89,0))</f>
        <v>362</v>
      </c>
      <c r="D202" s="374">
        <f t="shared" si="11"/>
        <v>0</v>
      </c>
      <c r="E202" s="374">
        <f t="shared" si="12"/>
        <v>1</v>
      </c>
      <c r="F202" s="376" t="str">
        <f t="shared" si="13"/>
        <v>1,    IntLtgSys:IntLtgSpecMthd,   1,    0   ; AreaCategoryMethod</v>
      </c>
    </row>
    <row r="203" spans="1:6" x14ac:dyDescent="0.2">
      <c r="A203" s="374" t="s">
        <v>834</v>
      </c>
      <c r="B203" s="382" t="s">
        <v>1093</v>
      </c>
      <c r="C203" s="374">
        <f>INDEX('[2]For CSV - 2022 SpcFuncData'!$AN$5:$AN$89,MATCH($A203,'[2]For CSV - 2022 SpcFuncData'!$B$5:$B$89,0))</f>
        <v>362</v>
      </c>
      <c r="D203" s="374">
        <f t="shared" si="11"/>
        <v>0</v>
      </c>
      <c r="E203" s="374">
        <f t="shared" si="12"/>
        <v>2</v>
      </c>
      <c r="F203" s="376" t="str">
        <f t="shared" si="13"/>
        <v>1,    IntLtgSys:ParentSpcFunc,  362,    0   ; Restrooms</v>
      </c>
    </row>
    <row r="204" spans="1:6" x14ac:dyDescent="0.2">
      <c r="A204" s="374" t="s">
        <v>834</v>
      </c>
      <c r="B204" s="382" t="s">
        <v>1093</v>
      </c>
      <c r="C204" s="374">
        <f>INDEX('[2]For CSV - 2022 SpcFuncData'!$AN$5:$AN$89,MATCH($A204,'[2]For CSV - 2022 SpcFuncData'!$B$5:$B$89,0))</f>
        <v>362</v>
      </c>
      <c r="D204" s="374">
        <f t="shared" si="11"/>
        <v>0</v>
      </c>
      <c r="E204" s="374">
        <f t="shared" si="12"/>
        <v>3</v>
      </c>
      <c r="F204" s="376" t="str">
        <f t="shared" si="13"/>
        <v>2,              0,     "- none specified -"</v>
      </c>
    </row>
    <row r="205" spans="1:6" x14ac:dyDescent="0.2">
      <c r="A205" s="374" t="s">
        <v>834</v>
      </c>
      <c r="B205" s="382" t="s">
        <v>1076</v>
      </c>
      <c r="C205" s="374">
        <f>INDEX('[2]For CSV - 2022 SpcFuncData'!$AN$5:$AN$89,MATCH($A205,'[2]For CSV - 2022 SpcFuncData'!$B$5:$B$89,0))</f>
        <v>362</v>
      </c>
      <c r="D205" s="374">
        <f t="shared" si="11"/>
        <v>3</v>
      </c>
      <c r="E205" s="374">
        <f t="shared" si="12"/>
        <v>3</v>
      </c>
      <c r="F205" s="376" t="str">
        <f t="shared" si="13"/>
        <v>2,              3,     "Decorative/Display"</v>
      </c>
    </row>
    <row r="206" spans="1:6" x14ac:dyDescent="0.2">
      <c r="A206" s="374" t="s">
        <v>973</v>
      </c>
      <c r="B206" s="382" t="s">
        <v>1093</v>
      </c>
      <c r="C206" s="374">
        <f>INDEX('[2]For CSV - 2022 SpcFuncData'!$AN$5:$AN$89,MATCH($A206,'[2]For CSV - 2022 SpcFuncData'!$B$5:$B$89,0))</f>
        <v>363</v>
      </c>
      <c r="D206" s="374">
        <f t="shared" si="11"/>
        <v>0</v>
      </c>
      <c r="E206" s="374">
        <f t="shared" si="12"/>
        <v>1</v>
      </c>
      <c r="F206" s="376" t="str">
        <f t="shared" si="13"/>
        <v>1,    IntLtgSys:IntLtgSpecMthd,   1,    0   ; AreaCategoryMethod</v>
      </c>
    </row>
    <row r="207" spans="1:6" x14ac:dyDescent="0.2">
      <c r="A207" s="374" t="s">
        <v>973</v>
      </c>
      <c r="B207" s="382" t="s">
        <v>1093</v>
      </c>
      <c r="C207" s="374">
        <f>INDEX('[2]For CSV - 2022 SpcFuncData'!$AN$5:$AN$89,MATCH($A207,'[2]For CSV - 2022 SpcFuncData'!$B$5:$B$89,0))</f>
        <v>363</v>
      </c>
      <c r="D207" s="374">
        <f t="shared" si="11"/>
        <v>0</v>
      </c>
      <c r="E207" s="374">
        <f t="shared" si="12"/>
        <v>2</v>
      </c>
      <c r="F207" s="376" t="str">
        <f t="shared" si="13"/>
        <v>1,    IntLtgSys:ParentSpcFunc,  363,    0   ; Stairwell</v>
      </c>
    </row>
    <row r="208" spans="1:6" x14ac:dyDescent="0.2">
      <c r="A208" s="374" t="s">
        <v>973</v>
      </c>
      <c r="B208" s="382" t="s">
        <v>1093</v>
      </c>
      <c r="C208" s="374">
        <f>INDEX('[2]For CSV - 2022 SpcFuncData'!$AN$5:$AN$89,MATCH($A208,'[2]For CSV - 2022 SpcFuncData'!$B$5:$B$89,0))</f>
        <v>363</v>
      </c>
      <c r="D208" s="374">
        <f t="shared" si="11"/>
        <v>0</v>
      </c>
      <c r="E208" s="374">
        <f t="shared" si="12"/>
        <v>3</v>
      </c>
      <c r="F208" s="376" t="str">
        <f t="shared" si="13"/>
        <v>2,              0,     "- none specified -"</v>
      </c>
    </row>
    <row r="209" spans="1:6" x14ac:dyDescent="0.2">
      <c r="A209" s="374" t="s">
        <v>973</v>
      </c>
      <c r="B209" s="382" t="s">
        <v>1076</v>
      </c>
      <c r="C209" s="374">
        <f>INDEX('[2]For CSV - 2022 SpcFuncData'!$AN$5:$AN$89,MATCH($A209,'[2]For CSV - 2022 SpcFuncData'!$B$5:$B$89,0))</f>
        <v>363</v>
      </c>
      <c r="D209" s="374">
        <f t="shared" si="11"/>
        <v>3</v>
      </c>
      <c r="E209" s="374">
        <f t="shared" si="12"/>
        <v>3</v>
      </c>
      <c r="F209" s="376" t="str">
        <f t="shared" si="13"/>
        <v>2,              3,     "Decorative/Display"</v>
      </c>
    </row>
    <row r="210" spans="1:6" x14ac:dyDescent="0.2">
      <c r="A210" s="374" t="s">
        <v>974</v>
      </c>
      <c r="B210" s="382" t="s">
        <v>1093</v>
      </c>
      <c r="C210" s="374">
        <f>INDEX('[2]For CSV - 2022 SpcFuncData'!$AN$5:$AN$89,MATCH($A210,'[2]For CSV - 2022 SpcFuncData'!$B$5:$B$89,0))</f>
        <v>371</v>
      </c>
      <c r="D210" s="374">
        <f t="shared" si="11"/>
        <v>0</v>
      </c>
      <c r="E210" s="374">
        <f t="shared" si="12"/>
        <v>1</v>
      </c>
      <c r="F210" s="376" t="str">
        <f t="shared" si="13"/>
        <v>1,    IntLtgSys:IntLtgSpecMthd,   1,    0   ; AreaCategoryMethod</v>
      </c>
    </row>
    <row r="211" spans="1:6" x14ac:dyDescent="0.2">
      <c r="A211" s="374" t="s">
        <v>974</v>
      </c>
      <c r="B211" s="382" t="s">
        <v>1093</v>
      </c>
      <c r="C211" s="374">
        <f>INDEX('[2]For CSV - 2022 SpcFuncData'!$AN$5:$AN$89,MATCH($A211,'[2]For CSV - 2022 SpcFuncData'!$B$5:$B$89,0))</f>
        <v>371</v>
      </c>
      <c r="D211" s="374">
        <f t="shared" si="11"/>
        <v>0</v>
      </c>
      <c r="E211" s="374">
        <f t="shared" si="12"/>
        <v>2</v>
      </c>
      <c r="F211" s="376" t="str">
        <f t="shared" si="13"/>
        <v>1,    IntLtgSys:ParentSpcFunc,  371,    0   ; Theater Area (Motion Picture)</v>
      </c>
    </row>
    <row r="212" spans="1:6" x14ac:dyDescent="0.2">
      <c r="A212" s="374" t="s">
        <v>974</v>
      </c>
      <c r="B212" s="382" t="s">
        <v>1093</v>
      </c>
      <c r="C212" s="374">
        <f>INDEX('[2]For CSV - 2022 SpcFuncData'!$AN$5:$AN$89,MATCH($A212,'[2]For CSV - 2022 SpcFuncData'!$B$5:$B$89,0))</f>
        <v>371</v>
      </c>
      <c r="D212" s="374">
        <f t="shared" si="11"/>
        <v>0</v>
      </c>
      <c r="E212" s="374">
        <f t="shared" si="12"/>
        <v>3</v>
      </c>
      <c r="F212" s="376" t="str">
        <f t="shared" si="13"/>
        <v>2,              0,     "- none specified -"</v>
      </c>
    </row>
    <row r="213" spans="1:6" x14ac:dyDescent="0.2">
      <c r="A213" s="374" t="s">
        <v>974</v>
      </c>
      <c r="B213" s="382" t="s">
        <v>1076</v>
      </c>
      <c r="C213" s="374">
        <f>INDEX('[2]For CSV - 2022 SpcFuncData'!$AN$5:$AN$89,MATCH($A213,'[2]For CSV - 2022 SpcFuncData'!$B$5:$B$89,0))</f>
        <v>371</v>
      </c>
      <c r="D213" s="374">
        <f t="shared" si="11"/>
        <v>3</v>
      </c>
      <c r="E213" s="374">
        <f t="shared" si="12"/>
        <v>3</v>
      </c>
      <c r="F213" s="376" t="str">
        <f t="shared" si="13"/>
        <v>2,              3,     "Decorative/Display"</v>
      </c>
    </row>
    <row r="214" spans="1:6" x14ac:dyDescent="0.2">
      <c r="A214" s="374" t="s">
        <v>975</v>
      </c>
      <c r="B214" s="382" t="s">
        <v>1093</v>
      </c>
      <c r="C214" s="374">
        <f>INDEX('[2]For CSV - 2022 SpcFuncData'!$AN$5:$AN$89,MATCH($A214,'[2]For CSV - 2022 SpcFuncData'!$B$5:$B$89,0))</f>
        <v>372</v>
      </c>
      <c r="D214" s="374">
        <f t="shared" si="11"/>
        <v>0</v>
      </c>
      <c r="E214" s="374">
        <f t="shared" si="12"/>
        <v>1</v>
      </c>
      <c r="F214" s="376" t="str">
        <f t="shared" si="13"/>
        <v>1,    IntLtgSys:IntLtgSpecMthd,   1,    0   ; AreaCategoryMethod</v>
      </c>
    </row>
    <row r="215" spans="1:6" x14ac:dyDescent="0.2">
      <c r="A215" s="374" t="s">
        <v>975</v>
      </c>
      <c r="B215" s="382" t="s">
        <v>1093</v>
      </c>
      <c r="C215" s="374">
        <f>INDEX('[2]For CSV - 2022 SpcFuncData'!$AN$5:$AN$89,MATCH($A215,'[2]For CSV - 2022 SpcFuncData'!$B$5:$B$89,0))</f>
        <v>372</v>
      </c>
      <c r="D215" s="374">
        <f t="shared" si="11"/>
        <v>0</v>
      </c>
      <c r="E215" s="374">
        <f t="shared" si="12"/>
        <v>2</v>
      </c>
      <c r="F215" s="376" t="str">
        <f t="shared" si="13"/>
        <v>1,    IntLtgSys:ParentSpcFunc,  372,    0   ; Theater Area (Performance)</v>
      </c>
    </row>
    <row r="216" spans="1:6" x14ac:dyDescent="0.2">
      <c r="A216" s="374" t="s">
        <v>975</v>
      </c>
      <c r="B216" s="382" t="s">
        <v>1093</v>
      </c>
      <c r="C216" s="374">
        <f>INDEX('[2]For CSV - 2022 SpcFuncData'!$AN$5:$AN$89,MATCH($A216,'[2]For CSV - 2022 SpcFuncData'!$B$5:$B$89,0))</f>
        <v>372</v>
      </c>
      <c r="D216" s="374">
        <f t="shared" si="11"/>
        <v>0</v>
      </c>
      <c r="E216" s="374">
        <f t="shared" si="12"/>
        <v>3</v>
      </c>
      <c r="F216" s="376" t="str">
        <f t="shared" si="13"/>
        <v>2,              0,     "- none specified -"</v>
      </c>
    </row>
    <row r="217" spans="1:6" x14ac:dyDescent="0.2">
      <c r="A217" s="374" t="s">
        <v>975</v>
      </c>
      <c r="B217" s="382" t="s">
        <v>1076</v>
      </c>
      <c r="C217" s="374">
        <f>INDEX('[2]For CSV - 2022 SpcFuncData'!$AN$5:$AN$89,MATCH($A217,'[2]For CSV - 2022 SpcFuncData'!$B$5:$B$89,0))</f>
        <v>372</v>
      </c>
      <c r="D217" s="374">
        <f t="shared" si="11"/>
        <v>3</v>
      </c>
      <c r="E217" s="374">
        <f t="shared" si="12"/>
        <v>3</v>
      </c>
      <c r="F217" s="376" t="str">
        <f t="shared" si="13"/>
        <v>2,              3,     "Decorative/Display"</v>
      </c>
    </row>
    <row r="218" spans="1:6" x14ac:dyDescent="0.2">
      <c r="A218" s="374" t="s">
        <v>977</v>
      </c>
      <c r="B218" s="382" t="s">
        <v>1093</v>
      </c>
      <c r="C218" s="374">
        <f>INDEX('[2]For CSV - 2022 SpcFuncData'!$AN$5:$AN$89,MATCH($A218,'[2]For CSV - 2022 SpcFuncData'!$B$5:$B$89,0))</f>
        <v>374</v>
      </c>
      <c r="D218" s="374">
        <f t="shared" si="11"/>
        <v>0</v>
      </c>
      <c r="E218" s="374">
        <f t="shared" si="12"/>
        <v>1</v>
      </c>
      <c r="F218" s="376" t="str">
        <f t="shared" si="13"/>
        <v>1,    IntLtgSys:IntLtgSpecMthd,   1,    0   ; AreaCategoryMethod</v>
      </c>
    </row>
    <row r="219" spans="1:6" x14ac:dyDescent="0.2">
      <c r="A219" s="374" t="s">
        <v>977</v>
      </c>
      <c r="B219" s="382" t="s">
        <v>1093</v>
      </c>
      <c r="C219" s="374">
        <f>INDEX('[2]For CSV - 2022 SpcFuncData'!$AN$5:$AN$89,MATCH($A219,'[2]For CSV - 2022 SpcFuncData'!$B$5:$B$89,0))</f>
        <v>374</v>
      </c>
      <c r="D219" s="374">
        <f t="shared" si="11"/>
        <v>0</v>
      </c>
      <c r="E219" s="374">
        <f t="shared" si="12"/>
        <v>2</v>
      </c>
      <c r="F219" s="376" t="str">
        <f t="shared" si="13"/>
        <v>1,    IntLtgSys:ParentSpcFunc,  374,    0   ; Transportation Function (Ticketing Area)</v>
      </c>
    </row>
    <row r="220" spans="1:6" x14ac:dyDescent="0.2">
      <c r="A220" s="374" t="s">
        <v>977</v>
      </c>
      <c r="B220" s="382" t="s">
        <v>1093</v>
      </c>
      <c r="C220" s="374">
        <f>INDEX('[2]For CSV - 2022 SpcFuncData'!$AN$5:$AN$89,MATCH($A220,'[2]For CSV - 2022 SpcFuncData'!$B$5:$B$89,0))</f>
        <v>374</v>
      </c>
      <c r="D220" s="374">
        <f t="shared" si="11"/>
        <v>0</v>
      </c>
      <c r="E220" s="374">
        <f t="shared" si="12"/>
        <v>3</v>
      </c>
      <c r="F220" s="376" t="str">
        <f t="shared" si="13"/>
        <v>2,              0,     "- none specified -"</v>
      </c>
    </row>
    <row r="221" spans="1:6" x14ac:dyDescent="0.2">
      <c r="A221" s="374" t="s">
        <v>977</v>
      </c>
      <c r="B221" s="382" t="s">
        <v>1076</v>
      </c>
      <c r="C221" s="374">
        <f>INDEX('[2]For CSV - 2022 SpcFuncData'!$AN$5:$AN$89,MATCH($A221,'[2]For CSV - 2022 SpcFuncData'!$B$5:$B$89,0))</f>
        <v>374</v>
      </c>
      <c r="D221" s="374">
        <f t="shared" si="11"/>
        <v>3</v>
      </c>
      <c r="E221" s="374">
        <f t="shared" si="12"/>
        <v>3</v>
      </c>
      <c r="F221" s="376" t="str">
        <f t="shared" si="13"/>
        <v>2,              3,     "Decorative/Display"</v>
      </c>
    </row>
    <row r="222" spans="1:6" x14ac:dyDescent="0.2">
      <c r="A222" s="374" t="s">
        <v>668</v>
      </c>
      <c r="B222" s="382" t="s">
        <v>1093</v>
      </c>
      <c r="C222" s="374">
        <f>INDEX('[2]For CSV - 2022 SpcFuncData'!$AN$5:$AN$89,MATCH($A222,'[2]For CSV - 2022 SpcFuncData'!$B$5:$B$89,0))</f>
        <v>378</v>
      </c>
      <c r="D222" s="374">
        <f t="shared" si="11"/>
        <v>0</v>
      </c>
      <c r="E222" s="374">
        <f t="shared" si="12"/>
        <v>1</v>
      </c>
      <c r="F222" s="376" t="str">
        <f t="shared" si="13"/>
        <v>1,    IntLtgSys:IntLtgSpecMthd,   1,    0   ; AreaCategoryMethod</v>
      </c>
    </row>
    <row r="223" spans="1:6" x14ac:dyDescent="0.2">
      <c r="A223" s="374" t="str">
        <f t="shared" ref="A223:A286" si="14">A222</f>
        <v>Videoconferencing Studio</v>
      </c>
      <c r="B223" s="382" t="s">
        <v>1093</v>
      </c>
      <c r="C223" s="374">
        <f>INDEX('[2]For CSV - 2022 SpcFuncData'!$AN$5:$AN$89,MATCH($A223,'[2]For CSV - 2022 SpcFuncData'!$B$5:$B$89,0))</f>
        <v>378</v>
      </c>
      <c r="D223" s="374">
        <f t="shared" si="11"/>
        <v>0</v>
      </c>
      <c r="E223" s="374">
        <f t="shared" si="12"/>
        <v>2</v>
      </c>
      <c r="F223" s="376" t="str">
        <f t="shared" si="13"/>
        <v>1,    IntLtgSys:ParentSpcFunc,  378,    0   ; Videoconferencing Studio</v>
      </c>
    </row>
    <row r="224" spans="1:6" x14ac:dyDescent="0.2">
      <c r="A224" s="374" t="str">
        <f t="shared" si="14"/>
        <v>Videoconferencing Studio</v>
      </c>
      <c r="B224" s="382" t="s">
        <v>1093</v>
      </c>
      <c r="C224" s="374">
        <f>INDEX('[2]For CSV - 2022 SpcFuncData'!$AN$5:$AN$89,MATCH($A224,'[2]For CSV - 2022 SpcFuncData'!$B$5:$B$89,0))</f>
        <v>378</v>
      </c>
      <c r="D224" s="374">
        <f t="shared" si="11"/>
        <v>0</v>
      </c>
      <c r="E224" s="374">
        <f t="shared" si="12"/>
        <v>3</v>
      </c>
      <c r="F224" s="376" t="str">
        <f t="shared" si="13"/>
        <v>2,              0,     "- none specified -"</v>
      </c>
    </row>
    <row r="225" spans="1:6" x14ac:dyDescent="0.2">
      <c r="A225" s="374" t="str">
        <f t="shared" si="14"/>
        <v>Videoconferencing Studio</v>
      </c>
      <c r="B225" s="382" t="s">
        <v>432</v>
      </c>
      <c r="C225" s="374">
        <f>INDEX('[2]For CSV - 2022 SpcFuncData'!$AN$5:$AN$89,MATCH($A225,'[2]For CSV - 2022 SpcFuncData'!$B$5:$B$89,0))</f>
        <v>378</v>
      </c>
      <c r="D225" s="374">
        <f t="shared" si="11"/>
        <v>9</v>
      </c>
      <c r="E225" s="374">
        <f t="shared" si="12"/>
        <v>3</v>
      </c>
      <c r="F225" s="376" t="str">
        <f t="shared" si="13"/>
        <v>2,              9,     "VideoconferencingStudioLighting"</v>
      </c>
    </row>
    <row r="226" spans="1:6" x14ac:dyDescent="0.2">
      <c r="A226" s="374" t="str">
        <f t="shared" si="14"/>
        <v>Videoconferencing Studio</v>
      </c>
      <c r="B226" s="382" t="s">
        <v>1093</v>
      </c>
      <c r="C226" s="374">
        <f>INDEX('[2]For CSV - 2022 SpcFuncData'!$AN$5:$AN$89,MATCH($A226,'[2]For CSV - 2022 SpcFuncData'!$B$5:$B$89,0))</f>
        <v>378</v>
      </c>
      <c r="D226" s="374">
        <f t="shared" si="11"/>
        <v>0</v>
      </c>
      <c r="E226" s="374">
        <f t="shared" si="12"/>
        <v>3</v>
      </c>
      <c r="F226" s="376" t="str">
        <f t="shared" si="13"/>
        <v>2,              0,     "- none specified -"</v>
      </c>
    </row>
    <row r="227" spans="1:6" x14ac:dyDescent="0.2">
      <c r="A227" s="374" t="str">
        <f t="shared" si="14"/>
        <v>Videoconferencing Studio</v>
      </c>
      <c r="B227" s="382" t="s">
        <v>1093</v>
      </c>
      <c r="C227" s="374">
        <f>INDEX('[2]For CSV - 2022 SpcFuncData'!$AN$5:$AN$89,MATCH($A227,'[2]For CSV - 2022 SpcFuncData'!$B$5:$B$89,0))</f>
        <v>378</v>
      </c>
      <c r="D227" s="374">
        <f t="shared" si="11"/>
        <v>0</v>
      </c>
      <c r="E227" s="374">
        <f t="shared" si="12"/>
        <v>3</v>
      </c>
      <c r="F227" s="376" t="str">
        <f t="shared" si="13"/>
        <v>2,              0,     "- none specified -"</v>
      </c>
    </row>
    <row r="228" spans="1:6" x14ac:dyDescent="0.2">
      <c r="A228" s="374" t="str">
        <f t="shared" si="14"/>
        <v>Videoconferencing Studio</v>
      </c>
      <c r="B228" s="382" t="s">
        <v>1093</v>
      </c>
      <c r="C228" s="374">
        <f>INDEX('[2]For CSV - 2022 SpcFuncData'!$AN$5:$AN$89,MATCH($A228,'[2]For CSV - 2022 SpcFuncData'!$B$5:$B$89,0))</f>
        <v>378</v>
      </c>
      <c r="D228" s="374">
        <f t="shared" si="11"/>
        <v>0</v>
      </c>
      <c r="E228" s="374">
        <f t="shared" si="12"/>
        <v>3</v>
      </c>
      <c r="F228" s="376" t="str">
        <f t="shared" si="13"/>
        <v>2,              0,     "- none specified -"</v>
      </c>
    </row>
    <row r="229" spans="1:6" x14ac:dyDescent="0.2">
      <c r="A229" s="374" t="str">
        <f t="shared" si="14"/>
        <v>Videoconferencing Studio</v>
      </c>
      <c r="B229" s="382" t="s">
        <v>1093</v>
      </c>
      <c r="C229" s="374">
        <f>INDEX('[2]For CSV - 2022 SpcFuncData'!$AN$5:$AN$89,MATCH($A229,'[2]For CSV - 2022 SpcFuncData'!$B$5:$B$89,0))</f>
        <v>378</v>
      </c>
      <c r="D229" s="374">
        <f t="shared" si="11"/>
        <v>0</v>
      </c>
      <c r="E229" s="374">
        <f t="shared" si="12"/>
        <v>3</v>
      </c>
      <c r="F229" s="376" t="str">
        <f t="shared" si="13"/>
        <v>2,              0,     "- none specified -"</v>
      </c>
    </row>
    <row r="230" spans="1:6" x14ac:dyDescent="0.2">
      <c r="A230" s="374" t="str">
        <f t="shared" si="14"/>
        <v>Videoconferencing Studio</v>
      </c>
      <c r="B230" s="382" t="s">
        <v>1093</v>
      </c>
      <c r="C230" s="374">
        <f>INDEX('[2]For CSV - 2022 SpcFuncData'!$AN$5:$AN$89,MATCH($A230,'[2]For CSV - 2022 SpcFuncData'!$B$5:$B$89,0))</f>
        <v>378</v>
      </c>
      <c r="D230" s="374">
        <f t="shared" si="11"/>
        <v>0</v>
      </c>
      <c r="E230" s="374">
        <f t="shared" si="12"/>
        <v>3</v>
      </c>
      <c r="F230" s="376" t="str">
        <f t="shared" si="13"/>
        <v>2,              0,     "- none specified -"</v>
      </c>
    </row>
    <row r="231" spans="1:6" x14ac:dyDescent="0.2">
      <c r="A231" s="374" t="str">
        <f t="shared" si="14"/>
        <v>Videoconferencing Studio</v>
      </c>
      <c r="B231" s="382" t="s">
        <v>1093</v>
      </c>
      <c r="C231" s="374">
        <f>INDEX('[2]For CSV - 2022 SpcFuncData'!$AN$5:$AN$89,MATCH($A231,'[2]For CSV - 2022 SpcFuncData'!$B$5:$B$89,0))</f>
        <v>378</v>
      </c>
      <c r="D231" s="374">
        <f t="shared" si="11"/>
        <v>0</v>
      </c>
      <c r="E231" s="374">
        <f t="shared" si="12"/>
        <v>3</v>
      </c>
      <c r="F231" s="376" t="str">
        <f t="shared" si="13"/>
        <v>2,              0,     "- none specified -"</v>
      </c>
    </row>
    <row r="232" spans="1:6" x14ac:dyDescent="0.2">
      <c r="A232" s="374" t="str">
        <f t="shared" si="14"/>
        <v>Videoconferencing Studio</v>
      </c>
      <c r="B232" s="382" t="s">
        <v>1093</v>
      </c>
      <c r="C232" s="374">
        <f>INDEX('[2]For CSV - 2022 SpcFuncData'!$AN$5:$AN$89,MATCH($A232,'[2]For CSV - 2022 SpcFuncData'!$B$5:$B$89,0))</f>
        <v>378</v>
      </c>
      <c r="D232" s="374">
        <f t="shared" si="11"/>
        <v>0</v>
      </c>
      <c r="E232" s="374">
        <f t="shared" si="12"/>
        <v>3</v>
      </c>
      <c r="F232" s="376" t="str">
        <f t="shared" si="13"/>
        <v>2,              0,     "- none specified -"</v>
      </c>
    </row>
    <row r="233" spans="1:6" x14ac:dyDescent="0.2">
      <c r="A233" s="374" t="str">
        <f t="shared" si="14"/>
        <v>Videoconferencing Studio</v>
      </c>
      <c r="B233" s="382" t="s">
        <v>1093</v>
      </c>
      <c r="C233" s="374">
        <f>INDEX('[2]For CSV - 2022 SpcFuncData'!$AN$5:$AN$89,MATCH($A233,'[2]For CSV - 2022 SpcFuncData'!$B$5:$B$89,0))</f>
        <v>378</v>
      </c>
      <c r="D233" s="374">
        <f t="shared" si="11"/>
        <v>0</v>
      </c>
      <c r="E233" s="374">
        <f t="shared" si="12"/>
        <v>3</v>
      </c>
      <c r="F233" s="376" t="str">
        <f t="shared" si="13"/>
        <v>2,              0,     "- none specified -"</v>
      </c>
    </row>
    <row r="234" spans="1:6" x14ac:dyDescent="0.2">
      <c r="A234" s="374" t="str">
        <f t="shared" si="14"/>
        <v>Videoconferencing Studio</v>
      </c>
      <c r="B234" s="382" t="s">
        <v>1093</v>
      </c>
      <c r="C234" s="374">
        <f>INDEX('[2]For CSV - 2022 SpcFuncData'!$AN$5:$AN$89,MATCH($A234,'[2]For CSV - 2022 SpcFuncData'!$B$5:$B$89,0))</f>
        <v>378</v>
      </c>
      <c r="D234" s="374">
        <f t="shared" si="11"/>
        <v>0</v>
      </c>
      <c r="E234" s="374">
        <f t="shared" si="12"/>
        <v>3</v>
      </c>
      <c r="F234" s="376" t="str">
        <f t="shared" si="13"/>
        <v>2,              0,     "- none specified -"</v>
      </c>
    </row>
    <row r="235" spans="1:6" x14ac:dyDescent="0.2">
      <c r="A235" s="374" t="str">
        <f t="shared" si="14"/>
        <v>Videoconferencing Studio</v>
      </c>
      <c r="B235" s="382" t="s">
        <v>1093</v>
      </c>
      <c r="C235" s="374">
        <f>INDEX('[2]For CSV - 2022 SpcFuncData'!$AN$5:$AN$89,MATCH($A235,'[2]For CSV - 2022 SpcFuncData'!$B$5:$B$89,0))</f>
        <v>378</v>
      </c>
      <c r="D235" s="374">
        <f t="shared" si="11"/>
        <v>0</v>
      </c>
      <c r="E235" s="374">
        <f t="shared" si="12"/>
        <v>3</v>
      </c>
      <c r="F235" s="376" t="str">
        <f t="shared" si="13"/>
        <v>2,              0,     "- none specified -"</v>
      </c>
    </row>
    <row r="236" spans="1:6" x14ac:dyDescent="0.2">
      <c r="A236" s="374" t="str">
        <f t="shared" si="14"/>
        <v>Videoconferencing Studio</v>
      </c>
      <c r="B236" s="382" t="s">
        <v>1093</v>
      </c>
      <c r="C236" s="374">
        <f>INDEX('[2]For CSV - 2022 SpcFuncData'!$AN$5:$AN$89,MATCH($A236,'[2]For CSV - 2022 SpcFuncData'!$B$5:$B$89,0))</f>
        <v>378</v>
      </c>
      <c r="D236" s="374">
        <f t="shared" si="11"/>
        <v>0</v>
      </c>
      <c r="E236" s="374">
        <f t="shared" si="12"/>
        <v>3</v>
      </c>
      <c r="F236" s="376" t="str">
        <f t="shared" si="13"/>
        <v>2,              0,     "- none specified -"</v>
      </c>
    </row>
    <row r="237" spans="1:6" x14ac:dyDescent="0.2">
      <c r="A237" s="374" t="str">
        <f t="shared" si="14"/>
        <v>Videoconferencing Studio</v>
      </c>
      <c r="B237" s="382" t="s">
        <v>1093</v>
      </c>
      <c r="C237" s="374">
        <f>INDEX('[2]For CSV - 2022 SpcFuncData'!$AN$5:$AN$89,MATCH($A237,'[2]For CSV - 2022 SpcFuncData'!$B$5:$B$89,0))</f>
        <v>378</v>
      </c>
      <c r="D237" s="374">
        <f t="shared" si="11"/>
        <v>0</v>
      </c>
      <c r="E237" s="374">
        <f t="shared" si="12"/>
        <v>3</v>
      </c>
      <c r="F237" s="376" t="str">
        <f t="shared" si="13"/>
        <v>2,              0,     "- none specified -"</v>
      </c>
    </row>
    <row r="238" spans="1:6" x14ac:dyDescent="0.2">
      <c r="A238" s="374" t="str">
        <f t="shared" si="14"/>
        <v>Videoconferencing Studio</v>
      </c>
      <c r="B238" s="382" t="s">
        <v>1093</v>
      </c>
      <c r="C238" s="374">
        <f>INDEX('[2]For CSV - 2022 SpcFuncData'!$AN$5:$AN$89,MATCH($A238,'[2]For CSV - 2022 SpcFuncData'!$B$5:$B$89,0))</f>
        <v>378</v>
      </c>
      <c r="D238" s="374">
        <f t="shared" si="11"/>
        <v>0</v>
      </c>
      <c r="E238" s="374">
        <f t="shared" si="12"/>
        <v>3</v>
      </c>
      <c r="F238" s="376" t="str">
        <f t="shared" si="13"/>
        <v>2,              0,     "- none specified -"</v>
      </c>
    </row>
    <row r="239" spans="1:6" x14ac:dyDescent="0.2">
      <c r="A239" s="374" t="str">
        <f t="shared" si="14"/>
        <v>Videoconferencing Studio</v>
      </c>
      <c r="B239" s="382" t="s">
        <v>1093</v>
      </c>
      <c r="C239" s="374">
        <f>INDEX('[2]For CSV - 2022 SpcFuncData'!$AN$5:$AN$89,MATCH($A239,'[2]For CSV - 2022 SpcFuncData'!$B$5:$B$89,0))</f>
        <v>378</v>
      </c>
      <c r="D239" s="374">
        <f t="shared" si="11"/>
        <v>0</v>
      </c>
      <c r="E239" s="374">
        <f t="shared" si="12"/>
        <v>3</v>
      </c>
      <c r="F239" s="376" t="str">
        <f t="shared" si="13"/>
        <v>2,              0,     "- none specified -"</v>
      </c>
    </row>
    <row r="240" spans="1:6" x14ac:dyDescent="0.2">
      <c r="A240" s="374" t="str">
        <f t="shared" si="14"/>
        <v>Videoconferencing Studio</v>
      </c>
      <c r="B240" s="382" t="s">
        <v>1093</v>
      </c>
      <c r="C240" s="374">
        <f>INDEX('[2]For CSV - 2022 SpcFuncData'!$AN$5:$AN$89,MATCH($A240,'[2]For CSV - 2022 SpcFuncData'!$B$5:$B$89,0))</f>
        <v>378</v>
      </c>
      <c r="D240" s="374">
        <f t="shared" si="11"/>
        <v>0</v>
      </c>
      <c r="E240" s="374">
        <f t="shared" si="12"/>
        <v>3</v>
      </c>
      <c r="F240" s="376" t="str">
        <f t="shared" si="13"/>
        <v>2,              0,     "- none specified -"</v>
      </c>
    </row>
    <row r="241" spans="1:6" x14ac:dyDescent="0.2">
      <c r="A241" s="374" t="str">
        <f t="shared" si="14"/>
        <v>Videoconferencing Studio</v>
      </c>
      <c r="B241" s="382" t="s">
        <v>1093</v>
      </c>
      <c r="C241" s="374">
        <f>INDEX('[2]For CSV - 2022 SpcFuncData'!$AN$5:$AN$89,MATCH($A241,'[2]For CSV - 2022 SpcFuncData'!$B$5:$B$89,0))</f>
        <v>378</v>
      </c>
      <c r="D241" s="374">
        <f t="shared" si="11"/>
        <v>0</v>
      </c>
      <c r="E241" s="374">
        <f t="shared" si="12"/>
        <v>3</v>
      </c>
      <c r="F241" s="376" t="str">
        <f t="shared" si="13"/>
        <v>2,              0,     "- none specified -"</v>
      </c>
    </row>
    <row r="242" spans="1:6" x14ac:dyDescent="0.2">
      <c r="A242" s="374" t="str">
        <f t="shared" si="14"/>
        <v>Videoconferencing Studio</v>
      </c>
      <c r="B242" s="382" t="s">
        <v>1093</v>
      </c>
      <c r="C242" s="374">
        <f>INDEX('[2]For CSV - 2022 SpcFuncData'!$AN$5:$AN$89,MATCH($A242,'[2]For CSV - 2022 SpcFuncData'!$B$5:$B$89,0))</f>
        <v>378</v>
      </c>
      <c r="D242" s="374">
        <f t="shared" si="11"/>
        <v>0</v>
      </c>
      <c r="E242" s="374">
        <f t="shared" si="12"/>
        <v>3</v>
      </c>
      <c r="F242" s="376" t="str">
        <f t="shared" si="13"/>
        <v>2,              0,     "- none specified -"</v>
      </c>
    </row>
    <row r="243" spans="1:6" x14ac:dyDescent="0.2">
      <c r="A243" s="374" t="str">
        <f t="shared" si="14"/>
        <v>Videoconferencing Studio</v>
      </c>
      <c r="B243" s="382" t="s">
        <v>1093</v>
      </c>
      <c r="C243" s="374">
        <f>INDEX('[2]For CSV - 2022 SpcFuncData'!$AN$5:$AN$89,MATCH($A243,'[2]For CSV - 2022 SpcFuncData'!$B$5:$B$89,0))</f>
        <v>378</v>
      </c>
      <c r="D243" s="374">
        <f t="shared" si="11"/>
        <v>0</v>
      </c>
      <c r="E243" s="374">
        <f t="shared" si="12"/>
        <v>3</v>
      </c>
      <c r="F243" s="376" t="str">
        <f t="shared" si="13"/>
        <v>2,              0,     "- none specified -"</v>
      </c>
    </row>
    <row r="244" spans="1:6" x14ac:dyDescent="0.2">
      <c r="A244" s="374" t="str">
        <f t="shared" si="14"/>
        <v>Videoconferencing Studio</v>
      </c>
      <c r="B244" s="382" t="s">
        <v>1093</v>
      </c>
      <c r="C244" s="374">
        <f>INDEX('[2]For CSV - 2022 SpcFuncData'!$AN$5:$AN$89,MATCH($A244,'[2]For CSV - 2022 SpcFuncData'!$B$5:$B$89,0))</f>
        <v>378</v>
      </c>
      <c r="D244" s="374">
        <f t="shared" si="11"/>
        <v>0</v>
      </c>
      <c r="E244" s="374">
        <f t="shared" si="12"/>
        <v>3</v>
      </c>
      <c r="F244" s="376" t="str">
        <f t="shared" si="13"/>
        <v>2,              0,     "- none specified -"</v>
      </c>
    </row>
    <row r="245" spans="1:6" x14ac:dyDescent="0.2">
      <c r="A245" s="374" t="str">
        <f t="shared" si="14"/>
        <v>Videoconferencing Studio</v>
      </c>
      <c r="B245" s="382" t="s">
        <v>1093</v>
      </c>
      <c r="C245" s="374">
        <f>INDEX('[2]For CSV - 2022 SpcFuncData'!$AN$5:$AN$89,MATCH($A245,'[2]For CSV - 2022 SpcFuncData'!$B$5:$B$89,0))</f>
        <v>378</v>
      </c>
      <c r="D245" s="374">
        <f t="shared" si="11"/>
        <v>0</v>
      </c>
      <c r="E245" s="374">
        <f t="shared" si="12"/>
        <v>3</v>
      </c>
      <c r="F245" s="376" t="str">
        <f t="shared" si="13"/>
        <v>2,              0,     "- none specified -"</v>
      </c>
    </row>
    <row r="246" spans="1:6" x14ac:dyDescent="0.2">
      <c r="A246" s="374" t="str">
        <f t="shared" si="14"/>
        <v>Videoconferencing Studio</v>
      </c>
      <c r="B246" s="382" t="s">
        <v>1093</v>
      </c>
      <c r="C246" s="374">
        <f>INDEX('[2]For CSV - 2022 SpcFuncData'!$AN$5:$AN$89,MATCH($A246,'[2]For CSV - 2022 SpcFuncData'!$B$5:$B$89,0))</f>
        <v>378</v>
      </c>
      <c r="D246" s="374">
        <f t="shared" si="11"/>
        <v>0</v>
      </c>
      <c r="E246" s="374">
        <f t="shared" si="12"/>
        <v>3</v>
      </c>
      <c r="F246" s="376" t="str">
        <f t="shared" si="13"/>
        <v>2,              0,     "- none specified -"</v>
      </c>
    </row>
    <row r="247" spans="1:6" x14ac:dyDescent="0.2">
      <c r="A247" s="374" t="str">
        <f t="shared" si="14"/>
        <v>Videoconferencing Studio</v>
      </c>
      <c r="B247" s="382" t="s">
        <v>1093</v>
      </c>
      <c r="C247" s="374">
        <f>INDEX('[2]For CSV - 2022 SpcFuncData'!$AN$5:$AN$89,MATCH($A247,'[2]For CSV - 2022 SpcFuncData'!$B$5:$B$89,0))</f>
        <v>378</v>
      </c>
      <c r="D247" s="374">
        <f t="shared" si="11"/>
        <v>0</v>
      </c>
      <c r="E247" s="374">
        <f t="shared" si="12"/>
        <v>3</v>
      </c>
      <c r="F247" s="376" t="str">
        <f t="shared" si="13"/>
        <v>2,              0,     "- none specified -"</v>
      </c>
    </row>
    <row r="248" spans="1:6" x14ac:dyDescent="0.2">
      <c r="A248" s="374" t="str">
        <f t="shared" si="14"/>
        <v>Videoconferencing Studio</v>
      </c>
      <c r="B248" s="382" t="s">
        <v>1093</v>
      </c>
      <c r="C248" s="374">
        <f>INDEX('[2]For CSV - 2022 SpcFuncData'!$AN$5:$AN$89,MATCH($A248,'[2]For CSV - 2022 SpcFuncData'!$B$5:$B$89,0))</f>
        <v>378</v>
      </c>
      <c r="D248" s="374">
        <f t="shared" si="11"/>
        <v>0</v>
      </c>
      <c r="E248" s="374">
        <f t="shared" si="12"/>
        <v>3</v>
      </c>
      <c r="F248" s="376" t="str">
        <f t="shared" si="13"/>
        <v>2,              0,     "- none specified -"</v>
      </c>
    </row>
    <row r="249" spans="1:6" x14ac:dyDescent="0.2">
      <c r="A249" s="374" t="str">
        <f t="shared" si="14"/>
        <v>Videoconferencing Studio</v>
      </c>
      <c r="B249" s="382" t="s">
        <v>1093</v>
      </c>
      <c r="C249" s="374">
        <f>INDEX('[2]For CSV - 2022 SpcFuncData'!$AN$5:$AN$89,MATCH($A249,'[2]For CSV - 2022 SpcFuncData'!$B$5:$B$89,0))</f>
        <v>378</v>
      </c>
      <c r="D249" s="374">
        <f t="shared" si="11"/>
        <v>0</v>
      </c>
      <c r="E249" s="374">
        <f t="shared" si="12"/>
        <v>3</v>
      </c>
      <c r="F249" s="376" t="str">
        <f t="shared" si="13"/>
        <v>2,              0,     "- none specified -"</v>
      </c>
    </row>
    <row r="250" spans="1:6" x14ac:dyDescent="0.2">
      <c r="A250" s="374" t="str">
        <f t="shared" si="14"/>
        <v>Videoconferencing Studio</v>
      </c>
      <c r="B250" s="382" t="s">
        <v>1093</v>
      </c>
      <c r="C250" s="374">
        <f>INDEX('[2]For CSV - 2022 SpcFuncData'!$AN$5:$AN$89,MATCH($A250,'[2]For CSV - 2022 SpcFuncData'!$B$5:$B$89,0))</f>
        <v>378</v>
      </c>
      <c r="D250" s="374">
        <f t="shared" si="11"/>
        <v>0</v>
      </c>
      <c r="E250" s="374">
        <f t="shared" si="12"/>
        <v>3</v>
      </c>
      <c r="F250" s="376" t="str">
        <f t="shared" si="13"/>
        <v>2,              0,     "- none specified -"</v>
      </c>
    </row>
    <row r="251" spans="1:6" x14ac:dyDescent="0.2">
      <c r="A251" s="374" t="str">
        <f t="shared" si="14"/>
        <v>Videoconferencing Studio</v>
      </c>
      <c r="B251" s="382" t="s">
        <v>1093</v>
      </c>
      <c r="C251" s="374">
        <f>INDEX('[2]For CSV - 2022 SpcFuncData'!$AN$5:$AN$89,MATCH($A251,'[2]For CSV - 2022 SpcFuncData'!$B$5:$B$89,0))</f>
        <v>378</v>
      </c>
      <c r="D251" s="374">
        <f t="shared" si="11"/>
        <v>0</v>
      </c>
      <c r="E251" s="374">
        <f t="shared" si="12"/>
        <v>3</v>
      </c>
      <c r="F251" s="376" t="str">
        <f t="shared" si="13"/>
        <v>2,              0,     "- none specified -"</v>
      </c>
    </row>
    <row r="252" spans="1:6" x14ac:dyDescent="0.2">
      <c r="A252" s="374" t="str">
        <f t="shared" si="14"/>
        <v>Videoconferencing Studio</v>
      </c>
      <c r="B252" s="382" t="s">
        <v>1093</v>
      </c>
      <c r="C252" s="374">
        <f>INDEX('[2]For CSV - 2022 SpcFuncData'!$AN$5:$AN$89,MATCH($A252,'[2]For CSV - 2022 SpcFuncData'!$B$5:$B$89,0))</f>
        <v>378</v>
      </c>
      <c r="D252" s="374">
        <f t="shared" si="11"/>
        <v>0</v>
      </c>
      <c r="E252" s="374">
        <f t="shared" si="12"/>
        <v>3</v>
      </c>
      <c r="F252" s="376" t="str">
        <f t="shared" si="13"/>
        <v>2,              0,     "- none specified -"</v>
      </c>
    </row>
    <row r="253" spans="1:6" x14ac:dyDescent="0.2">
      <c r="A253" s="374" t="str">
        <f t="shared" si="14"/>
        <v>Videoconferencing Studio</v>
      </c>
      <c r="B253" s="382" t="s">
        <v>1093</v>
      </c>
      <c r="C253" s="374">
        <f>INDEX('[2]For CSV - 2022 SpcFuncData'!$AN$5:$AN$89,MATCH($A253,'[2]For CSV - 2022 SpcFuncData'!$B$5:$B$89,0))</f>
        <v>378</v>
      </c>
      <c r="D253" s="374">
        <f t="shared" si="11"/>
        <v>0</v>
      </c>
      <c r="E253" s="374">
        <f t="shared" si="12"/>
        <v>3</v>
      </c>
      <c r="F253" s="376" t="str">
        <f t="shared" si="13"/>
        <v>2,              0,     "- none specified -"</v>
      </c>
    </row>
    <row r="254" spans="1:6" x14ac:dyDescent="0.2">
      <c r="A254" s="374" t="str">
        <f t="shared" si="14"/>
        <v>Videoconferencing Studio</v>
      </c>
      <c r="B254" s="382" t="s">
        <v>1093</v>
      </c>
      <c r="C254" s="374">
        <f>INDEX('[2]For CSV - 2022 SpcFuncData'!$AN$5:$AN$89,MATCH($A254,'[2]For CSV - 2022 SpcFuncData'!$B$5:$B$89,0))</f>
        <v>378</v>
      </c>
      <c r="D254" s="374">
        <f t="shared" si="11"/>
        <v>0</v>
      </c>
      <c r="E254" s="374">
        <f t="shared" si="12"/>
        <v>3</v>
      </c>
      <c r="F254" s="376" t="str">
        <f t="shared" si="13"/>
        <v>2,              0,     "- none specified -"</v>
      </c>
    </row>
    <row r="255" spans="1:6" x14ac:dyDescent="0.2">
      <c r="A255" s="374" t="str">
        <f t="shared" si="14"/>
        <v>Videoconferencing Studio</v>
      </c>
      <c r="B255" s="382" t="s">
        <v>1093</v>
      </c>
      <c r="C255" s="374">
        <f>INDEX('[2]For CSV - 2022 SpcFuncData'!$AN$5:$AN$89,MATCH($A255,'[2]For CSV - 2022 SpcFuncData'!$B$5:$B$89,0))</f>
        <v>378</v>
      </c>
      <c r="D255" s="374">
        <f t="shared" si="11"/>
        <v>0</v>
      </c>
      <c r="E255" s="374">
        <f t="shared" si="12"/>
        <v>3</v>
      </c>
      <c r="F255" s="376" t="str">
        <f t="shared" si="13"/>
        <v>2,              0,     "- none specified -"</v>
      </c>
    </row>
    <row r="256" spans="1:6" x14ac:dyDescent="0.2">
      <c r="A256" s="374" t="str">
        <f t="shared" si="14"/>
        <v>Videoconferencing Studio</v>
      </c>
      <c r="B256" s="382" t="s">
        <v>1093</v>
      </c>
      <c r="C256" s="374">
        <f>INDEX('[2]For CSV - 2022 SpcFuncData'!$AN$5:$AN$89,MATCH($A256,'[2]For CSV - 2022 SpcFuncData'!$B$5:$B$89,0))</f>
        <v>378</v>
      </c>
      <c r="D256" s="374">
        <f t="shared" si="11"/>
        <v>0</v>
      </c>
      <c r="E256" s="374">
        <f t="shared" si="12"/>
        <v>3</v>
      </c>
      <c r="F256" s="376" t="str">
        <f t="shared" si="13"/>
        <v>2,              0,     "- none specified -"</v>
      </c>
    </row>
    <row r="257" spans="1:6" x14ac:dyDescent="0.2">
      <c r="A257" s="374" t="str">
        <f t="shared" si="14"/>
        <v>Videoconferencing Studio</v>
      </c>
      <c r="B257" s="382" t="s">
        <v>1093</v>
      </c>
      <c r="C257" s="374">
        <f>INDEX('[2]For CSV - 2022 SpcFuncData'!$AN$5:$AN$89,MATCH($A257,'[2]For CSV - 2022 SpcFuncData'!$B$5:$B$89,0))</f>
        <v>378</v>
      </c>
      <c r="D257" s="374">
        <f t="shared" si="11"/>
        <v>0</v>
      </c>
      <c r="E257" s="374">
        <f t="shared" si="12"/>
        <v>3</v>
      </c>
      <c r="F257" s="376" t="str">
        <f t="shared" si="13"/>
        <v>2,              0,     "- none specified -"</v>
      </c>
    </row>
    <row r="258" spans="1:6" x14ac:dyDescent="0.2">
      <c r="A258" s="374" t="str">
        <f t="shared" si="14"/>
        <v>Videoconferencing Studio</v>
      </c>
      <c r="B258" s="382" t="s">
        <v>1093</v>
      </c>
      <c r="C258" s="374">
        <f>INDEX('[2]For CSV - 2022 SpcFuncData'!$AN$5:$AN$89,MATCH($A258,'[2]For CSV - 2022 SpcFuncData'!$B$5:$B$89,0))</f>
        <v>378</v>
      </c>
      <c r="D258" s="374">
        <f t="shared" si="11"/>
        <v>0</v>
      </c>
      <c r="E258" s="374">
        <f t="shared" si="12"/>
        <v>3</v>
      </c>
      <c r="F258" s="376" t="str">
        <f t="shared" si="13"/>
        <v>2,              0,     "- none specified -"</v>
      </c>
    </row>
    <row r="259" spans="1:6" x14ac:dyDescent="0.2">
      <c r="A259" s="374" t="str">
        <f t="shared" si="14"/>
        <v>Videoconferencing Studio</v>
      </c>
      <c r="B259" s="382" t="s">
        <v>1093</v>
      </c>
      <c r="C259" s="374">
        <f>INDEX('[2]For CSV - 2022 SpcFuncData'!$AN$5:$AN$89,MATCH($A259,'[2]For CSV - 2022 SpcFuncData'!$B$5:$B$89,0))</f>
        <v>378</v>
      </c>
      <c r="D259" s="374">
        <f t="shared" si="11"/>
        <v>0</v>
      </c>
      <c r="E259" s="374">
        <f t="shared" si="12"/>
        <v>3</v>
      </c>
      <c r="F259" s="376" t="str">
        <f t="shared" si="13"/>
        <v>2,              0,     "- none specified -"</v>
      </c>
    </row>
    <row r="260" spans="1:6" x14ac:dyDescent="0.2">
      <c r="A260" s="374" t="str">
        <f t="shared" si="14"/>
        <v>Videoconferencing Studio</v>
      </c>
      <c r="B260" s="382" t="s">
        <v>1093</v>
      </c>
      <c r="C260" s="374">
        <f>INDEX('[2]For CSV - 2022 SpcFuncData'!$AN$5:$AN$89,MATCH($A260,'[2]For CSV - 2022 SpcFuncData'!$B$5:$B$89,0))</f>
        <v>378</v>
      </c>
      <c r="D260" s="374">
        <f t="shared" si="11"/>
        <v>0</v>
      </c>
      <c r="E260" s="374">
        <f t="shared" si="12"/>
        <v>3</v>
      </c>
      <c r="F260" s="376" t="str">
        <f t="shared" si="13"/>
        <v>2,              0,     "- none specified -"</v>
      </c>
    </row>
    <row r="261" spans="1:6" x14ac:dyDescent="0.2">
      <c r="A261" s="374" t="str">
        <f t="shared" si="14"/>
        <v>Videoconferencing Studio</v>
      </c>
      <c r="B261" s="382" t="s">
        <v>1093</v>
      </c>
      <c r="C261" s="374">
        <f>INDEX('[2]For CSV - 2022 SpcFuncData'!$AN$5:$AN$89,MATCH($A261,'[2]For CSV - 2022 SpcFuncData'!$B$5:$B$89,0))</f>
        <v>378</v>
      </c>
      <c r="D261" s="374">
        <f t="shared" si="11"/>
        <v>0</v>
      </c>
      <c r="E261" s="374">
        <f t="shared" si="12"/>
        <v>3</v>
      </c>
      <c r="F261" s="376" t="str">
        <f t="shared" si="13"/>
        <v>2,              0,     "- none specified -"</v>
      </c>
    </row>
    <row r="262" spans="1:6" x14ac:dyDescent="0.2">
      <c r="A262" s="374" t="str">
        <f t="shared" si="14"/>
        <v>Videoconferencing Studio</v>
      </c>
      <c r="B262" s="382" t="s">
        <v>1093</v>
      </c>
      <c r="C262" s="374">
        <f>INDEX('[2]For CSV - 2022 SpcFuncData'!$AN$5:$AN$89,MATCH($A262,'[2]For CSV - 2022 SpcFuncData'!$B$5:$B$89,0))</f>
        <v>378</v>
      </c>
      <c r="D262" s="374">
        <f t="shared" si="11"/>
        <v>0</v>
      </c>
      <c r="E262" s="374">
        <f t="shared" si="12"/>
        <v>3</v>
      </c>
      <c r="F262" s="376" t="str">
        <f t="shared" si="13"/>
        <v>2,              0,     "- none specified -"</v>
      </c>
    </row>
    <row r="263" spans="1:6" x14ac:dyDescent="0.2">
      <c r="A263" s="374" t="str">
        <f t="shared" si="14"/>
        <v>Videoconferencing Studio</v>
      </c>
      <c r="B263" s="382" t="s">
        <v>1093</v>
      </c>
      <c r="C263" s="374">
        <f>INDEX('[2]For CSV - 2022 SpcFuncData'!$AN$5:$AN$89,MATCH($A263,'[2]For CSV - 2022 SpcFuncData'!$B$5:$B$89,0))</f>
        <v>378</v>
      </c>
      <c r="D263" s="374">
        <f t="shared" si="11"/>
        <v>0</v>
      </c>
      <c r="E263" s="374">
        <f t="shared" si="12"/>
        <v>3</v>
      </c>
      <c r="F263" s="376" t="str">
        <f t="shared" si="13"/>
        <v>2,              0,     "- none specified -"</v>
      </c>
    </row>
    <row r="264" spans="1:6" x14ac:dyDescent="0.2">
      <c r="A264" s="374" t="str">
        <f t="shared" si="14"/>
        <v>Videoconferencing Studio</v>
      </c>
      <c r="B264" s="382" t="s">
        <v>1093</v>
      </c>
      <c r="C264" s="374">
        <f>INDEX('[2]For CSV - 2022 SpcFuncData'!$AN$5:$AN$89,MATCH($A264,'[2]For CSV - 2022 SpcFuncData'!$B$5:$B$89,0))</f>
        <v>378</v>
      </c>
      <c r="D264" s="374">
        <f t="shared" ref="D264:D329" si="15">VLOOKUP(B264,$L$8:$M$23,2,0)</f>
        <v>0</v>
      </c>
      <c r="E264" s="374">
        <f t="shared" si="12"/>
        <v>3</v>
      </c>
      <c r="F264" s="376" t="str">
        <f t="shared" si="13"/>
        <v>2,              0,     "- none specified -"</v>
      </c>
    </row>
    <row r="265" spans="1:6" x14ac:dyDescent="0.2">
      <c r="A265" s="374" t="str">
        <f t="shared" si="14"/>
        <v>Videoconferencing Studio</v>
      </c>
      <c r="B265" s="382" t="s">
        <v>1093</v>
      </c>
      <c r="C265" s="374">
        <f>INDEX('[2]For CSV - 2022 SpcFuncData'!$AN$5:$AN$89,MATCH($A265,'[2]For CSV - 2022 SpcFuncData'!$B$5:$B$89,0))</f>
        <v>378</v>
      </c>
      <c r="D265" s="374">
        <f t="shared" si="15"/>
        <v>0</v>
      </c>
      <c r="E265" s="374">
        <f t="shared" ref="E265:E328" si="16">IF(A265&lt;&gt;A264,1,IF(A265&lt;&gt;A263,2,3))</f>
        <v>3</v>
      </c>
      <c r="F265" s="376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374" t="str">
        <f t="shared" si="14"/>
        <v>Videoconferencing Studio</v>
      </c>
      <c r="B266" s="382" t="s">
        <v>1093</v>
      </c>
      <c r="C266" s="374">
        <f>INDEX('[2]For CSV - 2022 SpcFuncData'!$AN$5:$AN$89,MATCH($A266,'[2]For CSV - 2022 SpcFuncData'!$B$5:$B$89,0))</f>
        <v>378</v>
      </c>
      <c r="D266" s="374">
        <f t="shared" si="15"/>
        <v>0</v>
      </c>
      <c r="E266" s="374">
        <f t="shared" si="16"/>
        <v>3</v>
      </c>
      <c r="F266" s="376" t="str">
        <f t="shared" si="17"/>
        <v>2,              0,     "- none specified -"</v>
      </c>
    </row>
    <row r="267" spans="1:6" x14ac:dyDescent="0.2">
      <c r="A267" s="374" t="str">
        <f t="shared" si="14"/>
        <v>Videoconferencing Studio</v>
      </c>
      <c r="B267" s="382" t="s">
        <v>1093</v>
      </c>
      <c r="C267" s="374">
        <f>INDEX('[2]For CSV - 2022 SpcFuncData'!$AN$5:$AN$89,MATCH($A267,'[2]For CSV - 2022 SpcFuncData'!$B$5:$B$89,0))</f>
        <v>378</v>
      </c>
      <c r="D267" s="374">
        <f t="shared" si="15"/>
        <v>0</v>
      </c>
      <c r="E267" s="374">
        <f t="shared" si="16"/>
        <v>3</v>
      </c>
      <c r="F267" s="376" t="str">
        <f t="shared" si="17"/>
        <v>2,              0,     "- none specified -"</v>
      </c>
    </row>
    <row r="268" spans="1:6" x14ac:dyDescent="0.2">
      <c r="A268" s="374" t="str">
        <f t="shared" si="14"/>
        <v>Videoconferencing Studio</v>
      </c>
      <c r="B268" s="382" t="s">
        <v>1093</v>
      </c>
      <c r="C268" s="374">
        <f>INDEX('[2]For CSV - 2022 SpcFuncData'!$AN$5:$AN$89,MATCH($A268,'[2]For CSV - 2022 SpcFuncData'!$B$5:$B$89,0))</f>
        <v>378</v>
      </c>
      <c r="D268" s="374">
        <f t="shared" si="15"/>
        <v>0</v>
      </c>
      <c r="E268" s="374">
        <f t="shared" si="16"/>
        <v>3</v>
      </c>
      <c r="F268" s="376" t="str">
        <f t="shared" si="17"/>
        <v>2,              0,     "- none specified -"</v>
      </c>
    </row>
    <row r="269" spans="1:6" x14ac:dyDescent="0.2">
      <c r="A269" s="374" t="str">
        <f t="shared" si="14"/>
        <v>Videoconferencing Studio</v>
      </c>
      <c r="B269" s="382" t="s">
        <v>1093</v>
      </c>
      <c r="C269" s="374">
        <f>INDEX('[2]For CSV - 2022 SpcFuncData'!$AN$5:$AN$89,MATCH($A269,'[2]For CSV - 2022 SpcFuncData'!$B$5:$B$89,0))</f>
        <v>378</v>
      </c>
      <c r="D269" s="374">
        <f t="shared" si="15"/>
        <v>0</v>
      </c>
      <c r="E269" s="374">
        <f t="shared" si="16"/>
        <v>3</v>
      </c>
      <c r="F269" s="376" t="str">
        <f t="shared" si="17"/>
        <v>2,              0,     "- none specified -"</v>
      </c>
    </row>
    <row r="270" spans="1:6" x14ac:dyDescent="0.2">
      <c r="A270" s="374" t="str">
        <f t="shared" si="14"/>
        <v>Videoconferencing Studio</v>
      </c>
      <c r="B270" s="382" t="s">
        <v>1093</v>
      </c>
      <c r="C270" s="374">
        <f>INDEX('[2]For CSV - 2022 SpcFuncData'!$AN$5:$AN$89,MATCH($A270,'[2]For CSV - 2022 SpcFuncData'!$B$5:$B$89,0))</f>
        <v>378</v>
      </c>
      <c r="D270" s="374">
        <f t="shared" si="15"/>
        <v>0</v>
      </c>
      <c r="E270" s="374">
        <f t="shared" si="16"/>
        <v>3</v>
      </c>
      <c r="F270" s="376" t="str">
        <f t="shared" si="17"/>
        <v>2,              0,     "- none specified -"</v>
      </c>
    </row>
    <row r="271" spans="1:6" x14ac:dyDescent="0.2">
      <c r="A271" s="374" t="str">
        <f t="shared" si="14"/>
        <v>Videoconferencing Studio</v>
      </c>
      <c r="B271" s="382" t="s">
        <v>1093</v>
      </c>
      <c r="C271" s="374">
        <f>INDEX('[2]For CSV - 2022 SpcFuncData'!$AN$5:$AN$89,MATCH($A271,'[2]For CSV - 2022 SpcFuncData'!$B$5:$B$89,0))</f>
        <v>378</v>
      </c>
      <c r="D271" s="374">
        <f t="shared" si="15"/>
        <v>0</v>
      </c>
      <c r="E271" s="374">
        <f t="shared" si="16"/>
        <v>3</v>
      </c>
      <c r="F271" s="376" t="str">
        <f t="shared" si="17"/>
        <v>2,              0,     "- none specified -"</v>
      </c>
    </row>
    <row r="272" spans="1:6" x14ac:dyDescent="0.2">
      <c r="A272" s="374" t="str">
        <f t="shared" si="14"/>
        <v>Videoconferencing Studio</v>
      </c>
      <c r="B272" s="382" t="s">
        <v>1093</v>
      </c>
      <c r="C272" s="374">
        <f>INDEX('[2]For CSV - 2022 SpcFuncData'!$AN$5:$AN$89,MATCH($A272,'[2]For CSV - 2022 SpcFuncData'!$B$5:$B$89,0))</f>
        <v>378</v>
      </c>
      <c r="D272" s="374">
        <f t="shared" si="15"/>
        <v>0</v>
      </c>
      <c r="E272" s="374">
        <f t="shared" si="16"/>
        <v>3</v>
      </c>
      <c r="F272" s="376" t="str">
        <f t="shared" si="17"/>
        <v>2,              0,     "- none specified -"</v>
      </c>
    </row>
    <row r="273" spans="1:6" x14ac:dyDescent="0.2">
      <c r="A273" s="374" t="str">
        <f t="shared" si="14"/>
        <v>Videoconferencing Studio</v>
      </c>
      <c r="B273" s="382" t="s">
        <v>1093</v>
      </c>
      <c r="C273" s="374">
        <f>INDEX('[2]For CSV - 2022 SpcFuncData'!$AN$5:$AN$89,MATCH($A273,'[2]For CSV - 2022 SpcFuncData'!$B$5:$B$89,0))</f>
        <v>378</v>
      </c>
      <c r="D273" s="374">
        <f t="shared" si="15"/>
        <v>0</v>
      </c>
      <c r="E273" s="374">
        <f t="shared" si="16"/>
        <v>3</v>
      </c>
      <c r="F273" s="376" t="str">
        <f t="shared" si="17"/>
        <v>2,              0,     "- none specified -"</v>
      </c>
    </row>
    <row r="274" spans="1:6" x14ac:dyDescent="0.2">
      <c r="A274" s="374" t="str">
        <f t="shared" si="14"/>
        <v>Videoconferencing Studio</v>
      </c>
      <c r="B274" s="382" t="s">
        <v>1093</v>
      </c>
      <c r="C274" s="374">
        <f>INDEX('[2]For CSV - 2022 SpcFuncData'!$AN$5:$AN$89,MATCH($A274,'[2]For CSV - 2022 SpcFuncData'!$B$5:$B$89,0))</f>
        <v>378</v>
      </c>
      <c r="D274" s="374">
        <f t="shared" si="15"/>
        <v>0</v>
      </c>
      <c r="E274" s="374">
        <f t="shared" si="16"/>
        <v>3</v>
      </c>
      <c r="F274" s="376" t="str">
        <f t="shared" si="17"/>
        <v>2,              0,     "- none specified -"</v>
      </c>
    </row>
    <row r="275" spans="1:6" x14ac:dyDescent="0.2">
      <c r="A275" s="374" t="str">
        <f t="shared" si="14"/>
        <v>Videoconferencing Studio</v>
      </c>
      <c r="B275" s="382" t="s">
        <v>1093</v>
      </c>
      <c r="C275" s="374">
        <f>INDEX('[2]For CSV - 2022 SpcFuncData'!$AN$5:$AN$89,MATCH($A275,'[2]For CSV - 2022 SpcFuncData'!$B$5:$B$89,0))</f>
        <v>378</v>
      </c>
      <c r="D275" s="374">
        <f t="shared" si="15"/>
        <v>0</v>
      </c>
      <c r="E275" s="374">
        <f t="shared" si="16"/>
        <v>3</v>
      </c>
      <c r="F275" s="376" t="str">
        <f t="shared" si="17"/>
        <v>2,              0,     "- none specified -"</v>
      </c>
    </row>
    <row r="276" spans="1:6" x14ac:dyDescent="0.2">
      <c r="A276" s="374" t="str">
        <f t="shared" si="14"/>
        <v>Videoconferencing Studio</v>
      </c>
      <c r="B276" s="382" t="s">
        <v>1093</v>
      </c>
      <c r="C276" s="374">
        <f>INDEX('[2]For CSV - 2022 SpcFuncData'!$AN$5:$AN$89,MATCH($A276,'[2]For CSV - 2022 SpcFuncData'!$B$5:$B$89,0))</f>
        <v>378</v>
      </c>
      <c r="D276" s="374">
        <f t="shared" si="15"/>
        <v>0</v>
      </c>
      <c r="E276" s="374">
        <f t="shared" si="16"/>
        <v>3</v>
      </c>
      <c r="F276" s="376" t="str">
        <f t="shared" si="17"/>
        <v>2,              0,     "- none specified -"</v>
      </c>
    </row>
    <row r="277" spans="1:6" x14ac:dyDescent="0.2">
      <c r="A277" s="374" t="str">
        <f t="shared" si="14"/>
        <v>Videoconferencing Studio</v>
      </c>
      <c r="B277" s="382" t="s">
        <v>1093</v>
      </c>
      <c r="C277" s="374">
        <f>INDEX('[2]For CSV - 2022 SpcFuncData'!$AN$5:$AN$89,MATCH($A277,'[2]For CSV - 2022 SpcFuncData'!$B$5:$B$89,0))</f>
        <v>378</v>
      </c>
      <c r="D277" s="374">
        <f t="shared" si="15"/>
        <v>0</v>
      </c>
      <c r="E277" s="374">
        <f t="shared" si="16"/>
        <v>3</v>
      </c>
      <c r="F277" s="376" t="str">
        <f t="shared" si="17"/>
        <v>2,              0,     "- none specified -"</v>
      </c>
    </row>
    <row r="278" spans="1:6" x14ac:dyDescent="0.2">
      <c r="A278" s="374" t="str">
        <f t="shared" si="14"/>
        <v>Videoconferencing Studio</v>
      </c>
      <c r="B278" s="382" t="s">
        <v>1093</v>
      </c>
      <c r="C278" s="374">
        <f>INDEX('[2]For CSV - 2022 SpcFuncData'!$AN$5:$AN$89,MATCH($A278,'[2]For CSV - 2022 SpcFuncData'!$B$5:$B$89,0))</f>
        <v>378</v>
      </c>
      <c r="D278" s="374">
        <f t="shared" si="15"/>
        <v>0</v>
      </c>
      <c r="E278" s="374">
        <f t="shared" si="16"/>
        <v>3</v>
      </c>
      <c r="F278" s="376" t="str">
        <f t="shared" si="17"/>
        <v>2,              0,     "- none specified -"</v>
      </c>
    </row>
    <row r="279" spans="1:6" x14ac:dyDescent="0.2">
      <c r="A279" s="374" t="str">
        <f t="shared" si="14"/>
        <v>Videoconferencing Studio</v>
      </c>
      <c r="B279" s="382" t="s">
        <v>1093</v>
      </c>
      <c r="C279" s="374">
        <f>INDEX('[2]For CSV - 2022 SpcFuncData'!$AN$5:$AN$89,MATCH($A279,'[2]For CSV - 2022 SpcFuncData'!$B$5:$B$89,0))</f>
        <v>378</v>
      </c>
      <c r="D279" s="374">
        <f t="shared" si="15"/>
        <v>0</v>
      </c>
      <c r="E279" s="374">
        <f t="shared" si="16"/>
        <v>3</v>
      </c>
      <c r="F279" s="376" t="str">
        <f t="shared" si="17"/>
        <v>2,              0,     "- none specified -"</v>
      </c>
    </row>
    <row r="280" spans="1:6" x14ac:dyDescent="0.2">
      <c r="A280" s="374" t="str">
        <f t="shared" si="14"/>
        <v>Videoconferencing Studio</v>
      </c>
      <c r="B280" s="382" t="s">
        <v>1093</v>
      </c>
      <c r="C280" s="374">
        <f>INDEX('[2]For CSV - 2022 SpcFuncData'!$AN$5:$AN$89,MATCH($A280,'[2]For CSV - 2022 SpcFuncData'!$B$5:$B$89,0))</f>
        <v>378</v>
      </c>
      <c r="D280" s="374">
        <f t="shared" si="15"/>
        <v>0</v>
      </c>
      <c r="E280" s="374">
        <f t="shared" si="16"/>
        <v>3</v>
      </c>
      <c r="F280" s="376" t="str">
        <f t="shared" si="17"/>
        <v>2,              0,     "- none specified -"</v>
      </c>
    </row>
    <row r="281" spans="1:6" x14ac:dyDescent="0.2">
      <c r="A281" s="374" t="str">
        <f t="shared" si="14"/>
        <v>Videoconferencing Studio</v>
      </c>
      <c r="B281" s="382" t="s">
        <v>1093</v>
      </c>
      <c r="C281" s="374">
        <f>INDEX('[2]For CSV - 2022 SpcFuncData'!$AN$5:$AN$89,MATCH($A281,'[2]For CSV - 2022 SpcFuncData'!$B$5:$B$89,0))</f>
        <v>378</v>
      </c>
      <c r="D281" s="374">
        <f t="shared" si="15"/>
        <v>0</v>
      </c>
      <c r="E281" s="374">
        <f t="shared" si="16"/>
        <v>3</v>
      </c>
      <c r="F281" s="376" t="str">
        <f t="shared" si="17"/>
        <v>2,              0,     "- none specified -"</v>
      </c>
    </row>
    <row r="282" spans="1:6" x14ac:dyDescent="0.2">
      <c r="A282" s="374" t="str">
        <f t="shared" si="14"/>
        <v>Videoconferencing Studio</v>
      </c>
      <c r="B282" s="382" t="s">
        <v>1093</v>
      </c>
      <c r="C282" s="374">
        <f>INDEX('[2]For CSV - 2022 SpcFuncData'!$AN$5:$AN$89,MATCH($A282,'[2]For CSV - 2022 SpcFuncData'!$B$5:$B$89,0))</f>
        <v>378</v>
      </c>
      <c r="D282" s="374">
        <f t="shared" si="15"/>
        <v>0</v>
      </c>
      <c r="E282" s="374">
        <f t="shared" si="16"/>
        <v>3</v>
      </c>
      <c r="F282" s="376" t="str">
        <f t="shared" si="17"/>
        <v>2,              0,     "- none specified -"</v>
      </c>
    </row>
    <row r="283" spans="1:6" x14ac:dyDescent="0.2">
      <c r="A283" s="374" t="str">
        <f t="shared" si="14"/>
        <v>Videoconferencing Studio</v>
      </c>
      <c r="B283" s="382" t="s">
        <v>1093</v>
      </c>
      <c r="C283" s="374">
        <f>INDEX('[2]For CSV - 2022 SpcFuncData'!$AN$5:$AN$89,MATCH($A283,'[2]For CSV - 2022 SpcFuncData'!$B$5:$B$89,0))</f>
        <v>378</v>
      </c>
      <c r="D283" s="374">
        <f t="shared" si="15"/>
        <v>0</v>
      </c>
      <c r="E283" s="374">
        <f t="shared" si="16"/>
        <v>3</v>
      </c>
      <c r="F283" s="376" t="str">
        <f t="shared" si="17"/>
        <v>2,              0,     "- none specified -"</v>
      </c>
    </row>
    <row r="284" spans="1:6" x14ac:dyDescent="0.2">
      <c r="A284" s="374" t="str">
        <f t="shared" si="14"/>
        <v>Videoconferencing Studio</v>
      </c>
      <c r="B284" s="382" t="s">
        <v>1093</v>
      </c>
      <c r="C284" s="374">
        <f>INDEX('[2]For CSV - 2022 SpcFuncData'!$AN$5:$AN$89,MATCH($A284,'[2]For CSV - 2022 SpcFuncData'!$B$5:$B$89,0))</f>
        <v>378</v>
      </c>
      <c r="D284" s="374">
        <f t="shared" si="15"/>
        <v>0</v>
      </c>
      <c r="E284" s="374">
        <f t="shared" si="16"/>
        <v>3</v>
      </c>
      <c r="F284" s="376" t="str">
        <f t="shared" si="17"/>
        <v>2,              0,     "- none specified -"</v>
      </c>
    </row>
    <row r="285" spans="1:6" x14ac:dyDescent="0.2">
      <c r="A285" s="374" t="str">
        <f t="shared" si="14"/>
        <v>Videoconferencing Studio</v>
      </c>
      <c r="B285" s="382" t="s">
        <v>1093</v>
      </c>
      <c r="C285" s="374">
        <f>INDEX('[2]For CSV - 2022 SpcFuncData'!$AN$5:$AN$89,MATCH($A285,'[2]For CSV - 2022 SpcFuncData'!$B$5:$B$89,0))</f>
        <v>378</v>
      </c>
      <c r="D285" s="374">
        <f t="shared" si="15"/>
        <v>0</v>
      </c>
      <c r="E285" s="374">
        <f t="shared" si="16"/>
        <v>3</v>
      </c>
      <c r="F285" s="376" t="str">
        <f t="shared" si="17"/>
        <v>2,              0,     "- none specified -"</v>
      </c>
    </row>
    <row r="286" spans="1:6" x14ac:dyDescent="0.2">
      <c r="A286" s="374" t="str">
        <f t="shared" si="14"/>
        <v>Videoconferencing Studio</v>
      </c>
      <c r="B286" s="382" t="s">
        <v>1093</v>
      </c>
      <c r="C286" s="374">
        <f>INDEX('[2]For CSV - 2022 SpcFuncData'!$AN$5:$AN$89,MATCH($A286,'[2]For CSV - 2022 SpcFuncData'!$B$5:$B$89,0))</f>
        <v>378</v>
      </c>
      <c r="D286" s="374">
        <f t="shared" si="15"/>
        <v>0</v>
      </c>
      <c r="E286" s="374">
        <f t="shared" si="16"/>
        <v>3</v>
      </c>
      <c r="F286" s="376" t="str">
        <f t="shared" si="17"/>
        <v>2,              0,     "- none specified -"</v>
      </c>
    </row>
    <row r="287" spans="1:6" x14ac:dyDescent="0.2">
      <c r="A287" s="374" t="str">
        <f t="shared" ref="A287:A329" si="18">A286</f>
        <v>Videoconferencing Studio</v>
      </c>
      <c r="B287" s="382" t="s">
        <v>1093</v>
      </c>
      <c r="C287" s="374">
        <f>INDEX('[2]For CSV - 2022 SpcFuncData'!$AN$5:$AN$89,MATCH($A287,'[2]For CSV - 2022 SpcFuncData'!$B$5:$B$89,0))</f>
        <v>378</v>
      </c>
      <c r="D287" s="374">
        <f t="shared" si="15"/>
        <v>0</v>
      </c>
      <c r="E287" s="374">
        <f t="shared" si="16"/>
        <v>3</v>
      </c>
      <c r="F287" s="376" t="str">
        <f t="shared" si="17"/>
        <v>2,              0,     "- none specified -"</v>
      </c>
    </row>
    <row r="288" spans="1:6" x14ac:dyDescent="0.2">
      <c r="A288" s="374" t="str">
        <f t="shared" si="18"/>
        <v>Videoconferencing Studio</v>
      </c>
      <c r="B288" s="382" t="s">
        <v>1093</v>
      </c>
      <c r="C288" s="374">
        <f>INDEX('[2]For CSV - 2022 SpcFuncData'!$AN$5:$AN$89,MATCH($A288,'[2]For CSV - 2022 SpcFuncData'!$B$5:$B$89,0))</f>
        <v>378</v>
      </c>
      <c r="D288" s="374">
        <f t="shared" si="15"/>
        <v>0</v>
      </c>
      <c r="E288" s="374">
        <f t="shared" si="16"/>
        <v>3</v>
      </c>
      <c r="F288" s="376" t="str">
        <f t="shared" si="17"/>
        <v>2,              0,     "- none specified -"</v>
      </c>
    </row>
    <row r="289" spans="1:6" x14ac:dyDescent="0.2">
      <c r="A289" s="374" t="str">
        <f t="shared" si="18"/>
        <v>Videoconferencing Studio</v>
      </c>
      <c r="B289" s="382" t="s">
        <v>1093</v>
      </c>
      <c r="C289" s="374">
        <f>INDEX('[2]For CSV - 2022 SpcFuncData'!$AN$5:$AN$89,MATCH($A289,'[2]For CSV - 2022 SpcFuncData'!$B$5:$B$89,0))</f>
        <v>378</v>
      </c>
      <c r="D289" s="374">
        <f t="shared" si="15"/>
        <v>0</v>
      </c>
      <c r="E289" s="374">
        <f t="shared" si="16"/>
        <v>3</v>
      </c>
      <c r="F289" s="376" t="str">
        <f t="shared" si="17"/>
        <v>2,              0,     "- none specified -"</v>
      </c>
    </row>
    <row r="290" spans="1:6" x14ac:dyDescent="0.2">
      <c r="A290" s="374" t="str">
        <f t="shared" si="18"/>
        <v>Videoconferencing Studio</v>
      </c>
      <c r="B290" s="382" t="s">
        <v>1093</v>
      </c>
      <c r="C290" s="374">
        <f>INDEX('[2]For CSV - 2022 SpcFuncData'!$AN$5:$AN$89,MATCH($A290,'[2]For CSV - 2022 SpcFuncData'!$B$5:$B$89,0))</f>
        <v>378</v>
      </c>
      <c r="D290" s="374">
        <f t="shared" si="15"/>
        <v>0</v>
      </c>
      <c r="E290" s="374">
        <f t="shared" si="16"/>
        <v>3</v>
      </c>
      <c r="F290" s="376" t="str">
        <f t="shared" si="17"/>
        <v>2,              0,     "- none specified -"</v>
      </c>
    </row>
    <row r="291" spans="1:6" x14ac:dyDescent="0.2">
      <c r="A291" s="374" t="str">
        <f t="shared" si="18"/>
        <v>Videoconferencing Studio</v>
      </c>
      <c r="B291" s="382" t="s">
        <v>1093</v>
      </c>
      <c r="C291" s="374">
        <f>INDEX('[2]For CSV - 2022 SpcFuncData'!$AN$5:$AN$89,MATCH($A291,'[2]For CSV - 2022 SpcFuncData'!$B$5:$B$89,0))</f>
        <v>378</v>
      </c>
      <c r="D291" s="374">
        <f t="shared" si="15"/>
        <v>0</v>
      </c>
      <c r="E291" s="374">
        <f t="shared" si="16"/>
        <v>3</v>
      </c>
      <c r="F291" s="376" t="str">
        <f t="shared" si="17"/>
        <v>2,              0,     "- none specified -"</v>
      </c>
    </row>
    <row r="292" spans="1:6" x14ac:dyDescent="0.2">
      <c r="A292" s="374" t="str">
        <f t="shared" si="18"/>
        <v>Videoconferencing Studio</v>
      </c>
      <c r="B292" s="382" t="s">
        <v>1093</v>
      </c>
      <c r="C292" s="374">
        <f>INDEX('[2]For CSV - 2022 SpcFuncData'!$AN$5:$AN$89,MATCH($A292,'[2]For CSV - 2022 SpcFuncData'!$B$5:$B$89,0))</f>
        <v>378</v>
      </c>
      <c r="D292" s="374">
        <f t="shared" si="15"/>
        <v>0</v>
      </c>
      <c r="E292" s="374">
        <f t="shared" si="16"/>
        <v>3</v>
      </c>
      <c r="F292" s="376" t="str">
        <f t="shared" si="17"/>
        <v>2,              0,     "- none specified -"</v>
      </c>
    </row>
    <row r="293" spans="1:6" x14ac:dyDescent="0.2">
      <c r="A293" s="374" t="str">
        <f t="shared" si="18"/>
        <v>Videoconferencing Studio</v>
      </c>
      <c r="B293" s="382" t="s">
        <v>1093</v>
      </c>
      <c r="C293" s="374">
        <f>INDEX('[2]For CSV - 2022 SpcFuncData'!$AN$5:$AN$89,MATCH($A293,'[2]For CSV - 2022 SpcFuncData'!$B$5:$B$89,0))</f>
        <v>378</v>
      </c>
      <c r="D293" s="374">
        <f t="shared" si="15"/>
        <v>0</v>
      </c>
      <c r="E293" s="374">
        <f t="shared" si="16"/>
        <v>3</v>
      </c>
      <c r="F293" s="376" t="str">
        <f t="shared" si="17"/>
        <v>2,              0,     "- none specified -"</v>
      </c>
    </row>
    <row r="294" spans="1:6" x14ac:dyDescent="0.2">
      <c r="A294" s="374" t="str">
        <f t="shared" si="18"/>
        <v>Videoconferencing Studio</v>
      </c>
      <c r="B294" s="382" t="s">
        <v>1093</v>
      </c>
      <c r="C294" s="374">
        <f>INDEX('[2]For CSV - 2022 SpcFuncData'!$AN$5:$AN$89,MATCH($A294,'[2]For CSV - 2022 SpcFuncData'!$B$5:$B$89,0))</f>
        <v>378</v>
      </c>
      <c r="D294" s="374">
        <f t="shared" si="15"/>
        <v>0</v>
      </c>
      <c r="E294" s="374">
        <f t="shared" si="16"/>
        <v>3</v>
      </c>
      <c r="F294" s="376" t="str">
        <f t="shared" si="17"/>
        <v>2,              0,     "- none specified -"</v>
      </c>
    </row>
    <row r="295" spans="1:6" x14ac:dyDescent="0.2">
      <c r="A295" s="374" t="str">
        <f t="shared" si="18"/>
        <v>Videoconferencing Studio</v>
      </c>
      <c r="B295" s="382" t="s">
        <v>1093</v>
      </c>
      <c r="C295" s="374">
        <f>INDEX('[2]For CSV - 2022 SpcFuncData'!$AN$5:$AN$89,MATCH($A295,'[2]For CSV - 2022 SpcFuncData'!$B$5:$B$89,0))</f>
        <v>378</v>
      </c>
      <c r="D295" s="374">
        <f t="shared" si="15"/>
        <v>0</v>
      </c>
      <c r="E295" s="374">
        <f t="shared" si="16"/>
        <v>3</v>
      </c>
      <c r="F295" s="376" t="str">
        <f t="shared" si="17"/>
        <v>2,              0,     "- none specified -"</v>
      </c>
    </row>
    <row r="296" spans="1:6" x14ac:dyDescent="0.2">
      <c r="A296" s="374" t="str">
        <f t="shared" si="18"/>
        <v>Videoconferencing Studio</v>
      </c>
      <c r="B296" s="382" t="s">
        <v>1093</v>
      </c>
      <c r="C296" s="374">
        <f>INDEX('[2]For CSV - 2022 SpcFuncData'!$AN$5:$AN$89,MATCH($A296,'[2]For CSV - 2022 SpcFuncData'!$B$5:$B$89,0))</f>
        <v>378</v>
      </c>
      <c r="D296" s="374">
        <f t="shared" si="15"/>
        <v>0</v>
      </c>
      <c r="E296" s="374">
        <f t="shared" si="16"/>
        <v>3</v>
      </c>
      <c r="F296" s="376" t="str">
        <f t="shared" si="17"/>
        <v>2,              0,     "- none specified -"</v>
      </c>
    </row>
    <row r="297" spans="1:6" x14ac:dyDescent="0.2">
      <c r="A297" s="374" t="str">
        <f t="shared" si="18"/>
        <v>Videoconferencing Studio</v>
      </c>
      <c r="B297" s="382" t="s">
        <v>1093</v>
      </c>
      <c r="C297" s="374">
        <f>INDEX('[2]For CSV - 2022 SpcFuncData'!$AN$5:$AN$89,MATCH($A297,'[2]For CSV - 2022 SpcFuncData'!$B$5:$B$89,0))</f>
        <v>378</v>
      </c>
      <c r="D297" s="374">
        <f t="shared" si="15"/>
        <v>0</v>
      </c>
      <c r="E297" s="374">
        <f t="shared" si="16"/>
        <v>3</v>
      </c>
      <c r="F297" s="376" t="str">
        <f t="shared" si="17"/>
        <v>2,              0,     "- none specified -"</v>
      </c>
    </row>
    <row r="298" spans="1:6" x14ac:dyDescent="0.2">
      <c r="A298" s="374" t="str">
        <f t="shared" si="18"/>
        <v>Videoconferencing Studio</v>
      </c>
      <c r="B298" s="382" t="s">
        <v>1093</v>
      </c>
      <c r="C298" s="374">
        <f>INDEX('[2]For CSV - 2022 SpcFuncData'!$AN$5:$AN$89,MATCH($A298,'[2]For CSV - 2022 SpcFuncData'!$B$5:$B$89,0))</f>
        <v>378</v>
      </c>
      <c r="D298" s="374">
        <f t="shared" si="15"/>
        <v>0</v>
      </c>
      <c r="E298" s="374">
        <f t="shared" si="16"/>
        <v>3</v>
      </c>
      <c r="F298" s="376" t="str">
        <f t="shared" si="17"/>
        <v>2,              0,     "- none specified -"</v>
      </c>
    </row>
    <row r="299" spans="1:6" x14ac:dyDescent="0.2">
      <c r="A299" s="374" t="str">
        <f t="shared" si="18"/>
        <v>Videoconferencing Studio</v>
      </c>
      <c r="B299" s="382" t="s">
        <v>1093</v>
      </c>
      <c r="C299" s="374">
        <f>INDEX('[2]For CSV - 2022 SpcFuncData'!$AN$5:$AN$89,MATCH($A299,'[2]For CSV - 2022 SpcFuncData'!$B$5:$B$89,0))</f>
        <v>378</v>
      </c>
      <c r="D299" s="374">
        <f t="shared" si="15"/>
        <v>0</v>
      </c>
      <c r="E299" s="374">
        <f t="shared" si="16"/>
        <v>3</v>
      </c>
      <c r="F299" s="376" t="str">
        <f t="shared" si="17"/>
        <v>2,              0,     "- none specified -"</v>
      </c>
    </row>
    <row r="300" spans="1:6" x14ac:dyDescent="0.2">
      <c r="A300" s="374" t="str">
        <f t="shared" si="18"/>
        <v>Videoconferencing Studio</v>
      </c>
      <c r="B300" s="382" t="s">
        <v>1093</v>
      </c>
      <c r="C300" s="374">
        <f>INDEX('[2]For CSV - 2022 SpcFuncData'!$AN$5:$AN$89,MATCH($A300,'[2]For CSV - 2022 SpcFuncData'!$B$5:$B$89,0))</f>
        <v>378</v>
      </c>
      <c r="D300" s="374">
        <f t="shared" si="15"/>
        <v>0</v>
      </c>
      <c r="E300" s="374">
        <f t="shared" si="16"/>
        <v>3</v>
      </c>
      <c r="F300" s="376" t="str">
        <f t="shared" si="17"/>
        <v>2,              0,     "- none specified -"</v>
      </c>
    </row>
    <row r="301" spans="1:6" x14ac:dyDescent="0.2">
      <c r="A301" s="374" t="str">
        <f t="shared" si="18"/>
        <v>Videoconferencing Studio</v>
      </c>
      <c r="B301" s="382" t="s">
        <v>1093</v>
      </c>
      <c r="C301" s="374">
        <f>INDEX('[2]For CSV - 2022 SpcFuncData'!$AN$5:$AN$89,MATCH($A301,'[2]For CSV - 2022 SpcFuncData'!$B$5:$B$89,0))</f>
        <v>378</v>
      </c>
      <c r="D301" s="374">
        <f t="shared" si="15"/>
        <v>0</v>
      </c>
      <c r="E301" s="374">
        <f t="shared" si="16"/>
        <v>3</v>
      </c>
      <c r="F301" s="376" t="str">
        <f t="shared" si="17"/>
        <v>2,              0,     "- none specified -"</v>
      </c>
    </row>
    <row r="302" spans="1:6" x14ac:dyDescent="0.2">
      <c r="A302" s="374" t="str">
        <f t="shared" si="18"/>
        <v>Videoconferencing Studio</v>
      </c>
      <c r="B302" s="382" t="s">
        <v>1093</v>
      </c>
      <c r="C302" s="374">
        <f>INDEX('[2]For CSV - 2022 SpcFuncData'!$AN$5:$AN$89,MATCH($A302,'[2]For CSV - 2022 SpcFuncData'!$B$5:$B$89,0))</f>
        <v>378</v>
      </c>
      <c r="D302" s="374">
        <f t="shared" si="15"/>
        <v>0</v>
      </c>
      <c r="E302" s="374">
        <f t="shared" si="16"/>
        <v>3</v>
      </c>
      <c r="F302" s="376" t="str">
        <f t="shared" si="17"/>
        <v>2,              0,     "- none specified -"</v>
      </c>
    </row>
    <row r="303" spans="1:6" x14ac:dyDescent="0.2">
      <c r="A303" s="374" t="str">
        <f t="shared" si="18"/>
        <v>Videoconferencing Studio</v>
      </c>
      <c r="B303" s="382" t="s">
        <v>1093</v>
      </c>
      <c r="C303" s="374">
        <f>INDEX('[2]For CSV - 2022 SpcFuncData'!$AN$5:$AN$89,MATCH($A303,'[2]For CSV - 2022 SpcFuncData'!$B$5:$B$89,0))</f>
        <v>378</v>
      </c>
      <c r="D303" s="374">
        <f t="shared" si="15"/>
        <v>0</v>
      </c>
      <c r="E303" s="374">
        <f t="shared" si="16"/>
        <v>3</v>
      </c>
      <c r="F303" s="376" t="str">
        <f t="shared" si="17"/>
        <v>2,              0,     "- none specified -"</v>
      </c>
    </row>
    <row r="304" spans="1:6" x14ac:dyDescent="0.2">
      <c r="A304" s="374" t="str">
        <f t="shared" si="18"/>
        <v>Videoconferencing Studio</v>
      </c>
      <c r="B304" s="382" t="s">
        <v>1093</v>
      </c>
      <c r="C304" s="374">
        <f>INDEX('[2]For CSV - 2022 SpcFuncData'!$AN$5:$AN$89,MATCH($A304,'[2]For CSV - 2022 SpcFuncData'!$B$5:$B$89,0))</f>
        <v>378</v>
      </c>
      <c r="D304" s="374">
        <f t="shared" si="15"/>
        <v>0</v>
      </c>
      <c r="E304" s="374">
        <f t="shared" si="16"/>
        <v>3</v>
      </c>
      <c r="F304" s="376" t="str">
        <f t="shared" si="17"/>
        <v>2,              0,     "- none specified -"</v>
      </c>
    </row>
    <row r="305" spans="1:6" x14ac:dyDescent="0.2">
      <c r="A305" s="374" t="str">
        <f t="shared" si="18"/>
        <v>Videoconferencing Studio</v>
      </c>
      <c r="B305" s="382" t="s">
        <v>1093</v>
      </c>
      <c r="C305" s="374">
        <f>INDEX('[2]For CSV - 2022 SpcFuncData'!$AN$5:$AN$89,MATCH($A305,'[2]For CSV - 2022 SpcFuncData'!$B$5:$B$89,0))</f>
        <v>378</v>
      </c>
      <c r="D305" s="374">
        <f t="shared" si="15"/>
        <v>0</v>
      </c>
      <c r="E305" s="374">
        <f t="shared" si="16"/>
        <v>3</v>
      </c>
      <c r="F305" s="376" t="str">
        <f t="shared" si="17"/>
        <v>2,              0,     "- none specified -"</v>
      </c>
    </row>
    <row r="306" spans="1:6" x14ac:dyDescent="0.2">
      <c r="A306" s="374" t="str">
        <f t="shared" si="18"/>
        <v>Videoconferencing Studio</v>
      </c>
      <c r="B306" s="382" t="s">
        <v>1093</v>
      </c>
      <c r="C306" s="374">
        <f>INDEX('[2]For CSV - 2022 SpcFuncData'!$AN$5:$AN$89,MATCH($A306,'[2]For CSV - 2022 SpcFuncData'!$B$5:$B$89,0))</f>
        <v>378</v>
      </c>
      <c r="D306" s="374">
        <f t="shared" si="15"/>
        <v>0</v>
      </c>
      <c r="E306" s="374">
        <f t="shared" si="16"/>
        <v>3</v>
      </c>
      <c r="F306" s="376" t="str">
        <f t="shared" si="17"/>
        <v>2,              0,     "- none specified -"</v>
      </c>
    </row>
    <row r="307" spans="1:6" x14ac:dyDescent="0.2">
      <c r="A307" s="374" t="str">
        <f t="shared" si="18"/>
        <v>Videoconferencing Studio</v>
      </c>
      <c r="B307" s="382" t="s">
        <v>1093</v>
      </c>
      <c r="C307" s="374">
        <f>INDEX('[2]For CSV - 2022 SpcFuncData'!$AN$5:$AN$89,MATCH($A307,'[2]For CSV - 2022 SpcFuncData'!$B$5:$B$89,0))</f>
        <v>378</v>
      </c>
      <c r="D307" s="374">
        <f t="shared" si="15"/>
        <v>0</v>
      </c>
      <c r="E307" s="374">
        <f t="shared" si="16"/>
        <v>3</v>
      </c>
      <c r="F307" s="376" t="str">
        <f t="shared" si="17"/>
        <v>2,              0,     "- none specified -"</v>
      </c>
    </row>
    <row r="308" spans="1:6" x14ac:dyDescent="0.2">
      <c r="A308" s="374" t="str">
        <f t="shared" si="18"/>
        <v>Videoconferencing Studio</v>
      </c>
      <c r="B308" s="382" t="s">
        <v>1093</v>
      </c>
      <c r="C308" s="374">
        <f>INDEX('[2]For CSV - 2022 SpcFuncData'!$AN$5:$AN$89,MATCH($A308,'[2]For CSV - 2022 SpcFuncData'!$B$5:$B$89,0))</f>
        <v>378</v>
      </c>
      <c r="D308" s="374">
        <f t="shared" si="15"/>
        <v>0</v>
      </c>
      <c r="E308" s="374">
        <f t="shared" si="16"/>
        <v>3</v>
      </c>
      <c r="F308" s="376" t="str">
        <f t="shared" si="17"/>
        <v>2,              0,     "- none specified -"</v>
      </c>
    </row>
    <row r="309" spans="1:6" x14ac:dyDescent="0.2">
      <c r="A309" s="374" t="str">
        <f t="shared" si="18"/>
        <v>Videoconferencing Studio</v>
      </c>
      <c r="B309" s="382" t="s">
        <v>1093</v>
      </c>
      <c r="C309" s="374">
        <f>INDEX('[2]For CSV - 2022 SpcFuncData'!$AN$5:$AN$89,MATCH($A309,'[2]For CSV - 2022 SpcFuncData'!$B$5:$B$89,0))</f>
        <v>378</v>
      </c>
      <c r="D309" s="374">
        <f t="shared" si="15"/>
        <v>0</v>
      </c>
      <c r="E309" s="374">
        <f t="shared" si="16"/>
        <v>3</v>
      </c>
      <c r="F309" s="376" t="str">
        <f t="shared" si="17"/>
        <v>2,              0,     "- none specified -"</v>
      </c>
    </row>
    <row r="310" spans="1:6" x14ac:dyDescent="0.2">
      <c r="A310" s="374" t="str">
        <f t="shared" si="18"/>
        <v>Videoconferencing Studio</v>
      </c>
      <c r="B310" s="382" t="s">
        <v>1093</v>
      </c>
      <c r="C310" s="374">
        <f>INDEX('[2]For CSV - 2022 SpcFuncData'!$AN$5:$AN$89,MATCH($A310,'[2]For CSV - 2022 SpcFuncData'!$B$5:$B$89,0))</f>
        <v>378</v>
      </c>
      <c r="D310" s="374">
        <f t="shared" si="15"/>
        <v>0</v>
      </c>
      <c r="E310" s="374">
        <f t="shared" si="16"/>
        <v>3</v>
      </c>
      <c r="F310" s="376" t="str">
        <f t="shared" si="17"/>
        <v>2,              0,     "- none specified -"</v>
      </c>
    </row>
    <row r="311" spans="1:6" x14ac:dyDescent="0.2">
      <c r="A311" s="374" t="str">
        <f t="shared" si="18"/>
        <v>Videoconferencing Studio</v>
      </c>
      <c r="B311" s="382" t="s">
        <v>1093</v>
      </c>
      <c r="C311" s="374">
        <f>INDEX('[2]For CSV - 2022 SpcFuncData'!$AN$5:$AN$89,MATCH($A311,'[2]For CSV - 2022 SpcFuncData'!$B$5:$B$89,0))</f>
        <v>378</v>
      </c>
      <c r="D311" s="374">
        <f t="shared" si="15"/>
        <v>0</v>
      </c>
      <c r="E311" s="374">
        <f t="shared" si="16"/>
        <v>3</v>
      </c>
      <c r="F311" s="376" t="str">
        <f t="shared" si="17"/>
        <v>2,              0,     "- none specified -"</v>
      </c>
    </row>
    <row r="312" spans="1:6" x14ac:dyDescent="0.2">
      <c r="A312" s="374" t="str">
        <f t="shared" si="18"/>
        <v>Videoconferencing Studio</v>
      </c>
      <c r="B312" s="382" t="s">
        <v>1093</v>
      </c>
      <c r="C312" s="374">
        <f>INDEX('[2]For CSV - 2022 SpcFuncData'!$AN$5:$AN$89,MATCH($A312,'[2]For CSV - 2022 SpcFuncData'!$B$5:$B$89,0))</f>
        <v>378</v>
      </c>
      <c r="D312" s="374">
        <f t="shared" si="15"/>
        <v>0</v>
      </c>
      <c r="E312" s="374">
        <f t="shared" si="16"/>
        <v>3</v>
      </c>
      <c r="F312" s="376" t="str">
        <f t="shared" si="17"/>
        <v>2,              0,     "- none specified -"</v>
      </c>
    </row>
    <row r="313" spans="1:6" x14ac:dyDescent="0.2">
      <c r="A313" s="374" t="str">
        <f t="shared" si="18"/>
        <v>Videoconferencing Studio</v>
      </c>
      <c r="B313" s="382" t="s">
        <v>1093</v>
      </c>
      <c r="C313" s="374">
        <f>INDEX('[2]For CSV - 2022 SpcFuncData'!$AN$5:$AN$89,MATCH($A313,'[2]For CSV - 2022 SpcFuncData'!$B$5:$B$89,0))</f>
        <v>378</v>
      </c>
      <c r="D313" s="374">
        <f t="shared" si="15"/>
        <v>0</v>
      </c>
      <c r="E313" s="374">
        <f t="shared" si="16"/>
        <v>3</v>
      </c>
      <c r="F313" s="376" t="str">
        <f t="shared" si="17"/>
        <v>2,              0,     "- none specified -"</v>
      </c>
    </row>
    <row r="314" spans="1:6" x14ac:dyDescent="0.2">
      <c r="A314" s="374" t="str">
        <f t="shared" si="18"/>
        <v>Videoconferencing Studio</v>
      </c>
      <c r="B314" s="382" t="s">
        <v>1093</v>
      </c>
      <c r="C314" s="374">
        <f>INDEX('[2]For CSV - 2022 SpcFuncData'!$AN$5:$AN$89,MATCH($A314,'[2]For CSV - 2022 SpcFuncData'!$B$5:$B$89,0))</f>
        <v>378</v>
      </c>
      <c r="D314" s="374">
        <f t="shared" si="15"/>
        <v>0</v>
      </c>
      <c r="E314" s="374">
        <f t="shared" si="16"/>
        <v>3</v>
      </c>
      <c r="F314" s="376" t="str">
        <f t="shared" si="17"/>
        <v>2,              0,     "- none specified -"</v>
      </c>
    </row>
    <row r="315" spans="1:6" x14ac:dyDescent="0.2">
      <c r="A315" s="374" t="str">
        <f t="shared" si="18"/>
        <v>Videoconferencing Studio</v>
      </c>
      <c r="B315" s="382" t="s">
        <v>1093</v>
      </c>
      <c r="C315" s="374">
        <f>INDEX('[2]For CSV - 2022 SpcFuncData'!$AN$5:$AN$89,MATCH($A315,'[2]For CSV - 2022 SpcFuncData'!$B$5:$B$89,0))</f>
        <v>378</v>
      </c>
      <c r="D315" s="374">
        <f t="shared" si="15"/>
        <v>0</v>
      </c>
      <c r="E315" s="374">
        <f t="shared" si="16"/>
        <v>3</v>
      </c>
      <c r="F315" s="376" t="str">
        <f t="shared" si="17"/>
        <v>2,              0,     "- none specified -"</v>
      </c>
    </row>
    <row r="316" spans="1:6" x14ac:dyDescent="0.2">
      <c r="A316" s="374" t="str">
        <f t="shared" si="18"/>
        <v>Videoconferencing Studio</v>
      </c>
      <c r="B316" s="382" t="s">
        <v>1093</v>
      </c>
      <c r="C316" s="374">
        <f>INDEX('[2]For CSV - 2022 SpcFuncData'!$AN$5:$AN$89,MATCH($A316,'[2]For CSV - 2022 SpcFuncData'!$B$5:$B$89,0))</f>
        <v>378</v>
      </c>
      <c r="D316" s="374">
        <f t="shared" si="15"/>
        <v>0</v>
      </c>
      <c r="E316" s="374">
        <f t="shared" si="16"/>
        <v>3</v>
      </c>
      <c r="F316" s="376" t="str">
        <f t="shared" si="17"/>
        <v>2,              0,     "- none specified -"</v>
      </c>
    </row>
    <row r="317" spans="1:6" x14ac:dyDescent="0.2">
      <c r="A317" s="374" t="str">
        <f t="shared" si="18"/>
        <v>Videoconferencing Studio</v>
      </c>
      <c r="B317" s="382" t="s">
        <v>1093</v>
      </c>
      <c r="C317" s="374">
        <f>INDEX('[2]For CSV - 2022 SpcFuncData'!$AN$5:$AN$89,MATCH($A317,'[2]For CSV - 2022 SpcFuncData'!$B$5:$B$89,0))</f>
        <v>378</v>
      </c>
      <c r="D317" s="374">
        <f t="shared" si="15"/>
        <v>0</v>
      </c>
      <c r="E317" s="374">
        <f t="shared" si="16"/>
        <v>3</v>
      </c>
      <c r="F317" s="376" t="str">
        <f t="shared" si="17"/>
        <v>2,              0,     "- none specified -"</v>
      </c>
    </row>
    <row r="318" spans="1:6" x14ac:dyDescent="0.2">
      <c r="A318" s="374" t="str">
        <f t="shared" si="18"/>
        <v>Videoconferencing Studio</v>
      </c>
      <c r="B318" s="382" t="s">
        <v>1093</v>
      </c>
      <c r="C318" s="374">
        <f>INDEX('[2]For CSV - 2022 SpcFuncData'!$AN$5:$AN$89,MATCH($A318,'[2]For CSV - 2022 SpcFuncData'!$B$5:$B$89,0))</f>
        <v>378</v>
      </c>
      <c r="D318" s="374">
        <f t="shared" si="15"/>
        <v>0</v>
      </c>
      <c r="E318" s="374">
        <f t="shared" si="16"/>
        <v>3</v>
      </c>
      <c r="F318" s="376" t="str">
        <f t="shared" si="17"/>
        <v>2,              0,     "- none specified -"</v>
      </c>
    </row>
    <row r="319" spans="1:6" x14ac:dyDescent="0.2">
      <c r="A319" s="374" t="str">
        <f t="shared" si="18"/>
        <v>Videoconferencing Studio</v>
      </c>
      <c r="B319" s="382" t="s">
        <v>1093</v>
      </c>
      <c r="C319" s="374">
        <f>INDEX('[2]For CSV - 2022 SpcFuncData'!$AN$5:$AN$89,MATCH($A319,'[2]For CSV - 2022 SpcFuncData'!$B$5:$B$89,0))</f>
        <v>378</v>
      </c>
      <c r="D319" s="374">
        <f t="shared" si="15"/>
        <v>0</v>
      </c>
      <c r="E319" s="374">
        <f t="shared" si="16"/>
        <v>3</v>
      </c>
      <c r="F319" s="376" t="str">
        <f t="shared" si="17"/>
        <v>2,              0,     "- none specified -"</v>
      </c>
    </row>
    <row r="320" spans="1:6" x14ac:dyDescent="0.2">
      <c r="A320" s="374" t="str">
        <f t="shared" si="18"/>
        <v>Videoconferencing Studio</v>
      </c>
      <c r="B320" s="382" t="s">
        <v>1093</v>
      </c>
      <c r="C320" s="374">
        <f>INDEX('[2]For CSV - 2022 SpcFuncData'!$AN$5:$AN$89,MATCH($A320,'[2]For CSV - 2022 SpcFuncData'!$B$5:$B$89,0))</f>
        <v>378</v>
      </c>
      <c r="D320" s="374">
        <f t="shared" si="15"/>
        <v>0</v>
      </c>
      <c r="E320" s="374">
        <f t="shared" si="16"/>
        <v>3</v>
      </c>
      <c r="F320" s="376" t="str">
        <f t="shared" si="17"/>
        <v>2,              0,     "- none specified -"</v>
      </c>
    </row>
    <row r="321" spans="1:6" x14ac:dyDescent="0.2">
      <c r="A321" s="374" t="str">
        <f t="shared" si="18"/>
        <v>Videoconferencing Studio</v>
      </c>
      <c r="B321" s="382" t="s">
        <v>1093</v>
      </c>
      <c r="C321" s="374">
        <f>INDEX('[2]For CSV - 2022 SpcFuncData'!$AN$5:$AN$89,MATCH($A321,'[2]For CSV - 2022 SpcFuncData'!$B$5:$B$89,0))</f>
        <v>378</v>
      </c>
      <c r="D321" s="374">
        <f t="shared" si="15"/>
        <v>0</v>
      </c>
      <c r="E321" s="374">
        <f t="shared" si="16"/>
        <v>3</v>
      </c>
      <c r="F321" s="376" t="str">
        <f t="shared" si="17"/>
        <v>2,              0,     "- none specified -"</v>
      </c>
    </row>
    <row r="322" spans="1:6" x14ac:dyDescent="0.2">
      <c r="A322" s="374" t="str">
        <f t="shared" si="18"/>
        <v>Videoconferencing Studio</v>
      </c>
      <c r="B322" s="382" t="s">
        <v>1093</v>
      </c>
      <c r="C322" s="374">
        <f>INDEX('[2]For CSV - 2022 SpcFuncData'!$AN$5:$AN$89,MATCH($A322,'[2]For CSV - 2022 SpcFuncData'!$B$5:$B$89,0))</f>
        <v>378</v>
      </c>
      <c r="D322" s="374">
        <f t="shared" si="15"/>
        <v>0</v>
      </c>
      <c r="E322" s="374">
        <f t="shared" si="16"/>
        <v>3</v>
      </c>
      <c r="F322" s="376" t="str">
        <f t="shared" si="17"/>
        <v>2,              0,     "- none specified -"</v>
      </c>
    </row>
    <row r="323" spans="1:6" x14ac:dyDescent="0.2">
      <c r="A323" s="374" t="str">
        <f t="shared" si="18"/>
        <v>Videoconferencing Studio</v>
      </c>
      <c r="B323" s="382" t="s">
        <v>1093</v>
      </c>
      <c r="C323" s="374">
        <f>INDEX('[2]For CSV - 2022 SpcFuncData'!$AN$5:$AN$89,MATCH($A323,'[2]For CSV - 2022 SpcFuncData'!$B$5:$B$89,0))</f>
        <v>378</v>
      </c>
      <c r="D323" s="374">
        <f t="shared" si="15"/>
        <v>0</v>
      </c>
      <c r="E323" s="374">
        <f t="shared" si="16"/>
        <v>3</v>
      </c>
      <c r="F323" s="376" t="str">
        <f t="shared" si="17"/>
        <v>2,              0,     "- none specified -"</v>
      </c>
    </row>
    <row r="324" spans="1:6" x14ac:dyDescent="0.2">
      <c r="A324" s="374" t="str">
        <f t="shared" si="18"/>
        <v>Videoconferencing Studio</v>
      </c>
      <c r="B324" s="382" t="s">
        <v>1093</v>
      </c>
      <c r="C324" s="374">
        <f>INDEX('[2]For CSV - 2022 SpcFuncData'!$AN$5:$AN$89,MATCH($A324,'[2]For CSV - 2022 SpcFuncData'!$B$5:$B$89,0))</f>
        <v>378</v>
      </c>
      <c r="D324" s="374">
        <f t="shared" si="15"/>
        <v>0</v>
      </c>
      <c r="E324" s="374">
        <f t="shared" si="16"/>
        <v>3</v>
      </c>
      <c r="F324" s="376" t="str">
        <f t="shared" si="17"/>
        <v>2,              0,     "- none specified -"</v>
      </c>
    </row>
    <row r="325" spans="1:6" x14ac:dyDescent="0.2">
      <c r="A325" s="374" t="str">
        <f t="shared" si="18"/>
        <v>Videoconferencing Studio</v>
      </c>
      <c r="B325" s="382" t="s">
        <v>1093</v>
      </c>
      <c r="C325" s="374">
        <f>INDEX('[2]For CSV - 2022 SpcFuncData'!$AN$5:$AN$89,MATCH($A325,'[2]For CSV - 2022 SpcFuncData'!$B$5:$B$89,0))</f>
        <v>378</v>
      </c>
      <c r="D325" s="374">
        <f t="shared" si="15"/>
        <v>0</v>
      </c>
      <c r="E325" s="374">
        <f t="shared" si="16"/>
        <v>3</v>
      </c>
      <c r="F325" s="376" t="str">
        <f t="shared" si="17"/>
        <v>2,              0,     "- none specified -"</v>
      </c>
    </row>
    <row r="326" spans="1:6" x14ac:dyDescent="0.2">
      <c r="A326" s="374" t="str">
        <f t="shared" si="18"/>
        <v>Videoconferencing Studio</v>
      </c>
      <c r="B326" s="382" t="s">
        <v>1093</v>
      </c>
      <c r="C326" s="374">
        <f>INDEX('[2]For CSV - 2022 SpcFuncData'!$AN$5:$AN$89,MATCH($A326,'[2]For CSV - 2022 SpcFuncData'!$B$5:$B$89,0))</f>
        <v>378</v>
      </c>
      <c r="D326" s="374">
        <f t="shared" si="15"/>
        <v>0</v>
      </c>
      <c r="E326" s="374">
        <f t="shared" si="16"/>
        <v>3</v>
      </c>
      <c r="F326" s="376" t="str">
        <f t="shared" si="17"/>
        <v>2,              0,     "- none specified -"</v>
      </c>
    </row>
    <row r="327" spans="1:6" ht="13.5" customHeight="1" x14ac:dyDescent="0.2">
      <c r="A327" s="374" t="str">
        <f t="shared" si="18"/>
        <v>Videoconferencing Studio</v>
      </c>
      <c r="B327" s="382" t="s">
        <v>1093</v>
      </c>
      <c r="C327" s="374">
        <f>INDEX('[2]For CSV - 2022 SpcFuncData'!$AN$5:$AN$89,MATCH($A327,'[2]For CSV - 2022 SpcFuncData'!$B$5:$B$89,0))</f>
        <v>378</v>
      </c>
      <c r="D327" s="374">
        <f t="shared" si="15"/>
        <v>0</v>
      </c>
      <c r="E327" s="374">
        <f t="shared" si="16"/>
        <v>3</v>
      </c>
      <c r="F327" s="376" t="str">
        <f t="shared" si="17"/>
        <v>2,              0,     "- none specified -"</v>
      </c>
    </row>
    <row r="328" spans="1:6" x14ac:dyDescent="0.2">
      <c r="A328" s="374" t="str">
        <f t="shared" si="18"/>
        <v>Videoconferencing Studio</v>
      </c>
      <c r="B328" s="382" t="s">
        <v>1093</v>
      </c>
      <c r="C328" s="374">
        <f>INDEX('[2]For CSV - 2022 SpcFuncData'!$AN$5:$AN$89,MATCH($A328,'[2]For CSV - 2022 SpcFuncData'!$B$5:$B$89,0))</f>
        <v>378</v>
      </c>
      <c r="D328" s="374">
        <f t="shared" si="15"/>
        <v>0</v>
      </c>
      <c r="E328" s="374">
        <f t="shared" si="16"/>
        <v>3</v>
      </c>
      <c r="F328" s="376" t="str">
        <f t="shared" si="17"/>
        <v>2,              0,     "- none specified -"</v>
      </c>
    </row>
    <row r="329" spans="1:6" x14ac:dyDescent="0.2">
      <c r="A329" s="374" t="str">
        <f t="shared" si="18"/>
        <v>Videoconferencing Studio</v>
      </c>
      <c r="B329" s="382" t="s">
        <v>1093</v>
      </c>
      <c r="C329" s="374">
        <f>INDEX('[2]For CSV - 2022 SpcFuncData'!$AN$5:$AN$89,MATCH($A329,'[2]For CSV - 2022 SpcFuncData'!$B$5:$B$89,0))</f>
        <v>378</v>
      </c>
      <c r="D329" s="374">
        <f t="shared" si="15"/>
        <v>0</v>
      </c>
      <c r="E329" s="374">
        <f t="shared" ref="E329" si="19">IF(A329&lt;&gt;A328,1,IF(A329&lt;&gt;A327,2,3))</f>
        <v>3</v>
      </c>
      <c r="F329" s="376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377"/>
      <c r="F330" s="376"/>
    </row>
    <row r="331" spans="1:6" x14ac:dyDescent="0.2">
      <c r="B331" s="377"/>
      <c r="F331" s="376"/>
    </row>
    <row r="332" spans="1:6" x14ac:dyDescent="0.2">
      <c r="B332" s="377"/>
      <c r="F332" s="376"/>
    </row>
    <row r="333" spans="1:6" x14ac:dyDescent="0.2">
      <c r="B333" s="377"/>
      <c r="F333" s="376"/>
    </row>
    <row r="334" spans="1:6" x14ac:dyDescent="0.25">
      <c r="B334" s="383"/>
    </row>
    <row r="337" spans="1:25" s="385" customFormat="1" x14ac:dyDescent="0.25">
      <c r="A337" s="384" t="s">
        <v>1094</v>
      </c>
      <c r="B337" s="374" t="s">
        <v>1095</v>
      </c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  <c r="N337" s="374"/>
      <c r="O337" s="374"/>
      <c r="P337" s="374"/>
      <c r="Q337" s="374"/>
      <c r="R337" s="374"/>
      <c r="S337" s="374"/>
      <c r="T337" s="374"/>
      <c r="U337" s="374"/>
      <c r="V337" s="374"/>
      <c r="W337" s="374"/>
      <c r="X337" s="374"/>
      <c r="Y337" s="374"/>
    </row>
    <row r="338" spans="1:25" s="385" customFormat="1" x14ac:dyDescent="0.25">
      <c r="A338" s="374">
        <f t="shared" ref="A338:A369" si="21">COUNTIF($B$8:$B$313,B338)</f>
        <v>0</v>
      </c>
      <c r="B338" s="377" t="s">
        <v>1096</v>
      </c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  <c r="N338" s="374"/>
      <c r="O338" s="374"/>
      <c r="P338" s="374"/>
      <c r="Q338" s="374"/>
      <c r="R338" s="374"/>
      <c r="S338" s="374"/>
      <c r="T338" s="374"/>
      <c r="U338" s="374"/>
      <c r="V338" s="374"/>
      <c r="W338" s="374"/>
      <c r="X338" s="374"/>
      <c r="Y338" s="374"/>
    </row>
    <row r="339" spans="1:25" s="385" customFormat="1" x14ac:dyDescent="0.25">
      <c r="A339" s="374">
        <f t="shared" si="21"/>
        <v>0</v>
      </c>
      <c r="B339" s="377" t="s">
        <v>1097</v>
      </c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  <c r="N339" s="374"/>
      <c r="O339" s="374"/>
      <c r="P339" s="374"/>
      <c r="Q339" s="374"/>
      <c r="R339" s="374"/>
      <c r="S339" s="374"/>
      <c r="T339" s="374"/>
      <c r="U339" s="374"/>
      <c r="V339" s="374"/>
      <c r="W339" s="374"/>
      <c r="X339" s="374"/>
      <c r="Y339" s="374"/>
    </row>
    <row r="340" spans="1:25" s="385" customFormat="1" x14ac:dyDescent="0.25">
      <c r="A340" s="374">
        <f t="shared" si="21"/>
        <v>0</v>
      </c>
      <c r="B340" s="377" t="s">
        <v>1098</v>
      </c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  <c r="N340" s="374"/>
      <c r="O340" s="374"/>
      <c r="P340" s="374"/>
      <c r="Q340" s="374"/>
      <c r="R340" s="374"/>
      <c r="S340" s="374"/>
      <c r="T340" s="374"/>
      <c r="U340" s="374"/>
      <c r="V340" s="374"/>
      <c r="W340" s="374"/>
      <c r="X340" s="374"/>
      <c r="Y340" s="374"/>
    </row>
    <row r="341" spans="1:25" s="385" customFormat="1" x14ac:dyDescent="0.25">
      <c r="A341" s="374">
        <f t="shared" si="21"/>
        <v>0</v>
      </c>
      <c r="B341" s="377" t="s">
        <v>1099</v>
      </c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  <c r="N341" s="374"/>
      <c r="O341" s="374"/>
      <c r="P341" s="374"/>
      <c r="Q341" s="374"/>
      <c r="R341" s="374"/>
      <c r="S341" s="374"/>
      <c r="T341" s="374"/>
      <c r="U341" s="374"/>
      <c r="V341" s="374"/>
      <c r="W341" s="374"/>
      <c r="X341" s="374"/>
      <c r="Y341" s="374"/>
    </row>
    <row r="342" spans="1:25" s="385" customFormat="1" x14ac:dyDescent="0.25">
      <c r="A342" s="374">
        <f t="shared" si="21"/>
        <v>0</v>
      </c>
      <c r="B342" s="377" t="s">
        <v>1100</v>
      </c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  <c r="N342" s="374"/>
      <c r="O342" s="374"/>
      <c r="P342" s="374"/>
      <c r="Q342" s="374"/>
      <c r="R342" s="374"/>
      <c r="S342" s="374"/>
      <c r="T342" s="374"/>
      <c r="U342" s="374"/>
      <c r="V342" s="374"/>
      <c r="W342" s="374"/>
      <c r="X342" s="374"/>
      <c r="Y342" s="374"/>
    </row>
    <row r="343" spans="1:25" s="385" customFormat="1" x14ac:dyDescent="0.25">
      <c r="A343" s="374">
        <f t="shared" si="21"/>
        <v>0</v>
      </c>
      <c r="B343" s="377" t="s">
        <v>1101</v>
      </c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  <c r="N343" s="374"/>
      <c r="O343" s="374"/>
      <c r="P343" s="374"/>
      <c r="Q343" s="374"/>
      <c r="R343" s="374"/>
      <c r="S343" s="374"/>
      <c r="T343" s="374"/>
      <c r="U343" s="374"/>
      <c r="V343" s="374"/>
      <c r="W343" s="374"/>
      <c r="X343" s="374"/>
      <c r="Y343" s="374"/>
    </row>
    <row r="344" spans="1:25" s="385" customFormat="1" x14ac:dyDescent="0.25">
      <c r="A344" s="374">
        <f t="shared" si="21"/>
        <v>0</v>
      </c>
      <c r="B344" s="377" t="s">
        <v>1102</v>
      </c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  <c r="N344" s="374"/>
      <c r="O344" s="374"/>
      <c r="P344" s="374"/>
      <c r="Q344" s="374"/>
      <c r="R344" s="374"/>
      <c r="S344" s="374"/>
      <c r="T344" s="374"/>
      <c r="U344" s="374"/>
      <c r="V344" s="374"/>
      <c r="W344" s="374"/>
      <c r="X344" s="374"/>
      <c r="Y344" s="374"/>
    </row>
    <row r="345" spans="1:25" s="385" customFormat="1" x14ac:dyDescent="0.25">
      <c r="A345" s="374">
        <f t="shared" si="21"/>
        <v>0</v>
      </c>
      <c r="B345" s="377" t="s">
        <v>1103</v>
      </c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  <c r="N345" s="374"/>
      <c r="O345" s="374"/>
      <c r="P345" s="374"/>
      <c r="Q345" s="374"/>
      <c r="R345" s="374"/>
      <c r="S345" s="374"/>
      <c r="T345" s="374"/>
      <c r="U345" s="374"/>
      <c r="V345" s="374"/>
      <c r="W345" s="374"/>
      <c r="X345" s="374"/>
      <c r="Y345" s="374"/>
    </row>
    <row r="346" spans="1:25" s="385" customFormat="1" x14ac:dyDescent="0.25">
      <c r="A346" s="374">
        <f t="shared" si="21"/>
        <v>0</v>
      </c>
      <c r="B346" s="377" t="s">
        <v>1104</v>
      </c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  <c r="N346" s="374"/>
      <c r="O346" s="374"/>
      <c r="P346" s="374"/>
      <c r="Q346" s="374"/>
      <c r="R346" s="374"/>
      <c r="S346" s="374"/>
      <c r="T346" s="374"/>
      <c r="U346" s="374"/>
      <c r="V346" s="374"/>
      <c r="W346" s="374"/>
      <c r="X346" s="374"/>
      <c r="Y346" s="374"/>
    </row>
    <row r="347" spans="1:25" s="385" customFormat="1" x14ac:dyDescent="0.25">
      <c r="A347" s="374">
        <f t="shared" si="21"/>
        <v>0</v>
      </c>
      <c r="B347" s="377" t="s">
        <v>1105</v>
      </c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  <c r="N347" s="374"/>
      <c r="O347" s="374"/>
      <c r="P347" s="374"/>
      <c r="Q347" s="374"/>
      <c r="R347" s="374"/>
      <c r="S347" s="374"/>
      <c r="T347" s="374"/>
      <c r="U347" s="374"/>
      <c r="V347" s="374"/>
      <c r="W347" s="374"/>
      <c r="X347" s="374"/>
      <c r="Y347" s="374"/>
    </row>
    <row r="348" spans="1:25" s="385" customFormat="1" x14ac:dyDescent="0.25">
      <c r="A348" s="374">
        <f t="shared" si="21"/>
        <v>0</v>
      </c>
      <c r="B348" s="377" t="s">
        <v>1106</v>
      </c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  <c r="N348" s="374"/>
      <c r="O348" s="374"/>
      <c r="P348" s="374"/>
      <c r="Q348" s="374"/>
      <c r="R348" s="374"/>
      <c r="S348" s="374"/>
      <c r="T348" s="374"/>
      <c r="U348" s="374"/>
      <c r="V348" s="374"/>
      <c r="W348" s="374"/>
      <c r="X348" s="374"/>
      <c r="Y348" s="374"/>
    </row>
    <row r="349" spans="1:25" s="385" customFormat="1" x14ac:dyDescent="0.25">
      <c r="A349" s="374">
        <f t="shared" si="21"/>
        <v>0</v>
      </c>
      <c r="B349" s="377" t="s">
        <v>1107</v>
      </c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  <c r="N349" s="374"/>
      <c r="O349" s="374"/>
      <c r="P349" s="374"/>
      <c r="Q349" s="374"/>
      <c r="R349" s="374"/>
      <c r="S349" s="374"/>
      <c r="T349" s="374"/>
      <c r="U349" s="374"/>
      <c r="V349" s="374"/>
      <c r="W349" s="374"/>
      <c r="X349" s="374"/>
      <c r="Y349" s="374"/>
    </row>
    <row r="350" spans="1:25" s="385" customFormat="1" x14ac:dyDescent="0.25">
      <c r="A350" s="374">
        <f t="shared" si="21"/>
        <v>0</v>
      </c>
      <c r="B350" s="377" t="s">
        <v>1108</v>
      </c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  <c r="N350" s="374"/>
      <c r="O350" s="374"/>
      <c r="P350" s="374"/>
      <c r="Q350" s="374"/>
      <c r="R350" s="374"/>
      <c r="S350" s="374"/>
      <c r="T350" s="374"/>
      <c r="U350" s="374"/>
      <c r="V350" s="374"/>
      <c r="W350" s="374"/>
      <c r="X350" s="374"/>
      <c r="Y350" s="374"/>
    </row>
    <row r="351" spans="1:25" s="385" customFormat="1" x14ac:dyDescent="0.25">
      <c r="A351" s="374">
        <f t="shared" si="21"/>
        <v>0</v>
      </c>
      <c r="B351" s="377" t="s">
        <v>1109</v>
      </c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  <c r="N351" s="374"/>
      <c r="O351" s="374"/>
      <c r="P351" s="374"/>
      <c r="Q351" s="374"/>
      <c r="R351" s="374"/>
      <c r="S351" s="374"/>
      <c r="T351" s="374"/>
      <c r="U351" s="374"/>
      <c r="V351" s="374"/>
      <c r="W351" s="374"/>
      <c r="X351" s="374"/>
      <c r="Y351" s="374"/>
    </row>
    <row r="352" spans="1:25" x14ac:dyDescent="0.25">
      <c r="A352" s="374">
        <f t="shared" si="21"/>
        <v>0</v>
      </c>
      <c r="B352" s="377" t="s">
        <v>1110</v>
      </c>
    </row>
    <row r="353" spans="1:2" x14ac:dyDescent="0.25">
      <c r="A353" s="374">
        <f t="shared" si="21"/>
        <v>0</v>
      </c>
      <c r="B353" s="377" t="s">
        <v>1111</v>
      </c>
    </row>
    <row r="354" spans="1:2" x14ac:dyDescent="0.25">
      <c r="A354" s="374">
        <f t="shared" si="21"/>
        <v>0</v>
      </c>
      <c r="B354" s="377" t="s">
        <v>1112</v>
      </c>
    </row>
    <row r="355" spans="1:2" x14ac:dyDescent="0.25">
      <c r="A355" s="374">
        <f t="shared" si="21"/>
        <v>0</v>
      </c>
      <c r="B355" s="377" t="s">
        <v>1113</v>
      </c>
    </row>
    <row r="356" spans="1:2" x14ac:dyDescent="0.25">
      <c r="A356" s="374">
        <f t="shared" si="21"/>
        <v>0</v>
      </c>
      <c r="B356" s="377" t="s">
        <v>1114</v>
      </c>
    </row>
    <row r="357" spans="1:2" x14ac:dyDescent="0.25">
      <c r="A357" s="374">
        <f t="shared" si="21"/>
        <v>0</v>
      </c>
      <c r="B357" s="377" t="s">
        <v>1115</v>
      </c>
    </row>
    <row r="358" spans="1:2" x14ac:dyDescent="0.25">
      <c r="A358" s="374">
        <f t="shared" si="21"/>
        <v>0</v>
      </c>
      <c r="B358" s="377" t="s">
        <v>1116</v>
      </c>
    </row>
    <row r="359" spans="1:2" x14ac:dyDescent="0.25">
      <c r="A359" s="374">
        <f t="shared" si="21"/>
        <v>0</v>
      </c>
      <c r="B359" s="377" t="s">
        <v>1117</v>
      </c>
    </row>
    <row r="360" spans="1:2" x14ac:dyDescent="0.25">
      <c r="A360" s="374">
        <f t="shared" si="21"/>
        <v>0</v>
      </c>
      <c r="B360" s="377" t="s">
        <v>1118</v>
      </c>
    </row>
    <row r="361" spans="1:2" x14ac:dyDescent="0.25">
      <c r="A361" s="374">
        <f t="shared" si="21"/>
        <v>0</v>
      </c>
      <c r="B361" s="377" t="s">
        <v>1119</v>
      </c>
    </row>
    <row r="362" spans="1:2" x14ac:dyDescent="0.25">
      <c r="A362" s="374">
        <f t="shared" si="21"/>
        <v>0</v>
      </c>
      <c r="B362" s="377" t="s">
        <v>1120</v>
      </c>
    </row>
    <row r="363" spans="1:2" x14ac:dyDescent="0.25">
      <c r="A363" s="386">
        <f t="shared" si="21"/>
        <v>0</v>
      </c>
      <c r="B363" s="382" t="s">
        <v>1121</v>
      </c>
    </row>
    <row r="364" spans="1:2" x14ac:dyDescent="0.25">
      <c r="A364" s="374">
        <f t="shared" si="21"/>
        <v>0</v>
      </c>
      <c r="B364" s="377" t="s">
        <v>1122</v>
      </c>
    </row>
    <row r="365" spans="1:2" x14ac:dyDescent="0.25">
      <c r="A365" s="374">
        <f t="shared" si="21"/>
        <v>0</v>
      </c>
      <c r="B365" s="377" t="s">
        <v>1123</v>
      </c>
    </row>
    <row r="366" spans="1:2" x14ac:dyDescent="0.25">
      <c r="A366" s="374">
        <f t="shared" si="21"/>
        <v>0</v>
      </c>
      <c r="B366" s="377" t="s">
        <v>1124</v>
      </c>
    </row>
    <row r="367" spans="1:2" x14ac:dyDescent="0.25">
      <c r="A367" s="374">
        <f t="shared" si="21"/>
        <v>0</v>
      </c>
      <c r="B367" s="377" t="s">
        <v>1125</v>
      </c>
    </row>
    <row r="368" spans="1:2" x14ac:dyDescent="0.25">
      <c r="A368" s="374">
        <f t="shared" si="21"/>
        <v>0</v>
      </c>
      <c r="B368" s="377" t="s">
        <v>1126</v>
      </c>
    </row>
    <row r="369" spans="1:2" x14ac:dyDescent="0.25">
      <c r="A369" s="374">
        <f t="shared" si="21"/>
        <v>0</v>
      </c>
      <c r="B369" s="377" t="s">
        <v>1127</v>
      </c>
    </row>
    <row r="370" spans="1:2" x14ac:dyDescent="0.25">
      <c r="A370" s="374">
        <f t="shared" ref="A370:A401" si="22">COUNTIF($B$8:$B$313,B370)</f>
        <v>0</v>
      </c>
      <c r="B370" s="377" t="s">
        <v>1128</v>
      </c>
    </row>
    <row r="371" spans="1:2" x14ac:dyDescent="0.25">
      <c r="A371" s="374">
        <f t="shared" si="22"/>
        <v>0</v>
      </c>
      <c r="B371" s="377" t="s">
        <v>1129</v>
      </c>
    </row>
    <row r="372" spans="1:2" x14ac:dyDescent="0.25">
      <c r="A372" s="374">
        <f t="shared" si="22"/>
        <v>0</v>
      </c>
      <c r="B372" s="377" t="s">
        <v>1130</v>
      </c>
    </row>
    <row r="373" spans="1:2" x14ac:dyDescent="0.25">
      <c r="A373" s="374">
        <f t="shared" si="22"/>
        <v>0</v>
      </c>
      <c r="B373" s="377" t="s">
        <v>1131</v>
      </c>
    </row>
    <row r="374" spans="1:2" x14ac:dyDescent="0.25">
      <c r="A374" s="374">
        <f t="shared" si="22"/>
        <v>0</v>
      </c>
      <c r="B374" s="377" t="s">
        <v>1132</v>
      </c>
    </row>
    <row r="375" spans="1:2" x14ac:dyDescent="0.25">
      <c r="A375" s="374">
        <f t="shared" si="22"/>
        <v>0</v>
      </c>
      <c r="B375" s="377" t="s">
        <v>1133</v>
      </c>
    </row>
    <row r="376" spans="1:2" x14ac:dyDescent="0.25">
      <c r="A376" s="374">
        <f t="shared" si="22"/>
        <v>0</v>
      </c>
      <c r="B376" s="377" t="s">
        <v>1134</v>
      </c>
    </row>
    <row r="377" spans="1:2" x14ac:dyDescent="0.25">
      <c r="A377" s="374">
        <f t="shared" si="22"/>
        <v>0</v>
      </c>
      <c r="B377" s="377" t="s">
        <v>1135</v>
      </c>
    </row>
    <row r="378" spans="1:2" x14ac:dyDescent="0.25">
      <c r="A378" s="374">
        <f t="shared" si="22"/>
        <v>0</v>
      </c>
      <c r="B378" s="377" t="s">
        <v>1136</v>
      </c>
    </row>
    <row r="379" spans="1:2" x14ac:dyDescent="0.25">
      <c r="A379" s="374">
        <f t="shared" si="22"/>
        <v>0</v>
      </c>
      <c r="B379" s="377" t="s">
        <v>1137</v>
      </c>
    </row>
    <row r="380" spans="1:2" x14ac:dyDescent="0.25">
      <c r="A380" s="374">
        <f t="shared" si="22"/>
        <v>0</v>
      </c>
      <c r="B380" s="377" t="s">
        <v>1138</v>
      </c>
    </row>
    <row r="381" spans="1:2" x14ac:dyDescent="0.25">
      <c r="A381" s="374">
        <f t="shared" si="22"/>
        <v>0</v>
      </c>
      <c r="B381" s="377" t="s">
        <v>1139</v>
      </c>
    </row>
    <row r="382" spans="1:2" x14ac:dyDescent="0.25">
      <c r="A382" s="374">
        <f t="shared" si="22"/>
        <v>0</v>
      </c>
      <c r="B382" s="377" t="s">
        <v>1140</v>
      </c>
    </row>
    <row r="383" spans="1:2" x14ac:dyDescent="0.25">
      <c r="A383" s="374">
        <f t="shared" si="22"/>
        <v>0</v>
      </c>
      <c r="B383" s="377" t="s">
        <v>1141</v>
      </c>
    </row>
    <row r="384" spans="1:2" x14ac:dyDescent="0.25">
      <c r="A384" s="374">
        <f t="shared" si="22"/>
        <v>0</v>
      </c>
      <c r="B384" s="377" t="s">
        <v>1142</v>
      </c>
    </row>
    <row r="385" spans="1:2" x14ac:dyDescent="0.25">
      <c r="A385" s="374">
        <f t="shared" si="22"/>
        <v>0</v>
      </c>
      <c r="B385" s="377" t="s">
        <v>1143</v>
      </c>
    </row>
    <row r="386" spans="1:2" x14ac:dyDescent="0.25">
      <c r="A386" s="374">
        <f t="shared" si="22"/>
        <v>0</v>
      </c>
      <c r="B386" s="377" t="s">
        <v>1144</v>
      </c>
    </row>
    <row r="387" spans="1:2" x14ac:dyDescent="0.25">
      <c r="A387" s="374">
        <f t="shared" si="22"/>
        <v>0</v>
      </c>
      <c r="B387" s="377" t="s">
        <v>1145</v>
      </c>
    </row>
    <row r="388" spans="1:2" x14ac:dyDescent="0.25">
      <c r="A388" s="374">
        <f t="shared" si="22"/>
        <v>0</v>
      </c>
      <c r="B388" s="377" t="s">
        <v>1146</v>
      </c>
    </row>
    <row r="389" spans="1:2" x14ac:dyDescent="0.25">
      <c r="A389" s="374">
        <f t="shared" si="22"/>
        <v>0</v>
      </c>
      <c r="B389" s="377" t="s">
        <v>1147</v>
      </c>
    </row>
    <row r="390" spans="1:2" x14ac:dyDescent="0.25">
      <c r="A390" s="374">
        <f t="shared" si="22"/>
        <v>0</v>
      </c>
      <c r="B390" s="377" t="s">
        <v>1148</v>
      </c>
    </row>
    <row r="391" spans="1:2" x14ac:dyDescent="0.25">
      <c r="A391" s="374">
        <f t="shared" si="22"/>
        <v>0</v>
      </c>
      <c r="B391" s="377" t="s">
        <v>1149</v>
      </c>
    </row>
    <row r="392" spans="1:2" x14ac:dyDescent="0.25">
      <c r="A392" s="374">
        <f t="shared" si="22"/>
        <v>0</v>
      </c>
      <c r="B392" s="377" t="s">
        <v>1150</v>
      </c>
    </row>
    <row r="393" spans="1:2" x14ac:dyDescent="0.25">
      <c r="A393" s="374">
        <f t="shared" si="22"/>
        <v>0</v>
      </c>
      <c r="B393" s="377" t="s">
        <v>1151</v>
      </c>
    </row>
    <row r="394" spans="1:2" x14ac:dyDescent="0.25">
      <c r="A394" s="374">
        <f t="shared" si="22"/>
        <v>0</v>
      </c>
      <c r="B394" s="377" t="s">
        <v>1152</v>
      </c>
    </row>
    <row r="395" spans="1:2" x14ac:dyDescent="0.25">
      <c r="A395" s="374">
        <f t="shared" si="22"/>
        <v>0</v>
      </c>
      <c r="B395" s="377" t="s">
        <v>1153</v>
      </c>
    </row>
    <row r="396" spans="1:2" x14ac:dyDescent="0.25">
      <c r="A396" s="374">
        <f t="shared" si="22"/>
        <v>0</v>
      </c>
      <c r="B396" s="377" t="s">
        <v>1154</v>
      </c>
    </row>
    <row r="397" spans="1:2" x14ac:dyDescent="0.25">
      <c r="A397" s="374">
        <f t="shared" si="22"/>
        <v>0</v>
      </c>
      <c r="B397" s="377" t="s">
        <v>1155</v>
      </c>
    </row>
    <row r="398" spans="1:2" x14ac:dyDescent="0.25">
      <c r="A398" s="374">
        <f t="shared" si="22"/>
        <v>0</v>
      </c>
      <c r="B398" s="377" t="s">
        <v>1156</v>
      </c>
    </row>
    <row r="399" spans="1:2" x14ac:dyDescent="0.25">
      <c r="A399" s="374">
        <f t="shared" si="22"/>
        <v>0</v>
      </c>
      <c r="B399" s="377" t="s">
        <v>1157</v>
      </c>
    </row>
    <row r="400" spans="1:2" x14ac:dyDescent="0.25">
      <c r="A400" s="374">
        <f t="shared" si="22"/>
        <v>0</v>
      </c>
      <c r="B400" s="377" t="s">
        <v>1158</v>
      </c>
    </row>
    <row r="401" spans="1:2" x14ac:dyDescent="0.25">
      <c r="A401" s="374">
        <f t="shared" si="22"/>
        <v>0</v>
      </c>
      <c r="B401" s="377" t="s">
        <v>1159</v>
      </c>
    </row>
    <row r="402" spans="1:2" x14ac:dyDescent="0.25">
      <c r="A402" s="374">
        <f t="shared" ref="A402:A430" si="23">COUNTIF($B$8:$B$313,B402)</f>
        <v>0</v>
      </c>
      <c r="B402" s="377" t="s">
        <v>1160</v>
      </c>
    </row>
    <row r="403" spans="1:2" x14ac:dyDescent="0.25">
      <c r="A403" s="374">
        <f t="shared" si="23"/>
        <v>0</v>
      </c>
      <c r="B403" s="377" t="s">
        <v>1161</v>
      </c>
    </row>
    <row r="404" spans="1:2" x14ac:dyDescent="0.25">
      <c r="A404" s="374">
        <f t="shared" si="23"/>
        <v>0</v>
      </c>
      <c r="B404" s="377" t="s">
        <v>1162</v>
      </c>
    </row>
    <row r="405" spans="1:2" x14ac:dyDescent="0.25">
      <c r="A405" s="374">
        <f t="shared" si="23"/>
        <v>0</v>
      </c>
      <c r="B405" s="377" t="s">
        <v>1163</v>
      </c>
    </row>
    <row r="406" spans="1:2" x14ac:dyDescent="0.25">
      <c r="A406" s="374">
        <f t="shared" si="23"/>
        <v>0</v>
      </c>
      <c r="B406" s="377" t="s">
        <v>1164</v>
      </c>
    </row>
    <row r="407" spans="1:2" x14ac:dyDescent="0.25">
      <c r="A407" s="374">
        <f t="shared" si="23"/>
        <v>0</v>
      </c>
      <c r="B407" s="377" t="s">
        <v>1165</v>
      </c>
    </row>
    <row r="408" spans="1:2" x14ac:dyDescent="0.25">
      <c r="A408" s="374">
        <f t="shared" si="23"/>
        <v>0</v>
      </c>
      <c r="B408" s="377" t="s">
        <v>1166</v>
      </c>
    </row>
    <row r="409" spans="1:2" x14ac:dyDescent="0.25">
      <c r="A409" s="374">
        <f t="shared" si="23"/>
        <v>0</v>
      </c>
      <c r="B409" s="377" t="s">
        <v>1167</v>
      </c>
    </row>
    <row r="410" spans="1:2" x14ac:dyDescent="0.25">
      <c r="A410" s="374">
        <f t="shared" si="23"/>
        <v>0</v>
      </c>
      <c r="B410" s="377" t="s">
        <v>1168</v>
      </c>
    </row>
    <row r="411" spans="1:2" x14ac:dyDescent="0.25">
      <c r="A411" s="374">
        <f t="shared" si="23"/>
        <v>0</v>
      </c>
      <c r="B411" s="377" t="s">
        <v>1169</v>
      </c>
    </row>
    <row r="412" spans="1:2" x14ac:dyDescent="0.25">
      <c r="A412" s="374">
        <f t="shared" si="23"/>
        <v>0</v>
      </c>
      <c r="B412" s="377" t="s">
        <v>1170</v>
      </c>
    </row>
    <row r="413" spans="1:2" x14ac:dyDescent="0.25">
      <c r="A413" s="374">
        <f t="shared" si="23"/>
        <v>0</v>
      </c>
      <c r="B413" s="377" t="s">
        <v>1171</v>
      </c>
    </row>
    <row r="414" spans="1:2" x14ac:dyDescent="0.25">
      <c r="A414" s="374">
        <f t="shared" si="23"/>
        <v>0</v>
      </c>
      <c r="B414" s="377" t="s">
        <v>1172</v>
      </c>
    </row>
    <row r="415" spans="1:2" x14ac:dyDescent="0.25">
      <c r="A415" s="374">
        <f t="shared" si="23"/>
        <v>0</v>
      </c>
      <c r="B415" s="377" t="s">
        <v>1173</v>
      </c>
    </row>
    <row r="416" spans="1:2" x14ac:dyDescent="0.25">
      <c r="A416" s="374">
        <f t="shared" si="23"/>
        <v>0</v>
      </c>
      <c r="B416" s="377" t="s">
        <v>1174</v>
      </c>
    </row>
    <row r="417" spans="1:2" x14ac:dyDescent="0.25">
      <c r="A417" s="374">
        <f t="shared" si="23"/>
        <v>0</v>
      </c>
      <c r="B417" s="377" t="s">
        <v>1175</v>
      </c>
    </row>
    <row r="418" spans="1:2" x14ac:dyDescent="0.25">
      <c r="A418" s="374">
        <f t="shared" si="23"/>
        <v>0</v>
      </c>
      <c r="B418" s="377" t="s">
        <v>1176</v>
      </c>
    </row>
    <row r="419" spans="1:2" x14ac:dyDescent="0.25">
      <c r="A419" s="374">
        <f t="shared" si="23"/>
        <v>0</v>
      </c>
      <c r="B419" s="377" t="s">
        <v>1177</v>
      </c>
    </row>
    <row r="420" spans="1:2" x14ac:dyDescent="0.25">
      <c r="A420" s="374">
        <f t="shared" si="23"/>
        <v>0</v>
      </c>
      <c r="B420" s="377" t="s">
        <v>1178</v>
      </c>
    </row>
    <row r="421" spans="1:2" x14ac:dyDescent="0.25">
      <c r="A421" s="374">
        <f t="shared" si="23"/>
        <v>0</v>
      </c>
      <c r="B421" s="377" t="s">
        <v>1179</v>
      </c>
    </row>
    <row r="422" spans="1:2" x14ac:dyDescent="0.25">
      <c r="A422" s="374">
        <f t="shared" si="23"/>
        <v>0</v>
      </c>
      <c r="B422" s="377" t="s">
        <v>1180</v>
      </c>
    </row>
    <row r="423" spans="1:2" x14ac:dyDescent="0.25">
      <c r="A423" s="374">
        <f t="shared" si="23"/>
        <v>0</v>
      </c>
      <c r="B423" s="377" t="s">
        <v>1181</v>
      </c>
    </row>
    <row r="424" spans="1:2" x14ac:dyDescent="0.25">
      <c r="A424" s="374">
        <f t="shared" si="23"/>
        <v>0</v>
      </c>
      <c r="B424" s="377" t="s">
        <v>1182</v>
      </c>
    </row>
    <row r="425" spans="1:2" x14ac:dyDescent="0.25">
      <c r="A425" s="374">
        <f t="shared" si="23"/>
        <v>0</v>
      </c>
      <c r="B425" s="377" t="s">
        <v>1183</v>
      </c>
    </row>
    <row r="426" spans="1:2" x14ac:dyDescent="0.25">
      <c r="A426" s="374">
        <f t="shared" si="23"/>
        <v>0</v>
      </c>
      <c r="B426" s="377" t="s">
        <v>1184</v>
      </c>
    </row>
    <row r="427" spans="1:2" x14ac:dyDescent="0.25">
      <c r="A427" s="374">
        <f t="shared" si="23"/>
        <v>0</v>
      </c>
      <c r="B427" s="377" t="s">
        <v>1185</v>
      </c>
    </row>
    <row r="428" spans="1:2" x14ac:dyDescent="0.25">
      <c r="A428" s="374">
        <f t="shared" si="23"/>
        <v>0</v>
      </c>
      <c r="B428" s="377" t="s">
        <v>1186</v>
      </c>
    </row>
    <row r="429" spans="1:2" x14ac:dyDescent="0.25">
      <c r="A429" s="374">
        <f t="shared" si="23"/>
        <v>0</v>
      </c>
      <c r="B429" s="377" t="s">
        <v>1187</v>
      </c>
    </row>
    <row r="430" spans="1:2" x14ac:dyDescent="0.25">
      <c r="A430" s="374">
        <f t="shared" si="23"/>
        <v>0</v>
      </c>
      <c r="B430" s="377" t="s">
        <v>1188</v>
      </c>
    </row>
    <row r="431" spans="1:2" x14ac:dyDescent="0.25">
      <c r="B431" s="377"/>
    </row>
    <row r="432" spans="1:2" x14ac:dyDescent="0.25">
      <c r="B432" s="377"/>
    </row>
    <row r="433" spans="2:2" x14ac:dyDescent="0.25">
      <c r="B433" s="377"/>
    </row>
    <row r="434" spans="2:2" x14ac:dyDescent="0.25">
      <c r="B434" s="377"/>
    </row>
    <row r="435" spans="2:2" x14ac:dyDescent="0.25">
      <c r="B435" s="377"/>
    </row>
    <row r="436" spans="2:2" x14ac:dyDescent="0.25">
      <c r="B436" s="377"/>
    </row>
    <row r="437" spans="2:2" x14ac:dyDescent="0.25">
      <c r="B437" s="377"/>
    </row>
    <row r="438" spans="2:2" x14ac:dyDescent="0.25">
      <c r="B438" s="377"/>
    </row>
    <row r="439" spans="2:2" x14ac:dyDescent="0.25">
      <c r="B439" s="377"/>
    </row>
    <row r="440" spans="2:2" x14ac:dyDescent="0.25">
      <c r="B440" s="377"/>
    </row>
    <row r="441" spans="2:2" x14ac:dyDescent="0.25">
      <c r="B441" s="377"/>
    </row>
    <row r="442" spans="2:2" x14ac:dyDescent="0.25">
      <c r="B442" s="383"/>
    </row>
    <row r="443" spans="2:2" x14ac:dyDescent="0.25">
      <c r="B443" s="383"/>
    </row>
    <row r="444" spans="2:2" x14ac:dyDescent="0.25">
      <c r="B444" s="383"/>
    </row>
    <row r="445" spans="2:2" x14ac:dyDescent="0.25">
      <c r="B445" s="383"/>
    </row>
    <row r="446" spans="2:2" x14ac:dyDescent="0.25">
      <c r="B446" s="383"/>
    </row>
    <row r="447" spans="2:2" x14ac:dyDescent="0.25">
      <c r="B447" s="383"/>
    </row>
    <row r="448" spans="2:2" x14ac:dyDescent="0.25">
      <c r="B448" s="383"/>
    </row>
    <row r="449" spans="2:2" x14ac:dyDescent="0.25">
      <c r="B449" s="383"/>
    </row>
    <row r="450" spans="2:2" x14ac:dyDescent="0.25">
      <c r="B450" s="383"/>
    </row>
    <row r="451" spans="2:2" x14ac:dyDescent="0.25">
      <c r="B451" s="383"/>
    </row>
    <row r="452" spans="2:2" x14ac:dyDescent="0.25">
      <c r="B452" s="383"/>
    </row>
    <row r="453" spans="2:2" x14ac:dyDescent="0.25">
      <c r="B453" s="383"/>
    </row>
    <row r="454" spans="2:2" x14ac:dyDescent="0.25">
      <c r="B454" s="383"/>
    </row>
    <row r="455" spans="2:2" x14ac:dyDescent="0.25">
      <c r="B455" s="383"/>
    </row>
    <row r="456" spans="2:2" x14ac:dyDescent="0.25">
      <c r="B456" s="383"/>
    </row>
    <row r="457" spans="2:2" x14ac:dyDescent="0.25">
      <c r="B457" s="383"/>
    </row>
    <row r="458" spans="2:2" x14ac:dyDescent="0.25">
      <c r="B458" s="383"/>
    </row>
    <row r="459" spans="2:2" x14ac:dyDescent="0.25">
      <c r="B459" s="383"/>
    </row>
    <row r="460" spans="2:2" x14ac:dyDescent="0.25">
      <c r="B460" s="383"/>
    </row>
    <row r="461" spans="2:2" x14ac:dyDescent="0.25">
      <c r="B461" s="383"/>
    </row>
    <row r="462" spans="2:2" x14ac:dyDescent="0.25">
      <c r="B462" s="383"/>
    </row>
    <row r="463" spans="2:2" x14ac:dyDescent="0.25">
      <c r="B463" s="383"/>
    </row>
    <row r="464" spans="2:2" x14ac:dyDescent="0.25">
      <c r="B464" s="383"/>
    </row>
    <row r="465" spans="2:2" x14ac:dyDescent="0.25">
      <c r="B465" s="383"/>
    </row>
    <row r="466" spans="2:2" x14ac:dyDescent="0.25">
      <c r="B466" s="383"/>
    </row>
    <row r="467" spans="2:2" x14ac:dyDescent="0.25">
      <c r="B467" s="383"/>
    </row>
    <row r="468" spans="2:2" x14ac:dyDescent="0.25">
      <c r="B468" s="383"/>
    </row>
    <row r="469" spans="2:2" x14ac:dyDescent="0.25">
      <c r="B469" s="383"/>
    </row>
    <row r="470" spans="2:2" x14ac:dyDescent="0.25">
      <c r="B470" s="383"/>
    </row>
    <row r="471" spans="2:2" x14ac:dyDescent="0.25">
      <c r="B471" s="383"/>
    </row>
    <row r="472" spans="2:2" x14ac:dyDescent="0.25">
      <c r="B472" s="383"/>
    </row>
    <row r="473" spans="2:2" x14ac:dyDescent="0.25">
      <c r="B473" s="383"/>
    </row>
    <row r="474" spans="2:2" x14ac:dyDescent="0.25">
      <c r="B474" s="383"/>
    </row>
    <row r="475" spans="2:2" x14ac:dyDescent="0.25">
      <c r="B475" s="383"/>
    </row>
    <row r="476" spans="2:2" x14ac:dyDescent="0.25">
      <c r="B476" s="383"/>
    </row>
    <row r="477" spans="2:2" x14ac:dyDescent="0.25">
      <c r="B477" s="383"/>
    </row>
    <row r="478" spans="2:2" x14ac:dyDescent="0.25">
      <c r="B478" s="383"/>
    </row>
    <row r="479" spans="2:2" x14ac:dyDescent="0.25">
      <c r="B479" s="383"/>
    </row>
    <row r="480" spans="2:2" x14ac:dyDescent="0.25">
      <c r="B480" s="383"/>
    </row>
    <row r="481" spans="2:2" x14ac:dyDescent="0.25">
      <c r="B481" s="383"/>
    </row>
    <row r="482" spans="2:2" x14ac:dyDescent="0.25">
      <c r="B482" s="383"/>
    </row>
    <row r="483" spans="2:2" x14ac:dyDescent="0.25">
      <c r="B483" s="383"/>
    </row>
    <row r="484" spans="2:2" x14ac:dyDescent="0.25">
      <c r="B484" s="383"/>
    </row>
    <row r="485" spans="2:2" x14ac:dyDescent="0.25">
      <c r="B485" s="383"/>
    </row>
    <row r="486" spans="2:2" x14ac:dyDescent="0.25">
      <c r="B486" s="383"/>
    </row>
    <row r="487" spans="2:2" x14ac:dyDescent="0.25">
      <c r="B487" s="383"/>
    </row>
    <row r="488" spans="2:2" x14ac:dyDescent="0.25">
      <c r="B488" s="383"/>
    </row>
    <row r="489" spans="2:2" x14ac:dyDescent="0.25">
      <c r="B489" s="383"/>
    </row>
    <row r="490" spans="2:2" x14ac:dyDescent="0.25">
      <c r="B490" s="383"/>
    </row>
    <row r="491" spans="2:2" x14ac:dyDescent="0.25">
      <c r="B491" s="383"/>
    </row>
    <row r="492" spans="2:2" x14ac:dyDescent="0.25">
      <c r="B492" s="383"/>
    </row>
    <row r="493" spans="2:2" x14ac:dyDescent="0.25">
      <c r="B493" s="383"/>
    </row>
    <row r="494" spans="2:2" x14ac:dyDescent="0.25">
      <c r="B494" s="383"/>
    </row>
    <row r="495" spans="2:2" x14ac:dyDescent="0.25">
      <c r="B495" s="383"/>
    </row>
    <row r="496" spans="2:2" x14ac:dyDescent="0.25">
      <c r="B496" s="383"/>
    </row>
    <row r="497" spans="2:2" x14ac:dyDescent="0.25">
      <c r="B497" s="383"/>
    </row>
    <row r="498" spans="2:2" x14ac:dyDescent="0.25">
      <c r="B498" s="383"/>
    </row>
    <row r="499" spans="2:2" x14ac:dyDescent="0.25">
      <c r="B499" s="383"/>
    </row>
    <row r="500" spans="2:2" x14ac:dyDescent="0.25">
      <c r="B500" s="383"/>
    </row>
    <row r="501" spans="2:2" x14ac:dyDescent="0.25">
      <c r="B501" s="383"/>
    </row>
    <row r="502" spans="2:2" x14ac:dyDescent="0.25">
      <c r="B502" s="383"/>
    </row>
    <row r="503" spans="2:2" x14ac:dyDescent="0.25">
      <c r="B503" s="383"/>
    </row>
    <row r="504" spans="2:2" x14ac:dyDescent="0.25">
      <c r="B504" s="377"/>
    </row>
    <row r="505" spans="2:2" x14ac:dyDescent="0.25">
      <c r="B505" s="377"/>
    </row>
    <row r="506" spans="2:2" x14ac:dyDescent="0.25">
      <c r="B506" s="377"/>
    </row>
    <row r="507" spans="2:2" x14ac:dyDescent="0.25">
      <c r="B507" s="377"/>
    </row>
    <row r="508" spans="2:2" x14ac:dyDescent="0.25">
      <c r="B508" s="377"/>
    </row>
    <row r="509" spans="2:2" x14ac:dyDescent="0.25">
      <c r="B509" s="377"/>
    </row>
    <row r="510" spans="2:2" x14ac:dyDescent="0.25">
      <c r="B510" s="377"/>
    </row>
    <row r="511" spans="2:2" x14ac:dyDescent="0.25">
      <c r="B511" s="377"/>
    </row>
    <row r="512" spans="2:2" x14ac:dyDescent="0.25">
      <c r="B512" s="377"/>
    </row>
    <row r="513" spans="2:2" x14ac:dyDescent="0.25">
      <c r="B513" s="377"/>
    </row>
    <row r="514" spans="2:2" x14ac:dyDescent="0.25">
      <c r="B514" s="377"/>
    </row>
    <row r="515" spans="2:2" x14ac:dyDescent="0.25">
      <c r="B515" s="377"/>
    </row>
    <row r="516" spans="2:2" x14ac:dyDescent="0.25">
      <c r="B516" s="377"/>
    </row>
    <row r="517" spans="2:2" x14ac:dyDescent="0.25">
      <c r="B517" s="377"/>
    </row>
    <row r="518" spans="2:2" x14ac:dyDescent="0.25">
      <c r="B518" s="377"/>
    </row>
    <row r="519" spans="2:2" x14ac:dyDescent="0.25">
      <c r="B519" s="377"/>
    </row>
    <row r="520" spans="2:2" x14ac:dyDescent="0.25">
      <c r="B520" s="377"/>
    </row>
    <row r="521" spans="2:2" x14ac:dyDescent="0.25">
      <c r="B521" s="377"/>
    </row>
    <row r="522" spans="2:2" x14ac:dyDescent="0.25">
      <c r="B522" s="377"/>
    </row>
    <row r="523" spans="2:2" x14ac:dyDescent="0.25">
      <c r="B523" s="377"/>
    </row>
    <row r="524" spans="2:2" x14ac:dyDescent="0.25">
      <c r="B524" s="377"/>
    </row>
    <row r="525" spans="2:2" x14ac:dyDescent="0.25">
      <c r="B525" s="377"/>
    </row>
    <row r="526" spans="2:2" x14ac:dyDescent="0.25">
      <c r="B526" s="377"/>
    </row>
    <row r="527" spans="2:2" x14ac:dyDescent="0.25">
      <c r="B527" s="377"/>
    </row>
    <row r="528" spans="2:2" x14ac:dyDescent="0.25">
      <c r="B528" s="377"/>
    </row>
    <row r="529" spans="2:2" x14ac:dyDescent="0.25">
      <c r="B529" s="377"/>
    </row>
    <row r="530" spans="2:2" x14ac:dyDescent="0.25">
      <c r="B530" s="377"/>
    </row>
    <row r="531" spans="2:2" x14ac:dyDescent="0.25">
      <c r="B531" s="377"/>
    </row>
    <row r="532" spans="2:2" x14ac:dyDescent="0.25">
      <c r="B532" s="377"/>
    </row>
    <row r="533" spans="2:2" x14ac:dyDescent="0.25">
      <c r="B533" s="377"/>
    </row>
    <row r="534" spans="2:2" x14ac:dyDescent="0.25">
      <c r="B534" s="377"/>
    </row>
    <row r="535" spans="2:2" x14ac:dyDescent="0.25">
      <c r="B535" s="377"/>
    </row>
    <row r="536" spans="2:2" x14ac:dyDescent="0.25">
      <c r="B536" s="377"/>
    </row>
    <row r="537" spans="2:2" x14ac:dyDescent="0.25">
      <c r="B537" s="377"/>
    </row>
    <row r="538" spans="2:2" x14ac:dyDescent="0.25">
      <c r="B538" s="377"/>
    </row>
    <row r="539" spans="2:2" x14ac:dyDescent="0.25">
      <c r="B539" s="377"/>
    </row>
    <row r="540" spans="2:2" x14ac:dyDescent="0.25">
      <c r="B540" s="377"/>
    </row>
    <row r="541" spans="2:2" x14ac:dyDescent="0.25">
      <c r="B541" s="377"/>
    </row>
    <row r="542" spans="2:2" x14ac:dyDescent="0.25">
      <c r="B542" s="377"/>
    </row>
    <row r="543" spans="2:2" x14ac:dyDescent="0.25">
      <c r="B543" s="377"/>
    </row>
    <row r="544" spans="2:2" x14ac:dyDescent="0.25">
      <c r="B544" s="377"/>
    </row>
    <row r="545" spans="2:2" x14ac:dyDescent="0.25">
      <c r="B545" s="377"/>
    </row>
    <row r="546" spans="2:2" x14ac:dyDescent="0.25">
      <c r="B546" s="377"/>
    </row>
    <row r="547" spans="2:2" x14ac:dyDescent="0.25">
      <c r="B547" s="377"/>
    </row>
    <row r="548" spans="2:2" x14ac:dyDescent="0.25">
      <c r="B548" s="377"/>
    </row>
    <row r="549" spans="2:2" x14ac:dyDescent="0.25">
      <c r="B549" s="377"/>
    </row>
    <row r="550" spans="2:2" x14ac:dyDescent="0.25">
      <c r="B550" s="377"/>
    </row>
    <row r="551" spans="2:2" x14ac:dyDescent="0.25">
      <c r="B551" s="377"/>
    </row>
    <row r="552" spans="2:2" x14ac:dyDescent="0.25">
      <c r="B552" s="377"/>
    </row>
    <row r="553" spans="2:2" x14ac:dyDescent="0.25">
      <c r="B553" s="377"/>
    </row>
    <row r="554" spans="2:2" x14ac:dyDescent="0.25">
      <c r="B554" s="377"/>
    </row>
    <row r="555" spans="2:2" x14ac:dyDescent="0.25">
      <c r="B555" s="377"/>
    </row>
    <row r="556" spans="2:2" x14ac:dyDescent="0.25">
      <c r="B556" s="377"/>
    </row>
    <row r="557" spans="2:2" x14ac:dyDescent="0.25">
      <c r="B557" s="377"/>
    </row>
    <row r="558" spans="2:2" x14ac:dyDescent="0.25">
      <c r="B558" s="377"/>
    </row>
    <row r="559" spans="2:2" x14ac:dyDescent="0.25">
      <c r="B559" s="377"/>
    </row>
    <row r="560" spans="2:2" x14ac:dyDescent="0.25">
      <c r="B560" s="377"/>
    </row>
    <row r="561" spans="2:2" x14ac:dyDescent="0.25">
      <c r="B561" s="377"/>
    </row>
    <row r="562" spans="2:2" x14ac:dyDescent="0.25">
      <c r="B562" s="377"/>
    </row>
    <row r="563" spans="2:2" x14ac:dyDescent="0.25">
      <c r="B563" s="377"/>
    </row>
    <row r="564" spans="2:2" x14ac:dyDescent="0.25">
      <c r="B564" s="377"/>
    </row>
    <row r="565" spans="2:2" x14ac:dyDescent="0.25">
      <c r="B565" s="377"/>
    </row>
    <row r="566" spans="2:2" x14ac:dyDescent="0.25">
      <c r="B566" s="377"/>
    </row>
    <row r="567" spans="2:2" x14ac:dyDescent="0.25">
      <c r="B567" s="377"/>
    </row>
    <row r="568" spans="2:2" x14ac:dyDescent="0.25">
      <c r="B568" s="377"/>
    </row>
    <row r="569" spans="2:2" x14ac:dyDescent="0.25">
      <c r="B569" s="377"/>
    </row>
    <row r="570" spans="2:2" x14ac:dyDescent="0.25">
      <c r="B570" s="377"/>
    </row>
    <row r="571" spans="2:2" x14ac:dyDescent="0.25">
      <c r="B571" s="377"/>
    </row>
    <row r="572" spans="2:2" x14ac:dyDescent="0.25">
      <c r="B572" s="377"/>
    </row>
    <row r="573" spans="2:2" x14ac:dyDescent="0.25">
      <c r="B573" s="377"/>
    </row>
    <row r="574" spans="2:2" x14ac:dyDescent="0.25">
      <c r="B574" s="377"/>
    </row>
    <row r="575" spans="2:2" x14ac:dyDescent="0.25">
      <c r="B575" s="377"/>
    </row>
    <row r="576" spans="2:2" x14ac:dyDescent="0.25">
      <c r="B576" s="377"/>
    </row>
    <row r="577" spans="2:2" x14ac:dyDescent="0.25">
      <c r="B577" s="377"/>
    </row>
    <row r="578" spans="2:2" x14ac:dyDescent="0.25">
      <c r="B578" s="377"/>
    </row>
    <row r="579" spans="2:2" x14ac:dyDescent="0.25">
      <c r="B579" s="377"/>
    </row>
    <row r="580" spans="2:2" x14ac:dyDescent="0.25">
      <c r="B580" s="377"/>
    </row>
    <row r="581" spans="2:2" x14ac:dyDescent="0.25">
      <c r="B581" s="377"/>
    </row>
    <row r="582" spans="2:2" x14ac:dyDescent="0.25">
      <c r="B582" s="377"/>
    </row>
    <row r="583" spans="2:2" x14ac:dyDescent="0.25">
      <c r="B583" s="377"/>
    </row>
    <row r="584" spans="2:2" x14ac:dyDescent="0.25">
      <c r="B584" s="377"/>
    </row>
    <row r="585" spans="2:2" x14ac:dyDescent="0.25">
      <c r="B585" s="377"/>
    </row>
    <row r="586" spans="2:2" x14ac:dyDescent="0.25">
      <c r="B586" s="377"/>
    </row>
    <row r="587" spans="2:2" x14ac:dyDescent="0.25">
      <c r="B587" s="377"/>
    </row>
    <row r="588" spans="2:2" x14ac:dyDescent="0.25">
      <c r="B588" s="377"/>
    </row>
    <row r="589" spans="2:2" x14ac:dyDescent="0.25">
      <c r="B589" s="377"/>
    </row>
    <row r="590" spans="2:2" x14ac:dyDescent="0.25">
      <c r="B590" s="377"/>
    </row>
    <row r="591" spans="2:2" x14ac:dyDescent="0.25">
      <c r="B591" s="377"/>
    </row>
    <row r="592" spans="2:2" x14ac:dyDescent="0.25">
      <c r="B592" s="377"/>
    </row>
    <row r="593" spans="2:2" x14ac:dyDescent="0.25">
      <c r="B593" s="377"/>
    </row>
    <row r="594" spans="2:2" x14ac:dyDescent="0.25">
      <c r="B594" s="377"/>
    </row>
    <row r="595" spans="2:2" x14ac:dyDescent="0.25">
      <c r="B595" s="377"/>
    </row>
    <row r="596" spans="2:2" x14ac:dyDescent="0.25">
      <c r="B596" s="377"/>
    </row>
    <row r="597" spans="2:2" x14ac:dyDescent="0.25">
      <c r="B597" s="377"/>
    </row>
    <row r="598" spans="2:2" x14ac:dyDescent="0.25">
      <c r="B598" s="377"/>
    </row>
    <row r="599" spans="2:2" x14ac:dyDescent="0.25">
      <c r="B599" s="377"/>
    </row>
    <row r="600" spans="2:2" x14ac:dyDescent="0.25">
      <c r="B600" s="377"/>
    </row>
    <row r="601" spans="2:2" x14ac:dyDescent="0.25">
      <c r="B601" s="377"/>
    </row>
    <row r="602" spans="2:2" x14ac:dyDescent="0.25">
      <c r="B602" s="377"/>
    </row>
    <row r="603" spans="2:2" x14ac:dyDescent="0.25">
      <c r="B603" s="377"/>
    </row>
    <row r="604" spans="2:2" x14ac:dyDescent="0.25">
      <c r="B604" s="377"/>
    </row>
    <row r="605" spans="2:2" x14ac:dyDescent="0.25">
      <c r="B605" s="377"/>
    </row>
    <row r="606" spans="2:2" x14ac:dyDescent="0.25">
      <c r="B606" s="377"/>
    </row>
    <row r="607" spans="2:2" x14ac:dyDescent="0.25">
      <c r="B607" s="377"/>
    </row>
    <row r="608" spans="2:2" x14ac:dyDescent="0.25">
      <c r="B608" s="377"/>
    </row>
    <row r="609" spans="2:2" x14ac:dyDescent="0.25">
      <c r="B609" s="377"/>
    </row>
    <row r="610" spans="2:2" x14ac:dyDescent="0.25">
      <c r="B610" s="377"/>
    </row>
    <row r="611" spans="2:2" x14ac:dyDescent="0.25">
      <c r="B611" s="377"/>
    </row>
    <row r="612" spans="2:2" x14ac:dyDescent="0.25">
      <c r="B612" s="377"/>
    </row>
    <row r="613" spans="2:2" x14ac:dyDescent="0.25">
      <c r="B613" s="377"/>
    </row>
    <row r="614" spans="2:2" x14ac:dyDescent="0.25">
      <c r="B614" s="377"/>
    </row>
    <row r="615" spans="2:2" x14ac:dyDescent="0.25">
      <c r="B615" s="377"/>
    </row>
    <row r="616" spans="2:2" x14ac:dyDescent="0.25">
      <c r="B616" s="377"/>
    </row>
    <row r="617" spans="2:2" x14ac:dyDescent="0.25">
      <c r="B617" s="377"/>
    </row>
    <row r="618" spans="2:2" x14ac:dyDescent="0.25">
      <c r="B618" s="377"/>
    </row>
    <row r="619" spans="2:2" x14ac:dyDescent="0.25">
      <c r="B619" s="377"/>
    </row>
    <row r="620" spans="2:2" x14ac:dyDescent="0.25">
      <c r="B620" s="377"/>
    </row>
    <row r="621" spans="2:2" x14ac:dyDescent="0.25">
      <c r="B621" s="377"/>
    </row>
    <row r="622" spans="2:2" x14ac:dyDescent="0.25">
      <c r="B622" s="377"/>
    </row>
    <row r="623" spans="2:2" x14ac:dyDescent="0.25">
      <c r="B623" s="377"/>
    </row>
    <row r="624" spans="2:2" x14ac:dyDescent="0.25">
      <c r="B624" s="377"/>
    </row>
    <row r="625" spans="2:2" x14ac:dyDescent="0.25">
      <c r="B625" s="377"/>
    </row>
    <row r="626" spans="2:2" x14ac:dyDescent="0.25">
      <c r="B626" s="377"/>
    </row>
    <row r="627" spans="2:2" x14ac:dyDescent="0.25">
      <c r="B627" s="377"/>
    </row>
    <row r="628" spans="2:2" x14ac:dyDescent="0.25">
      <c r="B628" s="377"/>
    </row>
    <row r="629" spans="2:2" x14ac:dyDescent="0.25">
      <c r="B629" s="377"/>
    </row>
    <row r="630" spans="2:2" x14ac:dyDescent="0.25">
      <c r="B630" s="377"/>
    </row>
    <row r="631" spans="2:2" x14ac:dyDescent="0.25">
      <c r="B631" s="377"/>
    </row>
    <row r="632" spans="2:2" x14ac:dyDescent="0.25">
      <c r="B632" s="377"/>
    </row>
    <row r="633" spans="2:2" x14ac:dyDescent="0.25">
      <c r="B633" s="377"/>
    </row>
    <row r="634" spans="2:2" x14ac:dyDescent="0.25">
      <c r="B634" s="377"/>
    </row>
    <row r="635" spans="2:2" x14ac:dyDescent="0.25">
      <c r="B635" s="377"/>
    </row>
    <row r="636" spans="2:2" x14ac:dyDescent="0.25">
      <c r="B636" s="377"/>
    </row>
    <row r="637" spans="2:2" x14ac:dyDescent="0.25">
      <c r="B637" s="377"/>
    </row>
    <row r="638" spans="2:2" x14ac:dyDescent="0.25">
      <c r="B638" s="377"/>
    </row>
    <row r="639" spans="2:2" x14ac:dyDescent="0.25">
      <c r="B639" s="377"/>
    </row>
    <row r="640" spans="2:2" x14ac:dyDescent="0.25">
      <c r="B640" s="377"/>
    </row>
    <row r="641" spans="2:2" x14ac:dyDescent="0.25">
      <c r="B641" s="377"/>
    </row>
    <row r="642" spans="2:2" x14ac:dyDescent="0.25">
      <c r="B642" s="377"/>
    </row>
    <row r="643" spans="2:2" x14ac:dyDescent="0.25">
      <c r="B643" s="377"/>
    </row>
    <row r="644" spans="2:2" x14ac:dyDescent="0.25">
      <c r="B644" s="377"/>
    </row>
    <row r="645" spans="2:2" x14ac:dyDescent="0.25">
      <c r="B645" s="377"/>
    </row>
    <row r="646" spans="2:2" x14ac:dyDescent="0.25">
      <c r="B646" s="377"/>
    </row>
    <row r="647" spans="2:2" x14ac:dyDescent="0.25">
      <c r="B647" s="377"/>
    </row>
    <row r="648" spans="2:2" x14ac:dyDescent="0.25">
      <c r="B648" s="377"/>
    </row>
    <row r="649" spans="2:2" x14ac:dyDescent="0.25">
      <c r="B649" s="377"/>
    </row>
    <row r="650" spans="2:2" x14ac:dyDescent="0.25">
      <c r="B650" s="377"/>
    </row>
    <row r="651" spans="2:2" x14ac:dyDescent="0.25">
      <c r="B651" s="377"/>
    </row>
    <row r="652" spans="2:2" x14ac:dyDescent="0.25">
      <c r="B652" s="377"/>
    </row>
    <row r="653" spans="2:2" x14ac:dyDescent="0.25">
      <c r="B653" s="377"/>
    </row>
    <row r="654" spans="2:2" x14ac:dyDescent="0.25">
      <c r="B654" s="377"/>
    </row>
    <row r="655" spans="2:2" x14ac:dyDescent="0.25">
      <c r="B655" s="377"/>
    </row>
    <row r="656" spans="2:2" x14ac:dyDescent="0.25">
      <c r="B656" s="377"/>
    </row>
    <row r="657" spans="2:2" x14ac:dyDescent="0.25">
      <c r="B657" s="377"/>
    </row>
    <row r="658" spans="2:2" x14ac:dyDescent="0.25">
      <c r="B658" s="377"/>
    </row>
    <row r="659" spans="2:2" x14ac:dyDescent="0.25">
      <c r="B659" s="377"/>
    </row>
    <row r="660" spans="2:2" x14ac:dyDescent="0.25">
      <c r="B660" s="377"/>
    </row>
    <row r="661" spans="2:2" x14ac:dyDescent="0.25">
      <c r="B661" s="377"/>
    </row>
    <row r="662" spans="2:2" x14ac:dyDescent="0.25">
      <c r="B662" s="377"/>
    </row>
    <row r="663" spans="2:2" x14ac:dyDescent="0.25">
      <c r="B663" s="377"/>
    </row>
    <row r="664" spans="2:2" x14ac:dyDescent="0.25">
      <c r="B664" s="377"/>
    </row>
    <row r="665" spans="2:2" x14ac:dyDescent="0.25">
      <c r="B665" s="377"/>
    </row>
    <row r="666" spans="2:2" x14ac:dyDescent="0.25">
      <c r="B666" s="377"/>
    </row>
    <row r="667" spans="2:2" x14ac:dyDescent="0.25">
      <c r="B667" s="377"/>
    </row>
    <row r="668" spans="2:2" x14ac:dyDescent="0.25">
      <c r="B668" s="377"/>
    </row>
    <row r="669" spans="2:2" x14ac:dyDescent="0.25">
      <c r="B669" s="377"/>
    </row>
    <row r="670" spans="2:2" x14ac:dyDescent="0.25">
      <c r="B670" s="377"/>
    </row>
    <row r="671" spans="2:2" x14ac:dyDescent="0.25">
      <c r="B671" s="377"/>
    </row>
    <row r="672" spans="2:2" x14ac:dyDescent="0.25">
      <c r="B672" s="377"/>
    </row>
    <row r="673" spans="2:2" x14ac:dyDescent="0.25">
      <c r="B673" s="377"/>
    </row>
    <row r="674" spans="2:2" x14ac:dyDescent="0.25">
      <c r="B674" s="377"/>
    </row>
    <row r="675" spans="2:2" x14ac:dyDescent="0.25">
      <c r="B675" s="377"/>
    </row>
    <row r="676" spans="2:2" x14ac:dyDescent="0.25">
      <c r="B676" s="377"/>
    </row>
    <row r="677" spans="2:2" x14ac:dyDescent="0.25">
      <c r="B677" s="377"/>
    </row>
    <row r="678" spans="2:2" x14ac:dyDescent="0.25">
      <c r="B678" s="377"/>
    </row>
    <row r="679" spans="2:2" x14ac:dyDescent="0.25">
      <c r="B679" s="377"/>
    </row>
    <row r="680" spans="2:2" x14ac:dyDescent="0.25">
      <c r="B680" s="377"/>
    </row>
    <row r="681" spans="2:2" x14ac:dyDescent="0.25">
      <c r="B681" s="377"/>
    </row>
    <row r="682" spans="2:2" x14ac:dyDescent="0.25">
      <c r="B682" s="377"/>
    </row>
    <row r="683" spans="2:2" x14ac:dyDescent="0.25">
      <c r="B683" s="377"/>
    </row>
    <row r="684" spans="2:2" x14ac:dyDescent="0.25">
      <c r="B684" s="377"/>
    </row>
    <row r="685" spans="2:2" x14ac:dyDescent="0.25">
      <c r="B685" s="377"/>
    </row>
    <row r="686" spans="2:2" x14ac:dyDescent="0.25">
      <c r="B686" s="377"/>
    </row>
    <row r="687" spans="2:2" x14ac:dyDescent="0.25">
      <c r="B687" s="377"/>
    </row>
    <row r="688" spans="2:2" x14ac:dyDescent="0.25">
      <c r="B688" s="377"/>
    </row>
    <row r="689" spans="2:2" x14ac:dyDescent="0.25">
      <c r="B689" s="377"/>
    </row>
    <row r="690" spans="2:2" x14ac:dyDescent="0.25">
      <c r="B690" s="377"/>
    </row>
    <row r="691" spans="2:2" x14ac:dyDescent="0.25">
      <c r="B691" s="377"/>
    </row>
    <row r="692" spans="2:2" x14ac:dyDescent="0.25">
      <c r="B692" s="377"/>
    </row>
    <row r="693" spans="2:2" x14ac:dyDescent="0.25">
      <c r="B693" s="377"/>
    </row>
    <row r="694" spans="2:2" x14ac:dyDescent="0.25">
      <c r="B694" s="377"/>
    </row>
    <row r="695" spans="2:2" x14ac:dyDescent="0.25">
      <c r="B695" s="377"/>
    </row>
    <row r="696" spans="2:2" x14ac:dyDescent="0.25">
      <c r="B696" s="377"/>
    </row>
    <row r="697" spans="2:2" x14ac:dyDescent="0.25">
      <c r="B697" s="377"/>
    </row>
    <row r="698" spans="2:2" x14ac:dyDescent="0.25">
      <c r="B698" s="377"/>
    </row>
    <row r="699" spans="2:2" x14ac:dyDescent="0.25">
      <c r="B699" s="377"/>
    </row>
    <row r="700" spans="2:2" x14ac:dyDescent="0.25">
      <c r="B700" s="377"/>
    </row>
    <row r="701" spans="2:2" x14ac:dyDescent="0.25">
      <c r="B701" s="377"/>
    </row>
    <row r="702" spans="2:2" x14ac:dyDescent="0.25">
      <c r="B702" s="377"/>
    </row>
    <row r="703" spans="2:2" x14ac:dyDescent="0.25">
      <c r="B703" s="377"/>
    </row>
    <row r="704" spans="2:2" x14ac:dyDescent="0.25">
      <c r="B704" s="377"/>
    </row>
    <row r="705" spans="2:2" x14ac:dyDescent="0.25">
      <c r="B705" s="377"/>
    </row>
    <row r="706" spans="2:2" x14ac:dyDescent="0.25">
      <c r="B706" s="377"/>
    </row>
    <row r="707" spans="2:2" x14ac:dyDescent="0.25">
      <c r="B707" s="377"/>
    </row>
    <row r="708" spans="2:2" x14ac:dyDescent="0.25">
      <c r="B708" s="377"/>
    </row>
    <row r="709" spans="2:2" x14ac:dyDescent="0.25">
      <c r="B709" s="377"/>
    </row>
    <row r="710" spans="2:2" x14ac:dyDescent="0.25">
      <c r="B710" s="377"/>
    </row>
    <row r="711" spans="2:2" x14ac:dyDescent="0.25">
      <c r="B711" s="377"/>
    </row>
    <row r="712" spans="2:2" x14ac:dyDescent="0.25">
      <c r="B712" s="377"/>
    </row>
    <row r="713" spans="2:2" x14ac:dyDescent="0.25">
      <c r="B713" s="377"/>
    </row>
    <row r="714" spans="2:2" x14ac:dyDescent="0.25">
      <c r="B714" s="377"/>
    </row>
    <row r="715" spans="2:2" x14ac:dyDescent="0.25">
      <c r="B715" s="377"/>
    </row>
    <row r="716" spans="2:2" x14ac:dyDescent="0.25">
      <c r="B716" s="377"/>
    </row>
    <row r="717" spans="2:2" x14ac:dyDescent="0.25">
      <c r="B717" s="377"/>
    </row>
    <row r="718" spans="2:2" x14ac:dyDescent="0.25">
      <c r="B718" s="377"/>
    </row>
    <row r="719" spans="2:2" x14ac:dyDescent="0.25">
      <c r="B719" s="377"/>
    </row>
    <row r="720" spans="2:2" x14ac:dyDescent="0.25">
      <c r="B720" s="377"/>
    </row>
    <row r="721" spans="2:2" x14ac:dyDescent="0.25">
      <c r="B721" s="377"/>
    </row>
    <row r="722" spans="2:2" x14ac:dyDescent="0.25">
      <c r="B722" s="377"/>
    </row>
    <row r="723" spans="2:2" x14ac:dyDescent="0.25">
      <c r="B723" s="377"/>
    </row>
    <row r="724" spans="2:2" x14ac:dyDescent="0.25">
      <c r="B724" s="377"/>
    </row>
    <row r="725" spans="2:2" x14ac:dyDescent="0.25">
      <c r="B725" s="377"/>
    </row>
    <row r="726" spans="2:2" x14ac:dyDescent="0.25">
      <c r="B726" s="377"/>
    </row>
    <row r="727" spans="2:2" x14ac:dyDescent="0.25">
      <c r="B727" s="377"/>
    </row>
    <row r="728" spans="2:2" x14ac:dyDescent="0.25">
      <c r="B728" s="377"/>
    </row>
    <row r="729" spans="2:2" x14ac:dyDescent="0.25">
      <c r="B729" s="377"/>
    </row>
    <row r="730" spans="2:2" x14ac:dyDescent="0.25">
      <c r="B730" s="377"/>
    </row>
    <row r="731" spans="2:2" x14ac:dyDescent="0.25">
      <c r="B731" s="377"/>
    </row>
    <row r="732" spans="2:2" x14ac:dyDescent="0.25">
      <c r="B732" s="377"/>
    </row>
    <row r="733" spans="2:2" x14ac:dyDescent="0.25">
      <c r="B733" s="377"/>
    </row>
    <row r="734" spans="2:2" x14ac:dyDescent="0.25">
      <c r="B734" s="377"/>
    </row>
    <row r="735" spans="2:2" x14ac:dyDescent="0.25">
      <c r="B735" s="377"/>
    </row>
    <row r="736" spans="2:2" x14ac:dyDescent="0.25">
      <c r="B736" s="377"/>
    </row>
    <row r="737" spans="2:2" x14ac:dyDescent="0.25">
      <c r="B737" s="377"/>
    </row>
    <row r="738" spans="2:2" x14ac:dyDescent="0.25">
      <c r="B738" s="377"/>
    </row>
    <row r="739" spans="2:2" x14ac:dyDescent="0.25">
      <c r="B739" s="377"/>
    </row>
    <row r="740" spans="2:2" x14ac:dyDescent="0.25">
      <c r="B740" s="377"/>
    </row>
    <row r="741" spans="2:2" x14ac:dyDescent="0.25">
      <c r="B741" s="377"/>
    </row>
    <row r="742" spans="2:2" x14ac:dyDescent="0.25">
      <c r="B742" s="377"/>
    </row>
    <row r="743" spans="2:2" x14ac:dyDescent="0.25">
      <c r="B743" s="377"/>
    </row>
    <row r="744" spans="2:2" x14ac:dyDescent="0.25">
      <c r="B744" s="377"/>
    </row>
    <row r="745" spans="2:2" x14ac:dyDescent="0.25">
      <c r="B745" s="377"/>
    </row>
    <row r="746" spans="2:2" x14ac:dyDescent="0.25">
      <c r="B746" s="377"/>
    </row>
    <row r="747" spans="2:2" x14ac:dyDescent="0.25">
      <c r="B747" s="377"/>
    </row>
    <row r="748" spans="2:2" x14ac:dyDescent="0.25">
      <c r="B748" s="377"/>
    </row>
    <row r="749" spans="2:2" x14ac:dyDescent="0.25">
      <c r="B749" s="377"/>
    </row>
    <row r="750" spans="2:2" x14ac:dyDescent="0.25">
      <c r="B750" s="377"/>
    </row>
  </sheetData>
  <autoFilter ref="A7:B7" xr:uid="{00000000-0009-0000-0000-000005000000}"/>
  <conditionalFormatting sqref="A8:D53 A55:D330">
    <cfRule type="expression" dxfId="19" priority="3">
      <formula>$A8&lt;&gt;$A7</formula>
    </cfRule>
    <cfRule type="expression" dxfId="18" priority="4">
      <formula>$A7=$A8</formula>
    </cfRule>
  </conditionalFormatting>
  <conditionalFormatting sqref="B3">
    <cfRule type="expression" dxfId="17" priority="1">
      <formula>$A3&lt;&gt;$A2</formula>
    </cfRule>
    <cfRule type="expression" dxfId="16" priority="2">
      <formula>$A2=$A3</formula>
    </cfRule>
  </conditionalFormatting>
  <conditionalFormatting sqref="A54:D54">
    <cfRule type="expression" dxfId="15" priority="5">
      <formula>$A54&lt;&gt;#REF!</formula>
    </cfRule>
    <cfRule type="expression" dxfId="14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805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356</v>
      </c>
    </row>
    <row r="4" spans="1:17" x14ac:dyDescent="0.25">
      <c r="A4" s="138" t="s">
        <v>250</v>
      </c>
      <c r="C4" s="138" t="s">
        <v>796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357</v>
      </c>
    </row>
    <row r="7" spans="1:17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17" x14ac:dyDescent="0.25">
      <c r="A8" s="138" t="s">
        <v>250</v>
      </c>
      <c r="B8" s="141"/>
      <c r="C8" s="144">
        <v>42194</v>
      </c>
      <c r="D8" s="145" t="s">
        <v>410</v>
      </c>
      <c r="F8" s="138" t="s">
        <v>797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806</v>
      </c>
    </row>
    <row r="12" spans="1:17" x14ac:dyDescent="0.25">
      <c r="A12" s="138" t="s">
        <v>250</v>
      </c>
      <c r="C12" s="138" t="s">
        <v>807</v>
      </c>
    </row>
    <row r="13" spans="1:17" x14ac:dyDescent="0.25">
      <c r="A13" s="138" t="s">
        <v>250</v>
      </c>
      <c r="C13" s="138" t="s">
        <v>808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272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926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365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435</v>
      </c>
      <c r="D23" s="149" t="s">
        <v>784</v>
      </c>
      <c r="E23" s="189" t="s">
        <v>250</v>
      </c>
      <c r="F23" s="138" t="s">
        <v>794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904</v>
      </c>
      <c r="D24" s="116" t="s">
        <v>789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798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666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667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809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810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811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812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813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814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815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816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817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922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818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528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819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820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821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822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923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823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824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825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826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827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828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829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830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831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832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833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834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835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836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837</v>
      </c>
      <c r="D59" s="189" t="s">
        <v>924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838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839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840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1042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841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842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843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844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845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846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847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848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849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850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851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852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853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854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855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856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857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858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859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860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861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862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863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864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865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866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867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868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869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870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871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872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873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874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875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876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877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878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879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880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881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882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883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884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885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886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887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888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889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890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891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892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893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894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895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896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897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898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899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900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901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902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903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13" priority="1">
      <formula>D26="Addl. Criteria"</formula>
    </cfRule>
    <cfRule type="expression" dxfId="12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412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413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414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415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417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418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419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905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413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414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415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907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0.4</v>
      </c>
      <c r="E27" s="170">
        <v>0.4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0.3</v>
      </c>
      <c r="E28" s="170">
        <v>0.3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415</v>
      </c>
      <c r="D29" s="170">
        <v>0.2</v>
      </c>
      <c r="E29" s="170">
        <v>0.2</v>
      </c>
      <c r="F29" s="189">
        <v>1</v>
      </c>
      <c r="G29" s="189">
        <v>1</v>
      </c>
      <c r="H29" s="189">
        <v>1</v>
      </c>
      <c r="I29" s="362">
        <v>1</v>
      </c>
      <c r="J29" s="189">
        <v>0</v>
      </c>
      <c r="K29" s="189">
        <v>0</v>
      </c>
      <c r="L29" s="189">
        <v>1</v>
      </c>
      <c r="M29" s="189">
        <v>1</v>
      </c>
      <c r="N29" s="189">
        <v>1</v>
      </c>
      <c r="O29" s="138">
        <v>0</v>
      </c>
    </row>
    <row r="30" spans="1:15" x14ac:dyDescent="0.25">
      <c r="A30" s="52"/>
      <c r="B30" s="52"/>
      <c r="C30" s="52" t="s">
        <v>907</v>
      </c>
      <c r="D30" s="170">
        <v>0.05</v>
      </c>
      <c r="E30" s="170">
        <v>0.1</v>
      </c>
      <c r="F30" s="189">
        <v>0</v>
      </c>
      <c r="G30" s="189">
        <v>0</v>
      </c>
      <c r="H30" s="189">
        <v>0</v>
      </c>
      <c r="I30" s="189">
        <v>0</v>
      </c>
      <c r="J30" s="362">
        <v>1</v>
      </c>
      <c r="K30" s="189">
        <v>0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B31" s="52"/>
      <c r="C31" s="52" t="s">
        <v>418</v>
      </c>
      <c r="D31" s="170">
        <v>0.05</v>
      </c>
      <c r="E31" s="170">
        <v>0.05</v>
      </c>
      <c r="F31" s="189">
        <v>0</v>
      </c>
      <c r="G31" s="189">
        <v>0</v>
      </c>
      <c r="H31" s="189">
        <v>0</v>
      </c>
      <c r="I31" s="189">
        <v>0</v>
      </c>
      <c r="J31" s="189">
        <v>0</v>
      </c>
      <c r="K31" s="362">
        <v>1</v>
      </c>
      <c r="L31" s="189">
        <v>0</v>
      </c>
      <c r="M31" s="189">
        <v>0</v>
      </c>
      <c r="N31" s="189">
        <v>0</v>
      </c>
      <c r="O31" s="138">
        <v>0</v>
      </c>
    </row>
    <row r="32" spans="1:15" x14ac:dyDescent="0.25">
      <c r="A32" s="52"/>
      <c r="C32" s="268" t="s">
        <v>999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362">
        <v>1</v>
      </c>
      <c r="M32" s="189">
        <v>1</v>
      </c>
      <c r="N32" s="189">
        <v>0</v>
      </c>
      <c r="O32" s="138">
        <v>0</v>
      </c>
    </row>
    <row r="33" spans="1:15" x14ac:dyDescent="0.25">
      <c r="A33" s="325"/>
      <c r="B33" s="52"/>
      <c r="C33" s="268" t="s">
        <v>1000</v>
      </c>
      <c r="D33" s="347">
        <v>0.05</v>
      </c>
      <c r="E33" s="347">
        <v>0.05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1</v>
      </c>
      <c r="M33" s="362">
        <v>1</v>
      </c>
      <c r="N33" s="189">
        <v>1</v>
      </c>
      <c r="O33" s="138">
        <v>0</v>
      </c>
    </row>
    <row r="34" spans="1:15" x14ac:dyDescent="0.25">
      <c r="C34" s="268" t="s">
        <v>1001</v>
      </c>
      <c r="D34" s="347">
        <v>0.1</v>
      </c>
      <c r="E34" s="347">
        <v>0.1</v>
      </c>
      <c r="F34" s="189">
        <v>0</v>
      </c>
      <c r="G34" s="189">
        <v>1</v>
      </c>
      <c r="H34" s="189">
        <v>1</v>
      </c>
      <c r="I34" s="189">
        <v>1</v>
      </c>
      <c r="J34" s="189">
        <v>0</v>
      </c>
      <c r="K34" s="189">
        <v>0</v>
      </c>
      <c r="L34" s="189">
        <v>0</v>
      </c>
      <c r="M34" s="189">
        <v>1</v>
      </c>
      <c r="N34" s="363">
        <v>1</v>
      </c>
      <c r="O34" s="138">
        <v>0</v>
      </c>
    </row>
    <row r="35" spans="1:15" x14ac:dyDescent="0.25">
      <c r="C35" s="26" t="s">
        <v>348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</row>
    <row r="36" spans="1:15" x14ac:dyDescent="0.25">
      <c r="B36" s="52" t="s">
        <v>245</v>
      </c>
    </row>
  </sheetData>
  <conditionalFormatting sqref="F26:N34">
    <cfRule type="expression" dxfId="11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0.3</v>
      </c>
      <c r="E27" s="170">
        <v>0.3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0.2</v>
      </c>
      <c r="E28" s="170">
        <v>0.2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907</v>
      </c>
      <c r="D29" s="170">
        <v>0.05</v>
      </c>
      <c r="E29" s="170">
        <v>0.1</v>
      </c>
      <c r="F29" s="189">
        <v>0</v>
      </c>
      <c r="G29" s="189">
        <v>0</v>
      </c>
      <c r="H29" s="189">
        <v>0</v>
      </c>
      <c r="I29" s="189">
        <v>0</v>
      </c>
      <c r="J29" s="362">
        <v>1</v>
      </c>
      <c r="K29" s="189">
        <v>0</v>
      </c>
      <c r="L29" s="189">
        <v>0</v>
      </c>
      <c r="M29" s="189">
        <v>0</v>
      </c>
      <c r="N29" s="189">
        <v>0</v>
      </c>
      <c r="O29" s="138">
        <v>0</v>
      </c>
    </row>
    <row r="30" spans="1:15" x14ac:dyDescent="0.25">
      <c r="A30" s="52"/>
      <c r="B30" s="52"/>
      <c r="C30" s="52" t="s">
        <v>418</v>
      </c>
      <c r="D30" s="170">
        <v>0.05</v>
      </c>
      <c r="E30" s="170">
        <v>0.05</v>
      </c>
      <c r="F30" s="189">
        <v>0</v>
      </c>
      <c r="G30" s="189">
        <v>0</v>
      </c>
      <c r="H30" s="189">
        <v>0</v>
      </c>
      <c r="I30" s="189">
        <v>0</v>
      </c>
      <c r="J30" s="189">
        <v>0</v>
      </c>
      <c r="K30" s="362">
        <v>1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C31" s="268" t="s">
        <v>999</v>
      </c>
      <c r="D31" s="347">
        <v>0.05</v>
      </c>
      <c r="E31" s="347">
        <v>0.05</v>
      </c>
      <c r="F31" s="189">
        <v>0</v>
      </c>
      <c r="G31" s="189">
        <v>1</v>
      </c>
      <c r="H31" s="189">
        <v>1</v>
      </c>
      <c r="I31" s="189">
        <v>1</v>
      </c>
      <c r="J31" s="189">
        <v>0</v>
      </c>
      <c r="K31" s="189">
        <v>0</v>
      </c>
      <c r="L31" s="362">
        <v>1</v>
      </c>
      <c r="M31" s="189">
        <v>1</v>
      </c>
      <c r="N31" s="189">
        <v>0</v>
      </c>
      <c r="O31" s="138">
        <v>0</v>
      </c>
    </row>
    <row r="32" spans="1:15" x14ac:dyDescent="0.25">
      <c r="A32" s="325"/>
      <c r="B32" s="52"/>
      <c r="C32" s="268" t="s">
        <v>1000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189">
        <v>1</v>
      </c>
      <c r="M32" s="362">
        <v>1</v>
      </c>
      <c r="N32" s="189">
        <v>1</v>
      </c>
      <c r="O32" s="138">
        <v>0</v>
      </c>
    </row>
    <row r="33" spans="2:15" x14ac:dyDescent="0.25">
      <c r="C33" s="268" t="s">
        <v>1001</v>
      </c>
      <c r="D33" s="347">
        <v>0.1</v>
      </c>
      <c r="E33" s="347">
        <v>0.1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0</v>
      </c>
      <c r="M33" s="189">
        <v>1</v>
      </c>
      <c r="N33" s="363">
        <v>1</v>
      </c>
      <c r="O33" s="138">
        <v>0</v>
      </c>
    </row>
    <row r="34" spans="2:15" x14ac:dyDescent="0.25">
      <c r="C34" s="26" t="s">
        <v>348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</row>
    <row r="35" spans="2:15" x14ac:dyDescent="0.25">
      <c r="B35" s="52" t="s">
        <v>245</v>
      </c>
    </row>
  </sheetData>
  <conditionalFormatting sqref="F26:N33">
    <cfRule type="expression" dxfId="1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56"/>
      <c r="K23" s="56"/>
      <c r="L23" s="56"/>
    </row>
    <row r="24" spans="1:12" x14ac:dyDescent="0.25">
      <c r="A24" s="52"/>
      <c r="B24" s="148"/>
      <c r="C24" s="148" t="s">
        <v>786</v>
      </c>
      <c r="D24" s="324" t="s">
        <v>787</v>
      </c>
      <c r="E24" s="56" t="s">
        <v>774</v>
      </c>
      <c r="F24" s="56" t="s">
        <v>250</v>
      </c>
      <c r="G24" s="56" t="s">
        <v>919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788</v>
      </c>
      <c r="D25" s="170">
        <v>0.1</v>
      </c>
      <c r="E25" s="57">
        <v>0</v>
      </c>
      <c r="F25" s="56" t="s">
        <v>250</v>
      </c>
      <c r="G25" s="58" t="s">
        <v>920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789</v>
      </c>
      <c r="D26" s="170">
        <v>0.15</v>
      </c>
      <c r="E26" s="344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790</v>
      </c>
      <c r="D27" s="170">
        <v>0.15</v>
      </c>
      <c r="E27" s="57">
        <v>0.1</v>
      </c>
      <c r="F27" s="56" t="s">
        <v>250</v>
      </c>
      <c r="G27" s="58" t="s">
        <v>921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95"/>
  <sheetViews>
    <sheetView topLeftCell="A5" workbookViewId="0">
      <selection activeCell="E48" sqref="E48"/>
    </sheetView>
  </sheetViews>
  <sheetFormatPr defaultColWidth="9.140625"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444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41250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>
        <v>42160</v>
      </c>
      <c r="D9" s="33" t="s">
        <v>410</v>
      </c>
      <c r="E9" s="39" t="s">
        <v>795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422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272</v>
      </c>
    </row>
    <row r="18" spans="1:12" x14ac:dyDescent="0.25">
      <c r="A18" s="39" t="s">
        <v>250</v>
      </c>
      <c r="C18" s="39" t="s">
        <v>423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7" t="s">
        <v>433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428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429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430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431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424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425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426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432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917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356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443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357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266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434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272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365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435</v>
      </c>
      <c r="D23" t="s">
        <v>671</v>
      </c>
      <c r="E23" s="17" t="s">
        <v>436</v>
      </c>
      <c r="F23" s="56" t="s">
        <v>437</v>
      </c>
      <c r="G23" s="39" t="s">
        <v>438</v>
      </c>
      <c r="H23" s="39" t="s">
        <v>916</v>
      </c>
    </row>
    <row r="24" spans="1:12" x14ac:dyDescent="0.25">
      <c r="C24" s="39" t="s">
        <v>442</v>
      </c>
      <c r="D24" t="s">
        <v>632</v>
      </c>
      <c r="E24" s="39" t="s">
        <v>439</v>
      </c>
      <c r="F24" s="39" t="s">
        <v>440</v>
      </c>
      <c r="G24" s="39" t="s">
        <v>441</v>
      </c>
      <c r="H24" s="39" t="s">
        <v>441</v>
      </c>
      <c r="K24" t="s">
        <v>670</v>
      </c>
    </row>
    <row r="25" spans="1:12" x14ac:dyDescent="0.25">
      <c r="A25" s="39"/>
      <c r="B25" s="39"/>
      <c r="C25" s="39" t="s">
        <v>525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526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542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633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634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635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636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637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638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639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640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641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642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643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932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644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645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646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5" t="s">
        <v>933</v>
      </c>
      <c r="D58" s="345">
        <v>0</v>
      </c>
      <c r="E58" s="345">
        <v>-999</v>
      </c>
      <c r="F58" s="345">
        <v>-999</v>
      </c>
      <c r="G58" s="345">
        <v>-999</v>
      </c>
      <c r="H58" s="345">
        <v>-999</v>
      </c>
      <c r="I58" s="345"/>
      <c r="J58" s="345"/>
      <c r="K58" s="345" t="s">
        <v>250</v>
      </c>
      <c r="L58" s="345">
        <v>21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648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649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650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651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652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653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654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655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656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657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658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659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5" t="s">
        <v>934</v>
      </c>
      <c r="D72" s="345">
        <v>0</v>
      </c>
      <c r="E72" s="345">
        <v>-999</v>
      </c>
      <c r="F72" s="345">
        <v>-999</v>
      </c>
      <c r="G72" s="345">
        <v>-999</v>
      </c>
      <c r="H72" s="345">
        <v>-999</v>
      </c>
      <c r="I72" s="345"/>
      <c r="J72" s="345"/>
      <c r="K72" s="345" t="s">
        <v>250</v>
      </c>
      <c r="L72" s="345">
        <v>40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661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662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663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664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665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5" t="s">
        <v>935</v>
      </c>
      <c r="D79" s="345">
        <v>0</v>
      </c>
      <c r="E79" s="345">
        <v>-999</v>
      </c>
      <c r="F79" s="345">
        <v>-999</v>
      </c>
      <c r="G79" s="345">
        <v>-999</v>
      </c>
      <c r="H79" s="345">
        <v>-999</v>
      </c>
      <c r="I79" s="345"/>
      <c r="J79" s="345"/>
      <c r="K79" s="345" t="s">
        <v>250</v>
      </c>
      <c r="L79" s="345">
        <v>49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667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668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669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526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914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915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542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633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634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635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636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637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638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639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640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641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642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643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644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645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646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5" t="s">
        <v>933</v>
      </c>
      <c r="D60" s="345">
        <v>0</v>
      </c>
      <c r="E60" s="345">
        <v>-999</v>
      </c>
      <c r="F60" s="345">
        <v>-999</v>
      </c>
      <c r="G60" s="345">
        <v>-999</v>
      </c>
      <c r="H60" s="345">
        <v>-999</v>
      </c>
      <c r="I60" s="345"/>
      <c r="J60" s="345"/>
      <c r="K60" s="345" t="s">
        <v>250</v>
      </c>
      <c r="L60" s="345">
        <v>21</v>
      </c>
    </row>
    <row r="61" spans="3:12" x14ac:dyDescent="0.25">
      <c r="C61" s="138" t="s">
        <v>647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648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649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650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651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652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653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655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656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657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658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659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5" t="s">
        <v>934</v>
      </c>
      <c r="D74" s="345">
        <v>0</v>
      </c>
      <c r="E74" s="345">
        <v>-999</v>
      </c>
      <c r="F74" s="345">
        <v>-999</v>
      </c>
      <c r="G74" s="345">
        <v>-999</v>
      </c>
      <c r="H74" s="345">
        <v>-999</v>
      </c>
      <c r="I74" s="345"/>
      <c r="J74" s="345"/>
      <c r="K74" s="345" t="s">
        <v>250</v>
      </c>
      <c r="L74" s="345">
        <v>40</v>
      </c>
    </row>
    <row r="75" spans="3:12" x14ac:dyDescent="0.25">
      <c r="C75" s="138" t="s">
        <v>660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661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662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663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664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665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5" t="s">
        <v>935</v>
      </c>
      <c r="D81" s="345">
        <v>0</v>
      </c>
      <c r="E81" s="345">
        <v>-999</v>
      </c>
      <c r="F81" s="345">
        <v>-999</v>
      </c>
      <c r="G81" s="345">
        <v>-999</v>
      </c>
      <c r="H81" s="345">
        <v>-999</v>
      </c>
      <c r="I81" s="345"/>
      <c r="J81" s="345"/>
      <c r="K81" s="345" t="s">
        <v>250</v>
      </c>
      <c r="L81" s="345">
        <v>49</v>
      </c>
    </row>
    <row r="82" spans="2:12" x14ac:dyDescent="0.25">
      <c r="C82" s="138" t="s">
        <v>666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667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668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1034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43082</v>
      </c>
      <c r="D9" s="145" t="s">
        <v>410</v>
      </c>
      <c r="E9" s="138" t="s">
        <v>982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138">
        <v>300</v>
      </c>
      <c r="F25" s="138">
        <v>3</v>
      </c>
      <c r="G25" s="138">
        <v>0.2</v>
      </c>
      <c r="H25" s="138">
        <v>0.4</v>
      </c>
      <c r="K25" s="138" t="s">
        <v>250</v>
      </c>
      <c r="L25" s="138">
        <v>203</v>
      </c>
    </row>
    <row r="26" spans="1:12" x14ac:dyDescent="0.25">
      <c r="C26" s="138" t="s">
        <v>944</v>
      </c>
      <c r="D26" s="138">
        <v>1</v>
      </c>
      <c r="E26" s="138">
        <v>300</v>
      </c>
      <c r="F26" s="138">
        <v>2</v>
      </c>
      <c r="G26" s="138">
        <v>0.35</v>
      </c>
      <c r="H26" s="138">
        <v>0.4</v>
      </c>
      <c r="K26" s="138" t="s">
        <v>250</v>
      </c>
      <c r="L26" s="138">
        <v>213</v>
      </c>
    </row>
    <row r="27" spans="1:12" x14ac:dyDescent="0.25">
      <c r="C27" s="138" t="s">
        <v>946</v>
      </c>
      <c r="D27" s="138">
        <v>1</v>
      </c>
      <c r="E27" s="138">
        <v>200</v>
      </c>
      <c r="F27" s="138">
        <v>1.25</v>
      </c>
      <c r="G27" s="138">
        <v>0.5</v>
      </c>
      <c r="H27" s="138">
        <v>0.4</v>
      </c>
      <c r="K27" s="138" t="s">
        <v>250</v>
      </c>
      <c r="L27" s="138">
        <v>216</v>
      </c>
    </row>
    <row r="28" spans="1:12" x14ac:dyDescent="0.25">
      <c r="C28" s="138" t="s">
        <v>947</v>
      </c>
      <c r="D28" s="138">
        <v>1</v>
      </c>
      <c r="E28" s="138">
        <v>200</v>
      </c>
      <c r="F28" s="138">
        <v>1.25</v>
      </c>
      <c r="G28" s="138">
        <v>0.5</v>
      </c>
      <c r="H28" s="138">
        <v>0.4</v>
      </c>
      <c r="K28" s="138" t="s">
        <v>250</v>
      </c>
      <c r="L28" s="138">
        <v>217</v>
      </c>
    </row>
    <row r="29" spans="1:12" x14ac:dyDescent="0.25">
      <c r="C29" s="138" t="s">
        <v>948</v>
      </c>
      <c r="D29" s="138">
        <v>1</v>
      </c>
      <c r="E29" s="138">
        <v>200</v>
      </c>
      <c r="F29" s="138">
        <v>1.25</v>
      </c>
      <c r="G29" s="138">
        <v>0.5</v>
      </c>
      <c r="H29" s="138">
        <v>0.4</v>
      </c>
      <c r="K29" s="138" t="s">
        <v>250</v>
      </c>
      <c r="L29" s="138">
        <v>218</v>
      </c>
    </row>
    <row r="30" spans="1:12" x14ac:dyDescent="0.25">
      <c r="C30" s="138" t="s">
        <v>532</v>
      </c>
      <c r="D30" s="138">
        <v>1</v>
      </c>
      <c r="E30" s="138">
        <v>400</v>
      </c>
      <c r="F30" s="138">
        <v>1.8</v>
      </c>
      <c r="G30" s="138">
        <v>0.12</v>
      </c>
      <c r="H30" s="138">
        <v>0.4</v>
      </c>
      <c r="K30" s="138" t="s">
        <v>250</v>
      </c>
      <c r="L30" s="138">
        <v>227</v>
      </c>
    </row>
    <row r="31" spans="1:12" x14ac:dyDescent="0.25">
      <c r="C31" s="222" t="s">
        <v>959</v>
      </c>
      <c r="D31" s="222">
        <v>1</v>
      </c>
      <c r="E31" s="138">
        <v>200</v>
      </c>
      <c r="F31" s="138">
        <v>3.5</v>
      </c>
      <c r="G31" s="138">
        <v>0.2</v>
      </c>
      <c r="H31" s="138">
        <v>0.4</v>
      </c>
      <c r="I31" s="222"/>
      <c r="J31" s="222"/>
      <c r="K31" s="222" t="s">
        <v>250</v>
      </c>
      <c r="L31" s="138">
        <v>236</v>
      </c>
    </row>
    <row r="32" spans="1:12" x14ac:dyDescent="0.25">
      <c r="C32" s="222" t="s">
        <v>960</v>
      </c>
      <c r="D32" s="222">
        <v>1</v>
      </c>
      <c r="E32" s="138">
        <v>150</v>
      </c>
      <c r="F32" s="138">
        <v>11.5</v>
      </c>
      <c r="G32" s="138">
        <v>0.8</v>
      </c>
      <c r="H32" s="138">
        <v>0.4</v>
      </c>
      <c r="I32" s="222"/>
      <c r="J32" s="222"/>
      <c r="K32" s="222" t="s">
        <v>250</v>
      </c>
      <c r="L32" s="138">
        <v>237</v>
      </c>
    </row>
    <row r="33" spans="3:12" x14ac:dyDescent="0.25">
      <c r="C33" s="222" t="s">
        <v>537</v>
      </c>
      <c r="D33" s="222">
        <v>1</v>
      </c>
      <c r="E33" s="138">
        <v>300</v>
      </c>
      <c r="F33" s="138">
        <v>1.3</v>
      </c>
      <c r="G33" s="138">
        <v>0.4</v>
      </c>
      <c r="H33" s="138">
        <v>0.4</v>
      </c>
      <c r="I33" s="222"/>
      <c r="J33" s="222"/>
      <c r="K33" s="222" t="s">
        <v>250</v>
      </c>
      <c r="L33" s="138">
        <v>246</v>
      </c>
    </row>
    <row r="34" spans="3:12" x14ac:dyDescent="0.25">
      <c r="C34" s="222" t="s">
        <v>970</v>
      </c>
      <c r="D34" s="222">
        <v>1</v>
      </c>
      <c r="E34" s="138">
        <v>600</v>
      </c>
      <c r="F34" s="138">
        <v>6.8</v>
      </c>
      <c r="G34" s="138">
        <v>0.7</v>
      </c>
      <c r="H34" s="138">
        <v>0.4</v>
      </c>
      <c r="I34" s="222"/>
      <c r="J34" s="222"/>
      <c r="K34" s="222" t="s">
        <v>250</v>
      </c>
      <c r="L34" s="138">
        <v>249</v>
      </c>
    </row>
    <row r="35" spans="3:12" x14ac:dyDescent="0.25">
      <c r="C35" s="222" t="s">
        <v>971</v>
      </c>
      <c r="D35" s="222">
        <v>1</v>
      </c>
      <c r="E35" s="138">
        <v>500</v>
      </c>
      <c r="F35" s="138">
        <v>11.8</v>
      </c>
      <c r="G35" s="138">
        <v>0.8</v>
      </c>
      <c r="H35" s="138">
        <v>0.4</v>
      </c>
      <c r="I35" s="222"/>
      <c r="J35" s="222"/>
      <c r="K35" s="222" t="s">
        <v>250</v>
      </c>
      <c r="L35" s="138">
        <v>250</v>
      </c>
    </row>
    <row r="36" spans="3:12" x14ac:dyDescent="0.25">
      <c r="C36" s="222" t="s">
        <v>974</v>
      </c>
      <c r="D36" s="222">
        <v>1</v>
      </c>
      <c r="E36" s="138">
        <v>200</v>
      </c>
      <c r="F36" s="138">
        <v>2</v>
      </c>
      <c r="G36" s="138">
        <v>0.2</v>
      </c>
      <c r="H36" s="138">
        <v>0.4</v>
      </c>
      <c r="I36" s="222"/>
      <c r="J36" s="222"/>
      <c r="K36" s="222" t="s">
        <v>250</v>
      </c>
      <c r="L36" s="138">
        <v>257</v>
      </c>
    </row>
    <row r="37" spans="3:12" x14ac:dyDescent="0.25">
      <c r="C37" s="222" t="s">
        <v>975</v>
      </c>
      <c r="D37" s="222">
        <v>1</v>
      </c>
      <c r="E37" s="138">
        <v>200</v>
      </c>
      <c r="F37" s="138">
        <v>7.5</v>
      </c>
      <c r="G37" s="138">
        <v>0.2</v>
      </c>
      <c r="H37" s="138">
        <v>0.4</v>
      </c>
      <c r="I37" s="222"/>
      <c r="J37" s="222"/>
      <c r="K37" s="222" t="s">
        <v>250</v>
      </c>
      <c r="L37" s="138">
        <v>258</v>
      </c>
    </row>
    <row r="38" spans="3:12" x14ac:dyDescent="0.25">
      <c r="C38" s="138" t="s">
        <v>936</v>
      </c>
      <c r="D38" s="138">
        <v>0</v>
      </c>
      <c r="E38" s="138">
        <v>-999</v>
      </c>
      <c r="F38" s="138">
        <v>-999</v>
      </c>
      <c r="G38" s="138">
        <v>-999</v>
      </c>
      <c r="H38" s="138">
        <v>-999</v>
      </c>
      <c r="K38" s="138" t="s">
        <v>250</v>
      </c>
      <c r="L38" s="138">
        <v>201</v>
      </c>
    </row>
    <row r="39" spans="3:12" x14ac:dyDescent="0.25">
      <c r="C39" s="138" t="s">
        <v>937</v>
      </c>
      <c r="D39" s="138">
        <v>0</v>
      </c>
      <c r="E39" s="138">
        <v>-999</v>
      </c>
      <c r="F39" s="138">
        <v>-999</v>
      </c>
      <c r="G39" s="138">
        <v>-999</v>
      </c>
      <c r="H39" s="138">
        <v>-999</v>
      </c>
      <c r="K39" s="138" t="s">
        <v>250</v>
      </c>
      <c r="L39" s="138">
        <v>202</v>
      </c>
    </row>
    <row r="40" spans="3:12" x14ac:dyDescent="0.25">
      <c r="C40" s="138" t="s">
        <v>938</v>
      </c>
      <c r="D40" s="138">
        <v>0</v>
      </c>
      <c r="E40" s="138">
        <v>-999</v>
      </c>
      <c r="F40" s="138">
        <v>-999</v>
      </c>
      <c r="G40" s="138">
        <v>-999</v>
      </c>
      <c r="H40" s="138">
        <v>-999</v>
      </c>
      <c r="K40" s="138" t="s">
        <v>250</v>
      </c>
      <c r="L40" s="138">
        <v>204</v>
      </c>
    </row>
    <row r="41" spans="3:12" x14ac:dyDescent="0.25">
      <c r="C41" s="138" t="s">
        <v>635</v>
      </c>
      <c r="D41" s="138">
        <v>0</v>
      </c>
      <c r="E41" s="138">
        <v>-999</v>
      </c>
      <c r="F41" s="138">
        <v>-999</v>
      </c>
      <c r="G41" s="138">
        <v>-999</v>
      </c>
      <c r="H41" s="138">
        <v>-999</v>
      </c>
      <c r="K41" s="138" t="s">
        <v>250</v>
      </c>
      <c r="L41" s="138">
        <v>205</v>
      </c>
    </row>
    <row r="42" spans="3:12" x14ac:dyDescent="0.25">
      <c r="C42" s="138" t="s">
        <v>526</v>
      </c>
      <c r="D42" s="138">
        <v>0</v>
      </c>
      <c r="E42" s="138">
        <v>-999</v>
      </c>
      <c r="F42" s="138">
        <v>-999</v>
      </c>
      <c r="G42" s="138">
        <v>-999</v>
      </c>
      <c r="H42" s="138">
        <v>-999</v>
      </c>
      <c r="K42" s="138" t="s">
        <v>250</v>
      </c>
      <c r="L42" s="138">
        <v>206</v>
      </c>
    </row>
    <row r="43" spans="3:12" x14ac:dyDescent="0.25">
      <c r="C43" s="138" t="s">
        <v>939</v>
      </c>
      <c r="D43" s="138">
        <v>0</v>
      </c>
      <c r="E43" s="138">
        <v>-999</v>
      </c>
      <c r="F43" s="138">
        <v>-999</v>
      </c>
      <c r="G43" s="138">
        <v>-999</v>
      </c>
      <c r="H43" s="138">
        <v>-999</v>
      </c>
      <c r="K43" s="138" t="s">
        <v>250</v>
      </c>
      <c r="L43" s="138">
        <v>207</v>
      </c>
    </row>
    <row r="44" spans="3:12" x14ac:dyDescent="0.25">
      <c r="C44" s="138" t="s">
        <v>940</v>
      </c>
      <c r="D44" s="138">
        <v>0</v>
      </c>
      <c r="E44" s="138">
        <v>-999</v>
      </c>
      <c r="F44" s="138">
        <v>-999</v>
      </c>
      <c r="G44" s="138">
        <v>-999</v>
      </c>
      <c r="H44" s="138">
        <v>-999</v>
      </c>
      <c r="K44" s="138" t="s">
        <v>250</v>
      </c>
      <c r="L44" s="138">
        <v>208</v>
      </c>
    </row>
    <row r="45" spans="3:12" x14ac:dyDescent="0.25">
      <c r="C45" s="138" t="s">
        <v>941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209</v>
      </c>
    </row>
    <row r="46" spans="3:12" x14ac:dyDescent="0.25">
      <c r="C46" s="138" t="s">
        <v>942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210</v>
      </c>
    </row>
    <row r="47" spans="3:12" x14ac:dyDescent="0.25">
      <c r="C47" s="138" t="s">
        <v>639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211</v>
      </c>
    </row>
    <row r="48" spans="3:12" x14ac:dyDescent="0.25">
      <c r="C48" s="138" t="s">
        <v>943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212</v>
      </c>
    </row>
    <row r="49" spans="3:12" x14ac:dyDescent="0.25">
      <c r="C49" s="138" t="s">
        <v>922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214</v>
      </c>
    </row>
    <row r="50" spans="3:12" x14ac:dyDescent="0.25">
      <c r="C50" s="138" t="s">
        <v>945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215</v>
      </c>
    </row>
    <row r="51" spans="3:12" x14ac:dyDescent="0.25">
      <c r="C51" s="138" t="s">
        <v>643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219</v>
      </c>
    </row>
    <row r="52" spans="3:12" x14ac:dyDescent="0.25">
      <c r="C52" s="138" t="s">
        <v>949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220</v>
      </c>
    </row>
    <row r="53" spans="3:12" x14ac:dyDescent="0.25">
      <c r="C53" s="138" t="s">
        <v>530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221</v>
      </c>
    </row>
    <row r="54" spans="3:12" x14ac:dyDescent="0.25">
      <c r="C54" s="138" t="s">
        <v>950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222</v>
      </c>
    </row>
    <row r="55" spans="3:12" x14ac:dyDescent="0.25">
      <c r="C55" s="138" t="s">
        <v>951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223</v>
      </c>
    </row>
    <row r="56" spans="3:12" x14ac:dyDescent="0.25">
      <c r="C56" s="138" t="s">
        <v>952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224</v>
      </c>
    </row>
    <row r="57" spans="3:12" x14ac:dyDescent="0.25">
      <c r="C57" s="138" t="s">
        <v>953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225</v>
      </c>
    </row>
    <row r="58" spans="3:12" x14ac:dyDescent="0.25">
      <c r="C58" s="138" t="s">
        <v>1026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277</v>
      </c>
    </row>
    <row r="59" spans="3:12" x14ac:dyDescent="0.25">
      <c r="C59" s="138" t="s">
        <v>1027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278</v>
      </c>
    </row>
    <row r="60" spans="3:12" x14ac:dyDescent="0.25">
      <c r="C60" s="138" t="s">
        <v>1028</v>
      </c>
      <c r="D60" s="138">
        <v>0</v>
      </c>
      <c r="E60" s="138">
        <v>-999</v>
      </c>
      <c r="F60" s="138">
        <v>-999</v>
      </c>
      <c r="G60" s="138">
        <v>-999</v>
      </c>
      <c r="H60" s="138">
        <v>-999</v>
      </c>
      <c r="K60" s="138" t="s">
        <v>250</v>
      </c>
      <c r="L60" s="138">
        <v>279</v>
      </c>
    </row>
    <row r="61" spans="3:12" x14ac:dyDescent="0.25">
      <c r="C61" s="138" t="s">
        <v>1029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280</v>
      </c>
    </row>
    <row r="62" spans="3:12" x14ac:dyDescent="0.25">
      <c r="C62" s="138" t="s">
        <v>1030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281</v>
      </c>
    </row>
    <row r="63" spans="3:12" x14ac:dyDescent="0.25">
      <c r="C63" s="138" t="s">
        <v>1031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282</v>
      </c>
    </row>
    <row r="64" spans="3:12" x14ac:dyDescent="0.25">
      <c r="C64" s="138" t="s">
        <v>1032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283</v>
      </c>
    </row>
    <row r="65" spans="3:12" x14ac:dyDescent="0.25">
      <c r="C65" s="138" t="s">
        <v>1033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284</v>
      </c>
    </row>
    <row r="66" spans="3:12" x14ac:dyDescent="0.25">
      <c r="C66" s="138" t="s">
        <v>647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226</v>
      </c>
    </row>
    <row r="67" spans="3:12" x14ac:dyDescent="0.25">
      <c r="C67" s="138" t="s">
        <v>648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228</v>
      </c>
    </row>
    <row r="68" spans="3:12" x14ac:dyDescent="0.25">
      <c r="C68" s="138" t="s">
        <v>954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229</v>
      </c>
    </row>
    <row r="69" spans="3:12" x14ac:dyDescent="0.25">
      <c r="C69" s="138" t="s">
        <v>652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230</v>
      </c>
    </row>
    <row r="70" spans="3:12" x14ac:dyDescent="0.25">
      <c r="C70" s="138" t="s">
        <v>955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231</v>
      </c>
    </row>
    <row r="71" spans="3:12" x14ac:dyDescent="0.25">
      <c r="C71" s="138" t="s">
        <v>956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232</v>
      </c>
    </row>
    <row r="72" spans="3:12" x14ac:dyDescent="0.25">
      <c r="C72" s="138" t="s">
        <v>957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233</v>
      </c>
    </row>
    <row r="73" spans="3:12" x14ac:dyDescent="0.25">
      <c r="C73" s="138" t="s">
        <v>830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234</v>
      </c>
    </row>
    <row r="74" spans="3:12" x14ac:dyDescent="0.25">
      <c r="C74" s="138" t="s">
        <v>958</v>
      </c>
      <c r="D74" s="138">
        <v>0</v>
      </c>
      <c r="E74" s="138">
        <v>-999</v>
      </c>
      <c r="F74" s="138">
        <v>-999</v>
      </c>
      <c r="G74" s="138">
        <v>-999</v>
      </c>
      <c r="H74" s="138">
        <v>-999</v>
      </c>
      <c r="K74" s="138" t="s">
        <v>250</v>
      </c>
      <c r="L74" s="138">
        <v>235</v>
      </c>
    </row>
    <row r="75" spans="3:12" x14ac:dyDescent="0.25">
      <c r="C75" s="222" t="s">
        <v>961</v>
      </c>
      <c r="D75" s="222">
        <v>0</v>
      </c>
      <c r="E75" s="138">
        <v>-999</v>
      </c>
      <c r="F75" s="138">
        <v>-999</v>
      </c>
      <c r="G75" s="138">
        <v>-999</v>
      </c>
      <c r="H75" s="138">
        <v>-999</v>
      </c>
      <c r="I75" s="222"/>
      <c r="J75" s="222"/>
      <c r="K75" s="222" t="s">
        <v>250</v>
      </c>
      <c r="L75" s="138">
        <v>238</v>
      </c>
    </row>
    <row r="76" spans="3:12" x14ac:dyDescent="0.25">
      <c r="C76" s="222" t="s">
        <v>962</v>
      </c>
      <c r="D76" s="222">
        <v>0</v>
      </c>
      <c r="E76" s="138">
        <v>-999</v>
      </c>
      <c r="F76" s="138">
        <v>-999</v>
      </c>
      <c r="G76" s="138">
        <v>-999</v>
      </c>
      <c r="H76" s="138">
        <v>-999</v>
      </c>
      <c r="I76" s="222"/>
      <c r="J76" s="222"/>
      <c r="K76" s="222" t="s">
        <v>250</v>
      </c>
      <c r="L76" s="138">
        <v>239</v>
      </c>
    </row>
    <row r="77" spans="3:12" x14ac:dyDescent="0.25">
      <c r="C77" s="222" t="s">
        <v>963</v>
      </c>
      <c r="D77" s="222">
        <v>0</v>
      </c>
      <c r="E77" s="138">
        <v>-999</v>
      </c>
      <c r="F77" s="138">
        <v>-999</v>
      </c>
      <c r="G77" s="138">
        <v>-999</v>
      </c>
      <c r="H77" s="138">
        <v>-999</v>
      </c>
      <c r="I77" s="222"/>
      <c r="J77" s="222"/>
      <c r="K77" s="222" t="s">
        <v>250</v>
      </c>
      <c r="L77" s="138">
        <v>240</v>
      </c>
    </row>
    <row r="78" spans="3:12" x14ac:dyDescent="0.25">
      <c r="C78" s="222" t="s">
        <v>964</v>
      </c>
      <c r="D78" s="222">
        <v>0</v>
      </c>
      <c r="E78" s="138">
        <v>-999</v>
      </c>
      <c r="F78" s="138">
        <v>-999</v>
      </c>
      <c r="G78" s="138">
        <v>-999</v>
      </c>
      <c r="H78" s="138">
        <v>-999</v>
      </c>
      <c r="I78" s="222"/>
      <c r="J78" s="222"/>
      <c r="K78" s="222" t="s">
        <v>250</v>
      </c>
      <c r="L78" s="138">
        <v>241</v>
      </c>
    </row>
    <row r="79" spans="3:12" x14ac:dyDescent="0.25">
      <c r="C79" s="222" t="s">
        <v>965</v>
      </c>
      <c r="D79" s="222">
        <v>0</v>
      </c>
      <c r="E79" s="138">
        <v>-999</v>
      </c>
      <c r="F79" s="138">
        <v>-999</v>
      </c>
      <c r="G79" s="138">
        <v>-999</v>
      </c>
      <c r="H79" s="138">
        <v>-999</v>
      </c>
      <c r="I79" s="222"/>
      <c r="J79" s="222"/>
      <c r="K79" s="222" t="s">
        <v>250</v>
      </c>
      <c r="L79" s="138">
        <v>242</v>
      </c>
    </row>
    <row r="80" spans="3:12" x14ac:dyDescent="0.25">
      <c r="C80" s="222" t="s">
        <v>966</v>
      </c>
      <c r="D80" s="222">
        <v>0</v>
      </c>
      <c r="E80" s="138">
        <v>-999</v>
      </c>
      <c r="F80" s="138">
        <v>-999</v>
      </c>
      <c r="G80" s="138">
        <v>-999</v>
      </c>
      <c r="H80" s="138">
        <v>-999</v>
      </c>
      <c r="I80" s="222"/>
      <c r="J80" s="222"/>
      <c r="K80" s="222" t="s">
        <v>250</v>
      </c>
      <c r="L80" s="138">
        <v>243</v>
      </c>
    </row>
    <row r="81" spans="3:12" x14ac:dyDescent="0.25">
      <c r="C81" s="222" t="s">
        <v>967</v>
      </c>
      <c r="D81" s="222">
        <v>0</v>
      </c>
      <c r="E81" s="138">
        <v>-999</v>
      </c>
      <c r="F81" s="138">
        <v>-999</v>
      </c>
      <c r="G81" s="138">
        <v>-999</v>
      </c>
      <c r="H81" s="138">
        <v>-999</v>
      </c>
      <c r="I81" s="222"/>
      <c r="J81" s="222"/>
      <c r="K81" s="222" t="s">
        <v>250</v>
      </c>
      <c r="L81" s="138">
        <v>244</v>
      </c>
    </row>
    <row r="82" spans="3:12" x14ac:dyDescent="0.25">
      <c r="C82" s="222" t="s">
        <v>968</v>
      </c>
      <c r="D82" s="222">
        <v>0</v>
      </c>
      <c r="E82" s="138">
        <v>-999</v>
      </c>
      <c r="F82" s="138">
        <v>-999</v>
      </c>
      <c r="G82" s="138">
        <v>-999</v>
      </c>
      <c r="H82" s="138">
        <v>-999</v>
      </c>
      <c r="I82" s="222"/>
      <c r="J82" s="222"/>
      <c r="K82" s="222" t="s">
        <v>250</v>
      </c>
      <c r="L82" s="138">
        <v>245</v>
      </c>
    </row>
    <row r="83" spans="3:12" x14ac:dyDescent="0.25">
      <c r="C83" s="222" t="s">
        <v>834</v>
      </c>
      <c r="D83" s="222">
        <v>0</v>
      </c>
      <c r="E83" s="138">
        <v>-999</v>
      </c>
      <c r="F83" s="138">
        <v>-999</v>
      </c>
      <c r="G83" s="138">
        <v>-999</v>
      </c>
      <c r="H83" s="138">
        <v>-999</v>
      </c>
      <c r="I83" s="222"/>
      <c r="J83" s="222"/>
      <c r="K83" s="222" t="s">
        <v>250</v>
      </c>
      <c r="L83" s="138">
        <v>247</v>
      </c>
    </row>
    <row r="84" spans="3:12" x14ac:dyDescent="0.25">
      <c r="C84" s="222" t="s">
        <v>969</v>
      </c>
      <c r="D84" s="222">
        <v>0</v>
      </c>
      <c r="E84" s="138">
        <v>-999</v>
      </c>
      <c r="F84" s="138">
        <v>-999</v>
      </c>
      <c r="G84" s="138">
        <v>-999</v>
      </c>
      <c r="H84" s="138">
        <v>-999</v>
      </c>
      <c r="I84" s="222"/>
      <c r="J84" s="222"/>
      <c r="K84" s="222" t="s">
        <v>250</v>
      </c>
      <c r="L84" s="138">
        <v>248</v>
      </c>
    </row>
    <row r="85" spans="3:12" x14ac:dyDescent="0.25">
      <c r="C85" s="222" t="s">
        <v>972</v>
      </c>
      <c r="D85" s="222">
        <v>0</v>
      </c>
      <c r="E85" s="138">
        <v>-999</v>
      </c>
      <c r="F85" s="138">
        <v>-999</v>
      </c>
      <c r="G85" s="138">
        <v>-999</v>
      </c>
      <c r="H85" s="138">
        <v>-999</v>
      </c>
      <c r="I85" s="222"/>
      <c r="J85" s="222"/>
      <c r="K85" s="222" t="s">
        <v>250</v>
      </c>
      <c r="L85" s="138">
        <v>251</v>
      </c>
    </row>
    <row r="86" spans="3:12" x14ac:dyDescent="0.25">
      <c r="C86" s="222" t="s">
        <v>1012</v>
      </c>
      <c r="D86" s="222">
        <v>0</v>
      </c>
      <c r="E86" s="138">
        <v>-999</v>
      </c>
      <c r="F86" s="138">
        <v>-999</v>
      </c>
      <c r="G86" s="138">
        <v>-999</v>
      </c>
      <c r="H86" s="138">
        <v>-999</v>
      </c>
      <c r="I86" s="222"/>
      <c r="J86" s="222"/>
      <c r="K86" s="222" t="s">
        <v>250</v>
      </c>
      <c r="L86" s="138">
        <v>252</v>
      </c>
    </row>
    <row r="87" spans="3:12" x14ac:dyDescent="0.25">
      <c r="C87" s="222" t="s">
        <v>1013</v>
      </c>
      <c r="D87" s="222">
        <v>0</v>
      </c>
      <c r="E87" s="138">
        <v>-999</v>
      </c>
      <c r="F87" s="138">
        <v>-999</v>
      </c>
      <c r="G87" s="138">
        <v>-999</v>
      </c>
      <c r="H87" s="138">
        <v>-999</v>
      </c>
      <c r="I87" s="222"/>
      <c r="J87" s="222"/>
      <c r="K87" s="222" t="s">
        <v>250</v>
      </c>
      <c r="L87" s="138">
        <v>253</v>
      </c>
    </row>
    <row r="88" spans="3:12" x14ac:dyDescent="0.25">
      <c r="C88" s="222" t="s">
        <v>1014</v>
      </c>
      <c r="D88" s="222">
        <v>0</v>
      </c>
      <c r="E88" s="138">
        <v>-999</v>
      </c>
      <c r="F88" s="138">
        <v>-999</v>
      </c>
      <c r="G88" s="138">
        <v>-999</v>
      </c>
      <c r="H88" s="138">
        <v>-999</v>
      </c>
      <c r="I88" s="222"/>
      <c r="J88" s="222"/>
      <c r="K88" s="222" t="s">
        <v>250</v>
      </c>
      <c r="L88" s="138">
        <v>254</v>
      </c>
    </row>
    <row r="89" spans="3:12" x14ac:dyDescent="0.25">
      <c r="C89" s="222" t="s">
        <v>1015</v>
      </c>
      <c r="D89" s="222">
        <v>0</v>
      </c>
      <c r="E89" s="138">
        <v>-999</v>
      </c>
      <c r="F89" s="138">
        <v>-999</v>
      </c>
      <c r="G89" s="138">
        <v>-999</v>
      </c>
      <c r="H89" s="138">
        <v>-999</v>
      </c>
      <c r="I89" s="222"/>
      <c r="J89" s="222"/>
      <c r="K89" s="222" t="s">
        <v>250</v>
      </c>
      <c r="L89" s="138">
        <v>255</v>
      </c>
    </row>
    <row r="90" spans="3:12" x14ac:dyDescent="0.25">
      <c r="C90" s="222" t="s">
        <v>973</v>
      </c>
      <c r="D90" s="222">
        <v>0</v>
      </c>
      <c r="E90" s="138">
        <v>-999</v>
      </c>
      <c r="F90" s="138">
        <v>-999</v>
      </c>
      <c r="G90" s="138">
        <v>-999</v>
      </c>
      <c r="H90" s="138">
        <v>-999</v>
      </c>
      <c r="I90" s="222"/>
      <c r="J90" s="222"/>
      <c r="K90" s="222" t="s">
        <v>250</v>
      </c>
      <c r="L90" s="138">
        <v>256</v>
      </c>
    </row>
    <row r="91" spans="3:12" x14ac:dyDescent="0.25">
      <c r="C91" s="222" t="s">
        <v>976</v>
      </c>
      <c r="D91" s="222">
        <v>0</v>
      </c>
      <c r="E91" s="138">
        <v>-999</v>
      </c>
      <c r="F91" s="138">
        <v>-999</v>
      </c>
      <c r="G91" s="138">
        <v>-999</v>
      </c>
      <c r="H91" s="138">
        <v>-999</v>
      </c>
      <c r="I91" s="222"/>
      <c r="J91" s="222"/>
      <c r="K91" s="222" t="s">
        <v>250</v>
      </c>
      <c r="L91" s="138">
        <v>259</v>
      </c>
    </row>
    <row r="92" spans="3:12" x14ac:dyDescent="0.25">
      <c r="C92" s="222" t="s">
        <v>977</v>
      </c>
      <c r="D92" s="222">
        <v>0</v>
      </c>
      <c r="E92" s="138">
        <v>-999</v>
      </c>
      <c r="F92" s="138">
        <v>-999</v>
      </c>
      <c r="G92" s="138">
        <v>-999</v>
      </c>
      <c r="H92" s="138">
        <v>-999</v>
      </c>
      <c r="I92" s="222"/>
      <c r="J92" s="222"/>
      <c r="K92" s="222" t="s">
        <v>250</v>
      </c>
      <c r="L92" s="138">
        <v>260</v>
      </c>
    </row>
    <row r="93" spans="3:12" x14ac:dyDescent="0.25">
      <c r="C93" s="222" t="s">
        <v>935</v>
      </c>
      <c r="D93" s="222">
        <v>0</v>
      </c>
      <c r="E93" s="138">
        <v>-999</v>
      </c>
      <c r="F93" s="138">
        <v>-999</v>
      </c>
      <c r="G93" s="138">
        <v>-999</v>
      </c>
      <c r="H93" s="138">
        <v>-999</v>
      </c>
      <c r="I93" s="222"/>
      <c r="J93" s="222"/>
      <c r="K93" s="222" t="s">
        <v>250</v>
      </c>
      <c r="L93" s="138">
        <v>261</v>
      </c>
    </row>
    <row r="94" spans="3:12" x14ac:dyDescent="0.25">
      <c r="C94" s="222" t="s">
        <v>666</v>
      </c>
      <c r="D94" s="222">
        <v>0</v>
      </c>
      <c r="E94" s="138">
        <v>-999</v>
      </c>
      <c r="F94" s="138">
        <v>-999</v>
      </c>
      <c r="G94" s="138">
        <v>-999</v>
      </c>
      <c r="H94" s="138">
        <v>-999</v>
      </c>
      <c r="I94" s="222"/>
      <c r="J94" s="222"/>
      <c r="K94" s="222" t="s">
        <v>250</v>
      </c>
      <c r="L94" s="138">
        <v>262</v>
      </c>
    </row>
    <row r="95" spans="3:12" x14ac:dyDescent="0.25">
      <c r="C95" s="222" t="s">
        <v>667</v>
      </c>
      <c r="D95" s="222">
        <v>0</v>
      </c>
      <c r="E95" s="138">
        <v>-999</v>
      </c>
      <c r="F95" s="138">
        <v>-999</v>
      </c>
      <c r="G95" s="138">
        <v>-999</v>
      </c>
      <c r="H95" s="138">
        <v>-999</v>
      </c>
      <c r="I95" s="222"/>
      <c r="J95" s="222"/>
      <c r="K95" s="222" t="s">
        <v>250</v>
      </c>
      <c r="L95" s="138">
        <v>263</v>
      </c>
    </row>
    <row r="96" spans="3:12" x14ac:dyDescent="0.25">
      <c r="C96" s="222" t="s">
        <v>668</v>
      </c>
      <c r="D96" s="222">
        <v>0</v>
      </c>
      <c r="E96" s="138">
        <v>-999</v>
      </c>
      <c r="F96" s="138">
        <v>-999</v>
      </c>
      <c r="G96" s="138">
        <v>-999</v>
      </c>
      <c r="H96" s="138">
        <v>-999</v>
      </c>
      <c r="I96" s="222"/>
      <c r="J96" s="222"/>
      <c r="K96" s="222" t="s">
        <v>250</v>
      </c>
      <c r="L96" s="138">
        <v>264</v>
      </c>
    </row>
    <row r="97" spans="2:12" x14ac:dyDescent="0.25">
      <c r="C97" s="222" t="s">
        <v>1018</v>
      </c>
      <c r="D97" s="222">
        <v>0</v>
      </c>
      <c r="E97" s="138">
        <v>-999</v>
      </c>
      <c r="F97" s="138">
        <v>-999</v>
      </c>
      <c r="G97" s="138">
        <v>-999</v>
      </c>
      <c r="H97" s="138">
        <v>-999</v>
      </c>
      <c r="I97" s="222"/>
      <c r="J97" s="222"/>
      <c r="K97" s="222" t="s">
        <v>250</v>
      </c>
      <c r="L97" s="138">
        <v>269</v>
      </c>
    </row>
    <row r="98" spans="2:12" x14ac:dyDescent="0.25">
      <c r="C98" s="222" t="s">
        <v>1019</v>
      </c>
      <c r="D98" s="222">
        <v>0</v>
      </c>
      <c r="E98" s="138">
        <v>-999</v>
      </c>
      <c r="F98" s="138">
        <v>-999</v>
      </c>
      <c r="G98" s="138">
        <v>-999</v>
      </c>
      <c r="H98" s="138">
        <v>-999</v>
      </c>
      <c r="I98" s="222"/>
      <c r="J98" s="222"/>
      <c r="K98" s="222" t="s">
        <v>250</v>
      </c>
      <c r="L98" s="138">
        <v>270</v>
      </c>
    </row>
    <row r="99" spans="2:12" x14ac:dyDescent="0.25">
      <c r="C99" s="222" t="s">
        <v>1020</v>
      </c>
      <c r="D99" s="222">
        <v>0</v>
      </c>
      <c r="E99" s="138">
        <v>-999</v>
      </c>
      <c r="F99" s="138">
        <v>-999</v>
      </c>
      <c r="G99" s="138">
        <v>-999</v>
      </c>
      <c r="H99" s="138">
        <v>-999</v>
      </c>
      <c r="I99" s="222"/>
      <c r="J99" s="222"/>
      <c r="K99" s="222" t="s">
        <v>250</v>
      </c>
      <c r="L99" s="138">
        <v>271</v>
      </c>
    </row>
    <row r="100" spans="2:12" x14ac:dyDescent="0.25">
      <c r="C100" s="222" t="s">
        <v>1021</v>
      </c>
      <c r="D100" s="222">
        <v>0</v>
      </c>
      <c r="E100" s="138">
        <v>-999</v>
      </c>
      <c r="F100" s="138">
        <v>-999</v>
      </c>
      <c r="G100" s="138">
        <v>-999</v>
      </c>
      <c r="H100" s="138">
        <v>-999</v>
      </c>
      <c r="I100" s="222"/>
      <c r="J100" s="222"/>
      <c r="K100" s="222" t="s">
        <v>250</v>
      </c>
      <c r="L100" s="138">
        <v>272</v>
      </c>
    </row>
    <row r="101" spans="2:12" x14ac:dyDescent="0.25">
      <c r="C101" s="222" t="s">
        <v>1022</v>
      </c>
      <c r="D101" s="222">
        <v>0</v>
      </c>
      <c r="E101" s="138">
        <v>-999</v>
      </c>
      <c r="F101" s="138">
        <v>-999</v>
      </c>
      <c r="G101" s="138">
        <v>-999</v>
      </c>
      <c r="H101" s="138">
        <v>-999</v>
      </c>
      <c r="I101" s="222"/>
      <c r="J101" s="222"/>
      <c r="K101" s="222" t="s">
        <v>250</v>
      </c>
      <c r="L101" s="138">
        <v>273</v>
      </c>
    </row>
    <row r="102" spans="2:12" x14ac:dyDescent="0.25">
      <c r="C102" s="222" t="s">
        <v>1023</v>
      </c>
      <c r="D102" s="222">
        <v>0</v>
      </c>
      <c r="E102" s="138">
        <v>-999</v>
      </c>
      <c r="F102" s="138">
        <v>-999</v>
      </c>
      <c r="G102" s="138">
        <v>-999</v>
      </c>
      <c r="H102" s="138">
        <v>-999</v>
      </c>
      <c r="I102" s="222"/>
      <c r="J102" s="222"/>
      <c r="K102" s="222" t="s">
        <v>250</v>
      </c>
      <c r="L102" s="138">
        <v>274</v>
      </c>
    </row>
    <row r="103" spans="2:12" x14ac:dyDescent="0.25">
      <c r="C103" s="222" t="s">
        <v>1024</v>
      </c>
      <c r="D103" s="222">
        <v>0</v>
      </c>
      <c r="E103" s="138">
        <v>-999</v>
      </c>
      <c r="F103" s="138">
        <v>-999</v>
      </c>
      <c r="G103" s="138">
        <v>-999</v>
      </c>
      <c r="H103" s="138">
        <v>-999</v>
      </c>
      <c r="I103" s="222"/>
      <c r="J103" s="222"/>
      <c r="K103" s="222" t="s">
        <v>250</v>
      </c>
      <c r="L103" s="138">
        <v>275</v>
      </c>
    </row>
    <row r="104" spans="2:12" x14ac:dyDescent="0.25">
      <c r="C104" s="222" t="s">
        <v>1025</v>
      </c>
      <c r="D104" s="222">
        <v>0</v>
      </c>
      <c r="E104" s="138">
        <v>-999</v>
      </c>
      <c r="F104" s="138">
        <v>-999</v>
      </c>
      <c r="G104" s="138">
        <v>-999</v>
      </c>
      <c r="H104" s="138">
        <v>-999</v>
      </c>
      <c r="I104" s="222"/>
      <c r="J104" s="222"/>
      <c r="K104" s="222" t="s">
        <v>250</v>
      </c>
      <c r="L104" s="138">
        <v>276</v>
      </c>
    </row>
    <row r="105" spans="2:12" x14ac:dyDescent="0.25">
      <c r="C105" s="222" t="s">
        <v>978</v>
      </c>
      <c r="D105" s="222">
        <v>0</v>
      </c>
      <c r="E105" s="138">
        <v>-999</v>
      </c>
      <c r="F105" s="138">
        <v>-999</v>
      </c>
      <c r="G105" s="138">
        <v>-999</v>
      </c>
      <c r="H105" s="138">
        <v>-999</v>
      </c>
      <c r="I105" s="222"/>
      <c r="J105" s="222"/>
      <c r="K105" s="222" t="s">
        <v>250</v>
      </c>
      <c r="L105" s="138">
        <v>265</v>
      </c>
    </row>
    <row r="106" spans="2:12" x14ac:dyDescent="0.25">
      <c r="C106" s="222" t="s">
        <v>979</v>
      </c>
      <c r="D106" s="222">
        <v>0</v>
      </c>
      <c r="E106" s="138">
        <v>-999</v>
      </c>
      <c r="F106" s="138">
        <v>-999</v>
      </c>
      <c r="G106" s="138">
        <v>-999</v>
      </c>
      <c r="H106" s="138">
        <v>-999</v>
      </c>
      <c r="I106" s="222"/>
      <c r="J106" s="222"/>
      <c r="K106" s="222" t="s">
        <v>250</v>
      </c>
      <c r="L106" s="138">
        <v>266</v>
      </c>
    </row>
    <row r="107" spans="2:12" x14ac:dyDescent="0.25">
      <c r="C107" s="222" t="s">
        <v>980</v>
      </c>
      <c r="D107" s="222">
        <v>0</v>
      </c>
      <c r="E107" s="138">
        <v>-999</v>
      </c>
      <c r="F107" s="138">
        <v>-999</v>
      </c>
      <c r="G107" s="138">
        <v>-999</v>
      </c>
      <c r="H107" s="138">
        <v>-999</v>
      </c>
      <c r="I107" s="222"/>
      <c r="J107" s="222"/>
      <c r="K107" s="222" t="s">
        <v>250</v>
      </c>
      <c r="L107" s="138">
        <v>267</v>
      </c>
    </row>
    <row r="108" spans="2:12" x14ac:dyDescent="0.25">
      <c r="C108" s="222" t="s">
        <v>981</v>
      </c>
      <c r="D108" s="222">
        <v>0</v>
      </c>
      <c r="E108" s="138">
        <v>-999</v>
      </c>
      <c r="F108" s="138">
        <v>-999</v>
      </c>
      <c r="G108" s="138">
        <v>-999</v>
      </c>
      <c r="H108" s="138">
        <v>-999</v>
      </c>
      <c r="I108" s="222"/>
      <c r="J108" s="222"/>
      <c r="K108" s="222" t="s">
        <v>250</v>
      </c>
      <c r="L108" s="138">
        <v>268</v>
      </c>
    </row>
    <row r="109" spans="2:12" x14ac:dyDescent="0.25">
      <c r="B109" s="138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106"/>
  <sheetViews>
    <sheetView topLeftCell="A17" workbookViewId="0">
      <selection activeCell="N78" sqref="N78"/>
    </sheetView>
  </sheetViews>
  <sheetFormatPr defaultRowHeight="12.75" x14ac:dyDescent="0.2"/>
  <cols>
    <col min="1" max="2" width="9.140625" style="376"/>
    <col min="3" max="3" width="43.85546875" style="376" customWidth="1"/>
    <col min="4" max="16384" width="9.140625" style="376"/>
  </cols>
  <sheetData>
    <row r="1" spans="1:6" x14ac:dyDescent="0.2">
      <c r="A1" s="376" t="s">
        <v>250</v>
      </c>
      <c r="B1" s="376" t="s">
        <v>917</v>
      </c>
    </row>
    <row r="2" spans="1:6" x14ac:dyDescent="0.2">
      <c r="A2" s="376" t="s">
        <v>250</v>
      </c>
    </row>
    <row r="3" spans="1:6" x14ac:dyDescent="0.2">
      <c r="A3" s="376" t="s">
        <v>250</v>
      </c>
      <c r="B3" s="376" t="s">
        <v>356</v>
      </c>
    </row>
    <row r="4" spans="1:6" x14ac:dyDescent="0.2">
      <c r="A4" s="376" t="s">
        <v>250</v>
      </c>
      <c r="C4" s="376" t="s">
        <v>443</v>
      </c>
    </row>
    <row r="5" spans="1:6" x14ac:dyDescent="0.2">
      <c r="A5" s="376" t="s">
        <v>250</v>
      </c>
    </row>
    <row r="6" spans="1:6" x14ac:dyDescent="0.2">
      <c r="A6" s="376" t="s">
        <v>250</v>
      </c>
      <c r="B6" s="376" t="s">
        <v>357</v>
      </c>
    </row>
    <row r="7" spans="1:6" x14ac:dyDescent="0.2">
      <c r="A7" s="376" t="s">
        <v>250</v>
      </c>
      <c r="C7" s="376" t="s">
        <v>262</v>
      </c>
      <c r="D7" s="376" t="s">
        <v>263</v>
      </c>
      <c r="E7" s="376" t="s">
        <v>264</v>
      </c>
    </row>
    <row r="8" spans="1:6" x14ac:dyDescent="0.2">
      <c r="A8" s="376" t="s">
        <v>250</v>
      </c>
      <c r="C8" s="389">
        <v>41249</v>
      </c>
      <c r="D8" s="376" t="s">
        <v>410</v>
      </c>
      <c r="E8" s="376" t="s">
        <v>265</v>
      </c>
    </row>
    <row r="9" spans="1:6" x14ac:dyDescent="0.2">
      <c r="A9" s="376" t="s">
        <v>250</v>
      </c>
      <c r="C9" s="389">
        <v>43082</v>
      </c>
      <c r="D9" s="376" t="s">
        <v>410</v>
      </c>
      <c r="E9" s="376" t="s">
        <v>982</v>
      </c>
    </row>
    <row r="10" spans="1:6" ht="15" x14ac:dyDescent="0.25">
      <c r="A10" s="376" t="s">
        <v>250</v>
      </c>
      <c r="C10" s="388">
        <v>44518</v>
      </c>
      <c r="D10" s="387" t="s">
        <v>1192</v>
      </c>
      <c r="E10" s="387" t="s">
        <v>1191</v>
      </c>
      <c r="F10" s="387"/>
    </row>
    <row r="11" spans="1:6" x14ac:dyDescent="0.2">
      <c r="A11" s="376" t="s">
        <v>250</v>
      </c>
    </row>
    <row r="12" spans="1:6" x14ac:dyDescent="0.2">
      <c r="A12" s="376" t="s">
        <v>250</v>
      </c>
      <c r="B12" s="376" t="s">
        <v>266</v>
      </c>
    </row>
    <row r="13" spans="1:6" x14ac:dyDescent="0.2">
      <c r="A13" s="376" t="s">
        <v>250</v>
      </c>
      <c r="C13" s="376" t="s">
        <v>434</v>
      </c>
    </row>
    <row r="14" spans="1:6" x14ac:dyDescent="0.2">
      <c r="A14" s="376" t="s">
        <v>250</v>
      </c>
    </row>
    <row r="15" spans="1:6" x14ac:dyDescent="0.2">
      <c r="A15" s="376" t="s">
        <v>250</v>
      </c>
      <c r="B15" s="376" t="s">
        <v>251</v>
      </c>
    </row>
    <row r="16" spans="1:6" x14ac:dyDescent="0.2">
      <c r="A16" s="376" t="s">
        <v>250</v>
      </c>
    </row>
    <row r="17" spans="1:12" x14ac:dyDescent="0.2">
      <c r="A17" s="376" t="s">
        <v>250</v>
      </c>
    </row>
    <row r="18" spans="1:12" x14ac:dyDescent="0.2">
      <c r="A18" s="376" t="s">
        <v>250</v>
      </c>
      <c r="B18" s="376" t="s">
        <v>272</v>
      </c>
    </row>
    <row r="19" spans="1:12" x14ac:dyDescent="0.2">
      <c r="A19" s="376" t="s">
        <v>250</v>
      </c>
      <c r="C19" s="376" t="s">
        <v>1190</v>
      </c>
    </row>
    <row r="20" spans="1:12" x14ac:dyDescent="0.2">
      <c r="A20" s="376" t="s">
        <v>250</v>
      </c>
    </row>
    <row r="21" spans="1:12" x14ac:dyDescent="0.2">
      <c r="A21" s="376" t="s">
        <v>250</v>
      </c>
    </row>
    <row r="22" spans="1:12" x14ac:dyDescent="0.2">
      <c r="A22" s="376" t="s">
        <v>365</v>
      </c>
    </row>
    <row r="23" spans="1:12" x14ac:dyDescent="0.2">
      <c r="B23" s="376" t="s">
        <v>1189</v>
      </c>
    </row>
    <row r="24" spans="1:12" x14ac:dyDescent="0.2">
      <c r="C24" s="376" t="s">
        <v>435</v>
      </c>
      <c r="D24" s="376" t="s">
        <v>671</v>
      </c>
      <c r="E24" s="376" t="s">
        <v>436</v>
      </c>
      <c r="F24" s="376" t="s">
        <v>437</v>
      </c>
      <c r="G24" s="376" t="s">
        <v>438</v>
      </c>
      <c r="H24" s="376" t="s">
        <v>916</v>
      </c>
    </row>
    <row r="25" spans="1:12" x14ac:dyDescent="0.2">
      <c r="C25" s="376" t="s">
        <v>442</v>
      </c>
      <c r="D25" s="376" t="s">
        <v>632</v>
      </c>
      <c r="E25" s="376" t="s">
        <v>439</v>
      </c>
      <c r="F25" s="376" t="s">
        <v>440</v>
      </c>
      <c r="G25" s="376" t="s">
        <v>441</v>
      </c>
      <c r="H25" s="376" t="s">
        <v>441</v>
      </c>
      <c r="K25" s="376" t="s">
        <v>670</v>
      </c>
    </row>
    <row r="26" spans="1:12" x14ac:dyDescent="0.2">
      <c r="C26" s="376" t="s">
        <v>525</v>
      </c>
      <c r="D26" s="376">
        <v>1</v>
      </c>
      <c r="E26" s="376">
        <v>300</v>
      </c>
      <c r="F26" s="376">
        <v>3</v>
      </c>
      <c r="G26" s="376">
        <v>0.2</v>
      </c>
      <c r="H26" s="376">
        <v>0.35</v>
      </c>
      <c r="K26" s="376" t="s">
        <v>250</v>
      </c>
      <c r="L26" s="376">
        <v>311</v>
      </c>
    </row>
    <row r="27" spans="1:12" x14ac:dyDescent="0.2">
      <c r="C27" s="376" t="s">
        <v>944</v>
      </c>
      <c r="D27" s="376">
        <v>1</v>
      </c>
      <c r="E27" s="376">
        <v>300</v>
      </c>
      <c r="F27" s="376">
        <v>2</v>
      </c>
      <c r="G27" s="376">
        <v>0.3</v>
      </c>
      <c r="H27" s="376">
        <v>0.35</v>
      </c>
      <c r="K27" s="376" t="s">
        <v>250</v>
      </c>
      <c r="L27" s="376">
        <v>318</v>
      </c>
    </row>
    <row r="28" spans="1:12" x14ac:dyDescent="0.2">
      <c r="C28" s="376" t="s">
        <v>946</v>
      </c>
      <c r="D28" s="376">
        <v>1</v>
      </c>
      <c r="E28" s="376">
        <v>200</v>
      </c>
      <c r="F28" s="376">
        <v>1.25</v>
      </c>
      <c r="G28" s="376">
        <v>0.45</v>
      </c>
      <c r="H28" s="376">
        <v>0.35</v>
      </c>
      <c r="K28" s="376" t="s">
        <v>250</v>
      </c>
      <c r="L28" s="376">
        <v>321</v>
      </c>
    </row>
    <row r="29" spans="1:12" x14ac:dyDescent="0.2">
      <c r="C29" s="376" t="s">
        <v>1203</v>
      </c>
      <c r="D29" s="376">
        <v>1</v>
      </c>
      <c r="E29" s="376">
        <v>200</v>
      </c>
      <c r="F29" s="376">
        <v>1.25</v>
      </c>
      <c r="G29" s="376">
        <v>0.45</v>
      </c>
      <c r="H29" s="376">
        <v>0.35</v>
      </c>
      <c r="K29" s="376" t="s">
        <v>250</v>
      </c>
      <c r="L29" s="376">
        <v>322</v>
      </c>
    </row>
    <row r="30" spans="1:12" x14ac:dyDescent="0.2">
      <c r="C30" s="376" t="s">
        <v>948</v>
      </c>
      <c r="D30" s="376">
        <v>1</v>
      </c>
      <c r="E30" s="376">
        <v>200</v>
      </c>
      <c r="F30" s="376">
        <v>1.25</v>
      </c>
      <c r="G30" s="376">
        <v>0.45</v>
      </c>
      <c r="H30" s="376">
        <v>0.35</v>
      </c>
      <c r="K30" s="376" t="s">
        <v>250</v>
      </c>
      <c r="L30" s="376">
        <v>323</v>
      </c>
    </row>
    <row r="31" spans="1:12" x14ac:dyDescent="0.2">
      <c r="C31" s="376" t="s">
        <v>960</v>
      </c>
      <c r="D31" s="376">
        <v>1</v>
      </c>
      <c r="E31" s="376">
        <v>400</v>
      </c>
      <c r="F31" s="376">
        <v>11.2</v>
      </c>
      <c r="G31" s="376">
        <v>0.7</v>
      </c>
      <c r="H31" s="376">
        <v>0.35</v>
      </c>
      <c r="K31" s="376" t="s">
        <v>250</v>
      </c>
      <c r="L31" s="376">
        <v>351</v>
      </c>
    </row>
    <row r="32" spans="1:12" x14ac:dyDescent="0.2">
      <c r="C32" s="376" t="s">
        <v>532</v>
      </c>
      <c r="D32" s="376">
        <v>1</v>
      </c>
      <c r="E32" s="376">
        <v>200</v>
      </c>
      <c r="F32" s="376">
        <v>1.8</v>
      </c>
      <c r="G32" s="376">
        <v>0.12</v>
      </c>
      <c r="H32" s="376">
        <v>0.35</v>
      </c>
      <c r="K32" s="376" t="s">
        <v>250</v>
      </c>
      <c r="L32" s="376">
        <v>337</v>
      </c>
    </row>
    <row r="33" spans="3:12" x14ac:dyDescent="0.2">
      <c r="C33" s="376" t="s">
        <v>534</v>
      </c>
      <c r="D33" s="376">
        <v>1</v>
      </c>
      <c r="E33" s="376">
        <v>200</v>
      </c>
      <c r="F33" s="376">
        <v>3.4</v>
      </c>
      <c r="G33" s="376">
        <v>0.2</v>
      </c>
      <c r="H33" s="376">
        <v>0.35</v>
      </c>
      <c r="K33" s="376" t="s">
        <v>250</v>
      </c>
      <c r="L33" s="376">
        <v>345</v>
      </c>
    </row>
    <row r="34" spans="3:12" x14ac:dyDescent="0.2">
      <c r="C34" s="376" t="s">
        <v>537</v>
      </c>
      <c r="D34" s="376">
        <v>1</v>
      </c>
      <c r="E34" s="376">
        <v>300</v>
      </c>
      <c r="F34" s="376">
        <v>1.3</v>
      </c>
      <c r="G34" s="376">
        <v>0.4</v>
      </c>
      <c r="H34" s="376">
        <v>0.35</v>
      </c>
      <c r="K34" s="376" t="s">
        <v>250</v>
      </c>
      <c r="L34" s="376">
        <v>361</v>
      </c>
    </row>
    <row r="35" spans="3:12" x14ac:dyDescent="0.2">
      <c r="C35" s="376" t="s">
        <v>970</v>
      </c>
      <c r="D35" s="376">
        <v>1</v>
      </c>
      <c r="E35" s="376">
        <v>600</v>
      </c>
      <c r="F35" s="376">
        <v>6.6</v>
      </c>
      <c r="G35" s="376">
        <v>0.6</v>
      </c>
      <c r="H35" s="376">
        <v>0.35</v>
      </c>
      <c r="K35" s="376" t="s">
        <v>250</v>
      </c>
      <c r="L35" s="376">
        <v>358</v>
      </c>
    </row>
    <row r="36" spans="3:12" x14ac:dyDescent="0.2">
      <c r="C36" s="376" t="s">
        <v>971</v>
      </c>
      <c r="D36" s="376">
        <v>1</v>
      </c>
      <c r="E36" s="376">
        <v>500</v>
      </c>
      <c r="F36" s="376">
        <v>11.5</v>
      </c>
      <c r="G36" s="376">
        <v>0.7</v>
      </c>
      <c r="H36" s="376">
        <v>0.35</v>
      </c>
      <c r="K36" s="376" t="s">
        <v>250</v>
      </c>
      <c r="L36" s="376">
        <v>359</v>
      </c>
    </row>
    <row r="37" spans="3:12" x14ac:dyDescent="0.2">
      <c r="C37" s="376" t="s">
        <v>974</v>
      </c>
      <c r="D37" s="376">
        <v>1</v>
      </c>
      <c r="E37" s="376">
        <v>200</v>
      </c>
      <c r="F37" s="376">
        <v>2</v>
      </c>
      <c r="G37" s="376">
        <v>0.2</v>
      </c>
      <c r="H37" s="376">
        <v>0.35</v>
      </c>
      <c r="K37" s="376" t="s">
        <v>250</v>
      </c>
      <c r="L37" s="376">
        <v>371</v>
      </c>
    </row>
    <row r="38" spans="3:12" x14ac:dyDescent="0.2">
      <c r="C38" s="376" t="s">
        <v>975</v>
      </c>
      <c r="D38" s="376">
        <v>1</v>
      </c>
      <c r="E38" s="376">
        <v>200</v>
      </c>
      <c r="F38" s="376">
        <v>7.3</v>
      </c>
      <c r="G38" s="376">
        <v>0.2</v>
      </c>
      <c r="H38" s="376">
        <v>0.35</v>
      </c>
      <c r="K38" s="376" t="s">
        <v>250</v>
      </c>
      <c r="L38" s="376">
        <v>372</v>
      </c>
    </row>
    <row r="39" spans="3:12" x14ac:dyDescent="0.2">
      <c r="C39" s="376" t="s">
        <v>936</v>
      </c>
      <c r="D39" s="376">
        <v>0</v>
      </c>
      <c r="E39" s="376">
        <v>-999</v>
      </c>
      <c r="F39" s="376">
        <v>-999</v>
      </c>
      <c r="G39" s="376">
        <v>-999</v>
      </c>
      <c r="H39" s="376">
        <v>-999</v>
      </c>
      <c r="K39" s="376" t="s">
        <v>250</v>
      </c>
      <c r="L39" s="376">
        <v>301</v>
      </c>
    </row>
    <row r="40" spans="3:12" x14ac:dyDescent="0.2">
      <c r="C40" s="376" t="s">
        <v>1018</v>
      </c>
      <c r="D40" s="376">
        <v>0</v>
      </c>
      <c r="E40" s="376">
        <v>-999</v>
      </c>
      <c r="F40" s="376">
        <v>-999</v>
      </c>
      <c r="G40" s="376">
        <v>-999</v>
      </c>
      <c r="H40" s="376">
        <v>-999</v>
      </c>
      <c r="K40" s="376" t="s">
        <v>250</v>
      </c>
      <c r="L40" s="376">
        <v>302</v>
      </c>
    </row>
    <row r="41" spans="3:12" x14ac:dyDescent="0.2">
      <c r="C41" s="376" t="s">
        <v>1019</v>
      </c>
      <c r="D41" s="376">
        <v>0</v>
      </c>
      <c r="E41" s="376">
        <v>-999</v>
      </c>
      <c r="F41" s="376">
        <v>-999</v>
      </c>
      <c r="G41" s="376">
        <v>-999</v>
      </c>
      <c r="H41" s="376">
        <v>-999</v>
      </c>
      <c r="K41" s="376" t="s">
        <v>250</v>
      </c>
      <c r="L41" s="376">
        <v>303</v>
      </c>
    </row>
    <row r="42" spans="3:12" x14ac:dyDescent="0.2">
      <c r="C42" s="376" t="s">
        <v>1065</v>
      </c>
      <c r="D42" s="376">
        <v>0</v>
      </c>
      <c r="E42" s="376">
        <v>-999</v>
      </c>
      <c r="F42" s="376">
        <v>-999</v>
      </c>
      <c r="G42" s="376">
        <v>-999</v>
      </c>
      <c r="H42" s="376">
        <v>-999</v>
      </c>
      <c r="K42" s="376" t="s">
        <v>250</v>
      </c>
      <c r="L42" s="376">
        <v>304</v>
      </c>
    </row>
    <row r="43" spans="3:12" x14ac:dyDescent="0.2">
      <c r="C43" s="376" t="s">
        <v>1020</v>
      </c>
      <c r="D43" s="376">
        <v>0</v>
      </c>
      <c r="E43" s="376">
        <v>-999</v>
      </c>
      <c r="F43" s="376">
        <v>-999</v>
      </c>
      <c r="G43" s="376">
        <v>-999</v>
      </c>
      <c r="H43" s="376">
        <v>-999</v>
      </c>
      <c r="K43" s="376" t="s">
        <v>250</v>
      </c>
      <c r="L43" s="376">
        <v>305</v>
      </c>
    </row>
    <row r="44" spans="3:12" x14ac:dyDescent="0.2">
      <c r="C44" s="376" t="s">
        <v>1022</v>
      </c>
      <c r="D44" s="376">
        <v>0</v>
      </c>
      <c r="E44" s="376">
        <v>-999</v>
      </c>
      <c r="F44" s="376">
        <v>-999</v>
      </c>
      <c r="G44" s="376">
        <v>-999</v>
      </c>
      <c r="H44" s="376">
        <v>-999</v>
      </c>
      <c r="K44" s="376" t="s">
        <v>250</v>
      </c>
      <c r="L44" s="376">
        <v>306</v>
      </c>
    </row>
    <row r="45" spans="3:12" x14ac:dyDescent="0.2">
      <c r="C45" s="376" t="s">
        <v>1023</v>
      </c>
      <c r="D45" s="376">
        <v>0</v>
      </c>
      <c r="E45" s="376">
        <v>-999</v>
      </c>
      <c r="F45" s="376">
        <v>-999</v>
      </c>
      <c r="G45" s="376">
        <v>-999</v>
      </c>
      <c r="H45" s="376">
        <v>-999</v>
      </c>
      <c r="K45" s="376" t="s">
        <v>250</v>
      </c>
      <c r="L45" s="376">
        <v>307</v>
      </c>
    </row>
    <row r="46" spans="3:12" x14ac:dyDescent="0.2">
      <c r="C46" s="376" t="s">
        <v>1024</v>
      </c>
      <c r="D46" s="376">
        <v>0</v>
      </c>
      <c r="E46" s="376">
        <v>-999</v>
      </c>
      <c r="F46" s="376">
        <v>-999</v>
      </c>
      <c r="G46" s="376">
        <v>-999</v>
      </c>
      <c r="H46" s="376">
        <v>-999</v>
      </c>
      <c r="K46" s="376" t="s">
        <v>250</v>
      </c>
      <c r="L46" s="376">
        <v>308</v>
      </c>
    </row>
    <row r="47" spans="3:12" x14ac:dyDescent="0.2">
      <c r="C47" s="376" t="s">
        <v>1025</v>
      </c>
      <c r="D47" s="376">
        <v>0</v>
      </c>
      <c r="E47" s="376">
        <v>-999</v>
      </c>
      <c r="F47" s="376">
        <v>-999</v>
      </c>
      <c r="G47" s="376">
        <v>-999</v>
      </c>
      <c r="H47" s="376">
        <v>-999</v>
      </c>
      <c r="K47" s="376" t="s">
        <v>250</v>
      </c>
      <c r="L47" s="376">
        <v>309</v>
      </c>
    </row>
    <row r="48" spans="3:12" x14ac:dyDescent="0.2">
      <c r="C48" s="376" t="s">
        <v>937</v>
      </c>
      <c r="D48" s="376">
        <v>0</v>
      </c>
      <c r="E48" s="376">
        <v>-999</v>
      </c>
      <c r="F48" s="376">
        <v>-999</v>
      </c>
      <c r="G48" s="376">
        <v>-999</v>
      </c>
      <c r="H48" s="376">
        <v>-999</v>
      </c>
      <c r="K48" s="376" t="s">
        <v>250</v>
      </c>
      <c r="L48" s="376">
        <v>310</v>
      </c>
    </row>
    <row r="49" spans="3:12" x14ac:dyDescent="0.2">
      <c r="C49" s="376" t="s">
        <v>938</v>
      </c>
      <c r="D49" s="376">
        <v>0</v>
      </c>
      <c r="E49" s="376">
        <v>-999</v>
      </c>
      <c r="F49" s="376">
        <v>-999</v>
      </c>
      <c r="G49" s="376">
        <v>-999</v>
      </c>
      <c r="H49" s="376">
        <v>-999</v>
      </c>
      <c r="K49" s="376" t="s">
        <v>250</v>
      </c>
      <c r="L49" s="376">
        <v>312</v>
      </c>
    </row>
    <row r="50" spans="3:12" x14ac:dyDescent="0.2">
      <c r="C50" s="376" t="s">
        <v>1066</v>
      </c>
      <c r="D50" s="376">
        <v>0</v>
      </c>
      <c r="E50" s="376">
        <v>-999</v>
      </c>
      <c r="F50" s="376">
        <v>-999</v>
      </c>
      <c r="G50" s="376">
        <v>-999</v>
      </c>
      <c r="H50" s="376">
        <v>-999</v>
      </c>
      <c r="K50" s="376" t="s">
        <v>250</v>
      </c>
      <c r="L50" s="376">
        <v>313</v>
      </c>
    </row>
    <row r="51" spans="3:12" x14ac:dyDescent="0.2">
      <c r="C51" s="376" t="s">
        <v>526</v>
      </c>
      <c r="D51" s="376">
        <v>0</v>
      </c>
      <c r="E51" s="376">
        <v>-999</v>
      </c>
      <c r="F51" s="376">
        <v>-999</v>
      </c>
      <c r="G51" s="376">
        <v>-999</v>
      </c>
      <c r="H51" s="376">
        <v>-999</v>
      </c>
      <c r="K51" s="376" t="s">
        <v>250</v>
      </c>
      <c r="L51" s="376">
        <v>314</v>
      </c>
    </row>
    <row r="52" spans="3:12" x14ac:dyDescent="0.2">
      <c r="C52" s="376" t="s">
        <v>939</v>
      </c>
      <c r="D52" s="376">
        <v>0</v>
      </c>
      <c r="E52" s="376">
        <v>-999</v>
      </c>
      <c r="F52" s="376">
        <v>-999</v>
      </c>
      <c r="G52" s="376">
        <v>-999</v>
      </c>
      <c r="H52" s="376">
        <v>-999</v>
      </c>
      <c r="K52" s="376" t="s">
        <v>250</v>
      </c>
      <c r="L52" s="376">
        <v>315</v>
      </c>
    </row>
    <row r="53" spans="3:12" x14ac:dyDescent="0.2">
      <c r="C53" s="376" t="s">
        <v>639</v>
      </c>
      <c r="D53" s="376">
        <v>0</v>
      </c>
      <c r="E53" s="376">
        <v>-999</v>
      </c>
      <c r="F53" s="376">
        <v>-999</v>
      </c>
      <c r="G53" s="376">
        <v>-999</v>
      </c>
      <c r="H53" s="376">
        <v>-999</v>
      </c>
      <c r="K53" s="376" t="s">
        <v>250</v>
      </c>
      <c r="L53" s="376">
        <v>316</v>
      </c>
    </row>
    <row r="54" spans="3:12" x14ac:dyDescent="0.2">
      <c r="C54" s="376" t="s">
        <v>943</v>
      </c>
      <c r="D54" s="376">
        <v>0</v>
      </c>
      <c r="E54" s="376">
        <v>-999</v>
      </c>
      <c r="F54" s="376">
        <v>-999</v>
      </c>
      <c r="G54" s="376">
        <v>-999</v>
      </c>
      <c r="H54" s="376">
        <v>-999</v>
      </c>
      <c r="K54" s="376" t="s">
        <v>250</v>
      </c>
      <c r="L54" s="376">
        <v>317</v>
      </c>
    </row>
    <row r="55" spans="3:12" x14ac:dyDescent="0.2">
      <c r="C55" s="376" t="s">
        <v>922</v>
      </c>
      <c r="D55" s="376">
        <v>0</v>
      </c>
      <c r="E55" s="376">
        <v>-999</v>
      </c>
      <c r="F55" s="376">
        <v>-999</v>
      </c>
      <c r="G55" s="376">
        <v>-999</v>
      </c>
      <c r="H55" s="376">
        <v>-999</v>
      </c>
      <c r="K55" s="376" t="s">
        <v>250</v>
      </c>
      <c r="L55" s="376">
        <v>319</v>
      </c>
    </row>
    <row r="56" spans="3:12" x14ac:dyDescent="0.2">
      <c r="C56" s="376" t="s">
        <v>945</v>
      </c>
      <c r="D56" s="376">
        <v>0</v>
      </c>
      <c r="E56" s="376">
        <v>-999</v>
      </c>
      <c r="F56" s="376">
        <v>-999</v>
      </c>
      <c r="G56" s="376">
        <v>-999</v>
      </c>
      <c r="H56" s="376">
        <v>-999</v>
      </c>
      <c r="K56" s="376" t="s">
        <v>250</v>
      </c>
      <c r="L56" s="376">
        <v>320</v>
      </c>
    </row>
    <row r="57" spans="3:12" x14ac:dyDescent="0.2">
      <c r="C57" s="376" t="s">
        <v>643</v>
      </c>
      <c r="D57" s="376">
        <v>0</v>
      </c>
      <c r="E57" s="376">
        <v>-999</v>
      </c>
      <c r="F57" s="376">
        <v>-999</v>
      </c>
      <c r="G57" s="376">
        <v>-999</v>
      </c>
      <c r="H57" s="376">
        <v>-999</v>
      </c>
      <c r="K57" s="376" t="s">
        <v>250</v>
      </c>
      <c r="L57" s="376">
        <v>324</v>
      </c>
    </row>
    <row r="58" spans="3:12" x14ac:dyDescent="0.2">
      <c r="C58" s="376" t="s">
        <v>949</v>
      </c>
      <c r="D58" s="376">
        <v>0</v>
      </c>
      <c r="E58" s="376">
        <v>-999</v>
      </c>
      <c r="F58" s="376">
        <v>-999</v>
      </c>
      <c r="G58" s="376">
        <v>-999</v>
      </c>
      <c r="H58" s="376">
        <v>-999</v>
      </c>
      <c r="K58" s="376" t="s">
        <v>250</v>
      </c>
      <c r="L58" s="376">
        <v>325</v>
      </c>
    </row>
    <row r="59" spans="3:12" x14ac:dyDescent="0.2">
      <c r="C59" s="376" t="s">
        <v>530</v>
      </c>
      <c r="D59" s="376">
        <v>0</v>
      </c>
      <c r="E59" s="376">
        <v>-999</v>
      </c>
      <c r="F59" s="376">
        <v>-999</v>
      </c>
      <c r="G59" s="376">
        <v>-999</v>
      </c>
      <c r="H59" s="376">
        <v>-999</v>
      </c>
      <c r="K59" s="376" t="s">
        <v>250</v>
      </c>
      <c r="L59" s="376">
        <v>326</v>
      </c>
    </row>
    <row r="60" spans="3:12" x14ac:dyDescent="0.2">
      <c r="C60" s="376" t="s">
        <v>953</v>
      </c>
      <c r="D60" s="376">
        <v>0</v>
      </c>
      <c r="E60" s="376">
        <v>-999</v>
      </c>
      <c r="F60" s="376">
        <v>-999</v>
      </c>
      <c r="G60" s="376">
        <v>-999</v>
      </c>
      <c r="H60" s="376">
        <v>-999</v>
      </c>
      <c r="K60" s="376" t="s">
        <v>250</v>
      </c>
      <c r="L60" s="376">
        <v>327</v>
      </c>
    </row>
    <row r="61" spans="3:12" x14ac:dyDescent="0.2">
      <c r="C61" s="376" t="s">
        <v>1026</v>
      </c>
      <c r="D61" s="376">
        <v>0</v>
      </c>
      <c r="E61" s="376">
        <v>-999</v>
      </c>
      <c r="F61" s="376">
        <v>-999</v>
      </c>
      <c r="G61" s="376">
        <v>-999</v>
      </c>
      <c r="H61" s="376">
        <v>-999</v>
      </c>
      <c r="K61" s="376" t="s">
        <v>250</v>
      </c>
      <c r="L61" s="376">
        <v>328</v>
      </c>
    </row>
    <row r="62" spans="3:12" x14ac:dyDescent="0.2">
      <c r="C62" s="376" t="s">
        <v>1027</v>
      </c>
      <c r="D62" s="376">
        <v>0</v>
      </c>
      <c r="E62" s="376">
        <v>-999</v>
      </c>
      <c r="F62" s="376">
        <v>-999</v>
      </c>
      <c r="G62" s="376">
        <v>-999</v>
      </c>
      <c r="H62" s="376">
        <v>-999</v>
      </c>
      <c r="K62" s="376" t="s">
        <v>250</v>
      </c>
      <c r="L62" s="376">
        <v>329</v>
      </c>
    </row>
    <row r="63" spans="3:12" x14ac:dyDescent="0.2">
      <c r="C63" s="376" t="s">
        <v>1028</v>
      </c>
      <c r="D63" s="376">
        <v>0</v>
      </c>
      <c r="E63" s="376">
        <v>-999</v>
      </c>
      <c r="F63" s="376">
        <v>-999</v>
      </c>
      <c r="G63" s="376">
        <v>-999</v>
      </c>
      <c r="H63" s="376">
        <v>-999</v>
      </c>
      <c r="K63" s="376" t="s">
        <v>250</v>
      </c>
      <c r="L63" s="376">
        <v>330</v>
      </c>
    </row>
    <row r="64" spans="3:12" x14ac:dyDescent="0.2">
      <c r="C64" s="376" t="s">
        <v>1029</v>
      </c>
      <c r="D64" s="376">
        <v>0</v>
      </c>
      <c r="E64" s="376">
        <v>-999</v>
      </c>
      <c r="F64" s="376">
        <v>-999</v>
      </c>
      <c r="G64" s="376">
        <v>-999</v>
      </c>
      <c r="H64" s="376">
        <v>-999</v>
      </c>
      <c r="K64" s="376" t="s">
        <v>250</v>
      </c>
      <c r="L64" s="376">
        <v>331</v>
      </c>
    </row>
    <row r="65" spans="3:12" x14ac:dyDescent="0.2">
      <c r="C65" s="376" t="s">
        <v>1030</v>
      </c>
      <c r="D65" s="376">
        <v>0</v>
      </c>
      <c r="E65" s="376">
        <v>-999</v>
      </c>
      <c r="F65" s="376">
        <v>-999</v>
      </c>
      <c r="G65" s="376">
        <v>-999</v>
      </c>
      <c r="H65" s="376">
        <v>-999</v>
      </c>
      <c r="K65" s="376" t="s">
        <v>250</v>
      </c>
      <c r="L65" s="376">
        <v>332</v>
      </c>
    </row>
    <row r="66" spans="3:12" x14ac:dyDescent="0.2">
      <c r="C66" s="376" t="s">
        <v>1031</v>
      </c>
      <c r="D66" s="376">
        <v>0</v>
      </c>
      <c r="E66" s="376">
        <v>-999</v>
      </c>
      <c r="F66" s="376">
        <v>-999</v>
      </c>
      <c r="G66" s="376">
        <v>-999</v>
      </c>
      <c r="H66" s="376">
        <v>-999</v>
      </c>
      <c r="K66" s="376" t="s">
        <v>250</v>
      </c>
      <c r="L66" s="376">
        <v>333</v>
      </c>
    </row>
    <row r="67" spans="3:12" x14ac:dyDescent="0.2">
      <c r="C67" s="376" t="s">
        <v>1032</v>
      </c>
      <c r="D67" s="376">
        <v>0</v>
      </c>
      <c r="E67" s="376">
        <v>-999</v>
      </c>
      <c r="F67" s="376">
        <v>-999</v>
      </c>
      <c r="G67" s="376">
        <v>-999</v>
      </c>
      <c r="H67" s="376">
        <v>-999</v>
      </c>
      <c r="K67" s="376" t="s">
        <v>250</v>
      </c>
      <c r="L67" s="376">
        <v>334</v>
      </c>
    </row>
    <row r="68" spans="3:12" x14ac:dyDescent="0.2">
      <c r="C68" s="376" t="s">
        <v>1033</v>
      </c>
      <c r="D68" s="376">
        <v>0</v>
      </c>
      <c r="E68" s="376">
        <v>-999</v>
      </c>
      <c r="F68" s="376">
        <v>-999</v>
      </c>
      <c r="G68" s="376">
        <v>-999</v>
      </c>
      <c r="H68" s="376">
        <v>-999</v>
      </c>
      <c r="K68" s="376" t="s">
        <v>250</v>
      </c>
      <c r="L68" s="376">
        <v>335</v>
      </c>
    </row>
    <row r="69" spans="3:12" x14ac:dyDescent="0.2">
      <c r="C69" s="376" t="s">
        <v>647</v>
      </c>
      <c r="D69" s="376">
        <v>0</v>
      </c>
      <c r="E69" s="376">
        <v>-999</v>
      </c>
      <c r="F69" s="376">
        <v>-999</v>
      </c>
      <c r="G69" s="376">
        <v>-999</v>
      </c>
      <c r="H69" s="376">
        <v>-999</v>
      </c>
      <c r="K69" s="376" t="s">
        <v>250</v>
      </c>
      <c r="L69" s="376">
        <v>336</v>
      </c>
    </row>
    <row r="70" spans="3:12" x14ac:dyDescent="0.2">
      <c r="C70" s="376" t="s">
        <v>648</v>
      </c>
      <c r="D70" s="376">
        <v>0</v>
      </c>
      <c r="E70" s="376">
        <v>-999</v>
      </c>
      <c r="F70" s="376">
        <v>-999</v>
      </c>
      <c r="G70" s="376">
        <v>-999</v>
      </c>
      <c r="H70" s="376">
        <v>-999</v>
      </c>
      <c r="K70" s="376" t="s">
        <v>250</v>
      </c>
      <c r="L70" s="376">
        <v>338</v>
      </c>
    </row>
    <row r="71" spans="3:12" x14ac:dyDescent="0.2">
      <c r="C71" s="376" t="s">
        <v>954</v>
      </c>
      <c r="D71" s="376">
        <v>0</v>
      </c>
      <c r="E71" s="376">
        <v>-999</v>
      </c>
      <c r="F71" s="376">
        <v>-999</v>
      </c>
      <c r="G71" s="376">
        <v>-999</v>
      </c>
      <c r="H71" s="376">
        <v>-999</v>
      </c>
      <c r="K71" s="376" t="s">
        <v>250</v>
      </c>
      <c r="L71" s="376">
        <v>339</v>
      </c>
    </row>
    <row r="72" spans="3:12" x14ac:dyDescent="0.2">
      <c r="C72" s="376" t="s">
        <v>652</v>
      </c>
      <c r="D72" s="376">
        <v>0</v>
      </c>
      <c r="E72" s="376">
        <v>-999</v>
      </c>
      <c r="F72" s="376">
        <v>-999</v>
      </c>
      <c r="G72" s="376">
        <v>-999</v>
      </c>
      <c r="H72" s="376">
        <v>-999</v>
      </c>
      <c r="K72" s="376" t="s">
        <v>250</v>
      </c>
      <c r="L72" s="376">
        <v>340</v>
      </c>
    </row>
    <row r="73" spans="3:12" x14ac:dyDescent="0.2">
      <c r="C73" s="376" t="s">
        <v>653</v>
      </c>
      <c r="D73" s="376">
        <v>0</v>
      </c>
      <c r="E73" s="376">
        <v>-999</v>
      </c>
      <c r="F73" s="376">
        <v>-999</v>
      </c>
      <c r="G73" s="376">
        <v>-999</v>
      </c>
      <c r="H73" s="376">
        <v>-999</v>
      </c>
      <c r="K73" s="376" t="s">
        <v>250</v>
      </c>
      <c r="L73" s="376">
        <v>341</v>
      </c>
    </row>
    <row r="74" spans="3:12" x14ac:dyDescent="0.2">
      <c r="C74" s="376" t="s">
        <v>955</v>
      </c>
      <c r="D74" s="376">
        <v>0</v>
      </c>
      <c r="E74" s="376">
        <v>-999</v>
      </c>
      <c r="F74" s="376">
        <v>-999</v>
      </c>
      <c r="G74" s="376">
        <v>-999</v>
      </c>
      <c r="H74" s="376">
        <v>-999</v>
      </c>
      <c r="K74" s="376" t="s">
        <v>250</v>
      </c>
      <c r="L74" s="376">
        <v>342</v>
      </c>
    </row>
    <row r="75" spans="3:12" x14ac:dyDescent="0.2">
      <c r="C75" s="376" t="s">
        <v>956</v>
      </c>
      <c r="D75" s="376">
        <v>0</v>
      </c>
      <c r="E75" s="376">
        <v>-999</v>
      </c>
      <c r="F75" s="376">
        <v>-999</v>
      </c>
      <c r="G75" s="376">
        <v>-999</v>
      </c>
      <c r="H75" s="376">
        <v>-999</v>
      </c>
      <c r="K75" s="376" t="s">
        <v>250</v>
      </c>
      <c r="L75" s="376">
        <v>343</v>
      </c>
    </row>
    <row r="76" spans="3:12" x14ac:dyDescent="0.2">
      <c r="C76" s="376" t="s">
        <v>957</v>
      </c>
      <c r="D76" s="376">
        <v>0</v>
      </c>
      <c r="E76" s="376">
        <v>-999</v>
      </c>
      <c r="F76" s="376">
        <v>-999</v>
      </c>
      <c r="G76" s="376">
        <v>-999</v>
      </c>
      <c r="H76" s="376">
        <v>-999</v>
      </c>
      <c r="K76" s="376" t="s">
        <v>250</v>
      </c>
      <c r="L76" s="376">
        <v>344</v>
      </c>
    </row>
    <row r="77" spans="3:12" x14ac:dyDescent="0.2">
      <c r="C77" s="376" t="s">
        <v>830</v>
      </c>
      <c r="D77" s="376">
        <v>0</v>
      </c>
      <c r="E77" s="376">
        <v>-999</v>
      </c>
      <c r="F77" s="376">
        <v>-999</v>
      </c>
      <c r="G77" s="376">
        <v>-999</v>
      </c>
      <c r="H77" s="376">
        <v>-999</v>
      </c>
      <c r="K77" s="376" t="s">
        <v>250</v>
      </c>
      <c r="L77" s="376">
        <v>346</v>
      </c>
    </row>
    <row r="78" spans="3:12" x14ac:dyDescent="0.2">
      <c r="C78" s="376" t="s">
        <v>958</v>
      </c>
      <c r="D78" s="376">
        <v>0</v>
      </c>
      <c r="E78" s="376">
        <v>-999</v>
      </c>
      <c r="F78" s="376">
        <v>-999</v>
      </c>
      <c r="G78" s="376">
        <v>-999</v>
      </c>
      <c r="H78" s="376">
        <v>-999</v>
      </c>
      <c r="K78" s="376" t="s">
        <v>250</v>
      </c>
      <c r="L78" s="376">
        <v>347</v>
      </c>
    </row>
    <row r="79" spans="3:12" x14ac:dyDescent="0.2">
      <c r="C79" s="376" t="s">
        <v>1067</v>
      </c>
      <c r="D79" s="376">
        <v>0</v>
      </c>
      <c r="E79" s="376">
        <v>-999</v>
      </c>
      <c r="F79" s="376">
        <v>-999</v>
      </c>
      <c r="G79" s="376">
        <v>-999</v>
      </c>
      <c r="H79" s="376">
        <v>-999</v>
      </c>
      <c r="K79" s="376" t="s">
        <v>250</v>
      </c>
      <c r="L79" s="376">
        <v>348</v>
      </c>
    </row>
    <row r="80" spans="3:12" x14ac:dyDescent="0.2">
      <c r="C80" s="376" t="s">
        <v>1068</v>
      </c>
      <c r="D80" s="376">
        <v>0</v>
      </c>
      <c r="E80" s="376">
        <v>-999</v>
      </c>
      <c r="F80" s="376">
        <v>-999</v>
      </c>
      <c r="G80" s="376">
        <v>-999</v>
      </c>
      <c r="H80" s="376">
        <v>-999</v>
      </c>
      <c r="K80" s="376" t="s">
        <v>250</v>
      </c>
      <c r="L80" s="376">
        <v>349</v>
      </c>
    </row>
    <row r="81" spans="3:12" x14ac:dyDescent="0.2">
      <c r="C81" s="376" t="s">
        <v>1069</v>
      </c>
      <c r="D81" s="376">
        <v>0</v>
      </c>
      <c r="E81" s="376">
        <v>-999</v>
      </c>
      <c r="F81" s="376">
        <v>-999</v>
      </c>
      <c r="G81" s="376">
        <v>-999</v>
      </c>
      <c r="H81" s="376">
        <v>-999</v>
      </c>
      <c r="K81" s="376" t="s">
        <v>250</v>
      </c>
      <c r="L81" s="376">
        <v>350</v>
      </c>
    </row>
    <row r="82" spans="3:12" x14ac:dyDescent="0.2">
      <c r="C82" s="376" t="s">
        <v>961</v>
      </c>
      <c r="D82" s="376">
        <v>0</v>
      </c>
      <c r="E82" s="376">
        <v>-999</v>
      </c>
      <c r="F82" s="376">
        <v>-999</v>
      </c>
      <c r="G82" s="376">
        <v>-999</v>
      </c>
      <c r="H82" s="376">
        <v>-999</v>
      </c>
      <c r="K82" s="376" t="s">
        <v>250</v>
      </c>
      <c r="L82" s="376">
        <v>352</v>
      </c>
    </row>
    <row r="83" spans="3:12" x14ac:dyDescent="0.2">
      <c r="C83" s="376" t="s">
        <v>963</v>
      </c>
      <c r="D83" s="376">
        <v>0</v>
      </c>
      <c r="E83" s="376">
        <v>-999</v>
      </c>
      <c r="F83" s="376">
        <v>-999</v>
      </c>
      <c r="G83" s="376">
        <v>-999</v>
      </c>
      <c r="H83" s="376">
        <v>-999</v>
      </c>
      <c r="K83" s="376" t="s">
        <v>250</v>
      </c>
      <c r="L83" s="376">
        <v>353</v>
      </c>
    </row>
    <row r="84" spans="3:12" x14ac:dyDescent="0.2">
      <c r="C84" s="376" t="s">
        <v>962</v>
      </c>
      <c r="D84" s="376">
        <v>0</v>
      </c>
      <c r="E84" s="376">
        <v>-999</v>
      </c>
      <c r="F84" s="376">
        <v>-999</v>
      </c>
      <c r="G84" s="376">
        <v>-999</v>
      </c>
      <c r="H84" s="376">
        <v>-999</v>
      </c>
      <c r="K84" s="376" t="s">
        <v>250</v>
      </c>
      <c r="L84" s="376">
        <v>354</v>
      </c>
    </row>
    <row r="85" spans="3:12" x14ac:dyDescent="0.2">
      <c r="C85" s="376" t="s">
        <v>1070</v>
      </c>
      <c r="D85" s="376">
        <v>0</v>
      </c>
      <c r="E85" s="376">
        <v>-999</v>
      </c>
      <c r="F85" s="376">
        <v>-999</v>
      </c>
      <c r="G85" s="376">
        <v>-999</v>
      </c>
      <c r="H85" s="376">
        <v>-999</v>
      </c>
      <c r="K85" s="376" t="s">
        <v>250</v>
      </c>
      <c r="L85" s="376">
        <v>355</v>
      </c>
    </row>
    <row r="86" spans="3:12" x14ac:dyDescent="0.2">
      <c r="C86" s="376" t="s">
        <v>965</v>
      </c>
      <c r="D86" s="376">
        <v>0</v>
      </c>
      <c r="E86" s="376">
        <v>-999</v>
      </c>
      <c r="F86" s="376">
        <v>-999</v>
      </c>
      <c r="G86" s="376">
        <v>-999</v>
      </c>
      <c r="H86" s="376">
        <v>-999</v>
      </c>
      <c r="K86" s="376" t="s">
        <v>250</v>
      </c>
      <c r="L86" s="376">
        <v>356</v>
      </c>
    </row>
    <row r="87" spans="3:12" x14ac:dyDescent="0.2">
      <c r="C87" s="376" t="s">
        <v>968</v>
      </c>
      <c r="D87" s="376">
        <v>0</v>
      </c>
      <c r="E87" s="376">
        <v>-999</v>
      </c>
      <c r="F87" s="376">
        <v>-999</v>
      </c>
      <c r="G87" s="376">
        <v>-999</v>
      </c>
      <c r="H87" s="376">
        <v>-999</v>
      </c>
      <c r="K87" s="376" t="s">
        <v>250</v>
      </c>
      <c r="L87" s="376">
        <v>357</v>
      </c>
    </row>
    <row r="88" spans="3:12" x14ac:dyDescent="0.2">
      <c r="C88" s="376" t="s">
        <v>969</v>
      </c>
      <c r="D88" s="376">
        <v>0</v>
      </c>
      <c r="E88" s="376">
        <v>-999</v>
      </c>
      <c r="F88" s="376">
        <v>-999</v>
      </c>
      <c r="G88" s="376">
        <v>-999</v>
      </c>
      <c r="H88" s="376">
        <v>-999</v>
      </c>
      <c r="K88" s="376" t="s">
        <v>250</v>
      </c>
      <c r="L88" s="376">
        <v>360</v>
      </c>
    </row>
    <row r="89" spans="3:12" x14ac:dyDescent="0.2">
      <c r="C89" s="376" t="s">
        <v>834</v>
      </c>
      <c r="D89" s="376">
        <v>0</v>
      </c>
      <c r="E89" s="376">
        <v>-999</v>
      </c>
      <c r="F89" s="376">
        <v>-999</v>
      </c>
      <c r="G89" s="376">
        <v>-999</v>
      </c>
      <c r="H89" s="376">
        <v>-999</v>
      </c>
      <c r="K89" s="376" t="s">
        <v>250</v>
      </c>
      <c r="L89" s="376">
        <v>362</v>
      </c>
    </row>
    <row r="90" spans="3:12" x14ac:dyDescent="0.2">
      <c r="C90" s="376" t="s">
        <v>973</v>
      </c>
      <c r="D90" s="376">
        <v>0</v>
      </c>
      <c r="E90" s="376">
        <v>-999</v>
      </c>
      <c r="F90" s="376">
        <v>-999</v>
      </c>
      <c r="G90" s="376">
        <v>-999</v>
      </c>
      <c r="H90" s="376">
        <v>-999</v>
      </c>
      <c r="K90" s="376" t="s">
        <v>250</v>
      </c>
      <c r="L90" s="376">
        <v>363</v>
      </c>
    </row>
    <row r="91" spans="3:12" x14ac:dyDescent="0.2">
      <c r="C91" s="376" t="s">
        <v>1071</v>
      </c>
      <c r="D91" s="376">
        <v>0</v>
      </c>
      <c r="E91" s="376">
        <v>-999</v>
      </c>
      <c r="F91" s="376">
        <v>-999</v>
      </c>
      <c r="G91" s="376">
        <v>-999</v>
      </c>
      <c r="H91" s="376">
        <v>-999</v>
      </c>
      <c r="K91" s="376" t="s">
        <v>250</v>
      </c>
      <c r="L91" s="376">
        <v>364</v>
      </c>
    </row>
    <row r="92" spans="3:12" x14ac:dyDescent="0.2">
      <c r="C92" s="376" t="s">
        <v>1072</v>
      </c>
      <c r="D92" s="376">
        <v>0</v>
      </c>
      <c r="E92" s="376">
        <v>-999</v>
      </c>
      <c r="F92" s="376">
        <v>-999</v>
      </c>
      <c r="G92" s="376">
        <v>-999</v>
      </c>
      <c r="H92" s="376">
        <v>-999</v>
      </c>
      <c r="K92" s="376" t="s">
        <v>250</v>
      </c>
      <c r="L92" s="376">
        <v>365</v>
      </c>
    </row>
    <row r="93" spans="3:12" x14ac:dyDescent="0.2">
      <c r="C93" s="376" t="s">
        <v>1073</v>
      </c>
      <c r="D93" s="376">
        <v>0</v>
      </c>
      <c r="E93" s="376">
        <v>-999</v>
      </c>
      <c r="F93" s="376">
        <v>-999</v>
      </c>
      <c r="G93" s="376">
        <v>-999</v>
      </c>
      <c r="H93" s="376">
        <v>-999</v>
      </c>
      <c r="K93" s="376" t="s">
        <v>250</v>
      </c>
      <c r="L93" s="376">
        <v>366</v>
      </c>
    </row>
    <row r="94" spans="3:12" x14ac:dyDescent="0.2">
      <c r="C94" s="376" t="s">
        <v>1012</v>
      </c>
      <c r="D94" s="376">
        <v>0</v>
      </c>
      <c r="E94" s="376">
        <v>-999</v>
      </c>
      <c r="F94" s="376">
        <v>-999</v>
      </c>
      <c r="G94" s="376">
        <v>-999</v>
      </c>
      <c r="H94" s="376">
        <v>-999</v>
      </c>
      <c r="K94" s="376" t="s">
        <v>250</v>
      </c>
      <c r="L94" s="376">
        <v>367</v>
      </c>
    </row>
    <row r="95" spans="3:12" x14ac:dyDescent="0.2">
      <c r="C95" s="376" t="s">
        <v>1013</v>
      </c>
      <c r="D95" s="376">
        <v>0</v>
      </c>
      <c r="E95" s="376">
        <v>-999</v>
      </c>
      <c r="F95" s="376">
        <v>-999</v>
      </c>
      <c r="G95" s="376">
        <v>-999</v>
      </c>
      <c r="H95" s="376">
        <v>-999</v>
      </c>
      <c r="K95" s="376" t="s">
        <v>250</v>
      </c>
      <c r="L95" s="376">
        <v>368</v>
      </c>
    </row>
    <row r="96" spans="3:12" x14ac:dyDescent="0.2">
      <c r="C96" s="376" t="s">
        <v>1014</v>
      </c>
      <c r="D96" s="376">
        <v>0</v>
      </c>
      <c r="E96" s="376">
        <v>-999</v>
      </c>
      <c r="F96" s="376">
        <v>-999</v>
      </c>
      <c r="G96" s="376">
        <v>-999</v>
      </c>
      <c r="H96" s="376">
        <v>-999</v>
      </c>
      <c r="K96" s="376" t="s">
        <v>250</v>
      </c>
      <c r="L96" s="376">
        <v>369</v>
      </c>
    </row>
    <row r="97" spans="2:12" x14ac:dyDescent="0.2">
      <c r="C97" s="376" t="s">
        <v>1015</v>
      </c>
      <c r="D97" s="376">
        <v>0</v>
      </c>
      <c r="E97" s="376">
        <v>-999</v>
      </c>
      <c r="F97" s="376">
        <v>-999</v>
      </c>
      <c r="G97" s="376">
        <v>-999</v>
      </c>
      <c r="H97" s="376">
        <v>-999</v>
      </c>
      <c r="K97" s="376" t="s">
        <v>250</v>
      </c>
      <c r="L97" s="376">
        <v>370</v>
      </c>
    </row>
    <row r="98" spans="2:12" x14ac:dyDescent="0.2">
      <c r="C98" s="376" t="s">
        <v>976</v>
      </c>
      <c r="D98" s="376">
        <v>0</v>
      </c>
      <c r="E98" s="376">
        <v>-999</v>
      </c>
      <c r="F98" s="376">
        <v>-999</v>
      </c>
      <c r="G98" s="376">
        <v>-999</v>
      </c>
      <c r="H98" s="376">
        <v>-999</v>
      </c>
      <c r="K98" s="376" t="s">
        <v>250</v>
      </c>
      <c r="L98" s="376">
        <v>373</v>
      </c>
    </row>
    <row r="99" spans="2:12" x14ac:dyDescent="0.2">
      <c r="C99" s="376" t="s">
        <v>977</v>
      </c>
      <c r="D99" s="376">
        <v>0</v>
      </c>
      <c r="E99" s="376">
        <v>-999</v>
      </c>
      <c r="F99" s="376">
        <v>-999</v>
      </c>
      <c r="G99" s="376">
        <v>-999</v>
      </c>
      <c r="H99" s="376">
        <v>-999</v>
      </c>
      <c r="K99" s="376" t="s">
        <v>250</v>
      </c>
      <c r="L99" s="376">
        <v>374</v>
      </c>
    </row>
    <row r="100" spans="2:12" x14ac:dyDescent="0.2">
      <c r="C100" s="376" t="s">
        <v>935</v>
      </c>
      <c r="D100" s="376">
        <v>0</v>
      </c>
      <c r="E100" s="376">
        <v>-999</v>
      </c>
      <c r="F100" s="376">
        <v>-999</v>
      </c>
      <c r="G100" s="376">
        <v>-999</v>
      </c>
      <c r="H100" s="376">
        <v>-999</v>
      </c>
      <c r="K100" s="376" t="s">
        <v>250</v>
      </c>
      <c r="L100" s="376">
        <v>375</v>
      </c>
    </row>
    <row r="101" spans="2:12" x14ac:dyDescent="0.2">
      <c r="C101" s="376" t="s">
        <v>666</v>
      </c>
      <c r="D101" s="376">
        <v>0</v>
      </c>
      <c r="E101" s="376">
        <v>-999</v>
      </c>
      <c r="F101" s="376">
        <v>-999</v>
      </c>
      <c r="G101" s="376">
        <v>-999</v>
      </c>
      <c r="H101" s="376">
        <v>-999</v>
      </c>
      <c r="K101" s="376" t="s">
        <v>250</v>
      </c>
      <c r="L101" s="376">
        <v>376</v>
      </c>
    </row>
    <row r="102" spans="2:12" x14ac:dyDescent="0.2">
      <c r="C102" s="376" t="s">
        <v>667</v>
      </c>
      <c r="D102" s="376">
        <v>0</v>
      </c>
      <c r="E102" s="376">
        <v>-999</v>
      </c>
      <c r="F102" s="376">
        <v>-999</v>
      </c>
      <c r="G102" s="376">
        <v>-999</v>
      </c>
      <c r="H102" s="376">
        <v>-999</v>
      </c>
      <c r="K102" s="376" t="s">
        <v>250</v>
      </c>
      <c r="L102" s="376">
        <v>377</v>
      </c>
    </row>
    <row r="103" spans="2:12" x14ac:dyDescent="0.2">
      <c r="C103" s="376" t="s">
        <v>668</v>
      </c>
      <c r="D103" s="376">
        <v>0</v>
      </c>
      <c r="E103" s="376">
        <v>-999</v>
      </c>
      <c r="F103" s="376">
        <v>-999</v>
      </c>
      <c r="G103" s="376">
        <v>-999</v>
      </c>
      <c r="H103" s="376">
        <v>-999</v>
      </c>
      <c r="K103" s="376" t="s">
        <v>250</v>
      </c>
      <c r="L103" s="376">
        <v>378</v>
      </c>
    </row>
    <row r="104" spans="2:12" x14ac:dyDescent="0.2">
      <c r="C104" s="376" t="s">
        <v>1204</v>
      </c>
      <c r="D104" s="376">
        <v>0</v>
      </c>
      <c r="E104" s="376">
        <v>-999</v>
      </c>
      <c r="F104" s="376">
        <v>-999</v>
      </c>
      <c r="G104" s="376">
        <v>-999</v>
      </c>
      <c r="H104" s="376">
        <v>-999</v>
      </c>
      <c r="K104" s="376" t="s">
        <v>250</v>
      </c>
      <c r="L104" s="376">
        <v>379</v>
      </c>
    </row>
    <row r="105" spans="2:12" x14ac:dyDescent="0.2">
      <c r="C105" s="376" t="s">
        <v>1204</v>
      </c>
      <c r="D105" s="376">
        <v>0</v>
      </c>
      <c r="E105" s="376">
        <v>-999</v>
      </c>
      <c r="F105" s="376">
        <v>-999</v>
      </c>
      <c r="G105" s="376">
        <v>-999</v>
      </c>
      <c r="H105" s="376">
        <v>-999</v>
      </c>
      <c r="K105" s="376" t="s">
        <v>250</v>
      </c>
      <c r="L105" s="376">
        <v>380</v>
      </c>
    </row>
    <row r="106" spans="2:12" x14ac:dyDescent="0.2">
      <c r="B106" s="376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446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272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7" x14ac:dyDescent="0.25">
      <c r="C24" s="140" t="s">
        <v>543</v>
      </c>
      <c r="D24" s="17" t="s">
        <v>452</v>
      </c>
      <c r="E24" s="17" t="s">
        <v>453</v>
      </c>
      <c r="F24" s="17" t="s">
        <v>454</v>
      </c>
      <c r="G24" s="17" t="s">
        <v>455</v>
      </c>
    </row>
    <row r="25" spans="1:7" x14ac:dyDescent="0.25">
      <c r="A25" s="138" t="s">
        <v>250</v>
      </c>
      <c r="C25" s="138" t="s">
        <v>439</v>
      </c>
      <c r="D25" s="39" t="s">
        <v>448</v>
      </c>
      <c r="E25" s="39" t="s">
        <v>449</v>
      </c>
      <c r="F25" s="39" t="s">
        <v>450</v>
      </c>
      <c r="G25" s="39" t="s">
        <v>451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150</v>
      </c>
      <c r="D26" s="62">
        <v>0.4</v>
      </c>
      <c r="E26" s="61">
        <v>0.45</v>
      </c>
      <c r="F26" s="42">
        <v>0.6</v>
      </c>
      <c r="G26" s="42">
        <v>0.75</v>
      </c>
      <c r="L26" s="341"/>
      <c r="M26" s="341"/>
      <c r="N26" s="341"/>
      <c r="O26" s="341"/>
    </row>
    <row r="27" spans="1:15" x14ac:dyDescent="0.25">
      <c r="C27" s="138">
        <v>200</v>
      </c>
      <c r="D27" s="62">
        <v>0.45</v>
      </c>
      <c r="E27" s="62">
        <v>0.55000000000000004</v>
      </c>
      <c r="F27" s="42">
        <v>0.75</v>
      </c>
      <c r="G27" s="42">
        <v>1</v>
      </c>
      <c r="L27" s="341"/>
      <c r="M27" s="341"/>
      <c r="N27" s="341"/>
      <c r="O27" s="341"/>
    </row>
    <row r="28" spans="1:15" x14ac:dyDescent="0.25">
      <c r="C28" s="138">
        <f>C27+100</f>
        <v>300</v>
      </c>
      <c r="D28" s="62">
        <v>0.65</v>
      </c>
      <c r="E28" s="62">
        <v>0.8</v>
      </c>
      <c r="F28" s="42">
        <v>1</v>
      </c>
      <c r="G28" s="42">
        <v>1.4</v>
      </c>
      <c r="L28" s="341"/>
      <c r="M28" s="341"/>
      <c r="N28" s="341"/>
      <c r="O28" s="341"/>
    </row>
    <row r="29" spans="1:15" x14ac:dyDescent="0.25">
      <c r="C29" s="138">
        <f>C28+100</f>
        <v>400</v>
      </c>
      <c r="D29" s="62">
        <v>0.75</v>
      </c>
      <c r="E29" s="62">
        <v>0.95</v>
      </c>
      <c r="F29" s="42">
        <v>1.25</v>
      </c>
      <c r="G29" s="42">
        <v>1.5</v>
      </c>
      <c r="L29" s="341"/>
      <c r="M29" s="341"/>
      <c r="N29" s="341"/>
      <c r="O29" s="341"/>
    </row>
    <row r="30" spans="1:15" x14ac:dyDescent="0.25">
      <c r="C30" s="138">
        <f>C29+100</f>
        <v>500</v>
      </c>
      <c r="D30" s="62">
        <v>0.9</v>
      </c>
      <c r="E30" s="62">
        <v>1.05</v>
      </c>
      <c r="F30" s="42">
        <v>1.45</v>
      </c>
      <c r="G30" s="42">
        <v>1.85</v>
      </c>
      <c r="L30" s="341"/>
      <c r="M30" s="341"/>
      <c r="N30" s="341"/>
      <c r="O30" s="341"/>
    </row>
    <row r="31" spans="1:15" x14ac:dyDescent="0.25">
      <c r="C31" s="138">
        <f>C30+100</f>
        <v>600</v>
      </c>
      <c r="D31" s="62">
        <v>1.08</v>
      </c>
      <c r="E31" s="62">
        <v>1.24</v>
      </c>
      <c r="F31" s="42">
        <v>1.64</v>
      </c>
      <c r="G31" s="42">
        <v>2.38</v>
      </c>
      <c r="L31" s="341"/>
      <c r="M31" s="341"/>
      <c r="N31" s="341"/>
      <c r="O31" s="341"/>
    </row>
    <row r="32" spans="1:15" x14ac:dyDescent="0.25">
      <c r="B32" s="138" t="s">
        <v>245</v>
      </c>
      <c r="E32" s="42"/>
      <c r="F32" s="42"/>
      <c r="G32" s="4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cols>
    <col min="1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C8" s="390">
        <v>42206</v>
      </c>
      <c r="D8" s="138" t="s">
        <v>410</v>
      </c>
      <c r="E8" s="138" t="s">
        <v>265</v>
      </c>
    </row>
    <row r="9" spans="1:5" x14ac:dyDescent="0.25">
      <c r="A9" s="138" t="s">
        <v>250</v>
      </c>
      <c r="C9" s="390">
        <v>44518</v>
      </c>
      <c r="D9" s="138" t="s">
        <v>1192</v>
      </c>
      <c r="E9" s="138" t="s">
        <v>1191</v>
      </c>
    </row>
    <row r="10" spans="1:5" x14ac:dyDescent="0.25">
      <c r="A10" s="138" t="s">
        <v>250</v>
      </c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7" x14ac:dyDescent="0.25">
      <c r="A17" s="138" t="s">
        <v>250</v>
      </c>
      <c r="B17" s="138" t="s">
        <v>272</v>
      </c>
    </row>
    <row r="18" spans="1:7" x14ac:dyDescent="0.25">
      <c r="A18" s="138" t="s">
        <v>250</v>
      </c>
      <c r="C18" s="138" t="s">
        <v>1193</v>
      </c>
    </row>
    <row r="19" spans="1:7" x14ac:dyDescent="0.25">
      <c r="A19" s="138" t="s">
        <v>250</v>
      </c>
    </row>
    <row r="20" spans="1:7" x14ac:dyDescent="0.25">
      <c r="A20" s="138" t="s">
        <v>250</v>
      </c>
    </row>
    <row r="21" spans="1:7" x14ac:dyDescent="0.25">
      <c r="A21" s="138" t="s">
        <v>365</v>
      </c>
    </row>
    <row r="22" spans="1:7" x14ac:dyDescent="0.25">
      <c r="B22" s="138" t="s">
        <v>1194</v>
      </c>
    </row>
    <row r="23" spans="1:7" x14ac:dyDescent="0.25">
      <c r="C23" s="138" t="s">
        <v>447</v>
      </c>
      <c r="D23" s="138" t="s">
        <v>456</v>
      </c>
      <c r="E23" s="138" t="s">
        <v>456</v>
      </c>
      <c r="F23" s="138" t="s">
        <v>456</v>
      </c>
      <c r="G23" s="138" t="s">
        <v>456</v>
      </c>
    </row>
    <row r="24" spans="1:7" x14ac:dyDescent="0.25">
      <c r="C24" s="138" t="s">
        <v>543</v>
      </c>
      <c r="D24" s="138" t="s">
        <v>452</v>
      </c>
      <c r="E24" s="138" t="s">
        <v>453</v>
      </c>
      <c r="F24" s="138" t="s">
        <v>454</v>
      </c>
      <c r="G24" s="138" t="s">
        <v>455</v>
      </c>
    </row>
    <row r="25" spans="1:7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7" x14ac:dyDescent="0.25">
      <c r="C26" s="138">
        <v>150</v>
      </c>
      <c r="D26" s="138">
        <v>0.35</v>
      </c>
      <c r="E26" s="138">
        <v>0.4</v>
      </c>
      <c r="F26" s="138">
        <v>0.5</v>
      </c>
      <c r="G26" s="138">
        <v>0.65</v>
      </c>
    </row>
    <row r="27" spans="1:7" x14ac:dyDescent="0.25">
      <c r="C27" s="138">
        <v>200</v>
      </c>
      <c r="D27" s="138">
        <v>0.4</v>
      </c>
      <c r="E27" s="138">
        <v>0.5</v>
      </c>
      <c r="F27" s="138">
        <v>0.65</v>
      </c>
      <c r="G27" s="138">
        <v>0.85</v>
      </c>
    </row>
    <row r="28" spans="1:7" x14ac:dyDescent="0.25">
      <c r="C28" s="138">
        <v>300</v>
      </c>
      <c r="D28" s="138">
        <v>0.55000000000000004</v>
      </c>
      <c r="E28" s="138">
        <v>0.7</v>
      </c>
      <c r="F28" s="138">
        <v>0.85</v>
      </c>
      <c r="G28" s="138">
        <v>1.2</v>
      </c>
    </row>
    <row r="29" spans="1:7" x14ac:dyDescent="0.25">
      <c r="C29" s="138">
        <v>400</v>
      </c>
      <c r="D29" s="138">
        <v>0.65</v>
      </c>
      <c r="E29" s="138">
        <v>0.8</v>
      </c>
      <c r="F29" s="138">
        <v>1.05</v>
      </c>
      <c r="G29" s="138">
        <v>1.25</v>
      </c>
    </row>
    <row r="30" spans="1:7" x14ac:dyDescent="0.25">
      <c r="C30" s="138">
        <v>500</v>
      </c>
      <c r="D30" s="138">
        <v>0.8</v>
      </c>
      <c r="E30" s="138">
        <v>0.9</v>
      </c>
      <c r="F30" s="138">
        <v>1.25</v>
      </c>
      <c r="G30" s="138">
        <v>1.55</v>
      </c>
    </row>
    <row r="31" spans="1:7" x14ac:dyDescent="0.25">
      <c r="C31" s="138">
        <v>600</v>
      </c>
      <c r="D31" s="138">
        <v>0.9</v>
      </c>
      <c r="E31" s="138">
        <v>1.05</v>
      </c>
      <c r="F31" s="138">
        <v>1.4</v>
      </c>
      <c r="G31" s="138">
        <v>2</v>
      </c>
    </row>
    <row r="32" spans="1:7" x14ac:dyDescent="0.25">
      <c r="B32" s="138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587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410</v>
      </c>
      <c r="E8" s="138" t="s">
        <v>265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586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365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588</v>
      </c>
      <c r="D23" s="141" t="s">
        <v>589</v>
      </c>
      <c r="E23" s="141" t="s">
        <v>590</v>
      </c>
      <c r="F23" s="141" t="s">
        <v>591</v>
      </c>
      <c r="G23" s="141" t="s">
        <v>592</v>
      </c>
      <c r="H23" s="138"/>
      <c r="I23" s="138"/>
      <c r="J23" s="138"/>
    </row>
    <row r="24" spans="1:10" x14ac:dyDescent="0.25">
      <c r="A24" s="138"/>
      <c r="B24" s="138"/>
      <c r="C24" s="140" t="s">
        <v>593</v>
      </c>
      <c r="D24" s="141" t="s">
        <v>594</v>
      </c>
      <c r="E24" s="141" t="s">
        <v>595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593</v>
      </c>
      <c r="D25" s="141" t="s">
        <v>594</v>
      </c>
      <c r="E25" s="138" t="s">
        <v>596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604</v>
      </c>
      <c r="D26" s="141" t="s">
        <v>594</v>
      </c>
      <c r="E26" s="141" t="s">
        <v>595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604</v>
      </c>
      <c r="D27" s="141" t="s">
        <v>594</v>
      </c>
      <c r="E27" s="138" t="s">
        <v>596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604</v>
      </c>
      <c r="D28" s="63" t="s">
        <v>597</v>
      </c>
      <c r="E28" s="141" t="s">
        <v>595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604</v>
      </c>
      <c r="D29" s="63" t="s">
        <v>597</v>
      </c>
      <c r="E29" s="138" t="s">
        <v>596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604</v>
      </c>
      <c r="D30" s="63" t="s">
        <v>598</v>
      </c>
      <c r="E30" s="141" t="s">
        <v>595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604</v>
      </c>
      <c r="D31" s="63" t="s">
        <v>598</v>
      </c>
      <c r="E31" s="138" t="s">
        <v>596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604</v>
      </c>
      <c r="D32" s="63" t="s">
        <v>599</v>
      </c>
      <c r="E32" s="141" t="s">
        <v>595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604</v>
      </c>
      <c r="D33" s="63" t="s">
        <v>599</v>
      </c>
      <c r="E33" s="138" t="s">
        <v>596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604</v>
      </c>
      <c r="D34" s="63" t="s">
        <v>600</v>
      </c>
      <c r="E34" s="141" t="s">
        <v>595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604</v>
      </c>
      <c r="D35" s="63" t="s">
        <v>600</v>
      </c>
      <c r="E35" s="138" t="s">
        <v>596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603</v>
      </c>
      <c r="D36" s="141" t="s">
        <v>594</v>
      </c>
      <c r="E36" s="141" t="s">
        <v>595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603</v>
      </c>
      <c r="D37" s="141" t="s">
        <v>594</v>
      </c>
      <c r="E37" s="138" t="s">
        <v>596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603</v>
      </c>
      <c r="D38" s="63" t="s">
        <v>597</v>
      </c>
      <c r="E38" s="141" t="s">
        <v>595</v>
      </c>
      <c r="F38" s="158">
        <v>1</v>
      </c>
      <c r="G38" s="158">
        <v>0.54</v>
      </c>
    </row>
    <row r="39" spans="1:10" x14ac:dyDescent="0.25">
      <c r="C39" s="140" t="s">
        <v>603</v>
      </c>
      <c r="D39" s="63" t="s">
        <v>597</v>
      </c>
      <c r="E39" s="138" t="s">
        <v>596</v>
      </c>
      <c r="F39" s="158">
        <v>1</v>
      </c>
      <c r="G39" s="158">
        <v>0.54</v>
      </c>
    </row>
    <row r="40" spans="1:10" x14ac:dyDescent="0.25">
      <c r="C40" s="140" t="s">
        <v>603</v>
      </c>
      <c r="D40" s="63" t="s">
        <v>598</v>
      </c>
      <c r="E40" s="141" t="s">
        <v>595</v>
      </c>
      <c r="F40" s="158">
        <v>1</v>
      </c>
      <c r="G40" s="158">
        <v>0.54</v>
      </c>
    </row>
    <row r="41" spans="1:10" x14ac:dyDescent="0.25">
      <c r="C41" s="140" t="s">
        <v>603</v>
      </c>
      <c r="D41" s="63" t="s">
        <v>598</v>
      </c>
      <c r="E41" s="138" t="s">
        <v>596</v>
      </c>
      <c r="F41" s="158">
        <v>1</v>
      </c>
      <c r="G41" s="158">
        <v>0.54</v>
      </c>
    </row>
    <row r="42" spans="1:10" x14ac:dyDescent="0.25">
      <c r="C42" s="140" t="s">
        <v>603</v>
      </c>
      <c r="D42" s="63" t="s">
        <v>599</v>
      </c>
      <c r="E42" s="141" t="s">
        <v>595</v>
      </c>
      <c r="F42" s="158">
        <v>1</v>
      </c>
      <c r="G42" s="158">
        <v>0.54</v>
      </c>
    </row>
    <row r="43" spans="1:10" x14ac:dyDescent="0.25">
      <c r="C43" s="140" t="s">
        <v>603</v>
      </c>
      <c r="D43" s="63" t="s">
        <v>599</v>
      </c>
      <c r="E43" s="138" t="s">
        <v>596</v>
      </c>
      <c r="F43" s="158">
        <v>1</v>
      </c>
      <c r="G43" s="158">
        <v>0.54</v>
      </c>
    </row>
    <row r="44" spans="1:10" x14ac:dyDescent="0.25">
      <c r="C44" s="140" t="s">
        <v>603</v>
      </c>
      <c r="D44" s="63" t="s">
        <v>600</v>
      </c>
      <c r="E44" s="141" t="s">
        <v>595</v>
      </c>
      <c r="F44" s="158">
        <v>1</v>
      </c>
      <c r="G44" s="158">
        <v>0.54</v>
      </c>
    </row>
    <row r="45" spans="1:10" x14ac:dyDescent="0.25">
      <c r="C45" s="140" t="s">
        <v>603</v>
      </c>
      <c r="D45" s="63" t="s">
        <v>600</v>
      </c>
      <c r="E45" s="138" t="s">
        <v>596</v>
      </c>
      <c r="F45" s="158">
        <v>1</v>
      </c>
      <c r="G45" s="158">
        <v>0.54</v>
      </c>
    </row>
    <row r="46" spans="1:10" x14ac:dyDescent="0.25">
      <c r="C46" s="140" t="s">
        <v>603</v>
      </c>
      <c r="D46" s="63" t="s">
        <v>601</v>
      </c>
      <c r="E46" s="141" t="s">
        <v>595</v>
      </c>
      <c r="F46" s="158">
        <v>1</v>
      </c>
      <c r="G46" s="158">
        <v>0.54</v>
      </c>
    </row>
    <row r="47" spans="1:10" x14ac:dyDescent="0.25">
      <c r="C47" s="140" t="s">
        <v>603</v>
      </c>
      <c r="D47" s="63" t="s">
        <v>601</v>
      </c>
      <c r="E47" s="138" t="s">
        <v>596</v>
      </c>
      <c r="F47" s="158">
        <v>1</v>
      </c>
      <c r="G47" s="158">
        <v>0.54</v>
      </c>
    </row>
    <row r="48" spans="1:10" x14ac:dyDescent="0.25">
      <c r="C48" s="140" t="s">
        <v>603</v>
      </c>
      <c r="D48" s="63" t="s">
        <v>602</v>
      </c>
      <c r="E48" s="141" t="s">
        <v>595</v>
      </c>
      <c r="F48" s="158">
        <v>1</v>
      </c>
      <c r="G48" s="158">
        <v>0.54</v>
      </c>
    </row>
    <row r="49" spans="2:7" x14ac:dyDescent="0.25">
      <c r="C49" s="140" t="s">
        <v>603</v>
      </c>
      <c r="D49" s="63" t="s">
        <v>602</v>
      </c>
      <c r="E49" s="138" t="s">
        <v>596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626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41856</v>
      </c>
      <c r="D8" s="145" t="s">
        <v>410</v>
      </c>
      <c r="E8" s="138" t="s">
        <v>627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628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272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365</v>
      </c>
    </row>
    <row r="22" spans="1:5" x14ac:dyDescent="0.25">
      <c r="B22" s="140" t="s">
        <v>629</v>
      </c>
      <c r="C22" s="140"/>
    </row>
    <row r="23" spans="1:5" x14ac:dyDescent="0.25">
      <c r="C23" s="138" t="s">
        <v>589</v>
      </c>
      <c r="D23" s="138" t="s">
        <v>630</v>
      </c>
      <c r="E23" s="138" t="s">
        <v>631</v>
      </c>
    </row>
    <row r="24" spans="1:5" x14ac:dyDescent="0.25">
      <c r="C24" s="138" t="s">
        <v>599</v>
      </c>
      <c r="D24" s="138">
        <v>0.1</v>
      </c>
      <c r="E24" s="138">
        <v>0.1</v>
      </c>
    </row>
    <row r="25" spans="1:5" x14ac:dyDescent="0.25">
      <c r="C25" s="138" t="s">
        <v>594</v>
      </c>
      <c r="D25" s="138">
        <v>0.2</v>
      </c>
      <c r="E25" s="138">
        <v>0.2</v>
      </c>
    </row>
    <row r="26" spans="1:5" x14ac:dyDescent="0.25">
      <c r="C26" s="138" t="s">
        <v>601</v>
      </c>
      <c r="D26" s="138">
        <v>0.3</v>
      </c>
      <c r="E26" s="138">
        <v>0.2</v>
      </c>
    </row>
    <row r="27" spans="1:5" x14ac:dyDescent="0.25">
      <c r="C27" s="138" t="s">
        <v>600</v>
      </c>
      <c r="D27" s="138">
        <v>0.45</v>
      </c>
      <c r="E27" s="138">
        <v>0.2</v>
      </c>
    </row>
    <row r="28" spans="1:5" x14ac:dyDescent="0.25">
      <c r="C28" s="138" t="s">
        <v>602</v>
      </c>
      <c r="D28" s="138">
        <v>0.4</v>
      </c>
      <c r="E28" s="138">
        <v>0.2</v>
      </c>
    </row>
    <row r="29" spans="1:5" x14ac:dyDescent="0.25">
      <c r="C29" s="138" t="s">
        <v>597</v>
      </c>
      <c r="D29" s="138">
        <v>0.4</v>
      </c>
      <c r="E29" s="138">
        <v>0.2</v>
      </c>
    </row>
    <row r="30" spans="1:5" x14ac:dyDescent="0.25">
      <c r="C30" s="138" t="s">
        <v>598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673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262</v>
      </c>
      <c r="D7" s="138" t="s">
        <v>263</v>
      </c>
      <c r="E7" s="138" t="s">
        <v>264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410</v>
      </c>
      <c r="E8" s="138" t="s">
        <v>622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266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608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764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606</v>
      </c>
      <c r="D25" s="192" t="s">
        <v>607</v>
      </c>
      <c r="E25" s="192" t="s">
        <v>235</v>
      </c>
      <c r="F25" s="191" t="s">
        <v>609</v>
      </c>
      <c r="G25" s="204" t="s">
        <v>610</v>
      </c>
      <c r="H25" s="191" t="s">
        <v>611</v>
      </c>
      <c r="I25" s="191" t="s">
        <v>612</v>
      </c>
      <c r="J25" s="193" t="s">
        <v>613</v>
      </c>
      <c r="K25" s="191" t="s">
        <v>614</v>
      </c>
      <c r="L25" s="192" t="s">
        <v>615</v>
      </c>
      <c r="M25" s="191" t="s">
        <v>623</v>
      </c>
      <c r="N25" s="194" t="s">
        <v>624</v>
      </c>
      <c r="O25" s="194" t="s">
        <v>625</v>
      </c>
      <c r="P25" s="191" t="s">
        <v>616</v>
      </c>
      <c r="Q25" s="194" t="s">
        <v>617</v>
      </c>
      <c r="R25" s="194" t="s">
        <v>618</v>
      </c>
      <c r="S25" s="194" t="s">
        <v>250</v>
      </c>
      <c r="T25" s="194" t="s">
        <v>619</v>
      </c>
    </row>
    <row r="26" spans="1:20" ht="15.75" thickTop="1" x14ac:dyDescent="0.25">
      <c r="C26" s="185" t="s">
        <v>524</v>
      </c>
      <c r="D26" s="185" t="s">
        <v>620</v>
      </c>
      <c r="E26" s="185" t="s">
        <v>348</v>
      </c>
      <c r="F26" s="195" t="s">
        <v>348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524</v>
      </c>
      <c r="D27" s="185" t="s">
        <v>674</v>
      </c>
      <c r="E27" s="185" t="s">
        <v>522</v>
      </c>
      <c r="F27" s="195" t="s">
        <v>621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524</v>
      </c>
      <c r="D28" s="185" t="s">
        <v>674</v>
      </c>
      <c r="E28" s="195" t="s">
        <v>348</v>
      </c>
      <c r="F28" s="195" t="s">
        <v>621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524</v>
      </c>
      <c r="D29" s="185" t="s">
        <v>674</v>
      </c>
      <c r="E29" s="185" t="s">
        <v>522</v>
      </c>
      <c r="F29" s="195" t="s">
        <v>348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524</v>
      </c>
      <c r="D30" s="185" t="s">
        <v>674</v>
      </c>
      <c r="E30" s="195" t="s">
        <v>348</v>
      </c>
      <c r="F30" s="195" t="s">
        <v>348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524</v>
      </c>
      <c r="D31" s="185" t="s">
        <v>763</v>
      </c>
      <c r="E31" s="185" t="s">
        <v>522</v>
      </c>
      <c r="F31" s="195" t="s">
        <v>348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524</v>
      </c>
      <c r="D32" s="188" t="s">
        <v>763</v>
      </c>
      <c r="E32" s="199" t="s">
        <v>348</v>
      </c>
      <c r="F32" s="199" t="s">
        <v>348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620</v>
      </c>
      <c r="E33" s="185" t="s">
        <v>348</v>
      </c>
      <c r="F33" s="195" t="s">
        <v>348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674</v>
      </c>
      <c r="E34" s="195" t="s">
        <v>348</v>
      </c>
      <c r="F34" s="189" t="s">
        <v>621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674</v>
      </c>
      <c r="E35" s="195" t="s">
        <v>348</v>
      </c>
      <c r="F35" s="195" t="s">
        <v>348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763</v>
      </c>
      <c r="E36" s="195" t="s">
        <v>348</v>
      </c>
      <c r="F36" s="189" t="s">
        <v>348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9" priority="1">
      <formula>G26=1</formula>
    </cfRule>
  </conditionalFormatting>
  <conditionalFormatting sqref="G26:R36">
    <cfRule type="expression" dxfId="8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672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356</v>
      </c>
    </row>
    <row r="4" spans="1:7" x14ac:dyDescent="0.25">
      <c r="A4" s="138" t="s">
        <v>250</v>
      </c>
      <c r="C4" s="138" t="s">
        <v>676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357</v>
      </c>
    </row>
    <row r="7" spans="1:7" x14ac:dyDescent="0.25">
      <c r="A7" s="138" t="s">
        <v>250</v>
      </c>
      <c r="C7" s="138" t="s">
        <v>262</v>
      </c>
      <c r="D7" s="138" t="s">
        <v>263</v>
      </c>
      <c r="G7" s="138" t="s">
        <v>264</v>
      </c>
    </row>
    <row r="8" spans="1:7" x14ac:dyDescent="0.25">
      <c r="A8" s="138" t="s">
        <v>250</v>
      </c>
      <c r="B8" s="141"/>
      <c r="C8" s="144">
        <v>41904</v>
      </c>
      <c r="D8" s="145" t="s">
        <v>410</v>
      </c>
      <c r="E8" s="145"/>
      <c r="F8" s="145"/>
      <c r="G8" s="138" t="s">
        <v>622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266</v>
      </c>
    </row>
    <row r="13" spans="1:7" x14ac:dyDescent="0.25">
      <c r="A13" s="138" t="s">
        <v>250</v>
      </c>
      <c r="C13" s="138" t="s">
        <v>608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272</v>
      </c>
    </row>
    <row r="19" spans="1:14" x14ac:dyDescent="0.25">
      <c r="A19" s="138" t="s">
        <v>250</v>
      </c>
      <c r="C19" s="138" t="s">
        <v>764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606</v>
      </c>
      <c r="D25" s="285" t="s">
        <v>607</v>
      </c>
      <c r="E25" s="285" t="s">
        <v>235</v>
      </c>
      <c r="F25" s="286" t="s">
        <v>609</v>
      </c>
      <c r="G25" s="287" t="s">
        <v>610</v>
      </c>
      <c r="H25" s="286" t="s">
        <v>611</v>
      </c>
      <c r="I25" s="286" t="s">
        <v>612</v>
      </c>
      <c r="J25" s="286" t="s">
        <v>623</v>
      </c>
      <c r="K25" s="288" t="s">
        <v>624</v>
      </c>
      <c r="L25" s="289" t="s">
        <v>625</v>
      </c>
      <c r="M25" s="194" t="s">
        <v>250</v>
      </c>
      <c r="N25" s="194" t="s">
        <v>619</v>
      </c>
    </row>
    <row r="26" spans="1:14" ht="15.75" thickTop="1" x14ac:dyDescent="0.25">
      <c r="C26" s="203" t="s">
        <v>524</v>
      </c>
      <c r="D26" s="185" t="s">
        <v>620</v>
      </c>
      <c r="E26" s="185" t="s">
        <v>348</v>
      </c>
      <c r="F26" s="185" t="s">
        <v>348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524</v>
      </c>
      <c r="D27" s="188" t="s">
        <v>674</v>
      </c>
      <c r="E27" s="188" t="s">
        <v>348</v>
      </c>
      <c r="F27" s="188" t="s">
        <v>348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620</v>
      </c>
      <c r="E28" s="185" t="s">
        <v>348</v>
      </c>
      <c r="F28" s="185" t="s">
        <v>348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674</v>
      </c>
      <c r="E29" s="188" t="s">
        <v>348</v>
      </c>
      <c r="F29" s="188" t="s">
        <v>348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7" priority="1">
      <formula>G26=1</formula>
    </cfRule>
  </conditionalFormatting>
  <conditionalFormatting sqref="G26:L29">
    <cfRule type="expression" dxfId="6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917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356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357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262</v>
      </c>
      <c r="D7" s="67" t="s">
        <v>263</v>
      </c>
      <c r="F7" s="67" t="s">
        <v>264</v>
      </c>
    </row>
    <row r="8" spans="1:6" x14ac:dyDescent="0.25">
      <c r="A8" s="67" t="s">
        <v>250</v>
      </c>
      <c r="B8" s="69"/>
      <c r="C8" s="70">
        <v>41186</v>
      </c>
      <c r="D8" s="71" t="s">
        <v>386</v>
      </c>
      <c r="E8" s="145"/>
      <c r="F8" s="67" t="s">
        <v>265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386</v>
      </c>
      <c r="E9" s="145"/>
      <c r="F9" s="67" t="s">
        <v>338</v>
      </c>
    </row>
    <row r="10" spans="1:6" x14ac:dyDescent="0.25">
      <c r="A10" s="67" t="s">
        <v>250</v>
      </c>
      <c r="B10" s="69"/>
      <c r="C10" s="70">
        <v>41217</v>
      </c>
      <c r="D10" s="71" t="s">
        <v>410</v>
      </c>
      <c r="E10" s="145"/>
      <c r="F10" s="67" t="s">
        <v>471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266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272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376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365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472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473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621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474</v>
      </c>
      <c r="D27" s="52" t="s">
        <v>522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474</v>
      </c>
      <c r="D28" s="52" t="s">
        <v>521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474</v>
      </c>
      <c r="D29" s="173" t="s">
        <v>523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475</v>
      </c>
      <c r="K29" s="66"/>
      <c r="L29" s="66"/>
      <c r="M29" s="65"/>
    </row>
    <row r="30" spans="1:13" x14ac:dyDescent="0.25">
      <c r="A30" s="67"/>
      <c r="B30" s="67"/>
      <c r="C30" s="169" t="s">
        <v>474</v>
      </c>
      <c r="D30" s="149" t="s">
        <v>348</v>
      </c>
      <c r="E30" s="187">
        <v>1</v>
      </c>
      <c r="F30" s="162">
        <v>2.2599999999999998</v>
      </c>
      <c r="G30" s="170">
        <v>1.4</v>
      </c>
      <c r="H30" s="176" t="s">
        <v>331</v>
      </c>
      <c r="I30" s="67" t="s">
        <v>605</v>
      </c>
      <c r="K30" s="66"/>
      <c r="L30" s="66"/>
      <c r="M30" s="65"/>
    </row>
    <row r="31" spans="1:13" x14ac:dyDescent="0.25">
      <c r="A31" s="67"/>
      <c r="B31" s="67"/>
      <c r="C31" s="169" t="s">
        <v>474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331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474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331</v>
      </c>
      <c r="I32" s="67"/>
    </row>
    <row r="33" spans="1:18" s="39" customFormat="1" x14ac:dyDescent="0.25">
      <c r="B33" s="67"/>
      <c r="C33" s="169" t="s">
        <v>544</v>
      </c>
      <c r="D33" s="52" t="s">
        <v>522</v>
      </c>
      <c r="E33" s="185">
        <v>0</v>
      </c>
      <c r="F33" s="164" t="s">
        <v>332</v>
      </c>
      <c r="G33" s="170">
        <v>0.66</v>
      </c>
      <c r="H33" s="176" t="s">
        <v>332</v>
      </c>
      <c r="I33" s="67"/>
    </row>
    <row r="34" spans="1:18" x14ac:dyDescent="0.25">
      <c r="B34" s="67"/>
      <c r="C34" s="169" t="s">
        <v>544</v>
      </c>
      <c r="D34" s="52" t="s">
        <v>521</v>
      </c>
      <c r="E34" s="185">
        <v>0</v>
      </c>
      <c r="F34" s="164" t="s">
        <v>332</v>
      </c>
      <c r="G34" s="170">
        <v>0.55000000000000004</v>
      </c>
      <c r="H34" s="176" t="s">
        <v>332</v>
      </c>
      <c r="I34" s="67"/>
    </row>
    <row r="35" spans="1:18" x14ac:dyDescent="0.25">
      <c r="B35" s="67"/>
      <c r="C35" s="172" t="s">
        <v>544</v>
      </c>
      <c r="D35" s="173" t="s">
        <v>523</v>
      </c>
      <c r="E35" s="186">
        <v>0</v>
      </c>
      <c r="F35" s="164" t="s">
        <v>332</v>
      </c>
      <c r="G35" s="174">
        <v>0.55000000000000004</v>
      </c>
      <c r="H35" s="176" t="s">
        <v>332</v>
      </c>
      <c r="I35" s="76" t="s">
        <v>475</v>
      </c>
    </row>
    <row r="36" spans="1:18" x14ac:dyDescent="0.25">
      <c r="A36" s="7"/>
      <c r="B36" s="67"/>
      <c r="C36" s="169" t="s">
        <v>544</v>
      </c>
      <c r="D36" s="149" t="s">
        <v>348</v>
      </c>
      <c r="E36" s="187">
        <v>1</v>
      </c>
      <c r="F36" s="164" t="s">
        <v>332</v>
      </c>
      <c r="G36" s="170">
        <v>1.1200000000000001</v>
      </c>
      <c r="H36" s="176" t="s">
        <v>332</v>
      </c>
      <c r="I36" s="138" t="s">
        <v>605</v>
      </c>
    </row>
    <row r="37" spans="1:18" x14ac:dyDescent="0.25">
      <c r="A37" s="18"/>
      <c r="B37" s="67"/>
      <c r="C37" s="169" t="s">
        <v>544</v>
      </c>
      <c r="D37" s="52" t="s">
        <v>242</v>
      </c>
      <c r="E37" s="185">
        <v>0</v>
      </c>
      <c r="F37" s="164" t="s">
        <v>332</v>
      </c>
      <c r="G37" s="170">
        <v>0.59</v>
      </c>
      <c r="H37" s="176" t="s">
        <v>332</v>
      </c>
      <c r="I37" s="67"/>
      <c r="N37" s="7"/>
      <c r="O37" s="8"/>
      <c r="R37" s="8"/>
    </row>
    <row r="38" spans="1:18" x14ac:dyDescent="0.25">
      <c r="A38" s="8"/>
      <c r="B38" s="67"/>
      <c r="C38" s="169" t="s">
        <v>544</v>
      </c>
      <c r="D38" s="52" t="s">
        <v>238</v>
      </c>
      <c r="E38" s="185">
        <v>0</v>
      </c>
      <c r="F38" s="164" t="s">
        <v>332</v>
      </c>
      <c r="G38" s="170">
        <v>1.1100000000000001</v>
      </c>
      <c r="H38" s="176" t="s">
        <v>332</v>
      </c>
      <c r="I38" s="67"/>
      <c r="N38" s="18"/>
      <c r="O38" s="8"/>
      <c r="R38" s="8"/>
    </row>
    <row r="39" spans="1:18" x14ac:dyDescent="0.25">
      <c r="A39" s="8"/>
      <c r="B39" s="67"/>
      <c r="C39" s="169" t="s">
        <v>476</v>
      </c>
      <c r="D39" s="52" t="s">
        <v>522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476</v>
      </c>
      <c r="D40" s="52" t="s">
        <v>521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476</v>
      </c>
      <c r="D41" s="173" t="s">
        <v>523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475</v>
      </c>
      <c r="N41" s="8"/>
      <c r="O41" s="8"/>
      <c r="R41" s="8"/>
    </row>
    <row r="42" spans="1:18" x14ac:dyDescent="0.25">
      <c r="B42" s="67"/>
      <c r="C42" s="169" t="s">
        <v>476</v>
      </c>
      <c r="D42" s="149" t="s">
        <v>348</v>
      </c>
      <c r="E42" s="187">
        <v>1</v>
      </c>
      <c r="F42" s="162">
        <v>1.94</v>
      </c>
      <c r="G42" s="170">
        <v>1.06</v>
      </c>
      <c r="H42" s="176" t="s">
        <v>331</v>
      </c>
      <c r="I42" s="138" t="s">
        <v>605</v>
      </c>
    </row>
    <row r="43" spans="1:18" x14ac:dyDescent="0.25">
      <c r="B43" s="67"/>
      <c r="C43" s="169" t="s">
        <v>476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331</v>
      </c>
      <c r="Q43" s="67"/>
    </row>
    <row r="44" spans="1:18" x14ac:dyDescent="0.25">
      <c r="B44" s="67"/>
      <c r="C44" s="165" t="s">
        <v>476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331</v>
      </c>
      <c r="Q44" s="67"/>
    </row>
    <row r="45" spans="1:18" x14ac:dyDescent="0.25">
      <c r="B45" s="67"/>
      <c r="C45" s="73" t="s">
        <v>331</v>
      </c>
      <c r="D45" s="72" t="s">
        <v>333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332</v>
      </c>
      <c r="D46" s="72" t="s">
        <v>334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L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917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356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477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357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262</v>
      </c>
      <c r="D7" s="77" t="s">
        <v>263</v>
      </c>
      <c r="E7" s="77" t="s">
        <v>264</v>
      </c>
    </row>
    <row r="8" spans="1:5" x14ac:dyDescent="0.25">
      <c r="A8" s="77" t="s">
        <v>250</v>
      </c>
      <c r="B8" s="79"/>
      <c r="C8" s="81">
        <v>41217</v>
      </c>
      <c r="D8" s="83" t="s">
        <v>410</v>
      </c>
      <c r="E8" s="77" t="s">
        <v>478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266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479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272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376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365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480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473</v>
      </c>
      <c r="D23" s="78" t="s">
        <v>235</v>
      </c>
      <c r="E23" s="77" t="s">
        <v>481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621</v>
      </c>
      <c r="H24" s="79" t="s">
        <v>252</v>
      </c>
      <c r="I24" s="141" t="s">
        <v>792</v>
      </c>
      <c r="J24" s="141"/>
    </row>
    <row r="25" spans="1:10" x14ac:dyDescent="0.25">
      <c r="A25" s="77"/>
      <c r="B25" s="77"/>
      <c r="C25" s="77" t="s">
        <v>474</v>
      </c>
      <c r="D25" s="77" t="s">
        <v>522</v>
      </c>
      <c r="E25" s="77" t="s">
        <v>482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474</v>
      </c>
      <c r="D26" s="77" t="s">
        <v>521</v>
      </c>
      <c r="E26" s="77" t="s">
        <v>482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474</v>
      </c>
      <c r="D27" s="88" t="s">
        <v>242</v>
      </c>
      <c r="E27" s="88" t="s">
        <v>482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475</v>
      </c>
    </row>
    <row r="28" spans="1:10" x14ac:dyDescent="0.25">
      <c r="A28" s="77"/>
      <c r="B28" s="77"/>
      <c r="C28" s="88" t="s">
        <v>474</v>
      </c>
      <c r="D28" s="88" t="s">
        <v>523</v>
      </c>
      <c r="E28" s="88" t="s">
        <v>482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475</v>
      </c>
    </row>
    <row r="29" spans="1:10" x14ac:dyDescent="0.25">
      <c r="A29" s="77"/>
      <c r="B29" s="77"/>
      <c r="C29" s="77" t="s">
        <v>474</v>
      </c>
      <c r="D29" s="138" t="s">
        <v>522</v>
      </c>
      <c r="E29" s="77" t="s">
        <v>483</v>
      </c>
      <c r="F29" s="80">
        <v>0.67</v>
      </c>
      <c r="G29" s="80">
        <v>0.59</v>
      </c>
      <c r="H29" s="82" t="s">
        <v>331</v>
      </c>
      <c r="I29" s="82" t="s">
        <v>331</v>
      </c>
      <c r="J29" s="77"/>
    </row>
    <row r="30" spans="1:10" x14ac:dyDescent="0.25">
      <c r="A30" s="77"/>
      <c r="B30" s="77"/>
      <c r="C30" s="77" t="s">
        <v>474</v>
      </c>
      <c r="D30" s="138" t="s">
        <v>521</v>
      </c>
      <c r="E30" s="77" t="s">
        <v>483</v>
      </c>
      <c r="F30" s="80">
        <v>0.68</v>
      </c>
      <c r="G30" s="80">
        <v>0.6</v>
      </c>
      <c r="H30" s="82" t="s">
        <v>331</v>
      </c>
      <c r="I30" s="82" t="s">
        <v>331</v>
      </c>
      <c r="J30" s="77"/>
    </row>
    <row r="31" spans="1:10" x14ac:dyDescent="0.25">
      <c r="A31" s="77"/>
      <c r="B31" s="77"/>
      <c r="C31" s="88" t="s">
        <v>474</v>
      </c>
      <c r="D31" s="88" t="s">
        <v>242</v>
      </c>
      <c r="E31" s="88" t="s">
        <v>483</v>
      </c>
      <c r="F31" s="89">
        <v>0.67</v>
      </c>
      <c r="G31" s="89">
        <v>0.59</v>
      </c>
      <c r="H31" s="82" t="s">
        <v>331</v>
      </c>
      <c r="I31" s="82" t="s">
        <v>331</v>
      </c>
      <c r="J31" s="88" t="s">
        <v>475</v>
      </c>
    </row>
    <row r="32" spans="1:10" x14ac:dyDescent="0.25">
      <c r="A32" s="77"/>
      <c r="B32" s="77"/>
      <c r="C32" s="88" t="s">
        <v>474</v>
      </c>
      <c r="D32" s="88" t="s">
        <v>523</v>
      </c>
      <c r="E32" s="88" t="s">
        <v>483</v>
      </c>
      <c r="F32" s="89">
        <v>0.68</v>
      </c>
      <c r="G32" s="89">
        <v>0.6</v>
      </c>
      <c r="H32" s="82" t="s">
        <v>331</v>
      </c>
      <c r="I32" s="82" t="s">
        <v>331</v>
      </c>
      <c r="J32" s="88" t="s">
        <v>475</v>
      </c>
    </row>
    <row r="33" spans="1:12" x14ac:dyDescent="0.25">
      <c r="A33" s="77"/>
      <c r="B33" s="77"/>
      <c r="C33" s="138" t="s">
        <v>544</v>
      </c>
      <c r="D33" s="138" t="s">
        <v>522</v>
      </c>
      <c r="E33" s="77" t="s">
        <v>482</v>
      </c>
      <c r="F33" s="82" t="s">
        <v>332</v>
      </c>
      <c r="G33" s="80">
        <v>0.63</v>
      </c>
      <c r="H33" s="82" t="s">
        <v>332</v>
      </c>
      <c r="I33" s="82" t="s">
        <v>332</v>
      </c>
      <c r="J33" s="77"/>
      <c r="K33" s="77"/>
      <c r="L33" s="77"/>
    </row>
    <row r="34" spans="1:12" x14ac:dyDescent="0.25">
      <c r="A34" s="77"/>
      <c r="B34" s="77"/>
      <c r="C34" s="77" t="s">
        <v>544</v>
      </c>
      <c r="D34" s="138" t="s">
        <v>521</v>
      </c>
      <c r="E34" s="77" t="s">
        <v>482</v>
      </c>
      <c r="F34" s="82" t="s">
        <v>332</v>
      </c>
      <c r="G34" s="80">
        <v>0.69</v>
      </c>
      <c r="H34" s="82" t="s">
        <v>332</v>
      </c>
      <c r="I34" s="82" t="s">
        <v>332</v>
      </c>
      <c r="J34" s="77"/>
      <c r="K34" s="77"/>
      <c r="L34" s="77"/>
    </row>
    <row r="35" spans="1:12" x14ac:dyDescent="0.25">
      <c r="A35" s="77"/>
      <c r="B35" s="77"/>
      <c r="C35" s="88" t="s">
        <v>544</v>
      </c>
      <c r="D35" s="88" t="s">
        <v>242</v>
      </c>
      <c r="E35" s="88" t="s">
        <v>482</v>
      </c>
      <c r="F35" s="82" t="s">
        <v>332</v>
      </c>
      <c r="G35" s="89">
        <v>0.63</v>
      </c>
      <c r="H35" s="82" t="s">
        <v>332</v>
      </c>
      <c r="I35" s="82" t="s">
        <v>332</v>
      </c>
      <c r="J35" s="88" t="s">
        <v>475</v>
      </c>
      <c r="K35" s="77"/>
      <c r="L35" s="77"/>
    </row>
    <row r="36" spans="1:12" x14ac:dyDescent="0.25">
      <c r="A36" s="77"/>
      <c r="B36" s="77"/>
      <c r="C36" s="88" t="s">
        <v>544</v>
      </c>
      <c r="D36" s="88" t="s">
        <v>523</v>
      </c>
      <c r="E36" s="88" t="s">
        <v>482</v>
      </c>
      <c r="F36" s="82" t="s">
        <v>332</v>
      </c>
      <c r="G36" s="89">
        <v>0.69</v>
      </c>
      <c r="H36" s="82" t="s">
        <v>332</v>
      </c>
      <c r="I36" s="82" t="s">
        <v>332</v>
      </c>
      <c r="J36" s="88" t="s">
        <v>475</v>
      </c>
      <c r="K36" s="77"/>
      <c r="L36" s="77"/>
    </row>
    <row r="37" spans="1:12" x14ac:dyDescent="0.25">
      <c r="A37" s="77"/>
      <c r="B37" s="77"/>
      <c r="C37" s="77" t="s">
        <v>544</v>
      </c>
      <c r="D37" s="138" t="s">
        <v>522</v>
      </c>
      <c r="E37" s="77" t="s">
        <v>483</v>
      </c>
      <c r="F37" s="82" t="s">
        <v>332</v>
      </c>
      <c r="G37" s="80">
        <v>0.53</v>
      </c>
      <c r="H37" s="82" t="s">
        <v>332</v>
      </c>
      <c r="I37" s="82" t="s">
        <v>332</v>
      </c>
      <c r="J37" s="77"/>
      <c r="K37" s="77"/>
      <c r="L37" s="77"/>
    </row>
    <row r="38" spans="1:12" x14ac:dyDescent="0.25">
      <c r="A38" s="77"/>
      <c r="B38" s="77"/>
      <c r="C38" s="77" t="s">
        <v>544</v>
      </c>
      <c r="D38" s="138" t="s">
        <v>521</v>
      </c>
      <c r="E38" s="77" t="s">
        <v>483</v>
      </c>
      <c r="F38" s="82" t="s">
        <v>332</v>
      </c>
      <c r="G38" s="80">
        <v>0.56999999999999995</v>
      </c>
      <c r="H38" s="82" t="s">
        <v>332</v>
      </c>
      <c r="I38" s="82" t="s">
        <v>332</v>
      </c>
      <c r="J38" s="77"/>
      <c r="K38" s="77"/>
      <c r="L38" s="77"/>
    </row>
    <row r="39" spans="1:12" x14ac:dyDescent="0.25">
      <c r="A39" s="77"/>
      <c r="B39" s="77"/>
      <c r="C39" s="88" t="s">
        <v>544</v>
      </c>
      <c r="D39" s="88" t="s">
        <v>242</v>
      </c>
      <c r="E39" s="88" t="s">
        <v>483</v>
      </c>
      <c r="F39" s="82" t="s">
        <v>332</v>
      </c>
      <c r="G39" s="89">
        <v>0.53</v>
      </c>
      <c r="H39" s="82" t="s">
        <v>332</v>
      </c>
      <c r="I39" s="82" t="s">
        <v>332</v>
      </c>
      <c r="J39" s="88" t="s">
        <v>475</v>
      </c>
      <c r="K39" s="77"/>
      <c r="L39" s="77"/>
    </row>
    <row r="40" spans="1:12" x14ac:dyDescent="0.25">
      <c r="A40" s="77"/>
      <c r="B40" s="77"/>
      <c r="C40" s="88" t="s">
        <v>544</v>
      </c>
      <c r="D40" s="88" t="s">
        <v>523</v>
      </c>
      <c r="E40" s="88" t="s">
        <v>483</v>
      </c>
      <c r="F40" s="82" t="s">
        <v>332</v>
      </c>
      <c r="G40" s="89">
        <v>0.56999999999999995</v>
      </c>
      <c r="H40" s="82" t="s">
        <v>332</v>
      </c>
      <c r="I40" s="82" t="s">
        <v>332</v>
      </c>
      <c r="J40" s="88" t="s">
        <v>475</v>
      </c>
      <c r="K40" s="77"/>
      <c r="L40" s="77"/>
    </row>
    <row r="41" spans="1:12" x14ac:dyDescent="0.25">
      <c r="A41" s="77"/>
      <c r="B41" s="77"/>
      <c r="C41" s="77" t="s">
        <v>476</v>
      </c>
      <c r="D41" s="138" t="s">
        <v>522</v>
      </c>
      <c r="E41" s="77" t="s">
        <v>482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476</v>
      </c>
      <c r="D42" s="138" t="s">
        <v>521</v>
      </c>
      <c r="E42" s="77" t="s">
        <v>482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476</v>
      </c>
      <c r="D43" s="88" t="s">
        <v>242</v>
      </c>
      <c r="E43" s="88" t="s">
        <v>482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475</v>
      </c>
      <c r="K43" s="77"/>
      <c r="L43" s="77"/>
    </row>
    <row r="44" spans="1:12" x14ac:dyDescent="0.25">
      <c r="A44" s="77"/>
      <c r="B44" s="77"/>
      <c r="C44" s="88" t="s">
        <v>476</v>
      </c>
      <c r="D44" s="88" t="s">
        <v>523</v>
      </c>
      <c r="E44" s="88" t="s">
        <v>482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475</v>
      </c>
      <c r="K44" s="77"/>
      <c r="L44" s="77"/>
    </row>
    <row r="45" spans="1:12" x14ac:dyDescent="0.25">
      <c r="A45" s="77"/>
      <c r="B45" s="77"/>
      <c r="C45" s="77" t="s">
        <v>476</v>
      </c>
      <c r="D45" s="138" t="s">
        <v>522</v>
      </c>
      <c r="E45" s="77" t="s">
        <v>483</v>
      </c>
      <c r="F45" s="80">
        <v>0.6</v>
      </c>
      <c r="G45" s="80">
        <v>0.53</v>
      </c>
      <c r="H45" s="82" t="s">
        <v>331</v>
      </c>
      <c r="I45" s="82" t="s">
        <v>331</v>
      </c>
      <c r="J45" s="77"/>
      <c r="K45" s="77"/>
      <c r="L45" s="77"/>
    </row>
    <row r="46" spans="1:12" x14ac:dyDescent="0.25">
      <c r="A46" s="77"/>
      <c r="B46" s="77"/>
      <c r="C46" s="77" t="s">
        <v>476</v>
      </c>
      <c r="D46" s="138" t="s">
        <v>521</v>
      </c>
      <c r="E46" s="77" t="s">
        <v>483</v>
      </c>
      <c r="F46" s="80">
        <v>0.63</v>
      </c>
      <c r="G46" s="80">
        <v>0.55000000000000004</v>
      </c>
      <c r="H46" s="82" t="s">
        <v>331</v>
      </c>
      <c r="I46" s="82" t="s">
        <v>331</v>
      </c>
      <c r="J46" s="77"/>
      <c r="K46" s="77"/>
      <c r="L46" s="77"/>
    </row>
    <row r="47" spans="1:12" x14ac:dyDescent="0.25">
      <c r="A47" s="77"/>
      <c r="B47" s="77"/>
      <c r="C47" s="88" t="s">
        <v>476</v>
      </c>
      <c r="D47" s="88" t="s">
        <v>242</v>
      </c>
      <c r="E47" s="88" t="s">
        <v>483</v>
      </c>
      <c r="F47" s="89">
        <v>0.6</v>
      </c>
      <c r="G47" s="89">
        <v>0.53</v>
      </c>
      <c r="H47" s="82" t="s">
        <v>331</v>
      </c>
      <c r="I47" s="82" t="s">
        <v>331</v>
      </c>
      <c r="J47" s="88" t="s">
        <v>475</v>
      </c>
      <c r="K47" s="77"/>
      <c r="L47" s="77"/>
    </row>
    <row r="48" spans="1:12" x14ac:dyDescent="0.25">
      <c r="A48" s="77"/>
      <c r="B48" s="77"/>
      <c r="C48" s="88" t="s">
        <v>476</v>
      </c>
      <c r="D48" s="88" t="s">
        <v>523</v>
      </c>
      <c r="E48" s="88" t="s">
        <v>483</v>
      </c>
      <c r="F48" s="89">
        <v>0.63</v>
      </c>
      <c r="G48" s="89">
        <v>0.55000000000000004</v>
      </c>
      <c r="H48" s="82" t="s">
        <v>331</v>
      </c>
      <c r="I48" s="82" t="s">
        <v>331</v>
      </c>
      <c r="J48" s="88" t="s">
        <v>475</v>
      </c>
      <c r="K48" s="77"/>
      <c r="L48" s="77"/>
    </row>
    <row r="49" spans="1:12" x14ac:dyDescent="0.25">
      <c r="A49" s="77"/>
      <c r="B49" s="77"/>
      <c r="C49" s="85" t="s">
        <v>331</v>
      </c>
      <c r="D49" s="84" t="s">
        <v>484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332</v>
      </c>
      <c r="D50" s="84" t="s">
        <v>334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X46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672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766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410</v>
      </c>
      <c r="E8" s="138" t="s">
        <v>677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689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759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365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765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473</v>
      </c>
      <c r="D25" s="232" t="s">
        <v>758</v>
      </c>
      <c r="E25" s="180" t="s">
        <v>679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1040</v>
      </c>
      <c r="D26" s="233"/>
      <c r="E26" s="212" t="s">
        <v>482</v>
      </c>
      <c r="F26" s="213" t="s">
        <v>482</v>
      </c>
      <c r="G26" s="213" t="s">
        <v>482</v>
      </c>
      <c r="H26" s="213" t="s">
        <v>483</v>
      </c>
      <c r="I26" s="213" t="s">
        <v>483</v>
      </c>
      <c r="J26" s="233" t="s">
        <v>483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348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348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331</v>
      </c>
      <c r="I28" s="266" t="s">
        <v>331</v>
      </c>
      <c r="J28" s="266" t="s">
        <v>331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681</v>
      </c>
      <c r="D29" s="208" t="s">
        <v>621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682</v>
      </c>
      <c r="D30" s="208" t="s">
        <v>621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683</v>
      </c>
      <c r="D31" s="208" t="s">
        <v>621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681</v>
      </c>
      <c r="D32" s="208" t="s">
        <v>690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682</v>
      </c>
      <c r="D33" s="208" t="s">
        <v>690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683</v>
      </c>
      <c r="D34" s="208" t="s">
        <v>690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684</v>
      </c>
      <c r="D35" s="208" t="s">
        <v>621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685</v>
      </c>
      <c r="D36" s="208" t="s">
        <v>621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684</v>
      </c>
      <c r="D37" s="208" t="s">
        <v>690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685</v>
      </c>
      <c r="D38" s="209" t="s">
        <v>690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331</v>
      </c>
      <c r="D39" s="224" t="s">
        <v>1041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672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356</v>
      </c>
    </row>
    <row r="4" spans="1:4" x14ac:dyDescent="0.25">
      <c r="A4" s="138" t="s">
        <v>250</v>
      </c>
      <c r="C4" s="6" t="s">
        <v>768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357</v>
      </c>
    </row>
    <row r="7" spans="1:4" x14ac:dyDescent="0.25">
      <c r="A7" s="138" t="s">
        <v>250</v>
      </c>
      <c r="C7" s="138" t="s">
        <v>262</v>
      </c>
      <c r="D7" s="138" t="s">
        <v>264</v>
      </c>
    </row>
    <row r="8" spans="1:4" x14ac:dyDescent="0.25">
      <c r="A8" s="138" t="s">
        <v>250</v>
      </c>
      <c r="B8" s="141"/>
      <c r="C8" s="144">
        <v>41904</v>
      </c>
      <c r="D8" s="138" t="s">
        <v>677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689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272</v>
      </c>
    </row>
    <row r="19" spans="1:27" x14ac:dyDescent="0.25">
      <c r="A19" s="138" t="s">
        <v>250</v>
      </c>
      <c r="C19" s="138" t="s">
        <v>760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365</v>
      </c>
    </row>
    <row r="24" spans="1:27" x14ac:dyDescent="0.25">
      <c r="B24" s="4" t="s">
        <v>767</v>
      </c>
      <c r="C24" s="4"/>
    </row>
    <row r="25" spans="1:27" x14ac:dyDescent="0.25">
      <c r="C25" s="180" t="s">
        <v>758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574</v>
      </c>
      <c r="D26" s="254" t="s">
        <v>469</v>
      </c>
      <c r="E26" s="255" t="s">
        <v>469</v>
      </c>
      <c r="F26" s="255" t="s">
        <v>469</v>
      </c>
      <c r="G26" s="255" t="s">
        <v>469</v>
      </c>
      <c r="H26" s="256" t="s">
        <v>469</v>
      </c>
      <c r="I26" s="254" t="s">
        <v>470</v>
      </c>
      <c r="J26" s="255" t="s">
        <v>470</v>
      </c>
      <c r="K26" s="255" t="s">
        <v>470</v>
      </c>
      <c r="L26" s="255" t="s">
        <v>470</v>
      </c>
      <c r="M26" s="256" t="s">
        <v>470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762</v>
      </c>
      <c r="D27" s="167" t="s">
        <v>777</v>
      </c>
      <c r="E27" s="159" t="s">
        <v>776</v>
      </c>
      <c r="F27" s="159" t="s">
        <v>778</v>
      </c>
      <c r="G27" s="159" t="s">
        <v>779</v>
      </c>
      <c r="H27" s="257" t="s">
        <v>780</v>
      </c>
      <c r="I27" s="167" t="s">
        <v>777</v>
      </c>
      <c r="J27" s="159" t="s">
        <v>776</v>
      </c>
      <c r="K27" s="159" t="s">
        <v>778</v>
      </c>
      <c r="L27" s="159" t="s">
        <v>779</v>
      </c>
      <c r="M27" s="257" t="s">
        <v>780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691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692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693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694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695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696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697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698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699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700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701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702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703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704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705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706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707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708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709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710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711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712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713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714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715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716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717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718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719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720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721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722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723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724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725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726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727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728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729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730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731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732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733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734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735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736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737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738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782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6" t="s">
        <v>772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264</v>
      </c>
    </row>
    <row r="8" spans="1:5" x14ac:dyDescent="0.25">
      <c r="A8" s="138" t="s">
        <v>250</v>
      </c>
      <c r="B8" s="141"/>
      <c r="C8" s="144">
        <v>41904</v>
      </c>
      <c r="D8" s="138" t="s">
        <v>677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689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272</v>
      </c>
      <c r="F18" s="138" t="s">
        <v>704</v>
      </c>
    </row>
    <row r="19" spans="1:28" x14ac:dyDescent="0.25">
      <c r="A19" s="138" t="s">
        <v>250</v>
      </c>
      <c r="C19" s="138" t="s">
        <v>773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776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781</v>
      </c>
    </row>
    <row r="23" spans="1:28" x14ac:dyDescent="0.25">
      <c r="A23" s="138" t="s">
        <v>365</v>
      </c>
    </row>
    <row r="24" spans="1:28" x14ac:dyDescent="0.25">
      <c r="B24" s="4" t="s">
        <v>771</v>
      </c>
      <c r="C24" s="140"/>
      <c r="D24" s="140"/>
    </row>
    <row r="25" spans="1:28" x14ac:dyDescent="0.25">
      <c r="C25" s="180" t="s">
        <v>481</v>
      </c>
      <c r="D25" s="180" t="s">
        <v>758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739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762</v>
      </c>
      <c r="D26" s="167"/>
      <c r="E26" s="167" t="s">
        <v>777</v>
      </c>
      <c r="F26" s="159" t="s">
        <v>777</v>
      </c>
      <c r="G26" s="159" t="s">
        <v>776</v>
      </c>
      <c r="H26" s="159" t="s">
        <v>776</v>
      </c>
      <c r="I26" s="159" t="s">
        <v>778</v>
      </c>
      <c r="J26" s="257" t="s">
        <v>778</v>
      </c>
      <c r="K26" s="159" t="s">
        <v>779</v>
      </c>
      <c r="L26" s="257" t="s">
        <v>779</v>
      </c>
      <c r="M26" s="159" t="s">
        <v>780</v>
      </c>
      <c r="N26" s="257" t="s">
        <v>780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482</v>
      </c>
      <c r="D27" s="258" t="s">
        <v>691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740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482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741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482</v>
      </c>
      <c r="D29" s="258" t="s">
        <v>692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742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482</v>
      </c>
      <c r="D30" s="258" t="s">
        <v>693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742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482</v>
      </c>
      <c r="D31" s="229" t="s">
        <v>694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743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482</v>
      </c>
      <c r="D32" s="258" t="s">
        <v>695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743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482</v>
      </c>
      <c r="D33" s="258" t="s">
        <v>696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743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482</v>
      </c>
      <c r="D34" s="262" t="s">
        <v>697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743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482</v>
      </c>
      <c r="D35" s="269" t="s">
        <v>698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743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482</v>
      </c>
      <c r="D36" s="269" t="s">
        <v>699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743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482</v>
      </c>
      <c r="D37" s="269" t="s">
        <v>700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743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482</v>
      </c>
      <c r="D38" s="269" t="s">
        <v>701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743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482</v>
      </c>
      <c r="D39" s="229" t="s">
        <v>702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744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482</v>
      </c>
      <c r="D40" s="258" t="s">
        <v>703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744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482</v>
      </c>
      <c r="D41" s="258" t="s">
        <v>704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744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482</v>
      </c>
      <c r="D42" s="262" t="s">
        <v>705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744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482</v>
      </c>
      <c r="D43" s="258" t="s">
        <v>706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482</v>
      </c>
      <c r="D44" s="258" t="s">
        <v>707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745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482</v>
      </c>
      <c r="D45" s="258" t="s">
        <v>708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745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482</v>
      </c>
      <c r="D46" s="262" t="s">
        <v>709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745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482</v>
      </c>
      <c r="D47" s="258" t="s">
        <v>710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746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482</v>
      </c>
      <c r="D48" s="258" t="s">
        <v>711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746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482</v>
      </c>
      <c r="D49" s="258" t="s">
        <v>712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746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482</v>
      </c>
      <c r="D50" s="262" t="s">
        <v>713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746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482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747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482</v>
      </c>
      <c r="D52" s="271" t="s">
        <v>714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746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482</v>
      </c>
      <c r="D53" s="269" t="s">
        <v>715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746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482</v>
      </c>
      <c r="D54" s="269" t="s">
        <v>716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746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482</v>
      </c>
      <c r="D55" s="269" t="s">
        <v>717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746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482</v>
      </c>
      <c r="D56" s="229" t="s">
        <v>718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748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482</v>
      </c>
      <c r="D57" s="258" t="s">
        <v>719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748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482</v>
      </c>
      <c r="D58" s="258" t="s">
        <v>720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748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482</v>
      </c>
      <c r="D59" s="262" t="s">
        <v>721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748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482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749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482</v>
      </c>
      <c r="D61" s="229" t="s">
        <v>722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750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482</v>
      </c>
      <c r="D62" s="258" t="s">
        <v>723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750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482</v>
      </c>
      <c r="D63" s="258" t="s">
        <v>724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750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482</v>
      </c>
      <c r="D64" s="262" t="s">
        <v>725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750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482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752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482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751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482</v>
      </c>
      <c r="D67" s="229" t="s">
        <v>726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753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482</v>
      </c>
      <c r="D68" s="258" t="s">
        <v>727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753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482</v>
      </c>
      <c r="D69" s="258" t="s">
        <v>728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753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482</v>
      </c>
      <c r="D70" s="262" t="s">
        <v>729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753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482</v>
      </c>
      <c r="D71" s="229" t="s">
        <v>730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754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482</v>
      </c>
      <c r="D72" s="258" t="s">
        <v>731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754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482</v>
      </c>
      <c r="D73" s="258" t="s">
        <v>732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754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482</v>
      </c>
      <c r="D74" s="262" t="s">
        <v>733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754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482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756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482</v>
      </c>
      <c r="D76" s="229" t="s">
        <v>734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755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482</v>
      </c>
      <c r="D77" s="258" t="s">
        <v>735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755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482</v>
      </c>
      <c r="D78" s="258" t="s">
        <v>736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755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482</v>
      </c>
      <c r="D79" s="262" t="s">
        <v>737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755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482</v>
      </c>
      <c r="D80" s="275" t="s">
        <v>738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755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482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757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483</v>
      </c>
      <c r="D82" s="258" t="s">
        <v>691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740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483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741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483</v>
      </c>
      <c r="D84" s="258" t="s">
        <v>692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742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483</v>
      </c>
      <c r="D85" s="258" t="s">
        <v>693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742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483</v>
      </c>
      <c r="D86" s="229" t="s">
        <v>694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743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483</v>
      </c>
      <c r="D87" s="258" t="s">
        <v>695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743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483</v>
      </c>
      <c r="D88" s="258" t="s">
        <v>696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743</v>
      </c>
    </row>
    <row r="89" spans="1:28" x14ac:dyDescent="0.25">
      <c r="C89" s="262" t="s">
        <v>483</v>
      </c>
      <c r="D89" s="262" t="s">
        <v>697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743</v>
      </c>
    </row>
    <row r="90" spans="1:28" x14ac:dyDescent="0.25">
      <c r="C90" s="258" t="s">
        <v>483</v>
      </c>
      <c r="D90" s="269" t="s">
        <v>698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743</v>
      </c>
    </row>
    <row r="91" spans="1:28" x14ac:dyDescent="0.25">
      <c r="C91" s="258" t="s">
        <v>483</v>
      </c>
      <c r="D91" s="269" t="s">
        <v>699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743</v>
      </c>
    </row>
    <row r="92" spans="1:28" x14ac:dyDescent="0.25">
      <c r="C92" s="258" t="s">
        <v>483</v>
      </c>
      <c r="D92" s="269" t="s">
        <v>700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743</v>
      </c>
    </row>
    <row r="93" spans="1:28" x14ac:dyDescent="0.25">
      <c r="C93" s="258" t="s">
        <v>483</v>
      </c>
      <c r="D93" s="269" t="s">
        <v>701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743</v>
      </c>
    </row>
    <row r="94" spans="1:28" x14ac:dyDescent="0.25">
      <c r="C94" s="229" t="s">
        <v>483</v>
      </c>
      <c r="D94" s="229" t="s">
        <v>702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744</v>
      </c>
    </row>
    <row r="95" spans="1:28" x14ac:dyDescent="0.25">
      <c r="C95" s="258" t="s">
        <v>483</v>
      </c>
      <c r="D95" s="258" t="s">
        <v>703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744</v>
      </c>
    </row>
    <row r="96" spans="1:28" x14ac:dyDescent="0.25">
      <c r="C96" s="258" t="s">
        <v>483</v>
      </c>
      <c r="D96" s="258" t="s">
        <v>704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744</v>
      </c>
    </row>
    <row r="97" spans="1:17" x14ac:dyDescent="0.25">
      <c r="C97" s="262" t="s">
        <v>483</v>
      </c>
      <c r="D97" s="262" t="s">
        <v>705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744</v>
      </c>
    </row>
    <row r="98" spans="1:17" x14ac:dyDescent="0.25">
      <c r="C98" s="229" t="s">
        <v>483</v>
      </c>
      <c r="D98" s="258" t="s">
        <v>706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745</v>
      </c>
    </row>
    <row r="99" spans="1:17" x14ac:dyDescent="0.25">
      <c r="C99" s="258" t="s">
        <v>483</v>
      </c>
      <c r="D99" s="258" t="s">
        <v>707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745</v>
      </c>
    </row>
    <row r="100" spans="1:17" x14ac:dyDescent="0.25">
      <c r="C100" s="258" t="s">
        <v>483</v>
      </c>
      <c r="D100" s="258" t="s">
        <v>708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745</v>
      </c>
    </row>
    <row r="101" spans="1:17" x14ac:dyDescent="0.25">
      <c r="C101" s="262" t="s">
        <v>483</v>
      </c>
      <c r="D101" s="262" t="s">
        <v>709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745</v>
      </c>
    </row>
    <row r="102" spans="1:17" x14ac:dyDescent="0.25">
      <c r="C102" s="229" t="s">
        <v>483</v>
      </c>
      <c r="D102" s="258" t="s">
        <v>710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746</v>
      </c>
    </row>
    <row r="103" spans="1:17" x14ac:dyDescent="0.25">
      <c r="C103" s="258" t="s">
        <v>483</v>
      </c>
      <c r="D103" s="258" t="s">
        <v>711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746</v>
      </c>
    </row>
    <row r="104" spans="1:17" x14ac:dyDescent="0.25">
      <c r="C104" s="258" t="s">
        <v>483</v>
      </c>
      <c r="D104" s="258" t="s">
        <v>712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746</v>
      </c>
    </row>
    <row r="105" spans="1:17" x14ac:dyDescent="0.25">
      <c r="C105" s="262" t="s">
        <v>483</v>
      </c>
      <c r="D105" s="262" t="s">
        <v>713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746</v>
      </c>
    </row>
    <row r="106" spans="1:17" x14ac:dyDescent="0.25">
      <c r="A106" s="138" t="s">
        <v>250</v>
      </c>
      <c r="C106" s="258" t="s">
        <v>483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747</v>
      </c>
    </row>
    <row r="107" spans="1:17" x14ac:dyDescent="0.25">
      <c r="C107" s="229" t="s">
        <v>483</v>
      </c>
      <c r="D107" s="271" t="s">
        <v>714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746</v>
      </c>
    </row>
    <row r="108" spans="1:17" x14ac:dyDescent="0.25">
      <c r="C108" s="258" t="s">
        <v>483</v>
      </c>
      <c r="D108" s="269" t="s">
        <v>715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746</v>
      </c>
    </row>
    <row r="109" spans="1:17" x14ac:dyDescent="0.25">
      <c r="C109" s="258" t="s">
        <v>483</v>
      </c>
      <c r="D109" s="269" t="s">
        <v>716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746</v>
      </c>
    </row>
    <row r="110" spans="1:17" x14ac:dyDescent="0.25">
      <c r="C110" s="258" t="s">
        <v>483</v>
      </c>
      <c r="D110" s="269" t="s">
        <v>717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746</v>
      </c>
    </row>
    <row r="111" spans="1:17" x14ac:dyDescent="0.25">
      <c r="C111" s="229" t="s">
        <v>483</v>
      </c>
      <c r="D111" s="229" t="s">
        <v>718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748</v>
      </c>
    </row>
    <row r="112" spans="1:17" x14ac:dyDescent="0.25">
      <c r="C112" s="258" t="s">
        <v>483</v>
      </c>
      <c r="D112" s="258" t="s">
        <v>719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748</v>
      </c>
    </row>
    <row r="113" spans="1:17" x14ac:dyDescent="0.25">
      <c r="C113" s="258" t="s">
        <v>483</v>
      </c>
      <c r="D113" s="258" t="s">
        <v>720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748</v>
      </c>
    </row>
    <row r="114" spans="1:17" x14ac:dyDescent="0.25">
      <c r="C114" s="262" t="s">
        <v>483</v>
      </c>
      <c r="D114" s="262" t="s">
        <v>721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748</v>
      </c>
    </row>
    <row r="115" spans="1:17" x14ac:dyDescent="0.25">
      <c r="A115" s="138" t="s">
        <v>250</v>
      </c>
      <c r="C115" s="258" t="s">
        <v>483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749</v>
      </c>
    </row>
    <row r="116" spans="1:17" x14ac:dyDescent="0.25">
      <c r="C116" s="229" t="s">
        <v>483</v>
      </c>
      <c r="D116" s="229" t="s">
        <v>722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750</v>
      </c>
    </row>
    <row r="117" spans="1:17" x14ac:dyDescent="0.25">
      <c r="C117" s="258" t="s">
        <v>483</v>
      </c>
      <c r="D117" s="258" t="s">
        <v>723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750</v>
      </c>
    </row>
    <row r="118" spans="1:17" x14ac:dyDescent="0.25">
      <c r="C118" s="258" t="s">
        <v>483</v>
      </c>
      <c r="D118" s="258" t="s">
        <v>724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750</v>
      </c>
    </row>
    <row r="119" spans="1:17" x14ac:dyDescent="0.25">
      <c r="C119" s="262" t="s">
        <v>483</v>
      </c>
      <c r="D119" s="262" t="s">
        <v>725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750</v>
      </c>
    </row>
    <row r="120" spans="1:17" x14ac:dyDescent="0.25">
      <c r="A120" s="138" t="s">
        <v>250</v>
      </c>
      <c r="C120" s="258" t="s">
        <v>483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752</v>
      </c>
    </row>
    <row r="121" spans="1:17" x14ac:dyDescent="0.25">
      <c r="A121" s="138" t="s">
        <v>250</v>
      </c>
      <c r="C121" s="182" t="s">
        <v>483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751</v>
      </c>
    </row>
    <row r="122" spans="1:17" x14ac:dyDescent="0.25">
      <c r="C122" s="229" t="s">
        <v>483</v>
      </c>
      <c r="D122" s="229" t="s">
        <v>726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753</v>
      </c>
    </row>
    <row r="123" spans="1:17" x14ac:dyDescent="0.25">
      <c r="C123" s="258" t="s">
        <v>483</v>
      </c>
      <c r="D123" s="258" t="s">
        <v>727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753</v>
      </c>
    </row>
    <row r="124" spans="1:17" x14ac:dyDescent="0.25">
      <c r="C124" s="258" t="s">
        <v>483</v>
      </c>
      <c r="D124" s="258" t="s">
        <v>728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753</v>
      </c>
    </row>
    <row r="125" spans="1:17" x14ac:dyDescent="0.25">
      <c r="C125" s="262" t="s">
        <v>483</v>
      </c>
      <c r="D125" s="262" t="s">
        <v>729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753</v>
      </c>
    </row>
    <row r="126" spans="1:17" x14ac:dyDescent="0.25">
      <c r="C126" s="229" t="s">
        <v>483</v>
      </c>
      <c r="D126" s="229" t="s">
        <v>730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754</v>
      </c>
    </row>
    <row r="127" spans="1:17" x14ac:dyDescent="0.25">
      <c r="C127" s="258" t="s">
        <v>483</v>
      </c>
      <c r="D127" s="258" t="s">
        <v>731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754</v>
      </c>
    </row>
    <row r="128" spans="1:17" x14ac:dyDescent="0.25">
      <c r="C128" s="258" t="s">
        <v>483</v>
      </c>
      <c r="D128" s="258" t="s">
        <v>732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754</v>
      </c>
    </row>
    <row r="129" spans="1:17" x14ac:dyDescent="0.25">
      <c r="C129" s="262" t="s">
        <v>483</v>
      </c>
      <c r="D129" s="262" t="s">
        <v>733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754</v>
      </c>
    </row>
    <row r="130" spans="1:17" x14ac:dyDescent="0.25">
      <c r="A130" s="138" t="s">
        <v>250</v>
      </c>
      <c r="C130" s="258" t="s">
        <v>483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756</v>
      </c>
    </row>
    <row r="131" spans="1:17" x14ac:dyDescent="0.25">
      <c r="C131" s="229" t="s">
        <v>483</v>
      </c>
      <c r="D131" s="229" t="s">
        <v>734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755</v>
      </c>
    </row>
    <row r="132" spans="1:17" x14ac:dyDescent="0.25">
      <c r="C132" s="258" t="s">
        <v>483</v>
      </c>
      <c r="D132" s="258" t="s">
        <v>735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755</v>
      </c>
    </row>
    <row r="133" spans="1:17" x14ac:dyDescent="0.25">
      <c r="C133" s="258" t="s">
        <v>483</v>
      </c>
      <c r="D133" s="258" t="s">
        <v>736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755</v>
      </c>
    </row>
    <row r="134" spans="1:17" x14ac:dyDescent="0.25">
      <c r="C134" s="262" t="s">
        <v>483</v>
      </c>
      <c r="D134" s="262" t="s">
        <v>737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755</v>
      </c>
    </row>
    <row r="135" spans="1:17" x14ac:dyDescent="0.25">
      <c r="C135" s="182" t="s">
        <v>483</v>
      </c>
      <c r="D135" s="275" t="s">
        <v>738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755</v>
      </c>
    </row>
    <row r="136" spans="1:17" x14ac:dyDescent="0.25">
      <c r="A136" s="138" t="s">
        <v>250</v>
      </c>
      <c r="C136" s="182" t="s">
        <v>483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757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917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356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502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357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262</v>
      </c>
      <c r="D7" s="126" t="s">
        <v>263</v>
      </c>
      <c r="E7" s="126" t="s">
        <v>264</v>
      </c>
    </row>
    <row r="8" spans="1:5" x14ac:dyDescent="0.25">
      <c r="A8" s="126" t="s">
        <v>250</v>
      </c>
      <c r="B8" s="129"/>
      <c r="C8" s="133">
        <v>41186</v>
      </c>
      <c r="D8" s="134" t="s">
        <v>386</v>
      </c>
      <c r="E8" s="126" t="s">
        <v>265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386</v>
      </c>
      <c r="E9" s="126" t="s">
        <v>385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410</v>
      </c>
      <c r="E10" s="126" t="s">
        <v>503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358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367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366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371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355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287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354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376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261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260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259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365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520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467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504</v>
      </c>
      <c r="D29" s="129" t="s">
        <v>521</v>
      </c>
      <c r="E29" s="129" t="s">
        <v>521</v>
      </c>
      <c r="F29" s="129" t="s">
        <v>521</v>
      </c>
      <c r="G29" s="129" t="s">
        <v>522</v>
      </c>
      <c r="H29" s="141" t="s">
        <v>522</v>
      </c>
      <c r="I29" s="141" t="s">
        <v>522</v>
      </c>
      <c r="J29" s="129" t="s">
        <v>523</v>
      </c>
      <c r="K29" s="141" t="s">
        <v>523</v>
      </c>
      <c r="L29" s="141" t="s">
        <v>523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685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347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775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22" zoomScaleNormal="100" workbookViewId="0">
      <selection activeCell="R48" sqref="R48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502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5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5" x14ac:dyDescent="0.25">
      <c r="A12" s="138" t="s">
        <v>250</v>
      </c>
      <c r="B12" s="141"/>
      <c r="C12" s="144"/>
    </row>
    <row r="13" spans="1:5" x14ac:dyDescent="0.25">
      <c r="A13" s="138" t="s">
        <v>250</v>
      </c>
      <c r="B13" s="138" t="s">
        <v>358</v>
      </c>
    </row>
    <row r="14" spans="1:5" x14ac:dyDescent="0.25">
      <c r="A14" s="138" t="s">
        <v>250</v>
      </c>
      <c r="C14" s="138" t="s">
        <v>367</v>
      </c>
    </row>
    <row r="15" spans="1:5" x14ac:dyDescent="0.25">
      <c r="A15" s="138" t="s">
        <v>250</v>
      </c>
      <c r="C15" s="138" t="s">
        <v>366</v>
      </c>
    </row>
    <row r="16" spans="1:5" x14ac:dyDescent="0.25">
      <c r="A16" s="138" t="s">
        <v>250</v>
      </c>
      <c r="C16" s="138" t="s">
        <v>371</v>
      </c>
    </row>
    <row r="17" spans="1:17" x14ac:dyDescent="0.25">
      <c r="A17" s="138" t="s">
        <v>250</v>
      </c>
    </row>
    <row r="18" spans="1:17" x14ac:dyDescent="0.25">
      <c r="A18" s="138" t="s">
        <v>250</v>
      </c>
      <c r="B18" s="138" t="s">
        <v>355</v>
      </c>
    </row>
    <row r="19" spans="1:17" x14ac:dyDescent="0.25">
      <c r="A19" s="138" t="s">
        <v>250</v>
      </c>
      <c r="C19" s="138" t="s">
        <v>287</v>
      </c>
    </row>
    <row r="20" spans="1:17" x14ac:dyDescent="0.25">
      <c r="A20" s="138" t="s">
        <v>250</v>
      </c>
    </row>
    <row r="21" spans="1:17" x14ac:dyDescent="0.25">
      <c r="A21" s="138" t="s">
        <v>250</v>
      </c>
      <c r="B21" s="138" t="s">
        <v>354</v>
      </c>
    </row>
    <row r="22" spans="1:17" x14ac:dyDescent="0.25">
      <c r="A22" s="138" t="s">
        <v>250</v>
      </c>
      <c r="C22" s="146" t="s">
        <v>376</v>
      </c>
    </row>
    <row r="23" spans="1:17" x14ac:dyDescent="0.25">
      <c r="A23" s="138" t="s">
        <v>250</v>
      </c>
      <c r="C23" s="138" t="s">
        <v>261</v>
      </c>
      <c r="D23" s="142"/>
      <c r="E23" s="142"/>
      <c r="F23" s="142"/>
      <c r="G23" s="142"/>
      <c r="H23" s="142"/>
    </row>
    <row r="24" spans="1:17" x14ac:dyDescent="0.25">
      <c r="A24" s="138" t="s">
        <v>250</v>
      </c>
      <c r="C24" s="138" t="s">
        <v>260</v>
      </c>
    </row>
    <row r="25" spans="1:17" x14ac:dyDescent="0.25">
      <c r="A25" s="138" t="s">
        <v>250</v>
      </c>
      <c r="C25" s="138" t="s">
        <v>259</v>
      </c>
    </row>
    <row r="26" spans="1:17" x14ac:dyDescent="0.25">
      <c r="A26" s="138" t="s">
        <v>250</v>
      </c>
    </row>
    <row r="27" spans="1:17" x14ac:dyDescent="0.25">
      <c r="A27" s="138" t="s">
        <v>365</v>
      </c>
    </row>
    <row r="28" spans="1:17" s="141" customFormat="1" x14ac:dyDescent="0.25">
      <c r="B28" s="140" t="s">
        <v>520</v>
      </c>
    </row>
    <row r="29" spans="1:17" s="141" customFormat="1" x14ac:dyDescent="0.25">
      <c r="B29" s="140"/>
      <c r="C29" s="141" t="s">
        <v>1199</v>
      </c>
      <c r="D29" s="141" t="s">
        <v>680</v>
      </c>
      <c r="E29" s="141" t="s">
        <v>467</v>
      </c>
      <c r="F29" s="141" t="s">
        <v>236</v>
      </c>
      <c r="G29" s="141" t="s">
        <v>209</v>
      </c>
      <c r="H29" s="141" t="s">
        <v>241</v>
      </c>
      <c r="I29" s="141" t="s">
        <v>236</v>
      </c>
      <c r="J29" s="141" t="s">
        <v>209</v>
      </c>
      <c r="K29" s="141" t="s">
        <v>241</v>
      </c>
      <c r="L29" s="141" t="s">
        <v>236</v>
      </c>
      <c r="M29" s="141" t="s">
        <v>209</v>
      </c>
      <c r="N29" s="141" t="s">
        <v>241</v>
      </c>
      <c r="O29" s="141" t="s">
        <v>236</v>
      </c>
      <c r="P29" s="141" t="s">
        <v>209</v>
      </c>
      <c r="Q29" s="141" t="s">
        <v>241</v>
      </c>
    </row>
    <row r="30" spans="1:17" s="141" customFormat="1" ht="30" x14ac:dyDescent="0.25">
      <c r="B30" s="140"/>
      <c r="C30" s="141" t="s">
        <v>504</v>
      </c>
      <c r="F30" s="141" t="s">
        <v>521</v>
      </c>
      <c r="G30" s="141" t="s">
        <v>521</v>
      </c>
      <c r="H30" s="141" t="s">
        <v>521</v>
      </c>
      <c r="I30" s="141" t="s">
        <v>522</v>
      </c>
      <c r="J30" s="141" t="s">
        <v>522</v>
      </c>
      <c r="K30" s="141" t="s">
        <v>522</v>
      </c>
      <c r="L30" s="141" t="s">
        <v>523</v>
      </c>
      <c r="M30" s="141" t="s">
        <v>523</v>
      </c>
      <c r="N30" s="141" t="s">
        <v>523</v>
      </c>
      <c r="O30" s="137" t="s">
        <v>242</v>
      </c>
      <c r="P30" s="137" t="s">
        <v>242</v>
      </c>
      <c r="Q30" s="137" t="s">
        <v>242</v>
      </c>
    </row>
    <row r="31" spans="1:17" s="141" customFormat="1" x14ac:dyDescent="0.25">
      <c r="B31" s="140"/>
      <c r="C31" s="141">
        <v>2022</v>
      </c>
      <c r="D31" s="141">
        <v>1</v>
      </c>
      <c r="E31" s="141" t="s">
        <v>685</v>
      </c>
      <c r="F31" s="141">
        <v>0.36</v>
      </c>
      <c r="G31" s="141">
        <v>0.25</v>
      </c>
      <c r="H31" s="141">
        <v>0.42</v>
      </c>
      <c r="I31" s="141">
        <v>0.46</v>
      </c>
      <c r="J31" s="141">
        <v>0.22</v>
      </c>
      <c r="K31" s="141">
        <v>0.32</v>
      </c>
      <c r="L31" s="141">
        <v>0.38</v>
      </c>
      <c r="M31" s="141">
        <v>0.25</v>
      </c>
      <c r="N31" s="141">
        <v>0.46</v>
      </c>
      <c r="O31" s="141">
        <v>0.45</v>
      </c>
      <c r="P31" s="141">
        <v>0.23</v>
      </c>
      <c r="Q31" s="141">
        <v>0.17</v>
      </c>
    </row>
    <row r="32" spans="1:17" s="141" customFormat="1" x14ac:dyDescent="0.25">
      <c r="B32" s="140"/>
      <c r="C32" s="141">
        <v>2022</v>
      </c>
      <c r="D32" s="141">
        <f>D31+1</f>
        <v>2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0.41</v>
      </c>
      <c r="M32" s="141">
        <v>0.26</v>
      </c>
      <c r="N32" s="141">
        <v>0.46</v>
      </c>
      <c r="O32" s="141">
        <v>0.45</v>
      </c>
      <c r="P32" s="141">
        <v>0.23</v>
      </c>
      <c r="Q32" s="141">
        <v>0.17</v>
      </c>
    </row>
    <row r="33" spans="3:17" s="141" customFormat="1" x14ac:dyDescent="0.25">
      <c r="C33" s="141">
        <v>2022</v>
      </c>
      <c r="D33" s="141">
        <f t="shared" ref="D33:D46" si="0">D32+1</f>
        <v>3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3:17" s="141" customFormat="1" x14ac:dyDescent="0.25">
      <c r="C34" s="141">
        <v>2022</v>
      </c>
      <c r="D34" s="141">
        <f t="shared" si="0"/>
        <v>4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3:17" s="141" customFormat="1" x14ac:dyDescent="0.25">
      <c r="C35" s="141">
        <v>2022</v>
      </c>
      <c r="D35" s="141">
        <f t="shared" si="0"/>
        <v>5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3:17" s="141" customFormat="1" x14ac:dyDescent="0.25">
      <c r="C36" s="141">
        <v>2022</v>
      </c>
      <c r="D36" s="141">
        <f t="shared" si="0"/>
        <v>6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3:17" s="141" customFormat="1" x14ac:dyDescent="0.25">
      <c r="C37" s="141">
        <v>2022</v>
      </c>
      <c r="D37" s="141">
        <f t="shared" si="0"/>
        <v>7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0.38</v>
      </c>
      <c r="M37" s="141">
        <v>0.25</v>
      </c>
      <c r="N37" s="141">
        <v>0.46</v>
      </c>
      <c r="O37" s="141">
        <v>0.45</v>
      </c>
      <c r="P37" s="141">
        <v>0.23</v>
      </c>
      <c r="Q37" s="141">
        <v>0.17</v>
      </c>
    </row>
    <row r="38" spans="3:17" s="141" customFormat="1" x14ac:dyDescent="0.25">
      <c r="C38" s="141">
        <v>2022</v>
      </c>
      <c r="D38" s="141">
        <f t="shared" si="0"/>
        <v>8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0.41</v>
      </c>
      <c r="M38" s="141">
        <v>0.26</v>
      </c>
      <c r="N38" s="141">
        <v>0.46</v>
      </c>
      <c r="O38" s="141">
        <v>0.45</v>
      </c>
      <c r="P38" s="141">
        <v>0.23</v>
      </c>
      <c r="Q38" s="141">
        <v>0.17</v>
      </c>
    </row>
    <row r="39" spans="3:17" s="141" customFormat="1" x14ac:dyDescent="0.25">
      <c r="C39" s="141">
        <v>2022</v>
      </c>
      <c r="D39" s="141">
        <f t="shared" si="0"/>
        <v>9</v>
      </c>
      <c r="E39" s="141" t="s">
        <v>685</v>
      </c>
      <c r="F39" s="141">
        <v>0.34</v>
      </c>
      <c r="G39" s="141">
        <v>0.22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3:17" s="141" customFormat="1" x14ac:dyDescent="0.25">
      <c r="C40" s="141">
        <v>2022</v>
      </c>
      <c r="D40" s="141">
        <f t="shared" si="0"/>
        <v>10</v>
      </c>
      <c r="E40" s="141" t="s">
        <v>685</v>
      </c>
      <c r="F40" s="141">
        <v>0.36</v>
      </c>
      <c r="G40" s="141">
        <v>0.25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3:17" s="141" customFormat="1" x14ac:dyDescent="0.25">
      <c r="C41" s="141">
        <v>2022</v>
      </c>
      <c r="D41" s="141">
        <f t="shared" si="0"/>
        <v>11</v>
      </c>
      <c r="E41" s="141" t="s">
        <v>685</v>
      </c>
      <c r="F41" s="141">
        <v>0.34</v>
      </c>
      <c r="G41" s="141">
        <v>0.22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3:17" s="141" customFormat="1" x14ac:dyDescent="0.25">
      <c r="C42" s="141">
        <v>2022</v>
      </c>
      <c r="D42" s="141">
        <f t="shared" si="0"/>
        <v>12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3:17" s="141" customFormat="1" x14ac:dyDescent="0.25">
      <c r="C43" s="141">
        <v>2022</v>
      </c>
      <c r="D43" s="141">
        <f t="shared" si="0"/>
        <v>13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3:17" s="141" customFormat="1" x14ac:dyDescent="0.25">
      <c r="C44" s="141">
        <v>2022</v>
      </c>
      <c r="D44" s="141">
        <f t="shared" si="0"/>
        <v>14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3:17" s="141" customFormat="1" x14ac:dyDescent="0.25">
      <c r="C45" s="141">
        <v>2022</v>
      </c>
      <c r="D45" s="141">
        <f t="shared" si="0"/>
        <v>15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3:17" s="141" customFormat="1" x14ac:dyDescent="0.25">
      <c r="C46" s="141">
        <v>2022</v>
      </c>
      <c r="D46" s="141">
        <f t="shared" si="0"/>
        <v>16</v>
      </c>
      <c r="E46" s="141" t="s">
        <v>685</v>
      </c>
      <c r="F46" s="141">
        <v>0.36</v>
      </c>
      <c r="G46" s="141">
        <v>0.25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3:17" s="141" customFormat="1" x14ac:dyDescent="0.25">
      <c r="C47" s="141">
        <v>2022</v>
      </c>
      <c r="D47" s="141" t="s">
        <v>348</v>
      </c>
      <c r="E47" s="141" t="s">
        <v>1200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3:17" s="141" customFormat="1" x14ac:dyDescent="0.25">
      <c r="C48" s="141">
        <v>2022</v>
      </c>
      <c r="D48" s="141" t="s">
        <v>348</v>
      </c>
      <c r="E48" s="141" t="s">
        <v>347</v>
      </c>
      <c r="F48" s="141">
        <v>0.47</v>
      </c>
      <c r="G48" s="141">
        <v>0.26</v>
      </c>
      <c r="H48" s="147">
        <v>999</v>
      </c>
      <c r="I48" s="141">
        <v>0.47</v>
      </c>
      <c r="J48" s="141">
        <v>0.26</v>
      </c>
      <c r="K48" s="147">
        <v>999</v>
      </c>
      <c r="L48" s="141">
        <v>0.47</v>
      </c>
      <c r="M48" s="141">
        <v>0.26</v>
      </c>
      <c r="N48" s="147">
        <v>999</v>
      </c>
      <c r="O48" s="141">
        <v>0.45</v>
      </c>
      <c r="P48" s="141">
        <v>0.23</v>
      </c>
      <c r="Q48" s="147">
        <v>999</v>
      </c>
    </row>
    <row r="49" spans="1:18" s="141" customFormat="1" x14ac:dyDescent="0.25">
      <c r="C49" s="141" t="s">
        <v>348</v>
      </c>
      <c r="D49" s="141" t="s">
        <v>348</v>
      </c>
      <c r="E49" s="141" t="s">
        <v>685</v>
      </c>
      <c r="F49" s="141">
        <v>0.36</v>
      </c>
      <c r="G49" s="141">
        <v>0.25</v>
      </c>
      <c r="H49" s="141">
        <v>0.42</v>
      </c>
      <c r="I49" s="141">
        <v>0.46</v>
      </c>
      <c r="J49" s="141">
        <v>0.22</v>
      </c>
      <c r="K49" s="141">
        <v>0.32</v>
      </c>
      <c r="L49" s="141">
        <v>0.41</v>
      </c>
      <c r="M49" s="141">
        <v>0.26</v>
      </c>
      <c r="N49" s="141">
        <v>0.46</v>
      </c>
      <c r="O49" s="141">
        <v>0.45</v>
      </c>
      <c r="P49" s="141">
        <v>0.23</v>
      </c>
      <c r="Q49" s="141">
        <v>0.17</v>
      </c>
      <c r="R49" s="141" t="s">
        <v>1201</v>
      </c>
    </row>
    <row r="50" spans="1:18" s="141" customFormat="1" x14ac:dyDescent="0.25">
      <c r="C50" s="141" t="s">
        <v>348</v>
      </c>
      <c r="D50" s="141" t="s">
        <v>348</v>
      </c>
      <c r="E50" s="141" t="s">
        <v>347</v>
      </c>
      <c r="F50" s="141">
        <v>0.47</v>
      </c>
      <c r="G50" s="141">
        <v>0.26</v>
      </c>
      <c r="H50" s="147">
        <v>999</v>
      </c>
      <c r="I50" s="141">
        <v>0.47</v>
      </c>
      <c r="J50" s="141">
        <v>0.26</v>
      </c>
      <c r="K50" s="147">
        <v>999</v>
      </c>
      <c r="L50" s="141">
        <v>0.47</v>
      </c>
      <c r="M50" s="141">
        <v>0.26</v>
      </c>
      <c r="N50" s="147">
        <v>999</v>
      </c>
      <c r="O50" s="141">
        <v>0.45</v>
      </c>
      <c r="P50" s="141">
        <v>0.23</v>
      </c>
      <c r="Q50" s="147">
        <v>999</v>
      </c>
      <c r="R50" s="141" t="s">
        <v>1201</v>
      </c>
    </row>
    <row r="51" spans="1:18" s="141" customFormat="1" x14ac:dyDescent="0.25">
      <c r="B51" s="141" t="s">
        <v>245</v>
      </c>
    </row>
    <row r="52" spans="1:18" s="141" customFormat="1" x14ac:dyDescent="0.25">
      <c r="A52" s="141" t="s">
        <v>250</v>
      </c>
      <c r="B52" s="138"/>
      <c r="C52" s="326" t="s">
        <v>775</v>
      </c>
      <c r="D52" s="138"/>
      <c r="E52" s="138"/>
      <c r="F52" s="138"/>
      <c r="G52" s="138"/>
      <c r="H52" s="138"/>
      <c r="I52" s="138"/>
    </row>
    <row r="53" spans="1:18" s="141" customFormat="1" x14ac:dyDescent="0.25">
      <c r="B53" s="138"/>
      <c r="C53" s="138"/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</row>
    <row r="55" spans="1:18" s="141" customFormat="1" x14ac:dyDescent="0.25">
      <c r="B55" s="138"/>
    </row>
    <row r="56" spans="1:18" s="141" customFormat="1" x14ac:dyDescent="0.25">
      <c r="B56" s="138"/>
      <c r="C56" s="138"/>
      <c r="D56" s="138"/>
      <c r="E56" s="138"/>
      <c r="F56" s="138"/>
      <c r="G56" s="138"/>
      <c r="H56" s="138"/>
      <c r="I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79" spans="2:2" x14ac:dyDescent="0.25">
      <c r="B79" s="140"/>
    </row>
    <row r="81" spans="2:8" x14ac:dyDescent="0.25">
      <c r="D81" s="139"/>
      <c r="E81" s="139"/>
      <c r="F81" s="139"/>
      <c r="G81" s="139"/>
      <c r="H81" s="139"/>
    </row>
    <row r="85" spans="2:8" x14ac:dyDescent="0.25">
      <c r="B85" s="140"/>
    </row>
    <row r="86" spans="2:8" x14ac:dyDescent="0.25">
      <c r="D86" s="139"/>
      <c r="E86" s="139"/>
      <c r="F86" s="139"/>
      <c r="G86" s="139"/>
      <c r="H86" s="139"/>
    </row>
    <row r="100" spans="3:3" x14ac:dyDescent="0.25">
      <c r="C100" s="143"/>
    </row>
    <row r="101" spans="3:3" x14ac:dyDescent="0.25">
      <c r="C101" s="143"/>
    </row>
    <row r="105" spans="3:3" x14ac:dyDescent="0.25">
      <c r="C105" s="143"/>
    </row>
    <row r="106" spans="3:3" x14ac:dyDescent="0.25">
      <c r="C106" s="14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917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356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380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357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505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572</v>
      </c>
      <c r="E11" s="138" t="s">
        <v>573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358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372</v>
      </c>
      <c r="D14" s="138"/>
      <c r="E14" s="138"/>
    </row>
    <row r="15" spans="1:5" x14ac:dyDescent="0.25">
      <c r="A15" s="138" t="s">
        <v>250</v>
      </c>
      <c r="B15" s="138"/>
      <c r="C15" s="138" t="s">
        <v>373</v>
      </c>
      <c r="D15" s="138"/>
      <c r="E15" s="138"/>
    </row>
    <row r="16" spans="1:5" x14ac:dyDescent="0.25">
      <c r="A16" s="138" t="s">
        <v>250</v>
      </c>
      <c r="B16" s="138"/>
      <c r="C16" s="138" t="s">
        <v>374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355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288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354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376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284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286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365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506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467</v>
      </c>
      <c r="D29" s="138" t="s">
        <v>577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507</v>
      </c>
      <c r="D30" s="138"/>
      <c r="E30" s="141" t="s">
        <v>465</v>
      </c>
      <c r="F30" s="141" t="s">
        <v>465</v>
      </c>
      <c r="G30" s="141" t="s">
        <v>465</v>
      </c>
      <c r="H30" s="141" t="s">
        <v>465</v>
      </c>
      <c r="I30" s="141" t="s">
        <v>465</v>
      </c>
      <c r="J30" s="141" t="s">
        <v>465</v>
      </c>
      <c r="K30" s="141" t="s">
        <v>466</v>
      </c>
      <c r="L30" s="141" t="s">
        <v>466</v>
      </c>
      <c r="M30" s="141" t="s">
        <v>466</v>
      </c>
      <c r="N30" s="141" t="s">
        <v>466</v>
      </c>
      <c r="O30" s="141" t="s">
        <v>466</v>
      </c>
      <c r="P30" s="141" t="s">
        <v>466</v>
      </c>
      <c r="Q30" s="8"/>
    </row>
    <row r="31" spans="1:17" x14ac:dyDescent="0.25">
      <c r="A31" s="138"/>
      <c r="B31" s="140"/>
      <c r="C31" s="138" t="s">
        <v>574</v>
      </c>
      <c r="D31" s="138"/>
      <c r="E31" s="141" t="s">
        <v>469</v>
      </c>
      <c r="F31" s="141" t="s">
        <v>469</v>
      </c>
      <c r="G31" s="141" t="s">
        <v>469</v>
      </c>
      <c r="H31" s="141" t="s">
        <v>470</v>
      </c>
      <c r="I31" s="141" t="s">
        <v>470</v>
      </c>
      <c r="J31" s="141" t="s">
        <v>470</v>
      </c>
      <c r="K31" s="141" t="s">
        <v>469</v>
      </c>
      <c r="L31" s="141" t="s">
        <v>469</v>
      </c>
      <c r="M31" s="141" t="s">
        <v>469</v>
      </c>
      <c r="N31" s="141" t="s">
        <v>470</v>
      </c>
      <c r="O31" s="141" t="s">
        <v>470</v>
      </c>
      <c r="P31" s="141" t="s">
        <v>470</v>
      </c>
      <c r="Q31" s="8"/>
    </row>
    <row r="32" spans="1:17" x14ac:dyDescent="0.25">
      <c r="A32" s="138"/>
      <c r="B32" s="138"/>
      <c r="C32" s="141" t="s">
        <v>685</v>
      </c>
      <c r="D32" s="138" t="s">
        <v>348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331</v>
      </c>
      <c r="O32" s="157" t="s">
        <v>331</v>
      </c>
      <c r="P32" s="157" t="s">
        <v>331</v>
      </c>
      <c r="Q32" s="8"/>
    </row>
    <row r="33" spans="2:17" x14ac:dyDescent="0.25">
      <c r="B33" s="138"/>
      <c r="C33" s="141" t="s">
        <v>347</v>
      </c>
      <c r="D33" s="138" t="s">
        <v>575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331</v>
      </c>
      <c r="O33" s="157" t="s">
        <v>331</v>
      </c>
      <c r="P33" s="157" t="s">
        <v>331</v>
      </c>
      <c r="Q33" s="8"/>
    </row>
    <row r="34" spans="2:17" x14ac:dyDescent="0.25">
      <c r="B34" s="138"/>
      <c r="C34" s="141" t="s">
        <v>347</v>
      </c>
      <c r="D34" s="138" t="s">
        <v>576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331</v>
      </c>
      <c r="O34" s="157" t="s">
        <v>331</v>
      </c>
      <c r="P34" s="157" t="s">
        <v>331</v>
      </c>
      <c r="Q34" s="8"/>
    </row>
    <row r="35" spans="2:17" x14ac:dyDescent="0.25">
      <c r="C35" s="157" t="s">
        <v>331</v>
      </c>
      <c r="D35" s="138" t="s">
        <v>578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775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672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356</v>
      </c>
    </row>
    <row r="4" spans="1:6" x14ac:dyDescent="0.25">
      <c r="A4" s="138" t="s">
        <v>250</v>
      </c>
      <c r="C4" s="138" t="s">
        <v>770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357</v>
      </c>
    </row>
    <row r="7" spans="1:6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6" x14ac:dyDescent="0.25">
      <c r="A8" s="138" t="s">
        <v>250</v>
      </c>
      <c r="B8" s="141"/>
      <c r="C8" s="144">
        <v>41904</v>
      </c>
      <c r="D8" s="145" t="s">
        <v>410</v>
      </c>
      <c r="E8" s="145"/>
      <c r="F8" s="138" t="s">
        <v>677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689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272</v>
      </c>
    </row>
    <row r="19" spans="1:18" x14ac:dyDescent="0.25">
      <c r="A19" s="138" t="s">
        <v>250</v>
      </c>
      <c r="C19" s="116" t="s">
        <v>770</v>
      </c>
    </row>
    <row r="20" spans="1:18" x14ac:dyDescent="0.25">
      <c r="A20" s="138" t="s">
        <v>250</v>
      </c>
      <c r="C20" s="138" t="s">
        <v>680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365</v>
      </c>
    </row>
    <row r="24" spans="1:18" x14ac:dyDescent="0.25">
      <c r="B24" s="140" t="s">
        <v>769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680</v>
      </c>
      <c r="D25" s="205" t="s">
        <v>490</v>
      </c>
      <c r="E25" s="181" t="s">
        <v>473</v>
      </c>
      <c r="F25" s="181" t="s">
        <v>497</v>
      </c>
      <c r="G25" s="181" t="s">
        <v>468</v>
      </c>
      <c r="H25" s="183" t="s">
        <v>678</v>
      </c>
      <c r="I25" s="183" t="s">
        <v>688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761</v>
      </c>
      <c r="D26" s="224"/>
      <c r="F26" s="224"/>
      <c r="G26" s="224"/>
      <c r="H26" s="206"/>
      <c r="I26" s="206"/>
      <c r="J26" s="229" t="s">
        <v>519</v>
      </c>
      <c r="K26" s="206" t="s">
        <v>519</v>
      </c>
      <c r="L26" s="207" t="s">
        <v>519</v>
      </c>
      <c r="M26" s="228" t="s">
        <v>346</v>
      </c>
      <c r="N26" s="224" t="s">
        <v>346</v>
      </c>
      <c r="O26" s="263" t="s">
        <v>346</v>
      </c>
      <c r="P26" s="229" t="s">
        <v>791</v>
      </c>
      <c r="Q26" s="183" t="s">
        <v>791</v>
      </c>
      <c r="R26" s="184" t="s">
        <v>791</v>
      </c>
    </row>
    <row r="27" spans="1:18" x14ac:dyDescent="0.25">
      <c r="C27" s="228">
        <v>1</v>
      </c>
      <c r="D27" s="230" t="s">
        <v>524</v>
      </c>
      <c r="E27" s="230" t="s">
        <v>681</v>
      </c>
      <c r="F27" s="230" t="s">
        <v>774</v>
      </c>
      <c r="G27" s="231" t="s">
        <v>348</v>
      </c>
      <c r="H27" s="231" t="s">
        <v>348</v>
      </c>
      <c r="I27" s="231" t="s">
        <v>348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524</v>
      </c>
      <c r="E28" s="214" t="s">
        <v>682</v>
      </c>
      <c r="F28" s="214" t="s">
        <v>774</v>
      </c>
      <c r="G28" s="215" t="s">
        <v>348</v>
      </c>
      <c r="H28" s="215" t="s">
        <v>348</v>
      </c>
      <c r="I28" s="215" t="s">
        <v>348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524</v>
      </c>
      <c r="E29" s="214" t="s">
        <v>683</v>
      </c>
      <c r="F29" s="214" t="s">
        <v>774</v>
      </c>
      <c r="G29" s="215" t="s">
        <v>348</v>
      </c>
      <c r="H29" s="215" t="s">
        <v>348</v>
      </c>
      <c r="I29" s="215" t="s">
        <v>348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524</v>
      </c>
      <c r="E30" s="216" t="s">
        <v>685</v>
      </c>
      <c r="F30" s="214" t="s">
        <v>774</v>
      </c>
      <c r="G30" s="217" t="s">
        <v>348</v>
      </c>
      <c r="H30" s="217" t="s">
        <v>348</v>
      </c>
      <c r="I30" s="217" t="s">
        <v>348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524</v>
      </c>
      <c r="E31" s="218" t="s">
        <v>684</v>
      </c>
      <c r="F31" s="218" t="s">
        <v>686</v>
      </c>
      <c r="G31" s="215" t="s">
        <v>348</v>
      </c>
      <c r="H31" s="215" t="s">
        <v>348</v>
      </c>
      <c r="I31" s="215" t="s">
        <v>348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524</v>
      </c>
      <c r="E32" s="218" t="s">
        <v>684</v>
      </c>
      <c r="F32" s="216" t="s">
        <v>687</v>
      </c>
      <c r="G32" s="215" t="s">
        <v>348</v>
      </c>
      <c r="H32" s="215" t="s">
        <v>348</v>
      </c>
      <c r="I32" s="215" t="s">
        <v>348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524</v>
      </c>
      <c r="E33" s="218" t="s">
        <v>684</v>
      </c>
      <c r="F33" s="216" t="s">
        <v>774</v>
      </c>
      <c r="G33" s="215" t="s">
        <v>348</v>
      </c>
      <c r="H33" s="215" t="s">
        <v>348</v>
      </c>
      <c r="I33" s="215" t="s">
        <v>348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348</v>
      </c>
      <c r="F34" s="215" t="s">
        <v>348</v>
      </c>
      <c r="G34" s="215" t="s">
        <v>469</v>
      </c>
      <c r="H34" s="219" t="s">
        <v>465</v>
      </c>
      <c r="I34" s="307" t="s">
        <v>575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348</v>
      </c>
      <c r="F35" s="215" t="s">
        <v>348</v>
      </c>
      <c r="G35" s="215" t="s">
        <v>469</v>
      </c>
      <c r="H35" s="219" t="s">
        <v>465</v>
      </c>
      <c r="I35" s="307" t="s">
        <v>576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348</v>
      </c>
      <c r="F36" s="215" t="s">
        <v>348</v>
      </c>
      <c r="G36" s="215" t="s">
        <v>469</v>
      </c>
      <c r="H36" s="219" t="s">
        <v>466</v>
      </c>
      <c r="I36" s="307" t="s">
        <v>575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348</v>
      </c>
      <c r="F37" s="217" t="s">
        <v>348</v>
      </c>
      <c r="G37" s="215" t="s">
        <v>469</v>
      </c>
      <c r="H37" s="219" t="s">
        <v>466</v>
      </c>
      <c r="I37" s="307" t="s">
        <v>576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348</v>
      </c>
      <c r="F38" s="215" t="s">
        <v>348</v>
      </c>
      <c r="G38" s="215" t="s">
        <v>470</v>
      </c>
      <c r="H38" s="220" t="s">
        <v>348</v>
      </c>
      <c r="I38" s="307" t="s">
        <v>575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348</v>
      </c>
      <c r="F39" s="215" t="s">
        <v>348</v>
      </c>
      <c r="G39" s="215" t="s">
        <v>470</v>
      </c>
      <c r="H39" s="220" t="s">
        <v>348</v>
      </c>
      <c r="I39" s="307" t="s">
        <v>576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524</v>
      </c>
      <c r="E40" s="230" t="s">
        <v>681</v>
      </c>
      <c r="F40" s="230" t="s">
        <v>774</v>
      </c>
      <c r="G40" s="231" t="s">
        <v>348</v>
      </c>
      <c r="H40" s="231" t="s">
        <v>348</v>
      </c>
      <c r="I40" s="231" t="s">
        <v>348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524</v>
      </c>
      <c r="E41" s="214" t="s">
        <v>682</v>
      </c>
      <c r="F41" s="214" t="s">
        <v>774</v>
      </c>
      <c r="G41" s="215" t="s">
        <v>348</v>
      </c>
      <c r="H41" s="215" t="s">
        <v>348</v>
      </c>
      <c r="I41" s="215" t="s">
        <v>348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524</v>
      </c>
      <c r="E42" s="214" t="s">
        <v>683</v>
      </c>
      <c r="F42" s="214" t="s">
        <v>774</v>
      </c>
      <c r="G42" s="215" t="s">
        <v>348</v>
      </c>
      <c r="H42" s="215" t="s">
        <v>348</v>
      </c>
      <c r="I42" s="215" t="s">
        <v>348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524</v>
      </c>
      <c r="E43" s="216" t="s">
        <v>685</v>
      </c>
      <c r="F43" s="214" t="s">
        <v>774</v>
      </c>
      <c r="G43" s="217" t="s">
        <v>348</v>
      </c>
      <c r="H43" s="217" t="s">
        <v>348</v>
      </c>
      <c r="I43" s="217" t="s">
        <v>348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524</v>
      </c>
      <c r="E44" s="218" t="s">
        <v>684</v>
      </c>
      <c r="F44" s="218" t="s">
        <v>686</v>
      </c>
      <c r="G44" s="215" t="s">
        <v>348</v>
      </c>
      <c r="H44" s="215" t="s">
        <v>348</v>
      </c>
      <c r="I44" s="215" t="s">
        <v>348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524</v>
      </c>
      <c r="E45" s="218" t="s">
        <v>684</v>
      </c>
      <c r="F45" s="216" t="s">
        <v>687</v>
      </c>
      <c r="G45" s="215" t="s">
        <v>348</v>
      </c>
      <c r="H45" s="215" t="s">
        <v>348</v>
      </c>
      <c r="I45" s="215" t="s">
        <v>348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524</v>
      </c>
      <c r="E46" s="218" t="s">
        <v>684</v>
      </c>
      <c r="F46" s="216" t="s">
        <v>774</v>
      </c>
      <c r="G46" s="215" t="s">
        <v>348</v>
      </c>
      <c r="H46" s="215" t="s">
        <v>348</v>
      </c>
      <c r="I46" s="215" t="s">
        <v>348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348</v>
      </c>
      <c r="F47" s="215" t="s">
        <v>348</v>
      </c>
      <c r="G47" s="215" t="s">
        <v>469</v>
      </c>
      <c r="H47" s="219" t="s">
        <v>465</v>
      </c>
      <c r="I47" s="307" t="s">
        <v>575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348</v>
      </c>
      <c r="F48" s="215" t="s">
        <v>348</v>
      </c>
      <c r="G48" s="215" t="s">
        <v>469</v>
      </c>
      <c r="H48" s="219" t="s">
        <v>465</v>
      </c>
      <c r="I48" s="307" t="s">
        <v>576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348</v>
      </c>
      <c r="F49" s="215" t="s">
        <v>348</v>
      </c>
      <c r="G49" s="215" t="s">
        <v>469</v>
      </c>
      <c r="H49" s="219" t="s">
        <v>466</v>
      </c>
      <c r="I49" s="307" t="s">
        <v>575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348</v>
      </c>
      <c r="F50" s="217" t="s">
        <v>348</v>
      </c>
      <c r="G50" s="215" t="s">
        <v>469</v>
      </c>
      <c r="H50" s="219" t="s">
        <v>466</v>
      </c>
      <c r="I50" s="307" t="s">
        <v>576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348</v>
      </c>
      <c r="F51" s="215" t="s">
        <v>348</v>
      </c>
      <c r="G51" s="215" t="s">
        <v>470</v>
      </c>
      <c r="H51" s="220" t="s">
        <v>348</v>
      </c>
      <c r="I51" s="307" t="s">
        <v>575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348</v>
      </c>
      <c r="F52" s="201" t="s">
        <v>348</v>
      </c>
      <c r="G52" s="201" t="s">
        <v>470</v>
      </c>
      <c r="H52" s="226" t="s">
        <v>348</v>
      </c>
      <c r="I52" s="308" t="s">
        <v>576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524</v>
      </c>
      <c r="E53" s="230" t="s">
        <v>681</v>
      </c>
      <c r="F53" s="230" t="s">
        <v>774</v>
      </c>
      <c r="G53" s="231" t="s">
        <v>348</v>
      </c>
      <c r="H53" s="231" t="s">
        <v>348</v>
      </c>
      <c r="I53" s="231" t="s">
        <v>348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524</v>
      </c>
      <c r="E54" s="214" t="s">
        <v>682</v>
      </c>
      <c r="F54" s="214" t="s">
        <v>774</v>
      </c>
      <c r="G54" s="215" t="s">
        <v>348</v>
      </c>
      <c r="H54" s="215" t="s">
        <v>348</v>
      </c>
      <c r="I54" s="215" t="s">
        <v>348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524</v>
      </c>
      <c r="E55" s="214" t="s">
        <v>683</v>
      </c>
      <c r="F55" s="214" t="s">
        <v>774</v>
      </c>
      <c r="G55" s="215" t="s">
        <v>348</v>
      </c>
      <c r="H55" s="215" t="s">
        <v>348</v>
      </c>
      <c r="I55" s="215" t="s">
        <v>348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524</v>
      </c>
      <c r="E56" s="216" t="s">
        <v>685</v>
      </c>
      <c r="F56" s="214" t="s">
        <v>774</v>
      </c>
      <c r="G56" s="217" t="s">
        <v>348</v>
      </c>
      <c r="H56" s="217" t="s">
        <v>348</v>
      </c>
      <c r="I56" s="217" t="s">
        <v>348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524</v>
      </c>
      <c r="E57" s="218" t="s">
        <v>684</v>
      </c>
      <c r="F57" s="218" t="s">
        <v>686</v>
      </c>
      <c r="G57" s="215" t="s">
        <v>348</v>
      </c>
      <c r="H57" s="215" t="s">
        <v>348</v>
      </c>
      <c r="I57" s="215" t="s">
        <v>348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524</v>
      </c>
      <c r="E58" s="218" t="s">
        <v>684</v>
      </c>
      <c r="F58" s="216" t="s">
        <v>687</v>
      </c>
      <c r="G58" s="215" t="s">
        <v>348</v>
      </c>
      <c r="H58" s="215" t="s">
        <v>348</v>
      </c>
      <c r="I58" s="215" t="s">
        <v>348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524</v>
      </c>
      <c r="E59" s="218" t="s">
        <v>684</v>
      </c>
      <c r="F59" s="216" t="s">
        <v>774</v>
      </c>
      <c r="G59" s="215" t="s">
        <v>348</v>
      </c>
      <c r="H59" s="215" t="s">
        <v>348</v>
      </c>
      <c r="I59" s="215" t="s">
        <v>348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348</v>
      </c>
      <c r="F60" s="215" t="s">
        <v>348</v>
      </c>
      <c r="G60" s="215" t="s">
        <v>469</v>
      </c>
      <c r="H60" s="219" t="s">
        <v>465</v>
      </c>
      <c r="I60" s="307" t="s">
        <v>575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348</v>
      </c>
      <c r="F61" s="215" t="s">
        <v>348</v>
      </c>
      <c r="G61" s="215" t="s">
        <v>469</v>
      </c>
      <c r="H61" s="219" t="s">
        <v>465</v>
      </c>
      <c r="I61" s="307" t="s">
        <v>576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348</v>
      </c>
      <c r="F62" s="215" t="s">
        <v>348</v>
      </c>
      <c r="G62" s="215" t="s">
        <v>469</v>
      </c>
      <c r="H62" s="219" t="s">
        <v>466</v>
      </c>
      <c r="I62" s="307" t="s">
        <v>575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348</v>
      </c>
      <c r="F63" s="217" t="s">
        <v>348</v>
      </c>
      <c r="G63" s="215" t="s">
        <v>469</v>
      </c>
      <c r="H63" s="219" t="s">
        <v>466</v>
      </c>
      <c r="I63" s="307" t="s">
        <v>576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348</v>
      </c>
      <c r="F64" s="215" t="s">
        <v>348</v>
      </c>
      <c r="G64" s="215" t="s">
        <v>470</v>
      </c>
      <c r="H64" s="220" t="s">
        <v>348</v>
      </c>
      <c r="I64" s="307" t="s">
        <v>575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348</v>
      </c>
      <c r="F65" s="201" t="s">
        <v>348</v>
      </c>
      <c r="G65" s="201" t="s">
        <v>470</v>
      </c>
      <c r="H65" s="226" t="s">
        <v>348</v>
      </c>
      <c r="I65" s="308" t="s">
        <v>576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524</v>
      </c>
      <c r="E66" s="230" t="s">
        <v>681</v>
      </c>
      <c r="F66" s="230" t="s">
        <v>774</v>
      </c>
      <c r="G66" s="231" t="s">
        <v>348</v>
      </c>
      <c r="H66" s="231" t="s">
        <v>348</v>
      </c>
      <c r="I66" s="231" t="s">
        <v>348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524</v>
      </c>
      <c r="E67" s="214" t="s">
        <v>682</v>
      </c>
      <c r="F67" s="214" t="s">
        <v>774</v>
      </c>
      <c r="G67" s="215" t="s">
        <v>348</v>
      </c>
      <c r="H67" s="215" t="s">
        <v>348</v>
      </c>
      <c r="I67" s="215" t="s">
        <v>348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524</v>
      </c>
      <c r="E68" s="214" t="s">
        <v>683</v>
      </c>
      <c r="F68" s="214" t="s">
        <v>774</v>
      </c>
      <c r="G68" s="215" t="s">
        <v>348</v>
      </c>
      <c r="H68" s="215" t="s">
        <v>348</v>
      </c>
      <c r="I68" s="215" t="s">
        <v>348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524</v>
      </c>
      <c r="E69" s="216" t="s">
        <v>685</v>
      </c>
      <c r="F69" s="214" t="s">
        <v>774</v>
      </c>
      <c r="G69" s="217" t="s">
        <v>348</v>
      </c>
      <c r="H69" s="217" t="s">
        <v>348</v>
      </c>
      <c r="I69" s="217" t="s">
        <v>348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524</v>
      </c>
      <c r="E70" s="218" t="s">
        <v>684</v>
      </c>
      <c r="F70" s="218" t="s">
        <v>686</v>
      </c>
      <c r="G70" s="215" t="s">
        <v>348</v>
      </c>
      <c r="H70" s="215" t="s">
        <v>348</v>
      </c>
      <c r="I70" s="215" t="s">
        <v>348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524</v>
      </c>
      <c r="E71" s="218" t="s">
        <v>684</v>
      </c>
      <c r="F71" s="216" t="s">
        <v>687</v>
      </c>
      <c r="G71" s="215" t="s">
        <v>348</v>
      </c>
      <c r="H71" s="215" t="s">
        <v>348</v>
      </c>
      <c r="I71" s="215" t="s">
        <v>348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524</v>
      </c>
      <c r="E72" s="218" t="s">
        <v>684</v>
      </c>
      <c r="F72" s="216" t="s">
        <v>774</v>
      </c>
      <c r="G72" s="215" t="s">
        <v>348</v>
      </c>
      <c r="H72" s="215" t="s">
        <v>348</v>
      </c>
      <c r="I72" s="215" t="s">
        <v>348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348</v>
      </c>
      <c r="F73" s="215" t="s">
        <v>348</v>
      </c>
      <c r="G73" s="215" t="s">
        <v>469</v>
      </c>
      <c r="H73" s="219" t="s">
        <v>465</v>
      </c>
      <c r="I73" s="307" t="s">
        <v>575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348</v>
      </c>
      <c r="F74" s="215" t="s">
        <v>348</v>
      </c>
      <c r="G74" s="215" t="s">
        <v>469</v>
      </c>
      <c r="H74" s="219" t="s">
        <v>465</v>
      </c>
      <c r="I74" s="307" t="s">
        <v>576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348</v>
      </c>
      <c r="F75" s="215" t="s">
        <v>348</v>
      </c>
      <c r="G75" s="215" t="s">
        <v>469</v>
      </c>
      <c r="H75" s="219" t="s">
        <v>466</v>
      </c>
      <c r="I75" s="307" t="s">
        <v>575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348</v>
      </c>
      <c r="F76" s="217" t="s">
        <v>348</v>
      </c>
      <c r="G76" s="215" t="s">
        <v>469</v>
      </c>
      <c r="H76" s="219" t="s">
        <v>466</v>
      </c>
      <c r="I76" s="307" t="s">
        <v>576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348</v>
      </c>
      <c r="F77" s="215" t="s">
        <v>348</v>
      </c>
      <c r="G77" s="215" t="s">
        <v>470</v>
      </c>
      <c r="H77" s="220" t="s">
        <v>348</v>
      </c>
      <c r="I77" s="307" t="s">
        <v>575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348</v>
      </c>
      <c r="F78" s="201" t="s">
        <v>348</v>
      </c>
      <c r="G78" s="201" t="s">
        <v>470</v>
      </c>
      <c r="H78" s="226" t="s">
        <v>348</v>
      </c>
      <c r="I78" s="308" t="s">
        <v>576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524</v>
      </c>
      <c r="E79" s="230" t="s">
        <v>681</v>
      </c>
      <c r="F79" s="230" t="s">
        <v>774</v>
      </c>
      <c r="G79" s="231" t="s">
        <v>348</v>
      </c>
      <c r="H79" s="231" t="s">
        <v>348</v>
      </c>
      <c r="I79" s="231" t="s">
        <v>348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524</v>
      </c>
      <c r="E80" s="214" t="s">
        <v>682</v>
      </c>
      <c r="F80" s="214" t="s">
        <v>774</v>
      </c>
      <c r="G80" s="215" t="s">
        <v>348</v>
      </c>
      <c r="H80" s="215" t="s">
        <v>348</v>
      </c>
      <c r="I80" s="215" t="s">
        <v>348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524</v>
      </c>
      <c r="E81" s="214" t="s">
        <v>683</v>
      </c>
      <c r="F81" s="214" t="s">
        <v>774</v>
      </c>
      <c r="G81" s="215" t="s">
        <v>348</v>
      </c>
      <c r="H81" s="215" t="s">
        <v>348</v>
      </c>
      <c r="I81" s="215" t="s">
        <v>348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524</v>
      </c>
      <c r="E82" s="216" t="s">
        <v>685</v>
      </c>
      <c r="F82" s="214" t="s">
        <v>774</v>
      </c>
      <c r="G82" s="217" t="s">
        <v>348</v>
      </c>
      <c r="H82" s="217" t="s">
        <v>348</v>
      </c>
      <c r="I82" s="217" t="s">
        <v>348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524</v>
      </c>
      <c r="E83" s="218" t="s">
        <v>684</v>
      </c>
      <c r="F83" s="218" t="s">
        <v>686</v>
      </c>
      <c r="G83" s="215" t="s">
        <v>348</v>
      </c>
      <c r="H83" s="215" t="s">
        <v>348</v>
      </c>
      <c r="I83" s="215" t="s">
        <v>348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524</v>
      </c>
      <c r="E84" s="218" t="s">
        <v>684</v>
      </c>
      <c r="F84" s="216" t="s">
        <v>687</v>
      </c>
      <c r="G84" s="215" t="s">
        <v>348</v>
      </c>
      <c r="H84" s="215" t="s">
        <v>348</v>
      </c>
      <c r="I84" s="215" t="s">
        <v>348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524</v>
      </c>
      <c r="E85" s="218" t="s">
        <v>684</v>
      </c>
      <c r="F85" s="216" t="s">
        <v>774</v>
      </c>
      <c r="G85" s="215" t="s">
        <v>348</v>
      </c>
      <c r="H85" s="215" t="s">
        <v>348</v>
      </c>
      <c r="I85" s="215" t="s">
        <v>348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348</v>
      </c>
      <c r="F86" s="215" t="s">
        <v>348</v>
      </c>
      <c r="G86" s="215" t="s">
        <v>469</v>
      </c>
      <c r="H86" s="219" t="s">
        <v>465</v>
      </c>
      <c r="I86" s="307" t="s">
        <v>575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348</v>
      </c>
      <c r="F87" s="215" t="s">
        <v>348</v>
      </c>
      <c r="G87" s="215" t="s">
        <v>469</v>
      </c>
      <c r="H87" s="219" t="s">
        <v>465</v>
      </c>
      <c r="I87" s="307" t="s">
        <v>576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348</v>
      </c>
      <c r="F88" s="215" t="s">
        <v>348</v>
      </c>
      <c r="G88" s="215" t="s">
        <v>469</v>
      </c>
      <c r="H88" s="219" t="s">
        <v>466</v>
      </c>
      <c r="I88" s="307" t="s">
        <v>575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348</v>
      </c>
      <c r="F89" s="217" t="s">
        <v>348</v>
      </c>
      <c r="G89" s="215" t="s">
        <v>469</v>
      </c>
      <c r="H89" s="219" t="s">
        <v>466</v>
      </c>
      <c r="I89" s="307" t="s">
        <v>576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348</v>
      </c>
      <c r="F90" s="215" t="s">
        <v>348</v>
      </c>
      <c r="G90" s="215" t="s">
        <v>470</v>
      </c>
      <c r="H90" s="220" t="s">
        <v>348</v>
      </c>
      <c r="I90" s="307" t="s">
        <v>575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348</v>
      </c>
      <c r="F91" s="201" t="s">
        <v>348</v>
      </c>
      <c r="G91" s="201" t="s">
        <v>470</v>
      </c>
      <c r="H91" s="226" t="s">
        <v>348</v>
      </c>
      <c r="I91" s="308" t="s">
        <v>576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524</v>
      </c>
      <c r="E92" s="230" t="s">
        <v>681</v>
      </c>
      <c r="F92" s="230" t="s">
        <v>774</v>
      </c>
      <c r="G92" s="231" t="s">
        <v>348</v>
      </c>
      <c r="H92" s="231" t="s">
        <v>348</v>
      </c>
      <c r="I92" s="231" t="s">
        <v>348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524</v>
      </c>
      <c r="E93" s="214" t="s">
        <v>682</v>
      </c>
      <c r="F93" s="214" t="s">
        <v>774</v>
      </c>
      <c r="G93" s="215" t="s">
        <v>348</v>
      </c>
      <c r="H93" s="215" t="s">
        <v>348</v>
      </c>
      <c r="I93" s="215" t="s">
        <v>348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524</v>
      </c>
      <c r="E94" s="214" t="s">
        <v>683</v>
      </c>
      <c r="F94" s="214" t="s">
        <v>774</v>
      </c>
      <c r="G94" s="215" t="s">
        <v>348</v>
      </c>
      <c r="H94" s="215" t="s">
        <v>348</v>
      </c>
      <c r="I94" s="215" t="s">
        <v>348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524</v>
      </c>
      <c r="E95" s="216" t="s">
        <v>685</v>
      </c>
      <c r="F95" s="214" t="s">
        <v>774</v>
      </c>
      <c r="G95" s="217" t="s">
        <v>348</v>
      </c>
      <c r="H95" s="217" t="s">
        <v>348</v>
      </c>
      <c r="I95" s="217" t="s">
        <v>348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524</v>
      </c>
      <c r="E96" s="218" t="s">
        <v>684</v>
      </c>
      <c r="F96" s="218" t="s">
        <v>686</v>
      </c>
      <c r="G96" s="215" t="s">
        <v>348</v>
      </c>
      <c r="H96" s="215" t="s">
        <v>348</v>
      </c>
      <c r="I96" s="215" t="s">
        <v>348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524</v>
      </c>
      <c r="E97" s="218" t="s">
        <v>684</v>
      </c>
      <c r="F97" s="216" t="s">
        <v>687</v>
      </c>
      <c r="G97" s="215" t="s">
        <v>348</v>
      </c>
      <c r="H97" s="215" t="s">
        <v>348</v>
      </c>
      <c r="I97" s="215" t="s">
        <v>348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524</v>
      </c>
      <c r="E98" s="218" t="s">
        <v>684</v>
      </c>
      <c r="F98" s="216" t="s">
        <v>774</v>
      </c>
      <c r="G98" s="215" t="s">
        <v>348</v>
      </c>
      <c r="H98" s="215" t="s">
        <v>348</v>
      </c>
      <c r="I98" s="215" t="s">
        <v>348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348</v>
      </c>
      <c r="F99" s="215" t="s">
        <v>348</v>
      </c>
      <c r="G99" s="215" t="s">
        <v>469</v>
      </c>
      <c r="H99" s="219" t="s">
        <v>465</v>
      </c>
      <c r="I99" s="307" t="s">
        <v>575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348</v>
      </c>
      <c r="F100" s="215" t="s">
        <v>348</v>
      </c>
      <c r="G100" s="215" t="s">
        <v>469</v>
      </c>
      <c r="H100" s="219" t="s">
        <v>465</v>
      </c>
      <c r="I100" s="307" t="s">
        <v>576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348</v>
      </c>
      <c r="F101" s="215" t="s">
        <v>348</v>
      </c>
      <c r="G101" s="215" t="s">
        <v>469</v>
      </c>
      <c r="H101" s="219" t="s">
        <v>466</v>
      </c>
      <c r="I101" s="307" t="s">
        <v>575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348</v>
      </c>
      <c r="F102" s="217" t="s">
        <v>348</v>
      </c>
      <c r="G102" s="215" t="s">
        <v>469</v>
      </c>
      <c r="H102" s="219" t="s">
        <v>466</v>
      </c>
      <c r="I102" s="307" t="s">
        <v>576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348</v>
      </c>
      <c r="F103" s="215" t="s">
        <v>348</v>
      </c>
      <c r="G103" s="215" t="s">
        <v>470</v>
      </c>
      <c r="H103" s="220" t="s">
        <v>348</v>
      </c>
      <c r="I103" s="307" t="s">
        <v>575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348</v>
      </c>
      <c r="F104" s="201" t="s">
        <v>348</v>
      </c>
      <c r="G104" s="201" t="s">
        <v>470</v>
      </c>
      <c r="H104" s="226" t="s">
        <v>348</v>
      </c>
      <c r="I104" s="308" t="s">
        <v>576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524</v>
      </c>
      <c r="E105" s="230" t="s">
        <v>681</v>
      </c>
      <c r="F105" s="230" t="s">
        <v>774</v>
      </c>
      <c r="G105" s="231" t="s">
        <v>348</v>
      </c>
      <c r="H105" s="231" t="s">
        <v>348</v>
      </c>
      <c r="I105" s="231" t="s">
        <v>348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524</v>
      </c>
      <c r="E106" s="214" t="s">
        <v>682</v>
      </c>
      <c r="F106" s="214" t="s">
        <v>774</v>
      </c>
      <c r="G106" s="215" t="s">
        <v>348</v>
      </c>
      <c r="H106" s="215" t="s">
        <v>348</v>
      </c>
      <c r="I106" s="215" t="s">
        <v>348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524</v>
      </c>
      <c r="E107" s="214" t="s">
        <v>683</v>
      </c>
      <c r="F107" s="214" t="s">
        <v>774</v>
      </c>
      <c r="G107" s="215" t="s">
        <v>348</v>
      </c>
      <c r="H107" s="215" t="s">
        <v>348</v>
      </c>
      <c r="I107" s="215" t="s">
        <v>348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524</v>
      </c>
      <c r="E108" s="216" t="s">
        <v>685</v>
      </c>
      <c r="F108" s="214" t="s">
        <v>774</v>
      </c>
      <c r="G108" s="217" t="s">
        <v>348</v>
      </c>
      <c r="H108" s="217" t="s">
        <v>348</v>
      </c>
      <c r="I108" s="217" t="s">
        <v>348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524</v>
      </c>
      <c r="E109" s="218" t="s">
        <v>684</v>
      </c>
      <c r="F109" s="218" t="s">
        <v>686</v>
      </c>
      <c r="G109" s="215" t="s">
        <v>348</v>
      </c>
      <c r="H109" s="215" t="s">
        <v>348</v>
      </c>
      <c r="I109" s="215" t="s">
        <v>348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524</v>
      </c>
      <c r="E110" s="218" t="s">
        <v>684</v>
      </c>
      <c r="F110" s="216" t="s">
        <v>687</v>
      </c>
      <c r="G110" s="215" t="s">
        <v>348</v>
      </c>
      <c r="H110" s="215" t="s">
        <v>348</v>
      </c>
      <c r="I110" s="215" t="s">
        <v>348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524</v>
      </c>
      <c r="E111" s="218" t="s">
        <v>684</v>
      </c>
      <c r="F111" s="216" t="s">
        <v>774</v>
      </c>
      <c r="G111" s="215" t="s">
        <v>348</v>
      </c>
      <c r="H111" s="215" t="s">
        <v>348</v>
      </c>
      <c r="I111" s="215" t="s">
        <v>348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348</v>
      </c>
      <c r="F112" s="215" t="s">
        <v>348</v>
      </c>
      <c r="G112" s="215" t="s">
        <v>469</v>
      </c>
      <c r="H112" s="219" t="s">
        <v>465</v>
      </c>
      <c r="I112" s="307" t="s">
        <v>575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348</v>
      </c>
      <c r="F113" s="215" t="s">
        <v>348</v>
      </c>
      <c r="G113" s="215" t="s">
        <v>469</v>
      </c>
      <c r="H113" s="219" t="s">
        <v>465</v>
      </c>
      <c r="I113" s="307" t="s">
        <v>576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348</v>
      </c>
      <c r="F114" s="215" t="s">
        <v>348</v>
      </c>
      <c r="G114" s="215" t="s">
        <v>469</v>
      </c>
      <c r="H114" s="219" t="s">
        <v>466</v>
      </c>
      <c r="I114" s="307" t="s">
        <v>575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348</v>
      </c>
      <c r="F115" s="217" t="s">
        <v>348</v>
      </c>
      <c r="G115" s="215" t="s">
        <v>469</v>
      </c>
      <c r="H115" s="219" t="s">
        <v>466</v>
      </c>
      <c r="I115" s="307" t="s">
        <v>576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348</v>
      </c>
      <c r="F116" s="215" t="s">
        <v>348</v>
      </c>
      <c r="G116" s="215" t="s">
        <v>470</v>
      </c>
      <c r="H116" s="220" t="s">
        <v>348</v>
      </c>
      <c r="I116" s="307" t="s">
        <v>575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348</v>
      </c>
      <c r="F117" s="201" t="s">
        <v>348</v>
      </c>
      <c r="G117" s="201" t="s">
        <v>470</v>
      </c>
      <c r="H117" s="226" t="s">
        <v>348</v>
      </c>
      <c r="I117" s="308" t="s">
        <v>576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524</v>
      </c>
      <c r="E118" s="230" t="s">
        <v>681</v>
      </c>
      <c r="F118" s="230" t="s">
        <v>774</v>
      </c>
      <c r="G118" s="231" t="s">
        <v>348</v>
      </c>
      <c r="H118" s="231" t="s">
        <v>348</v>
      </c>
      <c r="I118" s="231" t="s">
        <v>348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524</v>
      </c>
      <c r="E119" s="214" t="s">
        <v>682</v>
      </c>
      <c r="F119" s="214" t="s">
        <v>774</v>
      </c>
      <c r="G119" s="215" t="s">
        <v>348</v>
      </c>
      <c r="H119" s="215" t="s">
        <v>348</v>
      </c>
      <c r="I119" s="215" t="s">
        <v>348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524</v>
      </c>
      <c r="E120" s="214" t="s">
        <v>683</v>
      </c>
      <c r="F120" s="214" t="s">
        <v>774</v>
      </c>
      <c r="G120" s="215" t="s">
        <v>348</v>
      </c>
      <c r="H120" s="215" t="s">
        <v>348</v>
      </c>
      <c r="I120" s="215" t="s">
        <v>348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524</v>
      </c>
      <c r="E121" s="216" t="s">
        <v>685</v>
      </c>
      <c r="F121" s="214" t="s">
        <v>774</v>
      </c>
      <c r="G121" s="217" t="s">
        <v>348</v>
      </c>
      <c r="H121" s="217" t="s">
        <v>348</v>
      </c>
      <c r="I121" s="217" t="s">
        <v>348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524</v>
      </c>
      <c r="E122" s="218" t="s">
        <v>684</v>
      </c>
      <c r="F122" s="218" t="s">
        <v>686</v>
      </c>
      <c r="G122" s="215" t="s">
        <v>348</v>
      </c>
      <c r="H122" s="215" t="s">
        <v>348</v>
      </c>
      <c r="I122" s="215" t="s">
        <v>348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524</v>
      </c>
      <c r="E123" s="218" t="s">
        <v>684</v>
      </c>
      <c r="F123" s="216" t="s">
        <v>687</v>
      </c>
      <c r="G123" s="215" t="s">
        <v>348</v>
      </c>
      <c r="H123" s="215" t="s">
        <v>348</v>
      </c>
      <c r="I123" s="215" t="s">
        <v>348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524</v>
      </c>
      <c r="E124" s="218" t="s">
        <v>684</v>
      </c>
      <c r="F124" s="216" t="s">
        <v>774</v>
      </c>
      <c r="G124" s="215" t="s">
        <v>348</v>
      </c>
      <c r="H124" s="215" t="s">
        <v>348</v>
      </c>
      <c r="I124" s="215" t="s">
        <v>348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348</v>
      </c>
      <c r="F125" s="215" t="s">
        <v>348</v>
      </c>
      <c r="G125" s="215" t="s">
        <v>469</v>
      </c>
      <c r="H125" s="219" t="s">
        <v>465</v>
      </c>
      <c r="I125" s="307" t="s">
        <v>575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348</v>
      </c>
      <c r="F126" s="215" t="s">
        <v>348</v>
      </c>
      <c r="G126" s="215" t="s">
        <v>469</v>
      </c>
      <c r="H126" s="219" t="s">
        <v>465</v>
      </c>
      <c r="I126" s="307" t="s">
        <v>576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348</v>
      </c>
      <c r="F127" s="215" t="s">
        <v>348</v>
      </c>
      <c r="G127" s="215" t="s">
        <v>469</v>
      </c>
      <c r="H127" s="219" t="s">
        <v>466</v>
      </c>
      <c r="I127" s="307" t="s">
        <v>575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348</v>
      </c>
      <c r="F128" s="217" t="s">
        <v>348</v>
      </c>
      <c r="G128" s="215" t="s">
        <v>469</v>
      </c>
      <c r="H128" s="219" t="s">
        <v>466</v>
      </c>
      <c r="I128" s="307" t="s">
        <v>576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348</v>
      </c>
      <c r="F129" s="215" t="s">
        <v>348</v>
      </c>
      <c r="G129" s="215" t="s">
        <v>470</v>
      </c>
      <c r="H129" s="220" t="s">
        <v>348</v>
      </c>
      <c r="I129" s="307" t="s">
        <v>575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348</v>
      </c>
      <c r="F130" s="201" t="s">
        <v>348</v>
      </c>
      <c r="G130" s="201" t="s">
        <v>470</v>
      </c>
      <c r="H130" s="226" t="s">
        <v>348</v>
      </c>
      <c r="I130" s="308" t="s">
        <v>576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775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917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356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485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357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262</v>
      </c>
      <c r="D7" s="90" t="s">
        <v>263</v>
      </c>
      <c r="E7" s="90" t="s">
        <v>264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410</v>
      </c>
      <c r="E8" s="90" t="s">
        <v>486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266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487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272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376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488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271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489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490</v>
      </c>
      <c r="D22" s="119" t="s">
        <v>468</v>
      </c>
      <c r="E22" s="120" t="s">
        <v>491</v>
      </c>
      <c r="F22" s="120" t="s">
        <v>492</v>
      </c>
      <c r="G22" s="101" t="s">
        <v>493</v>
      </c>
      <c r="H22" s="102"/>
      <c r="I22" s="90"/>
      <c r="J22" s="90"/>
    </row>
    <row r="23" spans="1:10" x14ac:dyDescent="0.25">
      <c r="A23" s="96"/>
      <c r="B23" s="90"/>
      <c r="C23" s="119" t="s">
        <v>524</v>
      </c>
      <c r="D23" s="100" t="s">
        <v>348</v>
      </c>
      <c r="E23" s="100" t="s">
        <v>474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524</v>
      </c>
      <c r="D24" s="100" t="s">
        <v>348</v>
      </c>
      <c r="E24" s="123" t="s">
        <v>544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524</v>
      </c>
      <c r="D25" s="100" t="s">
        <v>348</v>
      </c>
      <c r="E25" s="104" t="s">
        <v>476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469</v>
      </c>
      <c r="E26" s="100" t="s">
        <v>474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469</v>
      </c>
      <c r="E27" s="123" t="s">
        <v>544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469</v>
      </c>
      <c r="E28" s="104" t="s">
        <v>476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470</v>
      </c>
      <c r="E29" s="100" t="s">
        <v>474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470</v>
      </c>
      <c r="E30" s="123" t="s">
        <v>544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470</v>
      </c>
      <c r="E31" s="123" t="s">
        <v>476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917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356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494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357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262</v>
      </c>
      <c r="D7" s="107" t="s">
        <v>263</v>
      </c>
      <c r="E7" s="107" t="s">
        <v>264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410</v>
      </c>
      <c r="E8" s="107" t="s">
        <v>478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495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272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376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793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271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496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497</v>
      </c>
      <c r="D22" s="120" t="s">
        <v>498</v>
      </c>
      <c r="E22" s="120" t="s">
        <v>468</v>
      </c>
      <c r="F22" s="120" t="s">
        <v>499</v>
      </c>
      <c r="G22" s="121"/>
    </row>
    <row r="23" spans="1:8" x14ac:dyDescent="0.25">
      <c r="A23" s="113"/>
      <c r="B23" s="107"/>
      <c r="C23" s="119" t="s">
        <v>521</v>
      </c>
      <c r="D23" s="119" t="s">
        <v>348</v>
      </c>
      <c r="E23" s="125" t="s">
        <v>348</v>
      </c>
      <c r="F23" s="125">
        <v>0.77</v>
      </c>
      <c r="G23" s="122"/>
    </row>
    <row r="24" spans="1:8" x14ac:dyDescent="0.25">
      <c r="A24" s="113"/>
      <c r="B24" s="113"/>
      <c r="C24" s="119" t="s">
        <v>522</v>
      </c>
      <c r="D24" s="119" t="s">
        <v>579</v>
      </c>
      <c r="E24" s="125" t="s">
        <v>348</v>
      </c>
      <c r="F24" s="125">
        <v>0.53</v>
      </c>
      <c r="G24" s="121"/>
    </row>
    <row r="25" spans="1:8" x14ac:dyDescent="0.25">
      <c r="A25" s="113"/>
      <c r="B25" s="113"/>
      <c r="C25" s="119" t="s">
        <v>522</v>
      </c>
      <c r="D25" s="119" t="s">
        <v>500</v>
      </c>
      <c r="E25" s="125" t="s">
        <v>348</v>
      </c>
      <c r="F25" s="125">
        <v>0.67</v>
      </c>
      <c r="G25" s="121"/>
    </row>
    <row r="26" spans="1:8" x14ac:dyDescent="0.25">
      <c r="A26" s="113"/>
      <c r="B26" s="113"/>
      <c r="C26" s="120" t="s">
        <v>523</v>
      </c>
      <c r="D26" s="120" t="s">
        <v>348</v>
      </c>
      <c r="E26" s="125" t="s">
        <v>348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348</v>
      </c>
      <c r="E27" s="125" t="s">
        <v>348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348</v>
      </c>
      <c r="E28" s="125" t="s">
        <v>470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348</v>
      </c>
      <c r="E29" s="125" t="s">
        <v>469</v>
      </c>
      <c r="F29" s="125">
        <v>1</v>
      </c>
      <c r="G29" s="107"/>
    </row>
    <row r="30" spans="1:8" x14ac:dyDescent="0.25">
      <c r="A30" s="107"/>
      <c r="B30" s="107"/>
      <c r="C30" s="117" t="s">
        <v>331</v>
      </c>
      <c r="D30" s="116" t="s">
        <v>501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580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410</v>
      </c>
      <c r="E8" s="138" t="s">
        <v>581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582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584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365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585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583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917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356</v>
      </c>
    </row>
    <row r="4" spans="1:5" s="39" customFormat="1" x14ac:dyDescent="0.25">
      <c r="A4" s="39" t="s">
        <v>250</v>
      </c>
      <c r="C4" s="39" t="s">
        <v>359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7"/>
      <c r="C8" s="25">
        <v>41186</v>
      </c>
      <c r="D8" s="33" t="s">
        <v>386</v>
      </c>
      <c r="E8" t="s">
        <v>265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386</v>
      </c>
      <c r="E9" s="39" t="s">
        <v>363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358</v>
      </c>
    </row>
    <row r="12" spans="1:5" x14ac:dyDescent="0.25">
      <c r="A12" t="s">
        <v>250</v>
      </c>
      <c r="C12" s="39" t="s">
        <v>368</v>
      </c>
    </row>
    <row r="13" spans="1:5" s="39" customFormat="1" x14ac:dyDescent="0.25">
      <c r="A13" s="39" t="s">
        <v>250</v>
      </c>
      <c r="C13" s="39" t="s">
        <v>369</v>
      </c>
    </row>
    <row r="14" spans="1:5" s="39" customFormat="1" x14ac:dyDescent="0.25">
      <c r="A14" s="39" t="s">
        <v>250</v>
      </c>
      <c r="C14" s="39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s="39" t="s">
        <v>364</v>
      </c>
      <c r="C19" s="26"/>
    </row>
    <row r="20" spans="1:21" x14ac:dyDescent="0.25">
      <c r="A20" t="s">
        <v>250</v>
      </c>
      <c r="C20" s="39" t="s">
        <v>344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345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345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345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346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346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346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347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362</v>
      </c>
    </row>
    <row r="29" spans="1:21" s="39" customFormat="1" x14ac:dyDescent="0.25">
      <c r="A29" s="39" t="s">
        <v>250</v>
      </c>
      <c r="C29" s="39" t="s">
        <v>347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362</v>
      </c>
    </row>
    <row r="30" spans="1:21" s="39" customFormat="1" x14ac:dyDescent="0.25">
      <c r="A30" s="39" t="s">
        <v>250</v>
      </c>
      <c r="C30" s="39" t="s">
        <v>347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362</v>
      </c>
    </row>
    <row r="31" spans="1:21" s="39" customFormat="1" x14ac:dyDescent="0.25">
      <c r="A31" s="39" t="s">
        <v>364</v>
      </c>
      <c r="C31" s="26"/>
    </row>
    <row r="32" spans="1:21" x14ac:dyDescent="0.25">
      <c r="A32" t="s">
        <v>250</v>
      </c>
      <c r="C32" s="39" t="s">
        <v>349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290</v>
      </c>
      <c r="H34" s="52" t="s">
        <v>302</v>
      </c>
      <c r="M34" s="52" t="s">
        <v>303</v>
      </c>
    </row>
    <row r="35" spans="1:16" s="39" customFormat="1" x14ac:dyDescent="0.25">
      <c r="A35" s="39" t="s">
        <v>250</v>
      </c>
      <c r="C35" s="55" t="s">
        <v>353</v>
      </c>
      <c r="D35" s="51"/>
      <c r="E35" s="51"/>
      <c r="F35" s="52" t="s">
        <v>352</v>
      </c>
      <c r="G35" s="52"/>
      <c r="H35" s="55" t="s">
        <v>353</v>
      </c>
      <c r="I35" s="52"/>
      <c r="J35" s="52"/>
      <c r="K35" s="52" t="s">
        <v>352</v>
      </c>
      <c r="L35" s="52"/>
      <c r="M35" s="55" t="s">
        <v>353</v>
      </c>
      <c r="N35" s="52"/>
      <c r="O35" s="52"/>
      <c r="P35" s="52" t="s">
        <v>352</v>
      </c>
    </row>
    <row r="36" spans="1:16" s="39" customFormat="1" x14ac:dyDescent="0.25">
      <c r="A36" s="39" t="s">
        <v>364</v>
      </c>
      <c r="C36" s="26"/>
    </row>
    <row r="37" spans="1:16" s="39" customFormat="1" x14ac:dyDescent="0.25">
      <c r="A37" s="39" t="s">
        <v>250</v>
      </c>
      <c r="C37" s="39" t="s">
        <v>289</v>
      </c>
      <c r="F37" s="39">
        <v>0.17</v>
      </c>
      <c r="H37" s="39" t="s">
        <v>289</v>
      </c>
      <c r="K37" s="39">
        <v>0.17</v>
      </c>
      <c r="M37" s="39" t="s">
        <v>289</v>
      </c>
      <c r="P37" s="39">
        <v>0.17</v>
      </c>
    </row>
    <row r="38" spans="1:16" s="39" customFormat="1" x14ac:dyDescent="0.25">
      <c r="A38" s="39" t="s">
        <v>250</v>
      </c>
      <c r="C38" s="39" t="s">
        <v>292</v>
      </c>
      <c r="F38" s="42">
        <v>0.1</v>
      </c>
      <c r="H38" s="39" t="s">
        <v>298</v>
      </c>
      <c r="K38" s="39">
        <v>0.18</v>
      </c>
      <c r="M38" s="39" t="s">
        <v>304</v>
      </c>
      <c r="P38" s="42">
        <v>0</v>
      </c>
    </row>
    <row r="39" spans="1:16" s="39" customFormat="1" ht="18" x14ac:dyDescent="0.35">
      <c r="A39" s="39" t="s">
        <v>250</v>
      </c>
      <c r="C39" s="50" t="s">
        <v>339</v>
      </c>
      <c r="D39" s="50"/>
      <c r="E39" s="50"/>
      <c r="F39" s="50" t="s">
        <v>340</v>
      </c>
      <c r="H39" s="39" t="s">
        <v>299</v>
      </c>
      <c r="K39" s="39">
        <v>0.06</v>
      </c>
      <c r="M39" s="50" t="s">
        <v>339</v>
      </c>
      <c r="N39" s="50"/>
      <c r="O39" s="50"/>
      <c r="P39" s="50" t="s">
        <v>340</v>
      </c>
    </row>
    <row r="40" spans="1:16" s="39" customFormat="1" ht="18" x14ac:dyDescent="0.35">
      <c r="A40" s="39" t="s">
        <v>250</v>
      </c>
      <c r="C40" s="39" t="s">
        <v>293</v>
      </c>
      <c r="F40" s="39">
        <v>0.63</v>
      </c>
      <c r="H40" s="50" t="s">
        <v>339</v>
      </c>
      <c r="I40" s="50"/>
      <c r="J40" s="50"/>
      <c r="K40" s="50" t="s">
        <v>340</v>
      </c>
      <c r="M40" s="39" t="s">
        <v>305</v>
      </c>
      <c r="P40" s="42">
        <v>0</v>
      </c>
    </row>
    <row r="41" spans="1:16" s="39" customFormat="1" x14ac:dyDescent="0.25">
      <c r="A41" s="39" t="s">
        <v>250</v>
      </c>
      <c r="C41" s="39" t="s">
        <v>294</v>
      </c>
      <c r="F41" s="42">
        <v>0</v>
      </c>
      <c r="H41" s="39" t="s">
        <v>300</v>
      </c>
      <c r="K41" s="42">
        <v>0</v>
      </c>
      <c r="M41" s="39" t="s">
        <v>296</v>
      </c>
      <c r="P41" s="39">
        <v>0.92</v>
      </c>
    </row>
    <row r="42" spans="1:16" s="39" customFormat="1" x14ac:dyDescent="0.25">
      <c r="A42" s="39" t="s">
        <v>250</v>
      </c>
      <c r="C42" s="39" t="s">
        <v>295</v>
      </c>
      <c r="F42" s="42">
        <v>0</v>
      </c>
      <c r="H42" s="39" t="s">
        <v>296</v>
      </c>
      <c r="K42" s="39">
        <v>0.92</v>
      </c>
      <c r="M42" s="39" t="s">
        <v>306</v>
      </c>
      <c r="P42" s="42">
        <v>0.78</v>
      </c>
    </row>
    <row r="43" spans="1:16" s="39" customFormat="1" x14ac:dyDescent="0.25">
      <c r="A43" s="39" t="s">
        <v>250</v>
      </c>
      <c r="C43" s="39" t="s">
        <v>296</v>
      </c>
      <c r="F43" s="42">
        <v>0.92</v>
      </c>
      <c r="H43" s="39" t="s">
        <v>301</v>
      </c>
      <c r="K43" s="39">
        <v>0.62</v>
      </c>
      <c r="M43" s="39" t="s">
        <v>307</v>
      </c>
      <c r="P43" s="39">
        <v>2.08</v>
      </c>
    </row>
    <row r="44" spans="1:16" s="39" customFormat="1" x14ac:dyDescent="0.25">
      <c r="A44" s="39" t="s">
        <v>250</v>
      </c>
      <c r="C44" s="39" t="s">
        <v>297</v>
      </c>
      <c r="F44" s="42">
        <v>1.89</v>
      </c>
      <c r="H44" s="39" t="s">
        <v>291</v>
      </c>
      <c r="K44" s="52">
        <v>0.68</v>
      </c>
      <c r="M44" s="39" t="s">
        <v>308</v>
      </c>
      <c r="P44" s="52">
        <v>0.92</v>
      </c>
    </row>
    <row r="45" spans="1:16" s="52" customFormat="1" x14ac:dyDescent="0.25">
      <c r="A45" s="52" t="s">
        <v>250</v>
      </c>
      <c r="C45" s="52" t="s">
        <v>291</v>
      </c>
      <c r="F45" s="52">
        <v>0.62</v>
      </c>
      <c r="K45" s="54"/>
    </row>
    <row r="46" spans="1:16" s="39" customFormat="1" x14ac:dyDescent="0.25">
      <c r="A46" s="39" t="s">
        <v>351</v>
      </c>
    </row>
    <row r="47" spans="1:16" s="39" customFormat="1" x14ac:dyDescent="0.25">
      <c r="A47" s="39" t="s">
        <v>250</v>
      </c>
      <c r="C47" s="39" t="s">
        <v>350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354</v>
      </c>
    </row>
    <row r="50" spans="1:20" s="39" customFormat="1" x14ac:dyDescent="0.25">
      <c r="A50" s="39" t="s">
        <v>250</v>
      </c>
      <c r="C50" s="49" t="s">
        <v>376</v>
      </c>
    </row>
    <row r="51" spans="1:20" x14ac:dyDescent="0.25">
      <c r="A51" t="s">
        <v>250</v>
      </c>
      <c r="C51" t="s">
        <v>268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365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344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 t="shared" ref="C60:D68" si="2">C22</f>
        <v>NonResidential</v>
      </c>
      <c r="D60" s="17" t="str">
        <f t="shared" si="2"/>
        <v>Roof</v>
      </c>
      <c r="E60" s="17">
        <f>ROUND((1/E22)-($F$47),3)</f>
        <v>16.077999999999999</v>
      </c>
      <c r="F60" s="17">
        <f t="shared" ref="F60:T60" si="3">ROUND((1/F22)-($F$47),3)</f>
        <v>21.311</v>
      </c>
      <c r="G60" s="17">
        <f t="shared" si="3"/>
        <v>21.311</v>
      </c>
      <c r="H60" s="17">
        <f t="shared" si="3"/>
        <v>21.311</v>
      </c>
      <c r="I60" s="17">
        <f t="shared" si="3"/>
        <v>16.077999999999999</v>
      </c>
      <c r="J60" s="17">
        <f t="shared" si="3"/>
        <v>9.0030000000000001</v>
      </c>
      <c r="K60" s="17">
        <f t="shared" si="3"/>
        <v>10.595000000000001</v>
      </c>
      <c r="L60" s="17">
        <f t="shared" si="3"/>
        <v>10.595000000000001</v>
      </c>
      <c r="M60" s="17">
        <f t="shared" si="3"/>
        <v>21.311</v>
      </c>
      <c r="N60" s="17">
        <f t="shared" si="3"/>
        <v>21.311</v>
      </c>
      <c r="O60" s="17">
        <f t="shared" si="3"/>
        <v>21.311</v>
      </c>
      <c r="P60" s="17">
        <f t="shared" si="3"/>
        <v>21.311</v>
      </c>
      <c r="Q60" s="17">
        <f t="shared" si="3"/>
        <v>21.311</v>
      </c>
      <c r="R60" s="17">
        <f t="shared" si="3"/>
        <v>21.311</v>
      </c>
      <c r="S60" s="17">
        <f t="shared" si="3"/>
        <v>21.311</v>
      </c>
      <c r="T60" s="17">
        <f t="shared" si="3"/>
        <v>21.311</v>
      </c>
    </row>
    <row r="61" spans="1:20" s="17" customFormat="1" x14ac:dyDescent="0.25">
      <c r="C61" s="17" t="str">
        <f t="shared" si="2"/>
        <v>NonResidential</v>
      </c>
      <c r="D61" s="17" t="str">
        <f t="shared" si="2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si="2"/>
        <v>NonResidential</v>
      </c>
      <c r="D62" s="17" t="str">
        <f t="shared" si="2"/>
        <v>Floor</v>
      </c>
      <c r="E62" s="17">
        <f>ROUND((1/E24)-($P$47),3)</f>
        <v>15.962999999999999</v>
      </c>
      <c r="F62" s="17">
        <f t="shared" ref="F62:T62" si="5">ROUND((1/F24)-($P$47),3)</f>
        <v>20.771000000000001</v>
      </c>
      <c r="G62" s="17">
        <f t="shared" si="5"/>
        <v>9.2149999999999999</v>
      </c>
      <c r="H62" s="17">
        <f t="shared" si="5"/>
        <v>9.2149999999999999</v>
      </c>
      <c r="I62" s="17">
        <f t="shared" si="5"/>
        <v>9.2149999999999999</v>
      </c>
      <c r="J62" s="17">
        <f t="shared" si="5"/>
        <v>9.2149999999999999</v>
      </c>
      <c r="K62" s="17">
        <f t="shared" si="5"/>
        <v>9.2149999999999999</v>
      </c>
      <c r="L62" s="17">
        <f t="shared" si="5"/>
        <v>9.2149999999999999</v>
      </c>
      <c r="M62" s="17">
        <f t="shared" si="5"/>
        <v>9.2149999999999999</v>
      </c>
      <c r="N62" s="17">
        <f t="shared" si="5"/>
        <v>9.2149999999999999</v>
      </c>
      <c r="O62" s="17">
        <f t="shared" si="5"/>
        <v>20.771000000000001</v>
      </c>
      <c r="P62" s="17">
        <f t="shared" si="5"/>
        <v>9.2149999999999999</v>
      </c>
      <c r="Q62" s="17">
        <f t="shared" si="5"/>
        <v>9.2149999999999999</v>
      </c>
      <c r="R62" s="17">
        <f t="shared" si="5"/>
        <v>20.771000000000001</v>
      </c>
      <c r="S62" s="17">
        <f t="shared" si="5"/>
        <v>20.771000000000001</v>
      </c>
      <c r="T62" s="17">
        <f t="shared" si="5"/>
        <v>20.771000000000001</v>
      </c>
    </row>
    <row r="63" spans="1:20" s="17" customFormat="1" x14ac:dyDescent="0.25">
      <c r="C63" s="17" t="str">
        <f t="shared" si="2"/>
        <v>Residential</v>
      </c>
      <c r="D63" s="17" t="str">
        <f t="shared" si="2"/>
        <v>Roof</v>
      </c>
      <c r="E63" s="17">
        <f>ROUND((1/E25)-($F$47),3)</f>
        <v>25.082000000000001</v>
      </c>
      <c r="F63" s="17">
        <f t="shared" ref="F63:T63" si="6">ROUND((1/F25)-($F$47),3)</f>
        <v>31.384</v>
      </c>
      <c r="G63" s="17">
        <f t="shared" si="6"/>
        <v>21.311</v>
      </c>
      <c r="H63" s="17">
        <f t="shared" si="6"/>
        <v>31.384</v>
      </c>
      <c r="I63" s="17">
        <f t="shared" si="6"/>
        <v>21.311</v>
      </c>
      <c r="J63" s="17">
        <f t="shared" si="6"/>
        <v>21.311</v>
      </c>
      <c r="K63" s="17">
        <f t="shared" si="6"/>
        <v>21.311</v>
      </c>
      <c r="L63" s="17">
        <f t="shared" si="6"/>
        <v>31.384</v>
      </c>
      <c r="M63" s="17">
        <f t="shared" si="6"/>
        <v>31.384</v>
      </c>
      <c r="N63" s="17">
        <f t="shared" si="6"/>
        <v>31.384</v>
      </c>
      <c r="O63" s="17">
        <f t="shared" si="6"/>
        <v>31.384</v>
      </c>
      <c r="P63" s="17">
        <f t="shared" si="6"/>
        <v>31.384</v>
      </c>
      <c r="Q63" s="17">
        <f t="shared" si="6"/>
        <v>31.384</v>
      </c>
      <c r="R63" s="17">
        <f t="shared" si="6"/>
        <v>31.384</v>
      </c>
      <c r="S63" s="17">
        <f t="shared" si="6"/>
        <v>31.384</v>
      </c>
      <c r="T63" s="17">
        <f t="shared" si="6"/>
        <v>31.384</v>
      </c>
    </row>
    <row r="64" spans="1:20" x14ac:dyDescent="0.25">
      <c r="C64" s="17" t="str">
        <f t="shared" si="2"/>
        <v>Residential</v>
      </c>
      <c r="D64" s="17" t="str">
        <f t="shared" si="2"/>
        <v>Wall</v>
      </c>
      <c r="E64" s="17">
        <f>ROUND((1/E26)-$K$47,3)</f>
        <v>6.8940000000000001</v>
      </c>
      <c r="F64" s="17">
        <f t="shared" ref="F64:T64" si="7">ROUND((1/F26)-$K$47,3)</f>
        <v>6.8940000000000001</v>
      </c>
      <c r="G64" s="17">
        <f t="shared" si="7"/>
        <v>6.8940000000000001</v>
      </c>
      <c r="H64" s="17">
        <f t="shared" si="7"/>
        <v>6.8940000000000001</v>
      </c>
      <c r="I64" s="17">
        <f t="shared" si="7"/>
        <v>6.8940000000000001</v>
      </c>
      <c r="J64" s="17">
        <f t="shared" si="7"/>
        <v>6.8940000000000001</v>
      </c>
      <c r="K64" s="17">
        <f t="shared" si="7"/>
        <v>6.8940000000000001</v>
      </c>
      <c r="L64" s="17">
        <f t="shared" si="7"/>
        <v>6.8940000000000001</v>
      </c>
      <c r="M64" s="17">
        <f t="shared" si="7"/>
        <v>6.8940000000000001</v>
      </c>
      <c r="N64" s="17">
        <f t="shared" si="7"/>
        <v>6.8940000000000001</v>
      </c>
      <c r="O64" s="17">
        <f t="shared" si="7"/>
        <v>6.8940000000000001</v>
      </c>
      <c r="P64" s="17">
        <f t="shared" si="7"/>
        <v>6.8940000000000001</v>
      </c>
      <c r="Q64" s="17">
        <f t="shared" si="7"/>
        <v>6.8940000000000001</v>
      </c>
      <c r="R64" s="17">
        <f t="shared" si="7"/>
        <v>6.8940000000000001</v>
      </c>
      <c r="S64" s="17">
        <f t="shared" si="7"/>
        <v>6.8940000000000001</v>
      </c>
      <c r="T64" s="17">
        <f t="shared" si="7"/>
        <v>6.8940000000000001</v>
      </c>
    </row>
    <row r="65" spans="2:20" x14ac:dyDescent="0.25">
      <c r="C65" s="17" t="str">
        <f t="shared" si="2"/>
        <v>Residential</v>
      </c>
      <c r="D65" s="17" t="str">
        <f t="shared" si="2"/>
        <v>Floor</v>
      </c>
      <c r="E65" s="17">
        <f>ROUND((1/E27)-($P$47),3)</f>
        <v>24.542000000000002</v>
      </c>
      <c r="F65" s="17">
        <f t="shared" ref="F65:T65" si="8">ROUND((1/F27)-($P$47),3)</f>
        <v>24.542000000000002</v>
      </c>
      <c r="G65" s="17">
        <f t="shared" si="8"/>
        <v>20.771000000000001</v>
      </c>
      <c r="H65" s="17">
        <f t="shared" si="8"/>
        <v>20.771000000000001</v>
      </c>
      <c r="I65" s="17">
        <f t="shared" si="8"/>
        <v>20.771000000000001</v>
      </c>
      <c r="J65" s="17">
        <f t="shared" si="8"/>
        <v>20.771000000000001</v>
      </c>
      <c r="K65" s="17">
        <f t="shared" si="8"/>
        <v>9.2149999999999999</v>
      </c>
      <c r="L65" s="17">
        <f t="shared" si="8"/>
        <v>20.771000000000001</v>
      </c>
      <c r="M65" s="17">
        <f t="shared" si="8"/>
        <v>20.771000000000001</v>
      </c>
      <c r="N65" s="17">
        <f t="shared" si="8"/>
        <v>20.771000000000001</v>
      </c>
      <c r="O65" s="17">
        <f t="shared" si="8"/>
        <v>20.771000000000001</v>
      </c>
      <c r="P65" s="17">
        <f t="shared" si="8"/>
        <v>20.771000000000001</v>
      </c>
      <c r="Q65" s="17">
        <f t="shared" si="8"/>
        <v>20.771000000000001</v>
      </c>
      <c r="R65" s="17">
        <f t="shared" si="8"/>
        <v>24.542000000000002</v>
      </c>
      <c r="S65" s="17">
        <f t="shared" si="8"/>
        <v>20.771000000000001</v>
      </c>
      <c r="T65" s="17">
        <f t="shared" si="8"/>
        <v>24.542000000000002</v>
      </c>
    </row>
    <row r="66" spans="2:20" x14ac:dyDescent="0.25">
      <c r="C66" s="17" t="str">
        <f t="shared" si="2"/>
        <v>RelocClass</v>
      </c>
      <c r="D66" s="17" t="str">
        <f t="shared" si="2"/>
        <v>Roof</v>
      </c>
      <c r="E66" s="17">
        <f>ROUND((1/E28)-($F$47),3)</f>
        <v>21.311</v>
      </c>
      <c r="F66" s="17">
        <f t="shared" ref="F66:T66" si="9">ROUND((1/F28)-($F$47),3)</f>
        <v>21.311</v>
      </c>
      <c r="G66" s="17">
        <f t="shared" si="9"/>
        <v>21.311</v>
      </c>
      <c r="H66" s="17">
        <f t="shared" si="9"/>
        <v>21.311</v>
      </c>
      <c r="I66" s="17">
        <f t="shared" si="9"/>
        <v>21.311</v>
      </c>
      <c r="J66" s="17">
        <f t="shared" si="9"/>
        <v>21.311</v>
      </c>
      <c r="K66" s="17">
        <f t="shared" si="9"/>
        <v>21.311</v>
      </c>
      <c r="L66" s="17">
        <f t="shared" si="9"/>
        <v>21.311</v>
      </c>
      <c r="M66" s="17">
        <f t="shared" si="9"/>
        <v>21.311</v>
      </c>
      <c r="N66" s="17">
        <f t="shared" si="9"/>
        <v>21.311</v>
      </c>
      <c r="O66" s="17">
        <f t="shared" si="9"/>
        <v>21.311</v>
      </c>
      <c r="P66" s="17">
        <f t="shared" si="9"/>
        <v>21.311</v>
      </c>
      <c r="Q66" s="17">
        <f t="shared" si="9"/>
        <v>21.311</v>
      </c>
      <c r="R66" s="17">
        <f t="shared" si="9"/>
        <v>21.311</v>
      </c>
      <c r="S66" s="17">
        <f t="shared" si="9"/>
        <v>21.311</v>
      </c>
      <c r="T66" s="17">
        <f t="shared" si="9"/>
        <v>21.311</v>
      </c>
    </row>
    <row r="67" spans="2:20" x14ac:dyDescent="0.25">
      <c r="C67" s="17" t="str">
        <f t="shared" si="2"/>
        <v>RelocClass</v>
      </c>
      <c r="D67" s="17" t="str">
        <f t="shared" si="2"/>
        <v>Wall</v>
      </c>
      <c r="E67" s="17">
        <f>ROUND((1/E29)-$K$47,3)</f>
        <v>13.499000000000001</v>
      </c>
      <c r="F67" s="17">
        <f t="shared" ref="F67:T67" si="10">ROUND((1/F29)-$K$47,3)</f>
        <v>13.499000000000001</v>
      </c>
      <c r="G67" s="17">
        <f t="shared" si="10"/>
        <v>13.499000000000001</v>
      </c>
      <c r="H67" s="17">
        <f t="shared" si="10"/>
        <v>13.499000000000001</v>
      </c>
      <c r="I67" s="17">
        <f t="shared" si="10"/>
        <v>13.499000000000001</v>
      </c>
      <c r="J67" s="17">
        <f t="shared" si="10"/>
        <v>13.499000000000001</v>
      </c>
      <c r="K67" s="17">
        <f t="shared" si="10"/>
        <v>13.499000000000001</v>
      </c>
      <c r="L67" s="17">
        <f t="shared" si="10"/>
        <v>13.499000000000001</v>
      </c>
      <c r="M67" s="17">
        <f t="shared" si="10"/>
        <v>13.499000000000001</v>
      </c>
      <c r="N67" s="17">
        <f t="shared" si="10"/>
        <v>13.499000000000001</v>
      </c>
      <c r="O67" s="17">
        <f t="shared" si="10"/>
        <v>13.499000000000001</v>
      </c>
      <c r="P67" s="17">
        <f t="shared" si="10"/>
        <v>13.499000000000001</v>
      </c>
      <c r="Q67" s="17">
        <f t="shared" si="10"/>
        <v>13.499000000000001</v>
      </c>
      <c r="R67" s="17">
        <f t="shared" si="10"/>
        <v>13.499000000000001</v>
      </c>
      <c r="S67" s="17">
        <f t="shared" si="10"/>
        <v>13.499000000000001</v>
      </c>
      <c r="T67" s="17">
        <f t="shared" si="10"/>
        <v>13.499000000000001</v>
      </c>
    </row>
    <row r="68" spans="2:20" x14ac:dyDescent="0.25">
      <c r="C68" s="17" t="str">
        <f t="shared" si="2"/>
        <v>RelocClass</v>
      </c>
      <c r="D68" s="17" t="str">
        <f t="shared" si="2"/>
        <v>Floor</v>
      </c>
      <c r="E68" s="17">
        <f>ROUND((1/E30)-($P$47),3)</f>
        <v>15.962999999999999</v>
      </c>
      <c r="F68" s="17">
        <f t="shared" ref="F68:T68" si="11">ROUND((1/F30)-($P$47),3)</f>
        <v>15.962999999999999</v>
      </c>
      <c r="G68" s="17">
        <f t="shared" si="11"/>
        <v>15.962999999999999</v>
      </c>
      <c r="H68" s="17">
        <f t="shared" si="11"/>
        <v>15.962999999999999</v>
      </c>
      <c r="I68" s="17">
        <f t="shared" si="11"/>
        <v>15.962999999999999</v>
      </c>
      <c r="J68" s="17">
        <f t="shared" si="11"/>
        <v>15.962999999999999</v>
      </c>
      <c r="K68" s="17">
        <f t="shared" si="11"/>
        <v>15.962999999999999</v>
      </c>
      <c r="L68" s="17">
        <f t="shared" si="11"/>
        <v>15.962999999999999</v>
      </c>
      <c r="M68" s="17">
        <f t="shared" si="11"/>
        <v>15.962999999999999</v>
      </c>
      <c r="N68" s="17">
        <f t="shared" si="11"/>
        <v>15.962999999999999</v>
      </c>
      <c r="O68" s="17">
        <f t="shared" si="11"/>
        <v>15.962999999999999</v>
      </c>
      <c r="P68" s="17">
        <f t="shared" si="11"/>
        <v>15.962999999999999</v>
      </c>
      <c r="Q68" s="17">
        <f t="shared" si="11"/>
        <v>15.962999999999999</v>
      </c>
      <c r="R68" s="17">
        <f t="shared" si="11"/>
        <v>15.962999999999999</v>
      </c>
      <c r="S68" s="17">
        <f t="shared" si="11"/>
        <v>15.962999999999999</v>
      </c>
      <c r="T68" s="17">
        <f t="shared" si="11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55" zoomScaleNormal="55" workbookViewId="0">
      <selection activeCell="H58" sqref="H58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917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356</v>
      </c>
    </row>
    <row r="4" spans="1:6" s="138" customFormat="1" x14ac:dyDescent="0.25">
      <c r="A4" s="138" t="s">
        <v>250</v>
      </c>
      <c r="C4" s="138" t="s">
        <v>570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357</v>
      </c>
    </row>
    <row r="7" spans="1:6" s="138" customFormat="1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6" x14ac:dyDescent="0.25">
      <c r="A8" s="145" t="s">
        <v>250</v>
      </c>
      <c r="C8" s="32">
        <v>41511</v>
      </c>
      <c r="D8" s="145" t="s">
        <v>386</v>
      </c>
      <c r="E8" s="145" t="s">
        <v>265</v>
      </c>
    </row>
    <row r="9" spans="1:6" x14ac:dyDescent="0.25">
      <c r="A9" s="145" t="s">
        <v>250</v>
      </c>
      <c r="C9" s="32">
        <v>42206</v>
      </c>
      <c r="D9" s="145" t="s">
        <v>386</v>
      </c>
      <c r="E9" s="145" t="s">
        <v>910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358</v>
      </c>
    </row>
    <row r="12" spans="1:6" x14ac:dyDescent="0.25">
      <c r="A12" s="145" t="s">
        <v>250</v>
      </c>
      <c r="C12" s="145" t="s">
        <v>381</v>
      </c>
    </row>
    <row r="13" spans="1:6" x14ac:dyDescent="0.25">
      <c r="A13" s="145" t="s">
        <v>250</v>
      </c>
      <c r="C13" s="145" t="s">
        <v>379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355</v>
      </c>
    </row>
    <row r="16" spans="1:6" x14ac:dyDescent="0.25">
      <c r="A16" s="145" t="s">
        <v>250</v>
      </c>
      <c r="C16" s="145" t="s">
        <v>382</v>
      </c>
      <c r="F16" s="112"/>
    </row>
    <row r="17" spans="1:13" x14ac:dyDescent="0.25">
      <c r="A17" s="145" t="s">
        <v>250</v>
      </c>
      <c r="C17" s="145" t="s">
        <v>383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354</v>
      </c>
    </row>
    <row r="20" spans="1:13" x14ac:dyDescent="0.25">
      <c r="A20" s="145" t="s">
        <v>250</v>
      </c>
      <c r="C20" s="138" t="s">
        <v>911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365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912</v>
      </c>
      <c r="D24" s="145" t="s">
        <v>558</v>
      </c>
      <c r="E24" s="145" t="s">
        <v>571</v>
      </c>
      <c r="F24" s="111" t="s">
        <v>568</v>
      </c>
      <c r="G24" s="111" t="s">
        <v>279</v>
      </c>
      <c r="H24" s="145" t="s">
        <v>11</v>
      </c>
      <c r="I24" s="145" t="s">
        <v>12</v>
      </c>
      <c r="J24" s="145" t="s">
        <v>559</v>
      </c>
      <c r="K24" s="145" t="s">
        <v>930</v>
      </c>
      <c r="L24" s="145" t="s">
        <v>931</v>
      </c>
      <c r="M24" s="145" t="s">
        <v>560</v>
      </c>
    </row>
    <row r="25" spans="1:13" x14ac:dyDescent="0.25">
      <c r="C25" s="151" t="s">
        <v>348</v>
      </c>
      <c r="D25" s="151" t="s">
        <v>549</v>
      </c>
      <c r="E25" s="153" t="s">
        <v>928</v>
      </c>
      <c r="F25" s="153" t="s">
        <v>569</v>
      </c>
      <c r="G25" s="151" t="s">
        <v>927</v>
      </c>
      <c r="H25" s="150">
        <v>12.2</v>
      </c>
      <c r="I25" s="150" t="s">
        <v>258</v>
      </c>
      <c r="J25" s="151" t="s">
        <v>567</v>
      </c>
      <c r="K25" s="150" t="s">
        <v>258</v>
      </c>
      <c r="L25" s="150" t="s">
        <v>258</v>
      </c>
      <c r="M25" s="151" t="s">
        <v>258</v>
      </c>
    </row>
    <row r="26" spans="1:13" x14ac:dyDescent="0.25">
      <c r="C26" s="151" t="s">
        <v>348</v>
      </c>
      <c r="D26" s="151" t="s">
        <v>549</v>
      </c>
      <c r="E26" s="153" t="s">
        <v>928</v>
      </c>
      <c r="F26" s="153" t="s">
        <v>569</v>
      </c>
      <c r="G26" s="151" t="s">
        <v>561</v>
      </c>
      <c r="H26" s="150">
        <v>11.7</v>
      </c>
      <c r="I26" s="150" t="s">
        <v>258</v>
      </c>
      <c r="J26" s="151" t="s">
        <v>567</v>
      </c>
      <c r="K26" s="150" t="s">
        <v>258</v>
      </c>
      <c r="L26" s="150" t="s">
        <v>258</v>
      </c>
      <c r="M26" s="151" t="s">
        <v>258</v>
      </c>
    </row>
    <row r="27" spans="1:13" x14ac:dyDescent="0.25">
      <c r="C27" s="151" t="s">
        <v>348</v>
      </c>
      <c r="D27" s="151" t="s">
        <v>549</v>
      </c>
      <c r="E27" s="153" t="s">
        <v>929</v>
      </c>
      <c r="F27" s="153" t="s">
        <v>569</v>
      </c>
      <c r="G27" s="151" t="s">
        <v>561</v>
      </c>
      <c r="H27" s="150">
        <v>11</v>
      </c>
      <c r="I27" s="150" t="s">
        <v>258</v>
      </c>
      <c r="J27" s="151" t="s">
        <v>567</v>
      </c>
      <c r="K27" s="150" t="s">
        <v>258</v>
      </c>
      <c r="L27" s="150" t="s">
        <v>258</v>
      </c>
      <c r="M27" s="151" t="s">
        <v>258</v>
      </c>
    </row>
    <row r="28" spans="1:13" s="151" customFormat="1" x14ac:dyDescent="0.25">
      <c r="C28" s="151" t="s">
        <v>348</v>
      </c>
      <c r="D28" s="151" t="s">
        <v>549</v>
      </c>
      <c r="E28" s="153" t="s">
        <v>348</v>
      </c>
      <c r="F28" s="153" t="s">
        <v>569</v>
      </c>
      <c r="G28" s="151" t="s">
        <v>561</v>
      </c>
      <c r="H28" s="150" t="s">
        <v>258</v>
      </c>
      <c r="I28" s="150" t="s">
        <v>258</v>
      </c>
      <c r="J28" s="151" t="s">
        <v>567</v>
      </c>
      <c r="K28" s="150" t="s">
        <v>258</v>
      </c>
      <c r="L28" s="150" t="s">
        <v>258</v>
      </c>
      <c r="M28" s="151" t="s">
        <v>258</v>
      </c>
    </row>
    <row r="29" spans="1:13" s="151" customFormat="1" x14ac:dyDescent="0.25">
      <c r="C29" s="342" t="s">
        <v>913</v>
      </c>
      <c r="D29" s="151" t="s">
        <v>549</v>
      </c>
      <c r="E29" s="153" t="s">
        <v>348</v>
      </c>
      <c r="F29" s="153" t="s">
        <v>569</v>
      </c>
      <c r="G29" s="151" t="s">
        <v>553</v>
      </c>
      <c r="H29" s="150">
        <v>11.2</v>
      </c>
      <c r="I29" s="150">
        <v>12.9</v>
      </c>
      <c r="J29" s="151" t="s">
        <v>563</v>
      </c>
      <c r="K29" s="150" t="s">
        <v>258</v>
      </c>
      <c r="L29" s="150" t="s">
        <v>258</v>
      </c>
      <c r="M29" s="151" t="s">
        <v>258</v>
      </c>
    </row>
    <row r="30" spans="1:13" s="151" customFormat="1" x14ac:dyDescent="0.25">
      <c r="C30" s="151" t="s">
        <v>348</v>
      </c>
      <c r="D30" s="151" t="s">
        <v>549</v>
      </c>
      <c r="E30" s="153" t="s">
        <v>348</v>
      </c>
      <c r="F30" s="153" t="s">
        <v>569</v>
      </c>
      <c r="G30" s="151" t="s">
        <v>553</v>
      </c>
      <c r="H30" s="150">
        <v>11.2</v>
      </c>
      <c r="I30" s="150">
        <v>11.4</v>
      </c>
      <c r="J30" s="151" t="s">
        <v>563</v>
      </c>
      <c r="K30" s="150" t="s">
        <v>258</v>
      </c>
      <c r="L30" s="150" t="s">
        <v>258</v>
      </c>
      <c r="M30" s="151" t="s">
        <v>258</v>
      </c>
    </row>
    <row r="31" spans="1:13" s="151" customFormat="1" x14ac:dyDescent="0.25">
      <c r="C31" s="342" t="s">
        <v>913</v>
      </c>
      <c r="D31" s="151" t="s">
        <v>549</v>
      </c>
      <c r="E31" s="153" t="s">
        <v>348</v>
      </c>
      <c r="F31" s="153" t="s">
        <v>569</v>
      </c>
      <c r="G31" s="151" t="s">
        <v>552</v>
      </c>
      <c r="H31" s="150">
        <v>11</v>
      </c>
      <c r="I31" s="150">
        <v>12.4</v>
      </c>
      <c r="J31" s="151" t="s">
        <v>563</v>
      </c>
      <c r="K31" s="150" t="s">
        <v>258</v>
      </c>
      <c r="L31" s="150" t="s">
        <v>258</v>
      </c>
      <c r="M31" s="151" t="s">
        <v>258</v>
      </c>
    </row>
    <row r="32" spans="1:13" s="151" customFormat="1" x14ac:dyDescent="0.25">
      <c r="C32" s="151" t="s">
        <v>348</v>
      </c>
      <c r="D32" s="151" t="s">
        <v>549</v>
      </c>
      <c r="E32" s="153" t="s">
        <v>348</v>
      </c>
      <c r="F32" s="153" t="s">
        <v>569</v>
      </c>
      <c r="G32" s="151" t="s">
        <v>552</v>
      </c>
      <c r="H32" s="150">
        <v>11</v>
      </c>
      <c r="I32" s="150">
        <v>11.2</v>
      </c>
      <c r="J32" s="151" t="s">
        <v>563</v>
      </c>
      <c r="K32" s="150" t="s">
        <v>258</v>
      </c>
      <c r="L32" s="150" t="s">
        <v>258</v>
      </c>
      <c r="M32" s="151" t="s">
        <v>258</v>
      </c>
    </row>
    <row r="33" spans="3:13" s="151" customFormat="1" x14ac:dyDescent="0.25">
      <c r="C33" s="342" t="s">
        <v>913</v>
      </c>
      <c r="D33" s="151" t="s">
        <v>549</v>
      </c>
      <c r="E33" s="153" t="s">
        <v>348</v>
      </c>
      <c r="F33" s="153" t="s">
        <v>569</v>
      </c>
      <c r="G33" s="151" t="s">
        <v>555</v>
      </c>
      <c r="H33" s="150">
        <v>10</v>
      </c>
      <c r="I33" s="150">
        <v>11.6</v>
      </c>
      <c r="J33" s="151" t="s">
        <v>563</v>
      </c>
      <c r="K33" s="150" t="s">
        <v>258</v>
      </c>
      <c r="L33" s="150" t="s">
        <v>258</v>
      </c>
      <c r="M33" s="151" t="s">
        <v>258</v>
      </c>
    </row>
    <row r="34" spans="3:13" s="151" customFormat="1" x14ac:dyDescent="0.25">
      <c r="C34" s="151" t="s">
        <v>348</v>
      </c>
      <c r="D34" s="151" t="s">
        <v>549</v>
      </c>
      <c r="E34" s="153" t="s">
        <v>348</v>
      </c>
      <c r="F34" s="153" t="s">
        <v>569</v>
      </c>
      <c r="G34" s="151" t="s">
        <v>555</v>
      </c>
      <c r="H34" s="150">
        <v>10</v>
      </c>
      <c r="I34" s="150">
        <v>10.1</v>
      </c>
      <c r="J34" s="151" t="s">
        <v>563</v>
      </c>
      <c r="K34" s="150" t="s">
        <v>258</v>
      </c>
      <c r="L34" s="150" t="s">
        <v>258</v>
      </c>
      <c r="M34" s="151" t="s">
        <v>258</v>
      </c>
    </row>
    <row r="35" spans="3:13" s="151" customFormat="1" x14ac:dyDescent="0.25">
      <c r="C35" s="342" t="s">
        <v>913</v>
      </c>
      <c r="D35" s="151" t="s">
        <v>549</v>
      </c>
      <c r="E35" s="153" t="s">
        <v>348</v>
      </c>
      <c r="F35" s="153" t="s">
        <v>569</v>
      </c>
      <c r="G35" s="151" t="s">
        <v>554</v>
      </c>
      <c r="H35" s="150">
        <v>9.6999999999999993</v>
      </c>
      <c r="I35" s="150">
        <v>11.2</v>
      </c>
      <c r="J35" s="151" t="s">
        <v>563</v>
      </c>
      <c r="K35" s="150" t="s">
        <v>258</v>
      </c>
      <c r="L35" s="150" t="s">
        <v>258</v>
      </c>
      <c r="M35" s="151" t="s">
        <v>258</v>
      </c>
    </row>
    <row r="36" spans="3:13" s="151" customFormat="1" x14ac:dyDescent="0.25">
      <c r="C36" s="151" t="s">
        <v>348</v>
      </c>
      <c r="D36" s="151" t="s">
        <v>549</v>
      </c>
      <c r="E36" s="153" t="s">
        <v>348</v>
      </c>
      <c r="F36" s="153" t="s">
        <v>569</v>
      </c>
      <c r="G36" s="151" t="s">
        <v>554</v>
      </c>
      <c r="H36" s="150">
        <v>9.6999999999999993</v>
      </c>
      <c r="I36" s="150">
        <v>9.8000000000000007</v>
      </c>
      <c r="J36" s="151" t="s">
        <v>563</v>
      </c>
      <c r="K36" s="150" t="s">
        <v>258</v>
      </c>
      <c r="L36" s="150" t="s">
        <v>258</v>
      </c>
      <c r="M36" s="151" t="s">
        <v>258</v>
      </c>
    </row>
    <row r="37" spans="3:13" s="151" customFormat="1" x14ac:dyDescent="0.25">
      <c r="C37" s="151" t="s">
        <v>348</v>
      </c>
      <c r="D37" s="151" t="s">
        <v>549</v>
      </c>
      <c r="E37" s="151" t="s">
        <v>348</v>
      </c>
      <c r="F37" s="153" t="s">
        <v>546</v>
      </c>
      <c r="G37" s="151" t="s">
        <v>564</v>
      </c>
      <c r="H37" s="155">
        <v>12.1</v>
      </c>
      <c r="I37" s="155" t="s">
        <v>258</v>
      </c>
      <c r="J37" s="151" t="s">
        <v>565</v>
      </c>
      <c r="K37" s="150" t="s">
        <v>258</v>
      </c>
      <c r="L37" s="150" t="s">
        <v>258</v>
      </c>
      <c r="M37" s="151" t="s">
        <v>258</v>
      </c>
    </row>
    <row r="38" spans="3:13" s="151" customFormat="1" x14ac:dyDescent="0.25">
      <c r="C38" s="151" t="s">
        <v>348</v>
      </c>
      <c r="D38" s="151" t="s">
        <v>549</v>
      </c>
      <c r="E38" s="151" t="s">
        <v>348</v>
      </c>
      <c r="F38" s="153" t="s">
        <v>546</v>
      </c>
      <c r="G38" s="151" t="s">
        <v>561</v>
      </c>
      <c r="H38" s="155">
        <v>12.1</v>
      </c>
      <c r="I38" s="155" t="s">
        <v>258</v>
      </c>
      <c r="J38" s="151" t="s">
        <v>565</v>
      </c>
      <c r="K38" s="150" t="s">
        <v>258</v>
      </c>
      <c r="L38" s="150" t="s">
        <v>258</v>
      </c>
      <c r="M38" s="151" t="s">
        <v>258</v>
      </c>
    </row>
    <row r="39" spans="3:13" s="151" customFormat="1" x14ac:dyDescent="0.25">
      <c r="C39" s="342" t="s">
        <v>913</v>
      </c>
      <c r="D39" s="151" t="s">
        <v>549</v>
      </c>
      <c r="E39" s="151" t="s">
        <v>348</v>
      </c>
      <c r="F39" s="153" t="s">
        <v>546</v>
      </c>
      <c r="G39" s="151" t="s">
        <v>553</v>
      </c>
      <c r="H39" s="150">
        <v>12.1</v>
      </c>
      <c r="I39" s="150">
        <v>13.9</v>
      </c>
      <c r="J39" s="151" t="s">
        <v>563</v>
      </c>
      <c r="K39" s="150" t="s">
        <v>258</v>
      </c>
      <c r="L39" s="150" t="s">
        <v>258</v>
      </c>
      <c r="M39" s="151" t="s">
        <v>258</v>
      </c>
    </row>
    <row r="40" spans="3:13" s="151" customFormat="1" x14ac:dyDescent="0.25">
      <c r="C40" s="151" t="s">
        <v>348</v>
      </c>
      <c r="D40" s="151" t="s">
        <v>549</v>
      </c>
      <c r="E40" s="151" t="s">
        <v>348</v>
      </c>
      <c r="F40" s="153" t="s">
        <v>546</v>
      </c>
      <c r="G40" s="151" t="s">
        <v>553</v>
      </c>
      <c r="H40" s="150">
        <v>12.1</v>
      </c>
      <c r="I40" s="150">
        <v>12.3</v>
      </c>
      <c r="J40" s="151" t="s">
        <v>563</v>
      </c>
      <c r="K40" s="150" t="s">
        <v>258</v>
      </c>
      <c r="L40" s="150" t="s">
        <v>258</v>
      </c>
      <c r="M40" s="151" t="s">
        <v>258</v>
      </c>
    </row>
    <row r="41" spans="3:13" s="151" customFormat="1" x14ac:dyDescent="0.25">
      <c r="C41" s="342" t="s">
        <v>913</v>
      </c>
      <c r="D41" s="151" t="s">
        <v>549</v>
      </c>
      <c r="E41" s="151" t="s">
        <v>348</v>
      </c>
      <c r="F41" s="153" t="s">
        <v>546</v>
      </c>
      <c r="G41" s="151" t="s">
        <v>552</v>
      </c>
      <c r="H41" s="150">
        <v>12.5</v>
      </c>
      <c r="I41" s="150">
        <v>13.9</v>
      </c>
      <c r="J41" s="151" t="s">
        <v>563</v>
      </c>
      <c r="K41" s="150" t="s">
        <v>258</v>
      </c>
      <c r="L41" s="150" t="s">
        <v>258</v>
      </c>
      <c r="M41" s="151" t="s">
        <v>258</v>
      </c>
    </row>
    <row r="42" spans="3:13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552</v>
      </c>
      <c r="H42" s="150">
        <v>12.5</v>
      </c>
      <c r="I42" s="150">
        <v>12.5</v>
      </c>
      <c r="J42" s="151" t="s">
        <v>563</v>
      </c>
      <c r="K42" s="150" t="s">
        <v>258</v>
      </c>
      <c r="L42" s="150" t="s">
        <v>258</v>
      </c>
      <c r="M42" s="151" t="s">
        <v>258</v>
      </c>
    </row>
    <row r="43" spans="3:13" s="151" customFormat="1" x14ac:dyDescent="0.25">
      <c r="C43" s="342" t="s">
        <v>913</v>
      </c>
      <c r="D43" s="151" t="s">
        <v>549</v>
      </c>
      <c r="E43" s="151" t="s">
        <v>348</v>
      </c>
      <c r="F43" s="153" t="s">
        <v>546</v>
      </c>
      <c r="G43" s="151" t="s">
        <v>555</v>
      </c>
      <c r="H43" s="150">
        <v>12.4</v>
      </c>
      <c r="I43" s="150">
        <v>13.6</v>
      </c>
      <c r="J43" s="151" t="s">
        <v>563</v>
      </c>
      <c r="K43" s="150" t="s">
        <v>258</v>
      </c>
      <c r="L43" s="150" t="s">
        <v>258</v>
      </c>
      <c r="M43" s="151" t="s">
        <v>258</v>
      </c>
    </row>
    <row r="44" spans="3:13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555</v>
      </c>
      <c r="H44" s="150">
        <v>12.4</v>
      </c>
      <c r="I44" s="150">
        <v>12.6</v>
      </c>
      <c r="J44" s="151" t="s">
        <v>563</v>
      </c>
      <c r="K44" s="150" t="s">
        <v>258</v>
      </c>
      <c r="L44" s="150" t="s">
        <v>258</v>
      </c>
      <c r="M44" s="151" t="s">
        <v>258</v>
      </c>
    </row>
    <row r="45" spans="3:13" s="151" customFormat="1" x14ac:dyDescent="0.25">
      <c r="C45" s="342" t="s">
        <v>913</v>
      </c>
      <c r="D45" s="151" t="s">
        <v>549</v>
      </c>
      <c r="E45" s="151" t="s">
        <v>348</v>
      </c>
      <c r="F45" s="153" t="s">
        <v>546</v>
      </c>
      <c r="G45" s="151" t="s">
        <v>554</v>
      </c>
      <c r="H45" s="150">
        <v>12.2</v>
      </c>
      <c r="I45" s="150">
        <v>13.5</v>
      </c>
      <c r="J45" s="151" t="s">
        <v>563</v>
      </c>
      <c r="K45" s="150" t="s">
        <v>258</v>
      </c>
      <c r="L45" s="150" t="s">
        <v>258</v>
      </c>
      <c r="M45" s="151" t="s">
        <v>258</v>
      </c>
    </row>
    <row r="46" spans="3:13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554</v>
      </c>
      <c r="H46" s="150">
        <v>12.2</v>
      </c>
      <c r="I46" s="150">
        <v>12.4</v>
      </c>
      <c r="J46" s="151" t="s">
        <v>563</v>
      </c>
      <c r="K46" s="150" t="s">
        <v>258</v>
      </c>
      <c r="L46" s="150" t="s">
        <v>258</v>
      </c>
      <c r="M46" s="151" t="s">
        <v>258</v>
      </c>
    </row>
    <row r="47" spans="3:13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548</v>
      </c>
      <c r="G47" s="151" t="s">
        <v>561</v>
      </c>
      <c r="H47" s="150">
        <v>12.1</v>
      </c>
      <c r="I47" s="150" t="s">
        <v>258</v>
      </c>
      <c r="J47" s="151" t="s">
        <v>562</v>
      </c>
      <c r="K47" s="150" t="s">
        <v>258</v>
      </c>
      <c r="L47" s="150" t="s">
        <v>258</v>
      </c>
      <c r="M47" s="151" t="s">
        <v>258</v>
      </c>
    </row>
    <row r="48" spans="3:13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553</v>
      </c>
      <c r="H48" s="150">
        <v>12.1</v>
      </c>
      <c r="I48" s="150">
        <v>12.3</v>
      </c>
      <c r="J48" s="151" t="s">
        <v>563</v>
      </c>
      <c r="K48" s="150" t="s">
        <v>258</v>
      </c>
      <c r="L48" s="150" t="s">
        <v>258</v>
      </c>
      <c r="M48" s="151" t="s">
        <v>258</v>
      </c>
    </row>
    <row r="49" spans="3:14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552</v>
      </c>
      <c r="H49" s="150">
        <v>12</v>
      </c>
      <c r="I49" s="150">
        <v>12.2</v>
      </c>
      <c r="J49" s="151" t="s">
        <v>563</v>
      </c>
      <c r="K49" s="150" t="s">
        <v>258</v>
      </c>
      <c r="L49" s="150" t="s">
        <v>258</v>
      </c>
      <c r="M49" s="151" t="s">
        <v>258</v>
      </c>
    </row>
    <row r="50" spans="3:14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555</v>
      </c>
      <c r="H50" s="150">
        <v>11.9</v>
      </c>
      <c r="I50" s="150">
        <v>12.1</v>
      </c>
      <c r="J50" s="151" t="s">
        <v>563</v>
      </c>
      <c r="K50" s="150" t="s">
        <v>258</v>
      </c>
      <c r="L50" s="150" t="s">
        <v>258</v>
      </c>
      <c r="M50" s="151" t="s">
        <v>258</v>
      </c>
    </row>
    <row r="51" spans="3:14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554</v>
      </c>
      <c r="H51" s="150">
        <v>11.7</v>
      </c>
      <c r="I51" s="150">
        <v>11.9</v>
      </c>
      <c r="J51" s="151" t="s">
        <v>563</v>
      </c>
      <c r="K51" s="150" t="s">
        <v>258</v>
      </c>
      <c r="L51" s="150" t="s">
        <v>258</v>
      </c>
      <c r="M51" s="151" t="s">
        <v>258</v>
      </c>
    </row>
    <row r="52" spans="3:14" s="151" customFormat="1" x14ac:dyDescent="0.25">
      <c r="C52" s="151" t="s">
        <v>348</v>
      </c>
      <c r="D52" s="151" t="s">
        <v>550</v>
      </c>
      <c r="E52" s="151" t="s">
        <v>348</v>
      </c>
      <c r="F52" s="153" t="s">
        <v>569</v>
      </c>
      <c r="G52" s="151" t="s">
        <v>561</v>
      </c>
      <c r="H52" s="150" t="s">
        <v>258</v>
      </c>
      <c r="I52" s="150" t="s">
        <v>258</v>
      </c>
      <c r="J52" s="151" t="s">
        <v>567</v>
      </c>
      <c r="K52" s="150" t="s">
        <v>258</v>
      </c>
      <c r="L52" s="150" t="s">
        <v>258</v>
      </c>
      <c r="M52" s="151" t="s">
        <v>567</v>
      </c>
    </row>
    <row r="53" spans="3:14" s="151" customFormat="1" x14ac:dyDescent="0.25">
      <c r="C53" s="342" t="s">
        <v>913</v>
      </c>
      <c r="D53" s="151" t="s">
        <v>550</v>
      </c>
      <c r="E53" s="151" t="s">
        <v>348</v>
      </c>
      <c r="F53" s="153" t="s">
        <v>569</v>
      </c>
      <c r="G53" s="151" t="s">
        <v>553</v>
      </c>
      <c r="H53" s="150">
        <v>11</v>
      </c>
      <c r="I53" s="150">
        <v>12.2</v>
      </c>
      <c r="J53" s="151" t="s">
        <v>566</v>
      </c>
      <c r="K53" s="152">
        <v>3.3</v>
      </c>
      <c r="L53" s="152">
        <v>2.25</v>
      </c>
      <c r="M53" s="151" t="s">
        <v>566</v>
      </c>
      <c r="N53" s="152"/>
    </row>
    <row r="54" spans="3:14" s="151" customFormat="1" x14ac:dyDescent="0.25">
      <c r="C54" s="151" t="s">
        <v>348</v>
      </c>
      <c r="D54" s="151" t="s">
        <v>550</v>
      </c>
      <c r="E54" s="151" t="s">
        <v>348</v>
      </c>
      <c r="F54" s="153" t="s">
        <v>569</v>
      </c>
      <c r="G54" s="151" t="s">
        <v>553</v>
      </c>
      <c r="H54" s="150">
        <v>11</v>
      </c>
      <c r="I54" s="150">
        <v>11.2</v>
      </c>
      <c r="J54" s="151" t="s">
        <v>566</v>
      </c>
      <c r="K54" s="152">
        <v>3.3</v>
      </c>
      <c r="L54" s="152">
        <v>2.25</v>
      </c>
      <c r="M54" s="151" t="s">
        <v>566</v>
      </c>
      <c r="N54" s="152"/>
    </row>
    <row r="55" spans="3:14" s="151" customFormat="1" x14ac:dyDescent="0.25">
      <c r="C55" s="342" t="s">
        <v>913</v>
      </c>
      <c r="D55" s="151" t="s">
        <v>550</v>
      </c>
      <c r="E55" s="151" t="s">
        <v>348</v>
      </c>
      <c r="F55" s="153" t="s">
        <v>569</v>
      </c>
      <c r="G55" s="151" t="s">
        <v>552</v>
      </c>
      <c r="H55" s="150">
        <v>10.6</v>
      </c>
      <c r="I55" s="150">
        <v>11.6</v>
      </c>
      <c r="J55" s="151" t="s">
        <v>566</v>
      </c>
      <c r="K55" s="152">
        <v>3.2</v>
      </c>
      <c r="L55" s="152">
        <v>2.0499999999999998</v>
      </c>
      <c r="M55" s="151" t="s">
        <v>566</v>
      </c>
      <c r="N55" s="152"/>
    </row>
    <row r="56" spans="3:14" s="151" customFormat="1" x14ac:dyDescent="0.25">
      <c r="C56" s="151" t="s">
        <v>348</v>
      </c>
      <c r="D56" s="151" t="s">
        <v>550</v>
      </c>
      <c r="E56" s="151" t="s">
        <v>348</v>
      </c>
      <c r="F56" s="153" t="s">
        <v>569</v>
      </c>
      <c r="G56" s="151" t="s">
        <v>552</v>
      </c>
      <c r="H56" s="150">
        <v>10.6</v>
      </c>
      <c r="I56" s="150">
        <v>10.7</v>
      </c>
      <c r="J56" s="151" t="s">
        <v>566</v>
      </c>
      <c r="K56" s="152">
        <v>3.2</v>
      </c>
      <c r="L56" s="152">
        <v>2.0499999999999998</v>
      </c>
      <c r="M56" s="151" t="s">
        <v>566</v>
      </c>
      <c r="N56" s="152"/>
    </row>
    <row r="57" spans="3:14" s="151" customFormat="1" x14ac:dyDescent="0.25">
      <c r="C57" s="342" t="s">
        <v>913</v>
      </c>
      <c r="D57" s="151" t="s">
        <v>550</v>
      </c>
      <c r="E57" s="151" t="s">
        <v>348</v>
      </c>
      <c r="F57" s="153" t="s">
        <v>569</v>
      </c>
      <c r="G57" s="151" t="s">
        <v>551</v>
      </c>
      <c r="H57" s="150">
        <v>9.5</v>
      </c>
      <c r="I57" s="150">
        <v>10.6</v>
      </c>
      <c r="J57" s="151" t="s">
        <v>566</v>
      </c>
      <c r="K57" s="152">
        <v>3.2</v>
      </c>
      <c r="L57" s="152">
        <v>2.0499999999999998</v>
      </c>
      <c r="M57" s="151" t="s">
        <v>566</v>
      </c>
      <c r="N57" s="152"/>
    </row>
    <row r="58" spans="3:14" s="151" customFormat="1" x14ac:dyDescent="0.25">
      <c r="C58" s="151" t="s">
        <v>348</v>
      </c>
      <c r="D58" s="151" t="s">
        <v>550</v>
      </c>
      <c r="E58" s="151" t="s">
        <v>348</v>
      </c>
      <c r="F58" s="153" t="s">
        <v>569</v>
      </c>
      <c r="G58" s="151" t="s">
        <v>551</v>
      </c>
      <c r="H58" s="150">
        <v>9.5</v>
      </c>
      <c r="I58" s="150">
        <v>9.6</v>
      </c>
      <c r="J58" s="151" t="s">
        <v>566</v>
      </c>
      <c r="K58" s="152">
        <v>3.2</v>
      </c>
      <c r="L58" s="152">
        <v>2.0499999999999998</v>
      </c>
      <c r="M58" s="151" t="s">
        <v>566</v>
      </c>
      <c r="N58" s="152"/>
    </row>
    <row r="59" spans="3:14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546</v>
      </c>
      <c r="G59" s="151" t="s">
        <v>564</v>
      </c>
      <c r="H59" s="155">
        <v>11.2</v>
      </c>
      <c r="I59" s="155" t="s">
        <v>258</v>
      </c>
      <c r="J59" s="151" t="s">
        <v>562</v>
      </c>
      <c r="K59" s="152">
        <v>4.2</v>
      </c>
      <c r="L59" s="152" t="s">
        <v>258</v>
      </c>
      <c r="M59" s="151" t="s">
        <v>562</v>
      </c>
    </row>
    <row r="60" spans="3:14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546</v>
      </c>
      <c r="G60" s="151" t="s">
        <v>561</v>
      </c>
      <c r="H60" s="155">
        <v>12</v>
      </c>
      <c r="I60" s="155" t="s">
        <v>258</v>
      </c>
      <c r="J60" s="151" t="s">
        <v>562</v>
      </c>
      <c r="K60" s="152">
        <v>4.2</v>
      </c>
      <c r="L60" s="152" t="s">
        <v>258</v>
      </c>
      <c r="M60" s="151" t="s">
        <v>562</v>
      </c>
    </row>
    <row r="61" spans="3:14" s="151" customFormat="1" x14ac:dyDescent="0.25">
      <c r="C61" s="342" t="s">
        <v>913</v>
      </c>
      <c r="D61" s="151" t="s">
        <v>550</v>
      </c>
      <c r="E61" s="151" t="s">
        <v>348</v>
      </c>
      <c r="F61" s="153" t="s">
        <v>546</v>
      </c>
      <c r="G61" s="151" t="s">
        <v>553</v>
      </c>
      <c r="H61" s="343">
        <v>13</v>
      </c>
      <c r="I61" s="343" t="s">
        <v>258</v>
      </c>
      <c r="J61" s="151" t="s">
        <v>566</v>
      </c>
      <c r="K61" s="343">
        <v>4.3</v>
      </c>
      <c r="L61" s="343" t="s">
        <v>258</v>
      </c>
      <c r="M61" s="151" t="s">
        <v>566</v>
      </c>
    </row>
    <row r="62" spans="3:14" s="151" customFormat="1" x14ac:dyDescent="0.25">
      <c r="C62" s="151" t="s">
        <v>348</v>
      </c>
      <c r="D62" s="151" t="s">
        <v>550</v>
      </c>
      <c r="E62" s="151" t="s">
        <v>348</v>
      </c>
      <c r="F62" s="153" t="s">
        <v>546</v>
      </c>
      <c r="G62" s="151" t="s">
        <v>553</v>
      </c>
      <c r="H62" s="150">
        <v>12</v>
      </c>
      <c r="I62" s="151" t="s">
        <v>258</v>
      </c>
      <c r="J62" s="151" t="s">
        <v>566</v>
      </c>
      <c r="K62" s="151">
        <v>4.2</v>
      </c>
      <c r="L62" s="151" t="s">
        <v>258</v>
      </c>
      <c r="M62" s="151" t="s">
        <v>566</v>
      </c>
    </row>
    <row r="63" spans="3:14" s="151" customFormat="1" x14ac:dyDescent="0.25">
      <c r="C63" s="342" t="s">
        <v>913</v>
      </c>
      <c r="D63" s="348" t="s">
        <v>550</v>
      </c>
      <c r="E63" s="348" t="s">
        <v>348</v>
      </c>
      <c r="F63" s="349" t="s">
        <v>546</v>
      </c>
      <c r="G63" s="348" t="s">
        <v>552</v>
      </c>
      <c r="H63" s="343">
        <v>12.3</v>
      </c>
      <c r="I63" s="343" t="s">
        <v>258</v>
      </c>
      <c r="J63" s="151" t="s">
        <v>562</v>
      </c>
      <c r="K63" s="343">
        <v>2.9</v>
      </c>
      <c r="L63" s="343" t="s">
        <v>258</v>
      </c>
      <c r="M63" s="151" t="s">
        <v>562</v>
      </c>
    </row>
    <row r="64" spans="3:14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546</v>
      </c>
      <c r="G64" s="151" t="s">
        <v>552</v>
      </c>
      <c r="H64" s="150">
        <v>12.3</v>
      </c>
      <c r="I64" s="150" t="s">
        <v>258</v>
      </c>
      <c r="J64" s="151" t="s">
        <v>562</v>
      </c>
      <c r="K64" s="150">
        <v>2.9</v>
      </c>
      <c r="L64" s="150" t="s">
        <v>258</v>
      </c>
      <c r="M64" s="151" t="s">
        <v>562</v>
      </c>
    </row>
    <row r="65" spans="2:13" s="151" customFormat="1" x14ac:dyDescent="0.25">
      <c r="C65" s="151" t="s">
        <v>348</v>
      </c>
      <c r="D65" s="151" t="s">
        <v>550</v>
      </c>
      <c r="E65" s="151" t="s">
        <v>348</v>
      </c>
      <c r="F65" s="153" t="s">
        <v>546</v>
      </c>
      <c r="G65" s="151" t="s">
        <v>555</v>
      </c>
      <c r="H65" s="150">
        <v>12.2</v>
      </c>
      <c r="I65" s="150" t="s">
        <v>258</v>
      </c>
      <c r="J65" s="151" t="s">
        <v>562</v>
      </c>
      <c r="K65" s="350" t="s">
        <v>258</v>
      </c>
      <c r="L65" s="150" t="s">
        <v>258</v>
      </c>
      <c r="M65" s="151" t="s">
        <v>562</v>
      </c>
    </row>
    <row r="66" spans="2:13" s="151" customFormat="1" x14ac:dyDescent="0.25">
      <c r="C66" s="342" t="s">
        <v>913</v>
      </c>
      <c r="D66" s="151" t="s">
        <v>550</v>
      </c>
      <c r="E66" s="151" t="s">
        <v>348</v>
      </c>
      <c r="F66" s="154" t="s">
        <v>547</v>
      </c>
      <c r="G66" s="151" t="s">
        <v>553</v>
      </c>
      <c r="H66" s="343">
        <v>18</v>
      </c>
      <c r="I66" s="343" t="s">
        <v>258</v>
      </c>
      <c r="J66" s="151" t="s">
        <v>566</v>
      </c>
      <c r="K66" s="343">
        <v>3.7</v>
      </c>
      <c r="L66" s="343" t="s">
        <v>258</v>
      </c>
      <c r="M66" s="151" t="s">
        <v>566</v>
      </c>
    </row>
    <row r="67" spans="2:13" s="151" customFormat="1" x14ac:dyDescent="0.25">
      <c r="C67" s="151" t="s">
        <v>348</v>
      </c>
      <c r="D67" s="151" t="s">
        <v>550</v>
      </c>
      <c r="E67" s="151" t="s">
        <v>348</v>
      </c>
      <c r="F67" s="154" t="s">
        <v>547</v>
      </c>
      <c r="G67" s="151" t="s">
        <v>553</v>
      </c>
      <c r="H67" s="150">
        <v>16.2</v>
      </c>
      <c r="I67" s="151" t="s">
        <v>258</v>
      </c>
      <c r="J67" s="151" t="s">
        <v>566</v>
      </c>
      <c r="K67" s="151">
        <v>3.6</v>
      </c>
      <c r="L67" s="151" t="s">
        <v>258</v>
      </c>
      <c r="M67" s="151" t="s">
        <v>566</v>
      </c>
    </row>
    <row r="68" spans="2:13" s="151" customFormat="1" x14ac:dyDescent="0.25">
      <c r="C68" s="151" t="s">
        <v>348</v>
      </c>
      <c r="D68" s="151" t="s">
        <v>550</v>
      </c>
      <c r="E68" s="151" t="s">
        <v>348</v>
      </c>
      <c r="F68" s="154" t="s">
        <v>547</v>
      </c>
      <c r="G68" s="151" t="s">
        <v>557</v>
      </c>
      <c r="H68" s="150" t="s">
        <v>258</v>
      </c>
      <c r="I68" s="150" t="s">
        <v>258</v>
      </c>
      <c r="J68" s="151" t="s">
        <v>258</v>
      </c>
      <c r="K68" s="150" t="s">
        <v>258</v>
      </c>
      <c r="L68" s="150" t="s">
        <v>258</v>
      </c>
      <c r="M68" s="151" t="s">
        <v>258</v>
      </c>
    </row>
    <row r="69" spans="2:13" s="151" customFormat="1" x14ac:dyDescent="0.25">
      <c r="C69" s="342" t="s">
        <v>913</v>
      </c>
      <c r="D69" s="151" t="s">
        <v>550</v>
      </c>
      <c r="E69" s="151" t="s">
        <v>348</v>
      </c>
      <c r="F69" s="154" t="s">
        <v>556</v>
      </c>
      <c r="G69" s="151" t="s">
        <v>553</v>
      </c>
      <c r="H69" s="343">
        <v>14.1</v>
      </c>
      <c r="I69" s="343" t="s">
        <v>258</v>
      </c>
      <c r="J69" s="151" t="s">
        <v>566</v>
      </c>
      <c r="K69" s="343">
        <v>3.2</v>
      </c>
      <c r="L69" s="343" t="s">
        <v>258</v>
      </c>
      <c r="M69" s="151" t="s">
        <v>566</v>
      </c>
    </row>
    <row r="70" spans="2:13" s="151" customFormat="1" x14ac:dyDescent="0.25">
      <c r="C70" s="151" t="s">
        <v>348</v>
      </c>
      <c r="D70" s="151" t="s">
        <v>550</v>
      </c>
      <c r="E70" s="151" t="s">
        <v>348</v>
      </c>
      <c r="F70" s="154" t="s">
        <v>556</v>
      </c>
      <c r="G70" s="151" t="s">
        <v>553</v>
      </c>
      <c r="H70" s="150">
        <v>13.4</v>
      </c>
      <c r="I70" s="151" t="s">
        <v>258</v>
      </c>
      <c r="J70" s="151" t="s">
        <v>566</v>
      </c>
      <c r="K70" s="151">
        <v>3.1</v>
      </c>
      <c r="L70" s="151" t="s">
        <v>258</v>
      </c>
      <c r="M70" s="151" t="s">
        <v>566</v>
      </c>
    </row>
    <row r="71" spans="2:13" s="151" customFormat="1" x14ac:dyDescent="0.25">
      <c r="C71" s="151" t="s">
        <v>348</v>
      </c>
      <c r="D71" s="151" t="s">
        <v>550</v>
      </c>
      <c r="E71" s="151" t="s">
        <v>348</v>
      </c>
      <c r="F71" s="154" t="s">
        <v>556</v>
      </c>
      <c r="G71" s="151" t="s">
        <v>557</v>
      </c>
      <c r="H71" s="150" t="s">
        <v>258</v>
      </c>
      <c r="I71" s="150" t="s">
        <v>258</v>
      </c>
      <c r="J71" s="150" t="s">
        <v>258</v>
      </c>
      <c r="K71" s="150" t="s">
        <v>258</v>
      </c>
      <c r="L71" s="150" t="s">
        <v>258</v>
      </c>
      <c r="M71" s="151" t="s">
        <v>258</v>
      </c>
    </row>
    <row r="72" spans="2:13" s="151" customFormat="1" x14ac:dyDescent="0.25">
      <c r="C72" s="151" t="s">
        <v>348</v>
      </c>
      <c r="D72" s="151" t="s">
        <v>549</v>
      </c>
      <c r="E72" s="151" t="s">
        <v>801</v>
      </c>
      <c r="F72" s="154" t="s">
        <v>569</v>
      </c>
      <c r="G72" s="151" t="s">
        <v>561</v>
      </c>
      <c r="H72" s="150">
        <v>11</v>
      </c>
      <c r="I72" s="150" t="s">
        <v>258</v>
      </c>
      <c r="J72" s="150" t="s">
        <v>802</v>
      </c>
      <c r="K72" s="150" t="s">
        <v>258</v>
      </c>
      <c r="L72" s="150" t="s">
        <v>258</v>
      </c>
      <c r="M72" s="151" t="s">
        <v>258</v>
      </c>
    </row>
    <row r="73" spans="2:13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553</v>
      </c>
      <c r="H73" s="150">
        <v>10.4</v>
      </c>
      <c r="I73" s="150" t="s">
        <v>258</v>
      </c>
      <c r="J73" s="150" t="s">
        <v>802</v>
      </c>
      <c r="K73" s="150" t="s">
        <v>258</v>
      </c>
      <c r="L73" s="150" t="s">
        <v>258</v>
      </c>
      <c r="M73" s="151" t="s">
        <v>258</v>
      </c>
    </row>
    <row r="74" spans="2:13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552</v>
      </c>
      <c r="H74" s="150">
        <v>10.199999999999999</v>
      </c>
      <c r="I74" s="150" t="s">
        <v>258</v>
      </c>
      <c r="J74" s="150" t="s">
        <v>802</v>
      </c>
      <c r="K74" s="150" t="s">
        <v>258</v>
      </c>
      <c r="L74" s="150" t="s">
        <v>258</v>
      </c>
      <c r="M74" s="151" t="s">
        <v>258</v>
      </c>
    </row>
    <row r="75" spans="2:13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551</v>
      </c>
      <c r="H75" s="150">
        <v>10.199999999999999</v>
      </c>
      <c r="I75" s="150" t="s">
        <v>258</v>
      </c>
      <c r="J75" s="150" t="s">
        <v>803</v>
      </c>
      <c r="K75" s="150" t="s">
        <v>258</v>
      </c>
      <c r="L75" s="150" t="s">
        <v>258</v>
      </c>
      <c r="M75" s="151" t="s">
        <v>258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105"/>
  <sheetViews>
    <sheetView zoomScale="85" zoomScaleNormal="85" workbookViewId="0">
      <selection activeCell="I11" sqref="I11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34.42578125" style="151" customWidth="1"/>
    <col min="7" max="7" width="15.28515625" style="151" customWidth="1"/>
    <col min="8" max="9" width="16.28515625" style="151" customWidth="1"/>
    <col min="10" max="10" width="30" style="151" customWidth="1"/>
    <col min="11" max="12" width="16.28515625" style="151" customWidth="1"/>
    <col min="13" max="13" width="30" style="151" customWidth="1"/>
    <col min="14" max="14" width="44.42578125" style="145" customWidth="1"/>
    <col min="15" max="16384" width="9.140625" style="145"/>
  </cols>
  <sheetData>
    <row r="1" spans="1:14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41"/>
    </row>
    <row r="2" spans="1:14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41"/>
    </row>
    <row r="3" spans="1:14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41"/>
    </row>
    <row r="4" spans="1:14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41"/>
    </row>
    <row r="5" spans="1:14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41"/>
    </row>
    <row r="6" spans="1:14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41"/>
    </row>
    <row r="7" spans="1:14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41"/>
    </row>
    <row r="8" spans="1:14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41"/>
    </row>
    <row r="9" spans="1:14" x14ac:dyDescent="0.25">
      <c r="A9" s="145" t="s">
        <v>250</v>
      </c>
      <c r="C9" s="32">
        <v>43083</v>
      </c>
      <c r="D9" s="145" t="s">
        <v>1003</v>
      </c>
    </row>
    <row r="10" spans="1:14" x14ac:dyDescent="0.25">
      <c r="A10" s="145" t="s">
        <v>250</v>
      </c>
      <c r="C10" s="32">
        <v>43681</v>
      </c>
      <c r="D10" s="145" t="s">
        <v>1039</v>
      </c>
    </row>
    <row r="11" spans="1:14" x14ac:dyDescent="0.25">
      <c r="A11" s="145" t="s">
        <v>250</v>
      </c>
      <c r="C11" s="32">
        <v>44070</v>
      </c>
      <c r="D11" s="145" t="s">
        <v>1062</v>
      </c>
    </row>
    <row r="12" spans="1:14" x14ac:dyDescent="0.25">
      <c r="A12" s="145" t="s">
        <v>250</v>
      </c>
      <c r="C12" s="32">
        <v>44607</v>
      </c>
      <c r="D12" s="145" t="s">
        <v>1202</v>
      </c>
    </row>
    <row r="13" spans="1:14" x14ac:dyDescent="0.25">
      <c r="A13" s="145" t="s">
        <v>250</v>
      </c>
      <c r="C13" s="32"/>
      <c r="D13" s="145"/>
    </row>
    <row r="14" spans="1:14" s="138" customFormat="1" x14ac:dyDescent="0.25">
      <c r="A14" s="138" t="s">
        <v>250</v>
      </c>
      <c r="B14" s="116" t="s">
        <v>358</v>
      </c>
      <c r="C14" s="116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41"/>
    </row>
    <row r="15" spans="1:14" x14ac:dyDescent="0.25">
      <c r="A15" s="145" t="s">
        <v>250</v>
      </c>
      <c r="B15" s="351"/>
      <c r="C15" s="351" t="s">
        <v>381</v>
      </c>
    </row>
    <row r="16" spans="1:14" x14ac:dyDescent="0.25">
      <c r="A16" s="145" t="s">
        <v>250</v>
      </c>
      <c r="B16" s="351"/>
      <c r="C16" s="351" t="s">
        <v>1004</v>
      </c>
    </row>
    <row r="17" spans="1:14" x14ac:dyDescent="0.25">
      <c r="A17" s="145" t="s">
        <v>250</v>
      </c>
      <c r="B17" s="351"/>
      <c r="C17" s="351" t="s">
        <v>1005</v>
      </c>
    </row>
    <row r="18" spans="1:14" x14ac:dyDescent="0.25">
      <c r="A18" s="145" t="s">
        <v>250</v>
      </c>
      <c r="B18" s="351"/>
      <c r="C18" s="351" t="s">
        <v>1057</v>
      </c>
    </row>
    <row r="19" spans="1:14" x14ac:dyDescent="0.25">
      <c r="A19" s="145" t="s">
        <v>250</v>
      </c>
      <c r="B19" s="351"/>
      <c r="C19" s="351" t="s">
        <v>783</v>
      </c>
    </row>
    <row r="20" spans="1:14" s="138" customFormat="1" x14ac:dyDescent="0.25">
      <c r="A20" s="138" t="s">
        <v>250</v>
      </c>
      <c r="B20" s="116" t="s">
        <v>355</v>
      </c>
      <c r="C20" s="116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41"/>
    </row>
    <row r="21" spans="1:14" x14ac:dyDescent="0.25">
      <c r="A21" s="145" t="s">
        <v>250</v>
      </c>
      <c r="B21" s="351"/>
      <c r="C21" s="351" t="s">
        <v>382</v>
      </c>
      <c r="E21" s="352"/>
    </row>
    <row r="22" spans="1:14" x14ac:dyDescent="0.25">
      <c r="A22" s="145" t="s">
        <v>250</v>
      </c>
      <c r="B22" s="351"/>
      <c r="C22" s="351" t="s">
        <v>383</v>
      </c>
      <c r="E22" s="352"/>
    </row>
    <row r="23" spans="1:14" x14ac:dyDescent="0.25">
      <c r="A23" s="145" t="s">
        <v>250</v>
      </c>
      <c r="B23" s="351"/>
      <c r="C23" s="351" t="s">
        <v>1058</v>
      </c>
      <c r="E23" s="352"/>
    </row>
    <row r="24" spans="1:14" x14ac:dyDescent="0.25">
      <c r="A24" s="145" t="s">
        <v>250</v>
      </c>
      <c r="B24" s="351"/>
      <c r="C24" s="351"/>
      <c r="E24" s="352"/>
    </row>
    <row r="25" spans="1:14" s="138" customFormat="1" x14ac:dyDescent="0.25">
      <c r="A25" s="138" t="s">
        <v>250</v>
      </c>
      <c r="B25" s="116" t="s">
        <v>354</v>
      </c>
      <c r="C25" s="116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41"/>
    </row>
    <row r="26" spans="1:14" x14ac:dyDescent="0.25">
      <c r="A26" s="145" t="s">
        <v>250</v>
      </c>
      <c r="B26" s="351"/>
      <c r="C26" s="116" t="s">
        <v>911</v>
      </c>
      <c r="D26" s="353"/>
      <c r="E26" s="353"/>
      <c r="F26" s="353"/>
      <c r="G26" s="353"/>
      <c r="H26" s="353"/>
    </row>
    <row r="27" spans="1:14" x14ac:dyDescent="0.25">
      <c r="A27" s="145" t="s">
        <v>250</v>
      </c>
      <c r="B27" s="351"/>
      <c r="C27" s="351"/>
      <c r="E27" s="352"/>
    </row>
    <row r="28" spans="1:14" s="138" customFormat="1" x14ac:dyDescent="0.25">
      <c r="A28" s="138" t="s">
        <v>365</v>
      </c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41"/>
    </row>
    <row r="29" spans="1:14" s="151" customFormat="1" x14ac:dyDescent="0.25">
      <c r="A29" s="145"/>
      <c r="B29" s="140" t="str">
        <f>"TABLE "&amp;$C$4</f>
        <v>TABLE UnitaryACHPMinEffReq</v>
      </c>
      <c r="N29" s="145"/>
    </row>
    <row r="30" spans="1:14" x14ac:dyDescent="0.25">
      <c r="C30" s="151" t="s">
        <v>912</v>
      </c>
      <c r="D30" s="151" t="s">
        <v>558</v>
      </c>
      <c r="E30" s="151" t="s">
        <v>571</v>
      </c>
      <c r="F30" s="153" t="s">
        <v>568</v>
      </c>
      <c r="G30" s="153" t="s">
        <v>279</v>
      </c>
      <c r="H30" s="151" t="s">
        <v>11</v>
      </c>
      <c r="I30" s="151" t="s">
        <v>12</v>
      </c>
      <c r="J30" s="151" t="s">
        <v>559</v>
      </c>
      <c r="K30" s="151" t="s">
        <v>930</v>
      </c>
      <c r="L30" s="151" t="s">
        <v>931</v>
      </c>
      <c r="M30" s="151" t="s">
        <v>560</v>
      </c>
      <c r="N30" s="145" t="s">
        <v>9</v>
      </c>
    </row>
    <row r="31" spans="1:14" x14ac:dyDescent="0.25">
      <c r="C31" s="371" t="s">
        <v>1037</v>
      </c>
      <c r="D31" s="151" t="s">
        <v>1007</v>
      </c>
      <c r="E31" s="151" t="s">
        <v>348</v>
      </c>
      <c r="F31" s="153" t="s">
        <v>569</v>
      </c>
      <c r="G31" s="153" t="s">
        <v>561</v>
      </c>
      <c r="H31" s="370">
        <v>11</v>
      </c>
      <c r="I31" s="370">
        <v>0</v>
      </c>
      <c r="J31" s="151" t="s">
        <v>1008</v>
      </c>
      <c r="K31" s="358">
        <v>0</v>
      </c>
      <c r="L31" s="358">
        <v>0</v>
      </c>
      <c r="M31" s="151" t="s">
        <v>258</v>
      </c>
    </row>
    <row r="32" spans="1:14" x14ac:dyDescent="0.25">
      <c r="C32" s="354" t="s">
        <v>1006</v>
      </c>
      <c r="D32" s="151" t="s">
        <v>1007</v>
      </c>
      <c r="E32" s="151" t="s">
        <v>348</v>
      </c>
      <c r="F32" s="153" t="s">
        <v>569</v>
      </c>
      <c r="G32" s="153" t="s">
        <v>561</v>
      </c>
      <c r="H32" s="355">
        <v>11</v>
      </c>
      <c r="I32" s="355">
        <v>0</v>
      </c>
      <c r="J32" s="151" t="s">
        <v>1008</v>
      </c>
      <c r="K32" s="358">
        <v>0</v>
      </c>
      <c r="L32" s="358">
        <v>0</v>
      </c>
      <c r="M32" s="151" t="s">
        <v>258</v>
      </c>
    </row>
    <row r="33" spans="3:14" x14ac:dyDescent="0.25">
      <c r="C33" s="151" t="s">
        <v>348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10</v>
      </c>
      <c r="I33" s="150">
        <v>0</v>
      </c>
      <c r="J33" s="151" t="s">
        <v>1008</v>
      </c>
      <c r="K33" s="358">
        <v>0</v>
      </c>
      <c r="L33" s="358">
        <v>0</v>
      </c>
      <c r="M33" s="151" t="s">
        <v>258</v>
      </c>
    </row>
    <row r="34" spans="3:14" x14ac:dyDescent="0.25">
      <c r="C34" s="151" t="s">
        <v>348</v>
      </c>
      <c r="D34" s="151" t="s">
        <v>1007</v>
      </c>
      <c r="E34" s="151" t="s">
        <v>348</v>
      </c>
      <c r="F34" s="153" t="s">
        <v>569</v>
      </c>
      <c r="G34" s="153" t="s">
        <v>348</v>
      </c>
      <c r="H34" s="150">
        <v>10</v>
      </c>
      <c r="I34" s="150">
        <v>0</v>
      </c>
      <c r="J34" s="151" t="s">
        <v>1008</v>
      </c>
      <c r="K34" s="358">
        <v>0</v>
      </c>
      <c r="L34" s="358">
        <v>0</v>
      </c>
      <c r="M34" s="151" t="s">
        <v>258</v>
      </c>
    </row>
    <row r="35" spans="3:14" x14ac:dyDescent="0.25">
      <c r="C35" s="151" t="s">
        <v>348</v>
      </c>
      <c r="D35" s="151" t="s">
        <v>549</v>
      </c>
      <c r="E35" s="153" t="s">
        <v>928</v>
      </c>
      <c r="F35" s="153" t="s">
        <v>569</v>
      </c>
      <c r="G35" s="151" t="s">
        <v>927</v>
      </c>
      <c r="H35" s="150">
        <v>12.2</v>
      </c>
      <c r="I35" s="150">
        <v>0</v>
      </c>
      <c r="J35" s="151" t="s">
        <v>1038</v>
      </c>
      <c r="K35" s="358">
        <v>0</v>
      </c>
      <c r="L35" s="358">
        <v>0</v>
      </c>
      <c r="M35" s="151" t="s">
        <v>258</v>
      </c>
    </row>
    <row r="36" spans="3:14" x14ac:dyDescent="0.25">
      <c r="C36" s="151" t="s">
        <v>348</v>
      </c>
      <c r="D36" s="151" t="s">
        <v>549</v>
      </c>
      <c r="E36" s="153" t="s">
        <v>928</v>
      </c>
      <c r="F36" s="153" t="s">
        <v>569</v>
      </c>
      <c r="G36" s="151" t="s">
        <v>561</v>
      </c>
      <c r="H36" s="150">
        <v>11.7</v>
      </c>
      <c r="I36" s="150">
        <v>0</v>
      </c>
      <c r="J36" s="151" t="s">
        <v>1038</v>
      </c>
      <c r="K36" s="358">
        <v>0</v>
      </c>
      <c r="L36" s="358">
        <v>0</v>
      </c>
      <c r="M36" s="151" t="s">
        <v>258</v>
      </c>
    </row>
    <row r="37" spans="3:14" x14ac:dyDescent="0.25">
      <c r="C37" s="151" t="s">
        <v>348</v>
      </c>
      <c r="D37" s="151" t="s">
        <v>549</v>
      </c>
      <c r="E37" s="153" t="s">
        <v>929</v>
      </c>
      <c r="F37" s="153" t="s">
        <v>569</v>
      </c>
      <c r="G37" s="151" t="s">
        <v>561</v>
      </c>
      <c r="H37" s="150">
        <v>11</v>
      </c>
      <c r="I37" s="150">
        <v>0</v>
      </c>
      <c r="J37" s="151" t="s">
        <v>1038</v>
      </c>
      <c r="K37" s="358">
        <v>0</v>
      </c>
      <c r="L37" s="358">
        <v>0</v>
      </c>
      <c r="M37" s="151" t="s">
        <v>258</v>
      </c>
    </row>
    <row r="38" spans="3:14" s="151" customFormat="1" x14ac:dyDescent="0.25">
      <c r="C38" s="151" t="s">
        <v>348</v>
      </c>
      <c r="D38" s="151" t="s">
        <v>549</v>
      </c>
      <c r="E38" s="153" t="s">
        <v>348</v>
      </c>
      <c r="F38" s="153" t="s">
        <v>569</v>
      </c>
      <c r="G38" s="151" t="s">
        <v>561</v>
      </c>
      <c r="H38" s="358">
        <v>0</v>
      </c>
      <c r="I38" s="358">
        <v>0</v>
      </c>
      <c r="J38" s="356" t="s">
        <v>258</v>
      </c>
      <c r="K38" s="358">
        <v>0</v>
      </c>
      <c r="L38" s="358">
        <v>0</v>
      </c>
      <c r="M38" s="151" t="s">
        <v>258</v>
      </c>
      <c r="N38" s="145" t="s">
        <v>1053</v>
      </c>
    </row>
    <row r="39" spans="3:14" s="151" customFormat="1" x14ac:dyDescent="0.25">
      <c r="C39" s="371" t="s">
        <v>1037</v>
      </c>
      <c r="D39" s="151" t="s">
        <v>549</v>
      </c>
      <c r="E39" s="153" t="s">
        <v>348</v>
      </c>
      <c r="F39" s="153" t="s">
        <v>569</v>
      </c>
      <c r="G39" s="151" t="s">
        <v>553</v>
      </c>
      <c r="H39" s="150">
        <v>11.2</v>
      </c>
      <c r="I39" s="150">
        <v>14.8</v>
      </c>
      <c r="J39" s="151" t="s">
        <v>563</v>
      </c>
      <c r="K39" s="358">
        <v>0</v>
      </c>
      <c r="L39" s="358">
        <v>0</v>
      </c>
      <c r="M39" s="151" t="s">
        <v>258</v>
      </c>
      <c r="N39" s="145"/>
    </row>
    <row r="40" spans="3:14" s="151" customFormat="1" x14ac:dyDescent="0.25">
      <c r="C40" s="354" t="s">
        <v>1006</v>
      </c>
      <c r="D40" s="151" t="s">
        <v>549</v>
      </c>
      <c r="E40" s="153" t="s">
        <v>348</v>
      </c>
      <c r="F40" s="153" t="s">
        <v>569</v>
      </c>
      <c r="G40" s="151" t="s">
        <v>553</v>
      </c>
      <c r="H40" s="150">
        <v>11.2</v>
      </c>
      <c r="I40" s="150">
        <v>12.9</v>
      </c>
      <c r="J40" s="151" t="s">
        <v>563</v>
      </c>
      <c r="K40" s="358">
        <v>0</v>
      </c>
      <c r="L40" s="358">
        <v>0</v>
      </c>
      <c r="M40" s="151" t="s">
        <v>258</v>
      </c>
      <c r="N40" s="145"/>
    </row>
    <row r="41" spans="3:14" s="151" customFormat="1" x14ac:dyDescent="0.25">
      <c r="C41" s="371" t="s">
        <v>1037</v>
      </c>
      <c r="D41" s="151" t="s">
        <v>549</v>
      </c>
      <c r="E41" s="153" t="s">
        <v>348</v>
      </c>
      <c r="F41" s="153" t="s">
        <v>569</v>
      </c>
      <c r="G41" s="151" t="s">
        <v>552</v>
      </c>
      <c r="H41" s="150">
        <v>11</v>
      </c>
      <c r="I41" s="150">
        <v>14.2</v>
      </c>
      <c r="J41" s="151" t="s">
        <v>563</v>
      </c>
      <c r="K41" s="358">
        <v>0</v>
      </c>
      <c r="L41" s="358">
        <v>0</v>
      </c>
      <c r="M41" s="151" t="s">
        <v>258</v>
      </c>
      <c r="N41" s="145"/>
    </row>
    <row r="42" spans="3:14" s="151" customFormat="1" x14ac:dyDescent="0.25">
      <c r="C42" s="354" t="s">
        <v>1006</v>
      </c>
      <c r="D42" s="151" t="s">
        <v>549</v>
      </c>
      <c r="E42" s="153" t="s">
        <v>348</v>
      </c>
      <c r="F42" s="153" t="s">
        <v>569</v>
      </c>
      <c r="G42" s="151" t="s">
        <v>552</v>
      </c>
      <c r="H42" s="150">
        <v>11</v>
      </c>
      <c r="I42" s="150">
        <v>12.4</v>
      </c>
      <c r="J42" s="151" t="s">
        <v>563</v>
      </c>
      <c r="K42" s="358">
        <v>0</v>
      </c>
      <c r="L42" s="358">
        <v>0</v>
      </c>
      <c r="M42" s="151" t="s">
        <v>258</v>
      </c>
      <c r="N42" s="145"/>
    </row>
    <row r="43" spans="3:14" s="151" customFormat="1" x14ac:dyDescent="0.25">
      <c r="C43" s="371" t="s">
        <v>1037</v>
      </c>
      <c r="D43" s="151" t="s">
        <v>549</v>
      </c>
      <c r="E43" s="153" t="s">
        <v>348</v>
      </c>
      <c r="F43" s="153" t="s">
        <v>569</v>
      </c>
      <c r="G43" s="151" t="s">
        <v>555</v>
      </c>
      <c r="H43" s="150">
        <v>10</v>
      </c>
      <c r="I43" s="150">
        <v>13.2</v>
      </c>
      <c r="J43" s="151" t="s">
        <v>563</v>
      </c>
      <c r="K43" s="358">
        <v>0</v>
      </c>
      <c r="L43" s="358">
        <v>0</v>
      </c>
      <c r="M43" s="151" t="s">
        <v>258</v>
      </c>
      <c r="N43" s="145"/>
    </row>
    <row r="44" spans="3:14" s="151" customFormat="1" x14ac:dyDescent="0.25">
      <c r="C44" s="354" t="s">
        <v>1006</v>
      </c>
      <c r="D44" s="151" t="s">
        <v>549</v>
      </c>
      <c r="E44" s="153" t="s">
        <v>348</v>
      </c>
      <c r="F44" s="153" t="s">
        <v>569</v>
      </c>
      <c r="G44" s="151" t="s">
        <v>555</v>
      </c>
      <c r="H44" s="150">
        <v>10</v>
      </c>
      <c r="I44" s="150">
        <v>11.6</v>
      </c>
      <c r="J44" s="151" t="s">
        <v>563</v>
      </c>
      <c r="K44" s="358">
        <v>0</v>
      </c>
      <c r="L44" s="358">
        <v>0</v>
      </c>
      <c r="M44" s="151" t="s">
        <v>258</v>
      </c>
      <c r="N44" s="145"/>
    </row>
    <row r="45" spans="3:14" s="151" customFormat="1" x14ac:dyDescent="0.25">
      <c r="C45" s="371" t="s">
        <v>1037</v>
      </c>
      <c r="D45" s="151" t="s">
        <v>549</v>
      </c>
      <c r="E45" s="153" t="s">
        <v>348</v>
      </c>
      <c r="F45" s="153" t="s">
        <v>569</v>
      </c>
      <c r="G45" s="151" t="s">
        <v>554</v>
      </c>
      <c r="H45" s="150">
        <v>9.6999999999999993</v>
      </c>
      <c r="I45" s="150">
        <v>12.5</v>
      </c>
      <c r="J45" s="151" t="s">
        <v>563</v>
      </c>
      <c r="K45" s="358">
        <v>0</v>
      </c>
      <c r="L45" s="358">
        <v>0</v>
      </c>
      <c r="M45" s="151" t="s">
        <v>258</v>
      </c>
      <c r="N45" s="145"/>
    </row>
    <row r="46" spans="3:14" s="151" customFormat="1" x14ac:dyDescent="0.25">
      <c r="C46" s="354" t="s">
        <v>1006</v>
      </c>
      <c r="D46" s="151" t="s">
        <v>549</v>
      </c>
      <c r="E46" s="153" t="s">
        <v>348</v>
      </c>
      <c r="F46" s="153" t="s">
        <v>569</v>
      </c>
      <c r="G46" s="151" t="s">
        <v>554</v>
      </c>
      <c r="H46" s="150">
        <v>9.6999999999999993</v>
      </c>
      <c r="I46" s="150">
        <v>11.2</v>
      </c>
      <c r="J46" s="151" t="s">
        <v>563</v>
      </c>
      <c r="K46" s="358">
        <v>0</v>
      </c>
      <c r="L46" s="358">
        <v>0</v>
      </c>
      <c r="M46" s="151" t="s">
        <v>258</v>
      </c>
      <c r="N46" s="145"/>
    </row>
    <row r="47" spans="3:14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546</v>
      </c>
      <c r="G47" s="151" t="s">
        <v>564</v>
      </c>
      <c r="H47" s="155">
        <v>12.1</v>
      </c>
      <c r="I47" s="155">
        <v>0</v>
      </c>
      <c r="J47" s="151" t="s">
        <v>565</v>
      </c>
      <c r="K47" s="358">
        <v>0</v>
      </c>
      <c r="L47" s="358">
        <v>0</v>
      </c>
      <c r="M47" s="151" t="s">
        <v>258</v>
      </c>
      <c r="N47" s="145"/>
    </row>
    <row r="48" spans="3:14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546</v>
      </c>
      <c r="G48" s="151" t="s">
        <v>561</v>
      </c>
      <c r="H48" s="155">
        <v>12.1</v>
      </c>
      <c r="I48" s="155">
        <v>0</v>
      </c>
      <c r="J48" s="151" t="s">
        <v>565</v>
      </c>
      <c r="K48" s="358">
        <v>0</v>
      </c>
      <c r="L48" s="358">
        <v>0</v>
      </c>
      <c r="M48" s="151" t="s">
        <v>258</v>
      </c>
      <c r="N48" s="145"/>
    </row>
    <row r="49" spans="3:15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546</v>
      </c>
      <c r="G49" s="151" t="s">
        <v>553</v>
      </c>
      <c r="H49" s="150">
        <v>12.1</v>
      </c>
      <c r="I49" s="150">
        <v>13.9</v>
      </c>
      <c r="J49" s="151" t="s">
        <v>563</v>
      </c>
      <c r="K49" s="358">
        <v>0</v>
      </c>
      <c r="L49" s="358">
        <v>0</v>
      </c>
      <c r="M49" s="151" t="s">
        <v>258</v>
      </c>
      <c r="N49" s="145"/>
    </row>
    <row r="50" spans="3:15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546</v>
      </c>
      <c r="G50" s="151" t="s">
        <v>552</v>
      </c>
      <c r="H50" s="150">
        <v>12.5</v>
      </c>
      <c r="I50" s="150">
        <v>13.9</v>
      </c>
      <c r="J50" s="151" t="s">
        <v>563</v>
      </c>
      <c r="K50" s="358">
        <v>0</v>
      </c>
      <c r="L50" s="358">
        <v>0</v>
      </c>
      <c r="M50" s="151" t="s">
        <v>258</v>
      </c>
      <c r="N50" s="145"/>
    </row>
    <row r="51" spans="3:15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546</v>
      </c>
      <c r="G51" s="151" t="s">
        <v>555</v>
      </c>
      <c r="H51" s="150">
        <v>12.4</v>
      </c>
      <c r="I51" s="150">
        <v>13.6</v>
      </c>
      <c r="J51" s="151" t="s">
        <v>563</v>
      </c>
      <c r="K51" s="358">
        <v>0</v>
      </c>
      <c r="L51" s="358">
        <v>0</v>
      </c>
      <c r="M51" s="151" t="s">
        <v>258</v>
      </c>
      <c r="N51" s="145"/>
    </row>
    <row r="52" spans="3:15" s="151" customFormat="1" x14ac:dyDescent="0.25">
      <c r="C52" s="151" t="s">
        <v>348</v>
      </c>
      <c r="D52" s="151" t="s">
        <v>549</v>
      </c>
      <c r="E52" s="151" t="s">
        <v>348</v>
      </c>
      <c r="F52" s="153" t="s">
        <v>546</v>
      </c>
      <c r="G52" s="151" t="s">
        <v>554</v>
      </c>
      <c r="H52" s="150">
        <v>12.2</v>
      </c>
      <c r="I52" s="150">
        <v>13.5</v>
      </c>
      <c r="J52" s="151" t="s">
        <v>563</v>
      </c>
      <c r="K52" s="358">
        <v>0</v>
      </c>
      <c r="L52" s="358">
        <v>0</v>
      </c>
      <c r="M52" s="151" t="s">
        <v>258</v>
      </c>
      <c r="N52" s="145"/>
    </row>
    <row r="53" spans="3:15" s="151" customFormat="1" x14ac:dyDescent="0.25">
      <c r="C53" s="151" t="s">
        <v>348</v>
      </c>
      <c r="D53" s="151" t="s">
        <v>549</v>
      </c>
      <c r="E53" s="151" t="s">
        <v>348</v>
      </c>
      <c r="F53" s="153" t="s">
        <v>548</v>
      </c>
      <c r="G53" s="151" t="s">
        <v>561</v>
      </c>
      <c r="H53" s="150">
        <v>12.1</v>
      </c>
      <c r="I53" s="150">
        <v>0</v>
      </c>
      <c r="J53" s="151" t="s">
        <v>562</v>
      </c>
      <c r="K53" s="358">
        <v>0</v>
      </c>
      <c r="L53" s="358">
        <v>0</v>
      </c>
      <c r="M53" s="151" t="s">
        <v>258</v>
      </c>
      <c r="N53" s="145"/>
    </row>
    <row r="54" spans="3:15" s="151" customFormat="1" x14ac:dyDescent="0.25">
      <c r="C54" s="151" t="s">
        <v>348</v>
      </c>
      <c r="D54" s="151" t="s">
        <v>549</v>
      </c>
      <c r="E54" s="151" t="s">
        <v>348</v>
      </c>
      <c r="F54" s="153" t="s">
        <v>548</v>
      </c>
      <c r="G54" s="151" t="s">
        <v>553</v>
      </c>
      <c r="H54" s="150">
        <v>12.1</v>
      </c>
      <c r="I54" s="150">
        <v>12.3</v>
      </c>
      <c r="J54" s="151" t="s">
        <v>563</v>
      </c>
      <c r="K54" s="358">
        <v>0</v>
      </c>
      <c r="L54" s="358">
        <v>0</v>
      </c>
      <c r="M54" s="151" t="s">
        <v>258</v>
      </c>
      <c r="N54" s="145"/>
    </row>
    <row r="55" spans="3:15" s="151" customFormat="1" x14ac:dyDescent="0.25">
      <c r="C55" s="151" t="s">
        <v>348</v>
      </c>
      <c r="D55" s="151" t="s">
        <v>549</v>
      </c>
      <c r="E55" s="151" t="s">
        <v>348</v>
      </c>
      <c r="F55" s="153" t="s">
        <v>548</v>
      </c>
      <c r="G55" s="151" t="s">
        <v>552</v>
      </c>
      <c r="H55" s="150">
        <v>12</v>
      </c>
      <c r="I55" s="150">
        <v>12.2</v>
      </c>
      <c r="J55" s="151" t="s">
        <v>563</v>
      </c>
      <c r="K55" s="358">
        <v>0</v>
      </c>
      <c r="L55" s="358">
        <v>0</v>
      </c>
      <c r="M55" s="151" t="s">
        <v>258</v>
      </c>
      <c r="N55" s="145"/>
    </row>
    <row r="56" spans="3:15" s="151" customFormat="1" x14ac:dyDescent="0.25">
      <c r="C56" s="151" t="s">
        <v>348</v>
      </c>
      <c r="D56" s="151" t="s">
        <v>549</v>
      </c>
      <c r="E56" s="151" t="s">
        <v>348</v>
      </c>
      <c r="F56" s="153" t="s">
        <v>548</v>
      </c>
      <c r="G56" s="151" t="s">
        <v>555</v>
      </c>
      <c r="H56" s="150">
        <v>11.9</v>
      </c>
      <c r="I56" s="150">
        <v>12.1</v>
      </c>
      <c r="J56" s="151" t="s">
        <v>563</v>
      </c>
      <c r="K56" s="358">
        <v>0</v>
      </c>
      <c r="L56" s="358">
        <v>0</v>
      </c>
      <c r="M56" s="151" t="s">
        <v>258</v>
      </c>
      <c r="N56" s="145"/>
    </row>
    <row r="57" spans="3:15" s="151" customFormat="1" x14ac:dyDescent="0.25">
      <c r="C57" s="151" t="s">
        <v>348</v>
      </c>
      <c r="D57" s="151" t="s">
        <v>549</v>
      </c>
      <c r="E57" s="151" t="s">
        <v>348</v>
      </c>
      <c r="F57" s="153" t="s">
        <v>548</v>
      </c>
      <c r="G57" s="151" t="s">
        <v>554</v>
      </c>
      <c r="H57" s="150">
        <v>11.7</v>
      </c>
      <c r="I57" s="150">
        <v>11.9</v>
      </c>
      <c r="J57" s="151" t="s">
        <v>563</v>
      </c>
      <c r="K57" s="358">
        <v>0</v>
      </c>
      <c r="L57" s="358">
        <v>0</v>
      </c>
      <c r="M57" s="151" t="s">
        <v>258</v>
      </c>
      <c r="N57" s="145"/>
    </row>
    <row r="58" spans="3:15" x14ac:dyDescent="0.25">
      <c r="C58" s="371" t="s">
        <v>1037</v>
      </c>
      <c r="D58" s="151" t="s">
        <v>1009</v>
      </c>
      <c r="E58" s="151" t="s">
        <v>348</v>
      </c>
      <c r="F58" s="153" t="s">
        <v>569</v>
      </c>
      <c r="G58" s="153" t="s">
        <v>561</v>
      </c>
      <c r="H58" s="370">
        <v>11</v>
      </c>
      <c r="I58" s="370">
        <v>0</v>
      </c>
      <c r="J58" s="151" t="s">
        <v>1008</v>
      </c>
      <c r="K58" s="370">
        <v>3.3</v>
      </c>
      <c r="L58" s="370">
        <v>0</v>
      </c>
      <c r="M58" s="151" t="s">
        <v>1008</v>
      </c>
      <c r="N58" s="145" t="s">
        <v>1055</v>
      </c>
    </row>
    <row r="59" spans="3:15" x14ac:dyDescent="0.25">
      <c r="C59" s="354" t="s">
        <v>1006</v>
      </c>
      <c r="D59" s="151" t="s">
        <v>1009</v>
      </c>
      <c r="E59" s="151" t="s">
        <v>348</v>
      </c>
      <c r="F59" s="153" t="s">
        <v>569</v>
      </c>
      <c r="G59" s="153" t="s">
        <v>561</v>
      </c>
      <c r="H59" s="355">
        <v>11</v>
      </c>
      <c r="I59" s="355">
        <v>0</v>
      </c>
      <c r="J59" s="151" t="s">
        <v>1008</v>
      </c>
      <c r="K59" s="355">
        <v>3.3</v>
      </c>
      <c r="L59" s="355">
        <v>0</v>
      </c>
      <c r="M59" s="151" t="s">
        <v>1008</v>
      </c>
      <c r="N59" s="145" t="s">
        <v>1055</v>
      </c>
    </row>
    <row r="60" spans="3:15" x14ac:dyDescent="0.25">
      <c r="C60" s="151" t="s">
        <v>348</v>
      </c>
      <c r="D60" s="151" t="s">
        <v>1009</v>
      </c>
      <c r="E60" s="151" t="s">
        <v>348</v>
      </c>
      <c r="F60" s="153" t="s">
        <v>569</v>
      </c>
      <c r="G60" s="153" t="s">
        <v>561</v>
      </c>
      <c r="H60" s="150">
        <v>10</v>
      </c>
      <c r="I60" s="150">
        <v>0</v>
      </c>
      <c r="J60" s="151" t="s">
        <v>1008</v>
      </c>
      <c r="K60" s="150">
        <v>3</v>
      </c>
      <c r="L60" s="150">
        <v>0</v>
      </c>
      <c r="M60" s="151" t="s">
        <v>1008</v>
      </c>
      <c r="N60" s="145" t="s">
        <v>1055</v>
      </c>
    </row>
    <row r="61" spans="3:15" x14ac:dyDescent="0.25">
      <c r="C61" s="151" t="s">
        <v>348</v>
      </c>
      <c r="D61" s="151" t="s">
        <v>1009</v>
      </c>
      <c r="E61" s="151" t="s">
        <v>348</v>
      </c>
      <c r="F61" s="153" t="s">
        <v>569</v>
      </c>
      <c r="G61" s="153" t="s">
        <v>348</v>
      </c>
      <c r="H61" s="150">
        <v>10</v>
      </c>
      <c r="I61" s="150">
        <v>0</v>
      </c>
      <c r="J61" s="151" t="s">
        <v>1008</v>
      </c>
      <c r="K61" s="150">
        <v>3</v>
      </c>
      <c r="L61" s="150">
        <v>0</v>
      </c>
      <c r="M61" s="151" t="s">
        <v>1008</v>
      </c>
      <c r="N61" s="145" t="s">
        <v>1055</v>
      </c>
    </row>
    <row r="62" spans="3:15" x14ac:dyDescent="0.25">
      <c r="C62" s="151" t="s">
        <v>348</v>
      </c>
      <c r="D62" s="151" t="s">
        <v>550</v>
      </c>
      <c r="E62" s="153" t="s">
        <v>928</v>
      </c>
      <c r="F62" s="153" t="s">
        <v>569</v>
      </c>
      <c r="G62" s="151" t="s">
        <v>927</v>
      </c>
      <c r="H62" s="358">
        <v>0</v>
      </c>
      <c r="I62" s="150">
        <v>0</v>
      </c>
      <c r="J62" s="151" t="s">
        <v>1064</v>
      </c>
      <c r="K62" s="150">
        <v>0</v>
      </c>
      <c r="L62" s="150">
        <v>0</v>
      </c>
      <c r="M62" s="151" t="s">
        <v>258</v>
      </c>
      <c r="N62" s="145" t="s">
        <v>1054</v>
      </c>
      <c r="O62" s="145" t="s">
        <v>1063</v>
      </c>
    </row>
    <row r="63" spans="3:15" x14ac:dyDescent="0.25">
      <c r="C63" s="151" t="s">
        <v>348</v>
      </c>
      <c r="D63" s="151" t="s">
        <v>550</v>
      </c>
      <c r="E63" s="153" t="s">
        <v>928</v>
      </c>
      <c r="F63" s="153" t="s">
        <v>569</v>
      </c>
      <c r="G63" s="151" t="s">
        <v>561</v>
      </c>
      <c r="H63" s="358">
        <v>0</v>
      </c>
      <c r="I63" s="150">
        <v>0</v>
      </c>
      <c r="J63" s="151" t="s">
        <v>1064</v>
      </c>
      <c r="K63" s="150">
        <v>0</v>
      </c>
      <c r="L63" s="150">
        <v>0</v>
      </c>
      <c r="M63" s="151" t="s">
        <v>258</v>
      </c>
      <c r="N63" s="145" t="s">
        <v>1054</v>
      </c>
      <c r="O63" s="145" t="s">
        <v>1063</v>
      </c>
    </row>
    <row r="64" spans="3:15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569</v>
      </c>
      <c r="G64" s="151" t="s">
        <v>561</v>
      </c>
      <c r="H64" s="358">
        <v>0</v>
      </c>
      <c r="I64" s="358">
        <v>0</v>
      </c>
      <c r="J64" s="356" t="s">
        <v>258</v>
      </c>
      <c r="K64" s="358">
        <v>0</v>
      </c>
      <c r="L64" s="358">
        <v>0</v>
      </c>
      <c r="M64" s="151" t="s">
        <v>258</v>
      </c>
      <c r="N64" s="145" t="s">
        <v>1054</v>
      </c>
    </row>
    <row r="65" spans="3:14" s="151" customFormat="1" x14ac:dyDescent="0.25">
      <c r="C65" s="371" t="s">
        <v>1037</v>
      </c>
      <c r="D65" s="151" t="s">
        <v>550</v>
      </c>
      <c r="E65" s="151" t="s">
        <v>348</v>
      </c>
      <c r="F65" s="153" t="s">
        <v>569</v>
      </c>
      <c r="G65" s="151" t="s">
        <v>553</v>
      </c>
      <c r="H65" s="150">
        <v>11</v>
      </c>
      <c r="I65" s="150">
        <v>14.1</v>
      </c>
      <c r="J65" s="151" t="s">
        <v>566</v>
      </c>
      <c r="K65" s="152">
        <v>3.4</v>
      </c>
      <c r="L65" s="152">
        <v>2.25</v>
      </c>
      <c r="M65" s="151" t="s">
        <v>566</v>
      </c>
      <c r="N65" s="141"/>
    </row>
    <row r="66" spans="3:14" s="151" customFormat="1" x14ac:dyDescent="0.25">
      <c r="C66" s="354" t="s">
        <v>1006</v>
      </c>
      <c r="D66" s="151" t="s">
        <v>550</v>
      </c>
      <c r="E66" s="151" t="s">
        <v>348</v>
      </c>
      <c r="F66" s="153" t="s">
        <v>569</v>
      </c>
      <c r="G66" s="151" t="s">
        <v>553</v>
      </c>
      <c r="H66" s="150">
        <v>11</v>
      </c>
      <c r="I66" s="150">
        <v>12.2</v>
      </c>
      <c r="J66" s="151" t="s">
        <v>566</v>
      </c>
      <c r="K66" s="152">
        <v>3.3</v>
      </c>
      <c r="L66" s="152">
        <v>2.25</v>
      </c>
      <c r="M66" s="151" t="s">
        <v>566</v>
      </c>
      <c r="N66" s="141"/>
    </row>
    <row r="67" spans="3:14" s="151" customFormat="1" x14ac:dyDescent="0.25">
      <c r="C67" s="371" t="s">
        <v>1037</v>
      </c>
      <c r="D67" s="151" t="s">
        <v>550</v>
      </c>
      <c r="E67" s="151" t="s">
        <v>348</v>
      </c>
      <c r="F67" s="153" t="s">
        <v>569</v>
      </c>
      <c r="G67" s="151" t="s">
        <v>552</v>
      </c>
      <c r="H67" s="150">
        <v>10.6</v>
      </c>
      <c r="I67" s="150">
        <v>13.5</v>
      </c>
      <c r="J67" s="151" t="s">
        <v>566</v>
      </c>
      <c r="K67" s="152">
        <v>3.3</v>
      </c>
      <c r="L67" s="152">
        <v>2.0499999999999998</v>
      </c>
      <c r="M67" s="151" t="s">
        <v>566</v>
      </c>
      <c r="N67" s="141"/>
    </row>
    <row r="68" spans="3:14" s="151" customFormat="1" x14ac:dyDescent="0.25">
      <c r="C68" s="354" t="s">
        <v>1006</v>
      </c>
      <c r="D68" s="151" t="s">
        <v>550</v>
      </c>
      <c r="E68" s="151" t="s">
        <v>348</v>
      </c>
      <c r="F68" s="153" t="s">
        <v>569</v>
      </c>
      <c r="G68" s="151" t="s">
        <v>552</v>
      </c>
      <c r="H68" s="150">
        <v>10.6</v>
      </c>
      <c r="I68" s="150">
        <v>11.6</v>
      </c>
      <c r="J68" s="151" t="s">
        <v>566</v>
      </c>
      <c r="K68" s="152">
        <v>3.2</v>
      </c>
      <c r="L68" s="152">
        <v>2.0499999999999998</v>
      </c>
      <c r="M68" s="151" t="s">
        <v>566</v>
      </c>
      <c r="N68" s="141"/>
    </row>
    <row r="69" spans="3:14" s="151" customFormat="1" x14ac:dyDescent="0.25">
      <c r="C69" s="371" t="s">
        <v>1037</v>
      </c>
      <c r="D69" s="356" t="s">
        <v>550</v>
      </c>
      <c r="E69" s="356" t="s">
        <v>348</v>
      </c>
      <c r="F69" s="357" t="s">
        <v>569</v>
      </c>
      <c r="G69" s="356" t="s">
        <v>551</v>
      </c>
      <c r="H69" s="358">
        <v>9.5</v>
      </c>
      <c r="I69" s="358">
        <v>12.5</v>
      </c>
      <c r="J69" s="356" t="s">
        <v>566</v>
      </c>
      <c r="K69" s="359">
        <v>3.3</v>
      </c>
      <c r="L69" s="359">
        <v>2.0499999999999998</v>
      </c>
      <c r="M69" s="151" t="s">
        <v>566</v>
      </c>
      <c r="N69" s="141"/>
    </row>
    <row r="70" spans="3:14" s="151" customFormat="1" x14ac:dyDescent="0.25">
      <c r="C70" s="354" t="s">
        <v>1006</v>
      </c>
      <c r="D70" s="356" t="s">
        <v>550</v>
      </c>
      <c r="E70" s="356" t="s">
        <v>348</v>
      </c>
      <c r="F70" s="357" t="s">
        <v>569</v>
      </c>
      <c r="G70" s="356" t="s">
        <v>551</v>
      </c>
      <c r="H70" s="358">
        <v>9.5</v>
      </c>
      <c r="I70" s="358">
        <v>10.6</v>
      </c>
      <c r="J70" s="356" t="s">
        <v>566</v>
      </c>
      <c r="K70" s="359">
        <v>3.2</v>
      </c>
      <c r="L70" s="359">
        <v>2.0499999999999998</v>
      </c>
      <c r="M70" s="151" t="s">
        <v>566</v>
      </c>
      <c r="N70" s="141"/>
    </row>
    <row r="71" spans="3:14" s="151" customFormat="1" x14ac:dyDescent="0.25">
      <c r="C71" s="151" t="s">
        <v>348</v>
      </c>
      <c r="D71" s="356" t="s">
        <v>550</v>
      </c>
      <c r="E71" s="356" t="s">
        <v>348</v>
      </c>
      <c r="F71" s="357" t="s">
        <v>546</v>
      </c>
      <c r="G71" s="356" t="s">
        <v>564</v>
      </c>
      <c r="H71" s="358">
        <v>11.2</v>
      </c>
      <c r="I71" s="358">
        <v>0</v>
      </c>
      <c r="J71" s="356" t="s">
        <v>562</v>
      </c>
      <c r="K71" s="359">
        <v>4.2</v>
      </c>
      <c r="L71" s="359">
        <v>0</v>
      </c>
      <c r="M71" s="151" t="s">
        <v>562</v>
      </c>
      <c r="N71" s="145"/>
    </row>
    <row r="72" spans="3:14" s="151" customFormat="1" x14ac:dyDescent="0.25">
      <c r="C72" s="151" t="s">
        <v>348</v>
      </c>
      <c r="D72" s="356" t="s">
        <v>550</v>
      </c>
      <c r="E72" s="356" t="s">
        <v>348</v>
      </c>
      <c r="F72" s="357" t="s">
        <v>546</v>
      </c>
      <c r="G72" s="356" t="s">
        <v>561</v>
      </c>
      <c r="H72" s="358">
        <v>12</v>
      </c>
      <c r="I72" s="358">
        <v>0</v>
      </c>
      <c r="J72" s="356" t="s">
        <v>562</v>
      </c>
      <c r="K72" s="359">
        <v>4.2</v>
      </c>
      <c r="L72" s="359">
        <v>0</v>
      </c>
      <c r="M72" s="151" t="s">
        <v>562</v>
      </c>
      <c r="N72" s="145"/>
    </row>
    <row r="73" spans="3:14" s="151" customFormat="1" x14ac:dyDescent="0.25">
      <c r="C73" s="151" t="s">
        <v>348</v>
      </c>
      <c r="D73" s="356" t="s">
        <v>550</v>
      </c>
      <c r="E73" s="356" t="s">
        <v>348</v>
      </c>
      <c r="F73" s="357" t="s">
        <v>546</v>
      </c>
      <c r="G73" s="356" t="s">
        <v>553</v>
      </c>
      <c r="H73" s="360">
        <v>13</v>
      </c>
      <c r="I73" s="360">
        <v>0</v>
      </c>
      <c r="J73" s="356" t="s">
        <v>566</v>
      </c>
      <c r="K73" s="360">
        <v>4.3</v>
      </c>
      <c r="L73" s="360">
        <v>0</v>
      </c>
      <c r="M73" s="151" t="s">
        <v>566</v>
      </c>
      <c r="N73" s="145"/>
    </row>
    <row r="74" spans="3:14" s="151" customFormat="1" x14ac:dyDescent="0.25">
      <c r="C74" s="151" t="s">
        <v>348</v>
      </c>
      <c r="D74" s="348" t="s">
        <v>550</v>
      </c>
      <c r="E74" s="348" t="s">
        <v>348</v>
      </c>
      <c r="F74" s="349" t="s">
        <v>546</v>
      </c>
      <c r="G74" s="348" t="s">
        <v>552</v>
      </c>
      <c r="H74" s="360">
        <v>12.3</v>
      </c>
      <c r="I74" s="360">
        <v>0</v>
      </c>
      <c r="J74" s="356" t="s">
        <v>562</v>
      </c>
      <c r="K74" s="360">
        <v>2.9</v>
      </c>
      <c r="L74" s="360">
        <v>0</v>
      </c>
      <c r="M74" s="151" t="s">
        <v>562</v>
      </c>
      <c r="N74" s="145"/>
    </row>
    <row r="75" spans="3:14" s="151" customFormat="1" x14ac:dyDescent="0.25">
      <c r="C75" s="151" t="s">
        <v>348</v>
      </c>
      <c r="D75" s="356" t="s">
        <v>550</v>
      </c>
      <c r="E75" s="356" t="s">
        <v>348</v>
      </c>
      <c r="F75" s="357" t="s">
        <v>546</v>
      </c>
      <c r="G75" s="356" t="s">
        <v>555</v>
      </c>
      <c r="H75" s="358">
        <v>12.2</v>
      </c>
      <c r="I75" s="358">
        <v>0</v>
      </c>
      <c r="J75" s="356" t="s">
        <v>562</v>
      </c>
      <c r="K75" s="358">
        <v>0</v>
      </c>
      <c r="L75" s="358">
        <v>0</v>
      </c>
      <c r="M75" s="151" t="s">
        <v>562</v>
      </c>
      <c r="N75" s="145"/>
    </row>
    <row r="76" spans="3:14" s="151" customFormat="1" x14ac:dyDescent="0.25">
      <c r="C76" s="151" t="s">
        <v>348</v>
      </c>
      <c r="D76" s="356" t="s">
        <v>550</v>
      </c>
      <c r="E76" s="356" t="s">
        <v>348</v>
      </c>
      <c r="F76" s="357" t="s">
        <v>546</v>
      </c>
      <c r="G76" s="151" t="s">
        <v>554</v>
      </c>
      <c r="H76" s="358">
        <v>0</v>
      </c>
      <c r="I76" s="358">
        <v>0</v>
      </c>
      <c r="J76" s="356" t="s">
        <v>258</v>
      </c>
      <c r="K76" s="358">
        <v>0</v>
      </c>
      <c r="L76" s="358">
        <v>0</v>
      </c>
      <c r="M76" s="151" t="s">
        <v>258</v>
      </c>
      <c r="N76" s="145" t="s">
        <v>1056</v>
      </c>
    </row>
    <row r="77" spans="3:14" s="151" customFormat="1" x14ac:dyDescent="0.25">
      <c r="C77" s="151" t="s">
        <v>348</v>
      </c>
      <c r="D77" s="356" t="s">
        <v>550</v>
      </c>
      <c r="E77" s="356" t="s">
        <v>348</v>
      </c>
      <c r="F77" s="357" t="s">
        <v>547</v>
      </c>
      <c r="G77" s="356" t="s">
        <v>553</v>
      </c>
      <c r="H77" s="360">
        <v>18</v>
      </c>
      <c r="I77" s="360">
        <v>0</v>
      </c>
      <c r="J77" s="356" t="s">
        <v>566</v>
      </c>
      <c r="K77" s="360">
        <v>3.7</v>
      </c>
      <c r="L77" s="360">
        <v>0</v>
      </c>
      <c r="M77" s="151" t="s">
        <v>566</v>
      </c>
      <c r="N77" s="145"/>
    </row>
    <row r="78" spans="3:14" s="151" customFormat="1" x14ac:dyDescent="0.25">
      <c r="C78" s="151" t="s">
        <v>348</v>
      </c>
      <c r="D78" s="356" t="s">
        <v>550</v>
      </c>
      <c r="E78" s="356" t="s">
        <v>348</v>
      </c>
      <c r="F78" s="357" t="s">
        <v>547</v>
      </c>
      <c r="G78" s="356" t="s">
        <v>557</v>
      </c>
      <c r="H78" s="358">
        <v>0</v>
      </c>
      <c r="I78" s="358">
        <v>0</v>
      </c>
      <c r="J78" s="356" t="s">
        <v>258</v>
      </c>
      <c r="K78" s="358">
        <v>0</v>
      </c>
      <c r="L78" s="358">
        <v>0</v>
      </c>
      <c r="M78" s="151" t="s">
        <v>258</v>
      </c>
      <c r="N78" s="145"/>
    </row>
    <row r="79" spans="3:14" s="151" customFormat="1" x14ac:dyDescent="0.25">
      <c r="C79" s="151" t="s">
        <v>348</v>
      </c>
      <c r="D79" s="356" t="s">
        <v>550</v>
      </c>
      <c r="E79" s="356" t="s">
        <v>348</v>
      </c>
      <c r="F79" s="357" t="s">
        <v>556</v>
      </c>
      <c r="G79" s="356" t="s">
        <v>553</v>
      </c>
      <c r="H79" s="360">
        <v>14.1</v>
      </c>
      <c r="I79" s="360">
        <v>0</v>
      </c>
      <c r="J79" s="356" t="s">
        <v>566</v>
      </c>
      <c r="K79" s="360">
        <v>3.2</v>
      </c>
      <c r="L79" s="360">
        <v>0</v>
      </c>
      <c r="M79" s="151" t="s">
        <v>566</v>
      </c>
      <c r="N79" s="145"/>
    </row>
    <row r="80" spans="3:14" s="151" customFormat="1" x14ac:dyDescent="0.25">
      <c r="C80" s="151" t="s">
        <v>348</v>
      </c>
      <c r="D80" s="356" t="s">
        <v>550</v>
      </c>
      <c r="E80" s="356" t="s">
        <v>348</v>
      </c>
      <c r="F80" s="357" t="s">
        <v>556</v>
      </c>
      <c r="G80" s="356" t="s">
        <v>557</v>
      </c>
      <c r="H80" s="358">
        <v>0</v>
      </c>
      <c r="I80" s="358">
        <v>0</v>
      </c>
      <c r="J80" s="356" t="s">
        <v>258</v>
      </c>
      <c r="K80" s="358">
        <v>0</v>
      </c>
      <c r="L80" s="358">
        <v>0</v>
      </c>
      <c r="M80" s="151" t="s">
        <v>258</v>
      </c>
      <c r="N80" s="145" t="s">
        <v>1056</v>
      </c>
    </row>
    <row r="81" spans="3:14" s="151" customFormat="1" x14ac:dyDescent="0.25">
      <c r="C81" s="151" t="s">
        <v>348</v>
      </c>
      <c r="D81" s="151" t="s">
        <v>549</v>
      </c>
      <c r="E81" s="151" t="s">
        <v>801</v>
      </c>
      <c r="F81" s="154" t="s">
        <v>569</v>
      </c>
      <c r="G81" s="151" t="s">
        <v>561</v>
      </c>
      <c r="H81" s="150">
        <v>11</v>
      </c>
      <c r="I81" s="150">
        <v>0</v>
      </c>
      <c r="J81" s="150" t="s">
        <v>802</v>
      </c>
      <c r="K81" s="358">
        <v>0</v>
      </c>
      <c r="L81" s="358">
        <v>0</v>
      </c>
      <c r="M81" s="151" t="s">
        <v>258</v>
      </c>
      <c r="N81" s="145"/>
    </row>
    <row r="82" spans="3:14" s="151" customFormat="1" x14ac:dyDescent="0.25">
      <c r="C82" s="151" t="s">
        <v>348</v>
      </c>
      <c r="D82" s="151" t="s">
        <v>549</v>
      </c>
      <c r="E82" s="151" t="s">
        <v>801</v>
      </c>
      <c r="F82" s="154" t="s">
        <v>569</v>
      </c>
      <c r="G82" s="151" t="s">
        <v>553</v>
      </c>
      <c r="H82" s="150">
        <v>10.4</v>
      </c>
      <c r="I82" s="150">
        <v>0</v>
      </c>
      <c r="J82" s="150" t="s">
        <v>802</v>
      </c>
      <c r="K82" s="358">
        <v>0</v>
      </c>
      <c r="L82" s="358">
        <v>0</v>
      </c>
      <c r="M82" s="151" t="s">
        <v>258</v>
      </c>
      <c r="N82" s="145"/>
    </row>
    <row r="83" spans="3:14" s="151" customFormat="1" x14ac:dyDescent="0.25">
      <c r="C83" s="151" t="s">
        <v>348</v>
      </c>
      <c r="D83" s="151" t="s">
        <v>549</v>
      </c>
      <c r="E83" s="151" t="s">
        <v>801</v>
      </c>
      <c r="F83" s="154" t="s">
        <v>569</v>
      </c>
      <c r="G83" s="151" t="s">
        <v>552</v>
      </c>
      <c r="H83" s="150">
        <v>10.199999999999999</v>
      </c>
      <c r="I83" s="150">
        <v>0</v>
      </c>
      <c r="J83" s="150" t="s">
        <v>802</v>
      </c>
      <c r="K83" s="358">
        <v>0</v>
      </c>
      <c r="L83" s="358">
        <v>0</v>
      </c>
      <c r="M83" s="151" t="s">
        <v>258</v>
      </c>
      <c r="N83" s="145"/>
    </row>
    <row r="84" spans="3:14" s="151" customFormat="1" x14ac:dyDescent="0.25">
      <c r="C84" s="151" t="s">
        <v>348</v>
      </c>
      <c r="D84" s="151" t="s">
        <v>549</v>
      </c>
      <c r="E84" s="151" t="s">
        <v>801</v>
      </c>
      <c r="F84" s="154" t="s">
        <v>569</v>
      </c>
      <c r="G84" s="151" t="s">
        <v>551</v>
      </c>
      <c r="H84" s="150">
        <v>10.199999999999999</v>
      </c>
      <c r="I84" s="150">
        <v>0</v>
      </c>
      <c r="J84" s="150" t="s">
        <v>803</v>
      </c>
      <c r="K84" s="358">
        <v>0</v>
      </c>
      <c r="L84" s="358">
        <v>0</v>
      </c>
      <c r="M84" s="151" t="s">
        <v>258</v>
      </c>
      <c r="N84" s="145"/>
    </row>
    <row r="85" spans="3:14" s="151" customFormat="1" x14ac:dyDescent="0.25">
      <c r="C85" s="151" t="s">
        <v>348</v>
      </c>
      <c r="D85" s="151" t="s">
        <v>1059</v>
      </c>
      <c r="E85" s="151" t="s">
        <v>549</v>
      </c>
      <c r="F85" s="154" t="s">
        <v>569</v>
      </c>
      <c r="G85" s="151" t="s">
        <v>561</v>
      </c>
      <c r="H85" s="150">
        <v>0</v>
      </c>
      <c r="I85" s="150">
        <v>0</v>
      </c>
      <c r="J85" s="150" t="s">
        <v>1060</v>
      </c>
      <c r="K85" s="358">
        <v>0</v>
      </c>
      <c r="L85" s="358">
        <v>0</v>
      </c>
      <c r="M85" s="151" t="s">
        <v>258</v>
      </c>
      <c r="N85" s="145" t="s">
        <v>1053</v>
      </c>
    </row>
    <row r="86" spans="3:14" s="151" customFormat="1" x14ac:dyDescent="0.25">
      <c r="C86" s="151" t="s">
        <v>348</v>
      </c>
      <c r="D86" s="151" t="s">
        <v>1059</v>
      </c>
      <c r="E86" s="151" t="s">
        <v>549</v>
      </c>
      <c r="F86" s="154" t="s">
        <v>569</v>
      </c>
      <c r="G86" s="151" t="s">
        <v>553</v>
      </c>
      <c r="H86" s="150">
        <v>11.2</v>
      </c>
      <c r="I86" s="150">
        <v>0</v>
      </c>
      <c r="J86" s="150" t="s">
        <v>1060</v>
      </c>
      <c r="K86" s="358">
        <v>0</v>
      </c>
      <c r="L86" s="358">
        <v>0</v>
      </c>
      <c r="M86" s="151" t="s">
        <v>258</v>
      </c>
      <c r="N86" s="145"/>
    </row>
    <row r="87" spans="3:14" s="151" customFormat="1" x14ac:dyDescent="0.25">
      <c r="C87" s="151" t="s">
        <v>348</v>
      </c>
      <c r="D87" s="151" t="s">
        <v>1059</v>
      </c>
      <c r="E87" s="151" t="s">
        <v>549</v>
      </c>
      <c r="F87" s="154" t="s">
        <v>569</v>
      </c>
      <c r="G87" s="151" t="s">
        <v>552</v>
      </c>
      <c r="H87" s="150">
        <v>11</v>
      </c>
      <c r="I87" s="150">
        <v>0</v>
      </c>
      <c r="J87" s="150" t="s">
        <v>1060</v>
      </c>
      <c r="K87" s="358">
        <v>0</v>
      </c>
      <c r="L87" s="358">
        <v>0</v>
      </c>
      <c r="M87" s="151" t="s">
        <v>258</v>
      </c>
      <c r="N87" s="145"/>
    </row>
    <row r="88" spans="3:14" s="151" customFormat="1" x14ac:dyDescent="0.25">
      <c r="C88" s="151" t="s">
        <v>348</v>
      </c>
      <c r="D88" s="151" t="s">
        <v>1059</v>
      </c>
      <c r="E88" s="151" t="s">
        <v>549</v>
      </c>
      <c r="F88" s="154" t="s">
        <v>569</v>
      </c>
      <c r="G88" s="151" t="s">
        <v>551</v>
      </c>
      <c r="H88" s="150">
        <v>10</v>
      </c>
      <c r="I88" s="150">
        <v>0</v>
      </c>
      <c r="J88" s="150" t="s">
        <v>1060</v>
      </c>
      <c r="K88" s="358">
        <v>0</v>
      </c>
      <c r="L88" s="358">
        <v>0</v>
      </c>
      <c r="M88" s="151" t="s">
        <v>258</v>
      </c>
      <c r="N88" s="145"/>
    </row>
    <row r="89" spans="3:14" s="151" customFormat="1" x14ac:dyDescent="0.25">
      <c r="C89" s="151" t="s">
        <v>348</v>
      </c>
      <c r="D89" s="151" t="s">
        <v>1059</v>
      </c>
      <c r="E89" s="151" t="s">
        <v>550</v>
      </c>
      <c r="F89" s="154" t="s">
        <v>569</v>
      </c>
      <c r="G89" s="151" t="s">
        <v>561</v>
      </c>
      <c r="H89" s="150">
        <v>0</v>
      </c>
      <c r="I89" s="150">
        <v>0</v>
      </c>
      <c r="J89" s="150" t="s">
        <v>1061</v>
      </c>
      <c r="K89" s="358">
        <v>0</v>
      </c>
      <c r="L89" s="358">
        <v>0</v>
      </c>
      <c r="M89" s="151" t="s">
        <v>258</v>
      </c>
      <c r="N89" s="145" t="s">
        <v>1054</v>
      </c>
    </row>
    <row r="90" spans="3:14" s="151" customFormat="1" x14ac:dyDescent="0.25">
      <c r="C90" s="151" t="s">
        <v>348</v>
      </c>
      <c r="D90" s="151" t="s">
        <v>1059</v>
      </c>
      <c r="E90" s="151" t="s">
        <v>550</v>
      </c>
      <c r="F90" s="154" t="s">
        <v>569</v>
      </c>
      <c r="G90" s="151" t="s">
        <v>553</v>
      </c>
      <c r="H90" s="150">
        <v>11</v>
      </c>
      <c r="I90" s="150">
        <v>14.6</v>
      </c>
      <c r="J90" s="150" t="s">
        <v>1061</v>
      </c>
      <c r="K90" s="358">
        <v>3.3</v>
      </c>
      <c r="L90" s="373">
        <v>2.25</v>
      </c>
      <c r="M90" s="150" t="s">
        <v>1061</v>
      </c>
      <c r="N90" s="145"/>
    </row>
    <row r="91" spans="3:14" s="151" customFormat="1" x14ac:dyDescent="0.25">
      <c r="C91" s="151" t="s">
        <v>348</v>
      </c>
      <c r="D91" s="151" t="s">
        <v>1059</v>
      </c>
      <c r="E91" s="151" t="s">
        <v>550</v>
      </c>
      <c r="F91" s="154" t="s">
        <v>569</v>
      </c>
      <c r="G91" s="151" t="s">
        <v>552</v>
      </c>
      <c r="H91" s="150">
        <v>10.6</v>
      </c>
      <c r="I91" s="150">
        <v>13.9</v>
      </c>
      <c r="J91" s="150" t="s">
        <v>1061</v>
      </c>
      <c r="K91" s="358">
        <v>3.2</v>
      </c>
      <c r="L91" s="373">
        <v>2.0499999999999998</v>
      </c>
      <c r="M91" s="150" t="s">
        <v>1061</v>
      </c>
      <c r="N91" s="145"/>
    </row>
    <row r="92" spans="3:14" s="151" customFormat="1" x14ac:dyDescent="0.25">
      <c r="C92" s="151" t="s">
        <v>348</v>
      </c>
      <c r="D92" s="151" t="s">
        <v>1059</v>
      </c>
      <c r="E92" s="151" t="s">
        <v>550</v>
      </c>
      <c r="F92" s="154" t="s">
        <v>569</v>
      </c>
      <c r="G92" s="151" t="s">
        <v>551</v>
      </c>
      <c r="H92" s="150">
        <v>9.5</v>
      </c>
      <c r="I92" s="150">
        <v>12.7</v>
      </c>
      <c r="J92" s="150" t="s">
        <v>1061</v>
      </c>
      <c r="K92" s="358">
        <f>K91</f>
        <v>3.2</v>
      </c>
      <c r="L92" s="373">
        <f>L91</f>
        <v>2.0499999999999998</v>
      </c>
      <c r="M92" s="150" t="s">
        <v>1061</v>
      </c>
      <c r="N92" s="145"/>
    </row>
    <row r="93" spans="3:14" s="151" customFormat="1" x14ac:dyDescent="0.25">
      <c r="C93" s="371" t="s">
        <v>1037</v>
      </c>
      <c r="D93" s="151" t="s">
        <v>1059</v>
      </c>
      <c r="E93" s="151" t="s">
        <v>550</v>
      </c>
      <c r="F93" s="357" t="s">
        <v>546</v>
      </c>
      <c r="G93" s="151" t="s">
        <v>561</v>
      </c>
      <c r="H93" s="150">
        <v>12</v>
      </c>
      <c r="I93" s="150">
        <v>16</v>
      </c>
      <c r="J93" s="150" t="s">
        <v>1061</v>
      </c>
      <c r="K93" s="358">
        <v>4.3</v>
      </c>
      <c r="L93" s="358">
        <v>0</v>
      </c>
      <c r="M93" s="150" t="s">
        <v>1061</v>
      </c>
      <c r="N93" s="145"/>
    </row>
    <row r="94" spans="3:14" s="151" customFormat="1" x14ac:dyDescent="0.25">
      <c r="C94" s="354" t="s">
        <v>1006</v>
      </c>
      <c r="D94" s="151" t="s">
        <v>1059</v>
      </c>
      <c r="E94" s="151" t="s">
        <v>550</v>
      </c>
      <c r="F94" s="357" t="s">
        <v>546</v>
      </c>
      <c r="G94" s="151" t="s">
        <v>561</v>
      </c>
      <c r="H94" s="150">
        <v>12</v>
      </c>
      <c r="I94" s="150">
        <v>15.8</v>
      </c>
      <c r="J94" s="150" t="s">
        <v>1061</v>
      </c>
      <c r="K94" s="358">
        <v>4.3</v>
      </c>
      <c r="L94" s="358">
        <v>0</v>
      </c>
      <c r="M94" s="150" t="s">
        <v>1061</v>
      </c>
      <c r="N94" s="145"/>
    </row>
    <row r="95" spans="3:14" s="151" customFormat="1" x14ac:dyDescent="0.25">
      <c r="C95" s="371" t="s">
        <v>1037</v>
      </c>
      <c r="D95" s="151" t="s">
        <v>1059</v>
      </c>
      <c r="E95" s="151" t="s">
        <v>550</v>
      </c>
      <c r="F95" s="357" t="s">
        <v>546</v>
      </c>
      <c r="G95" s="151" t="s">
        <v>553</v>
      </c>
      <c r="H95" s="150">
        <v>12</v>
      </c>
      <c r="I95" s="150">
        <v>16</v>
      </c>
      <c r="J95" s="150" t="s">
        <v>1061</v>
      </c>
      <c r="K95" s="358">
        <v>4.3</v>
      </c>
      <c r="L95" s="358">
        <v>0</v>
      </c>
      <c r="M95" s="150" t="s">
        <v>1061</v>
      </c>
      <c r="N95" s="145"/>
    </row>
    <row r="96" spans="3:14" s="151" customFormat="1" x14ac:dyDescent="0.25">
      <c r="C96" s="354" t="s">
        <v>1006</v>
      </c>
      <c r="D96" s="151" t="s">
        <v>1059</v>
      </c>
      <c r="E96" s="151" t="s">
        <v>550</v>
      </c>
      <c r="F96" s="357" t="s">
        <v>546</v>
      </c>
      <c r="G96" s="151" t="s">
        <v>553</v>
      </c>
      <c r="H96" s="150">
        <v>12</v>
      </c>
      <c r="I96" s="150">
        <v>15.8</v>
      </c>
      <c r="J96" s="150" t="s">
        <v>1061</v>
      </c>
      <c r="K96" s="358">
        <v>4.3</v>
      </c>
      <c r="L96" s="358">
        <v>0</v>
      </c>
      <c r="M96" s="150" t="s">
        <v>1061</v>
      </c>
      <c r="N96" s="145"/>
    </row>
    <row r="97" spans="2:14" s="151" customFormat="1" x14ac:dyDescent="0.25">
      <c r="C97" s="371" t="s">
        <v>1037</v>
      </c>
      <c r="D97" s="151" t="s">
        <v>1059</v>
      </c>
      <c r="E97" s="151" t="s">
        <v>550</v>
      </c>
      <c r="F97" s="357" t="s">
        <v>546</v>
      </c>
      <c r="G97" s="151" t="s">
        <v>552</v>
      </c>
      <c r="H97" s="150">
        <v>10</v>
      </c>
      <c r="I97" s="150">
        <v>14</v>
      </c>
      <c r="J97" s="150" t="s">
        <v>1061</v>
      </c>
      <c r="K97" s="358">
        <v>4</v>
      </c>
      <c r="L97" s="358">
        <v>0</v>
      </c>
      <c r="M97" s="150" t="s">
        <v>1061</v>
      </c>
      <c r="N97" s="145"/>
    </row>
    <row r="98" spans="2:14" s="151" customFormat="1" x14ac:dyDescent="0.25">
      <c r="C98" s="354" t="s">
        <v>1006</v>
      </c>
      <c r="D98" s="151" t="s">
        <v>1059</v>
      </c>
      <c r="E98" s="151" t="s">
        <v>550</v>
      </c>
      <c r="F98" s="357" t="s">
        <v>546</v>
      </c>
      <c r="G98" s="151" t="s">
        <v>552</v>
      </c>
      <c r="H98" s="150">
        <v>10</v>
      </c>
      <c r="I98" s="150">
        <v>13.8</v>
      </c>
      <c r="J98" s="150" t="s">
        <v>1061</v>
      </c>
      <c r="K98" s="358">
        <v>4</v>
      </c>
      <c r="L98" s="358">
        <v>0</v>
      </c>
      <c r="M98" s="150" t="s">
        <v>1061</v>
      </c>
      <c r="N98" s="145"/>
    </row>
    <row r="99" spans="2:14" s="151" customFormat="1" x14ac:dyDescent="0.25">
      <c r="C99" s="151" t="s">
        <v>348</v>
      </c>
      <c r="D99" s="151" t="s">
        <v>1059</v>
      </c>
      <c r="E99" s="151" t="s">
        <v>550</v>
      </c>
      <c r="F99" s="357" t="s">
        <v>546</v>
      </c>
      <c r="G99" s="151" t="s">
        <v>551</v>
      </c>
      <c r="H99" s="150">
        <v>10</v>
      </c>
      <c r="I99" s="150">
        <v>12</v>
      </c>
      <c r="J99" s="150" t="s">
        <v>1061</v>
      </c>
      <c r="K99" s="358">
        <v>3.9</v>
      </c>
      <c r="L99" s="358">
        <v>0</v>
      </c>
      <c r="M99" s="150" t="s">
        <v>1061</v>
      </c>
      <c r="N99" s="145"/>
    </row>
    <row r="100" spans="2:14" s="151" customFormat="1" x14ac:dyDescent="0.25">
      <c r="C100" s="151" t="s">
        <v>348</v>
      </c>
      <c r="D100" s="151" t="s">
        <v>1059</v>
      </c>
      <c r="E100" s="151" t="s">
        <v>550</v>
      </c>
      <c r="F100" s="357" t="s">
        <v>547</v>
      </c>
      <c r="G100" s="356" t="s">
        <v>553</v>
      </c>
      <c r="H100" s="360">
        <v>16.2</v>
      </c>
      <c r="I100" s="360">
        <v>0</v>
      </c>
      <c r="J100" s="150" t="s">
        <v>1061</v>
      </c>
      <c r="K100" s="358">
        <v>3.6</v>
      </c>
      <c r="L100" s="358">
        <v>0</v>
      </c>
      <c r="M100" s="150" t="s">
        <v>1061</v>
      </c>
      <c r="N100" s="145"/>
    </row>
    <row r="101" spans="2:14" s="151" customFormat="1" x14ac:dyDescent="0.25">
      <c r="C101" s="151" t="s">
        <v>348</v>
      </c>
      <c r="D101" s="151" t="s">
        <v>1059</v>
      </c>
      <c r="E101" s="151" t="s">
        <v>550</v>
      </c>
      <c r="F101" s="357" t="s">
        <v>547</v>
      </c>
      <c r="G101" s="356" t="s">
        <v>557</v>
      </c>
      <c r="H101" s="358">
        <v>13.8</v>
      </c>
      <c r="I101" s="358">
        <v>0</v>
      </c>
      <c r="J101" s="150" t="s">
        <v>1061</v>
      </c>
      <c r="K101" s="358">
        <v>3.3</v>
      </c>
      <c r="L101" s="358">
        <v>0</v>
      </c>
      <c r="M101" s="150" t="s">
        <v>1061</v>
      </c>
      <c r="N101" s="145"/>
    </row>
    <row r="102" spans="2:14" s="151" customFormat="1" x14ac:dyDescent="0.25">
      <c r="C102" s="151" t="s">
        <v>348</v>
      </c>
      <c r="D102" s="151" t="s">
        <v>1059</v>
      </c>
      <c r="E102" s="151" t="s">
        <v>550</v>
      </c>
      <c r="F102" s="357" t="s">
        <v>556</v>
      </c>
      <c r="G102" s="356" t="s">
        <v>553</v>
      </c>
      <c r="H102" s="360">
        <v>13.4</v>
      </c>
      <c r="I102" s="360">
        <v>0</v>
      </c>
      <c r="J102" s="150" t="s">
        <v>1061</v>
      </c>
      <c r="K102" s="358">
        <v>3.1</v>
      </c>
      <c r="L102" s="358">
        <v>0</v>
      </c>
      <c r="M102" s="150" t="s">
        <v>1061</v>
      </c>
      <c r="N102" s="145"/>
    </row>
    <row r="103" spans="2:14" s="151" customFormat="1" x14ac:dyDescent="0.25">
      <c r="C103" s="151" t="s">
        <v>348</v>
      </c>
      <c r="D103" s="151" t="s">
        <v>1059</v>
      </c>
      <c r="E103" s="151" t="s">
        <v>550</v>
      </c>
      <c r="F103" s="357" t="s">
        <v>556</v>
      </c>
      <c r="G103" s="356" t="s">
        <v>557</v>
      </c>
      <c r="H103" s="358">
        <v>11</v>
      </c>
      <c r="I103" s="358">
        <v>0</v>
      </c>
      <c r="J103" s="150" t="s">
        <v>1061</v>
      </c>
      <c r="K103" s="358">
        <v>2.8</v>
      </c>
      <c r="L103" s="358">
        <v>0</v>
      </c>
      <c r="M103" s="150" t="s">
        <v>1061</v>
      </c>
      <c r="N103" s="145"/>
    </row>
    <row r="104" spans="2:14" s="151" customFormat="1" x14ac:dyDescent="0.25">
      <c r="B104" s="145" t="s">
        <v>245</v>
      </c>
      <c r="N104" s="145"/>
    </row>
    <row r="105" spans="2:14" s="151" customFormat="1" x14ac:dyDescent="0.25">
      <c r="N105" s="145"/>
    </row>
  </sheetData>
  <phoneticPr fontId="32" type="noConversion"/>
  <conditionalFormatting sqref="K31:L84 H31:I88 K89:L103">
    <cfRule type="cellIs" dxfId="5" priority="6" operator="equal">
      <formula>0</formula>
    </cfRule>
  </conditionalFormatting>
  <conditionalFormatting sqref="K85:L88">
    <cfRule type="cellIs" dxfId="4" priority="5" operator="equal">
      <formula>0</formula>
    </cfRule>
  </conditionalFormatting>
  <conditionalFormatting sqref="H89:I92">
    <cfRule type="cellIs" dxfId="3" priority="4" operator="equal">
      <formula>0</formula>
    </cfRule>
  </conditionalFormatting>
  <conditionalFormatting sqref="H94:I99">
    <cfRule type="cellIs" dxfId="2" priority="3" operator="equal">
      <formula>0</formula>
    </cfRule>
  </conditionalFormatting>
  <conditionalFormatting sqref="H100:I103">
    <cfRule type="cellIs" dxfId="1" priority="2" operator="equal">
      <formula>0</formula>
    </cfRule>
  </conditionalFormatting>
  <conditionalFormatting sqref="H93:I9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917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356</v>
      </c>
    </row>
    <row r="4" spans="1:6" s="39" customFormat="1" x14ac:dyDescent="0.25">
      <c r="A4" s="39" t="s">
        <v>250</v>
      </c>
      <c r="C4" s="39" t="s">
        <v>570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357</v>
      </c>
    </row>
    <row r="7" spans="1:6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6" x14ac:dyDescent="0.25">
      <c r="A8" s="33" t="s">
        <v>250</v>
      </c>
      <c r="C8" s="32">
        <v>41511</v>
      </c>
      <c r="D8" s="33" t="s">
        <v>386</v>
      </c>
      <c r="E8" s="33" t="s">
        <v>265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358</v>
      </c>
    </row>
    <row r="11" spans="1:6" x14ac:dyDescent="0.25">
      <c r="A11" s="33" t="s">
        <v>250</v>
      </c>
      <c r="C11" s="33" t="s">
        <v>381</v>
      </c>
    </row>
    <row r="12" spans="1:6" x14ac:dyDescent="0.25">
      <c r="A12" s="33" t="s">
        <v>250</v>
      </c>
      <c r="C12" s="33" t="s">
        <v>379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355</v>
      </c>
    </row>
    <row r="15" spans="1:6" x14ac:dyDescent="0.25">
      <c r="A15" s="33" t="s">
        <v>250</v>
      </c>
      <c r="C15" s="33" t="s">
        <v>382</v>
      </c>
      <c r="F15" s="31"/>
    </row>
    <row r="16" spans="1:6" x14ac:dyDescent="0.25">
      <c r="A16" s="33" t="s">
        <v>250</v>
      </c>
      <c r="C16" s="33" t="s">
        <v>383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354</v>
      </c>
    </row>
    <row r="19" spans="1:10" x14ac:dyDescent="0.25">
      <c r="A19" s="33" t="s">
        <v>250</v>
      </c>
      <c r="C19" s="33" t="s">
        <v>804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365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558</v>
      </c>
      <c r="D23" s="145" t="s">
        <v>571</v>
      </c>
      <c r="E23" s="111" t="s">
        <v>568</v>
      </c>
      <c r="F23" s="111" t="s">
        <v>279</v>
      </c>
      <c r="G23" s="145" t="s">
        <v>11</v>
      </c>
      <c r="H23" s="145" t="s">
        <v>559</v>
      </c>
      <c r="I23" s="145" t="s">
        <v>15</v>
      </c>
      <c r="J23" s="145" t="s">
        <v>560</v>
      </c>
    </row>
    <row r="24" spans="1:10" s="151" customFormat="1" x14ac:dyDescent="0.25">
      <c r="C24" s="151" t="s">
        <v>549</v>
      </c>
      <c r="D24" s="153" t="s">
        <v>348</v>
      </c>
      <c r="E24" s="153" t="s">
        <v>569</v>
      </c>
      <c r="F24" s="151" t="s">
        <v>561</v>
      </c>
      <c r="G24" s="150" t="s">
        <v>258</v>
      </c>
      <c r="H24" s="151" t="s">
        <v>567</v>
      </c>
      <c r="I24" s="150" t="s">
        <v>258</v>
      </c>
      <c r="J24" s="151" t="s">
        <v>258</v>
      </c>
    </row>
    <row r="25" spans="1:10" s="151" customFormat="1" x14ac:dyDescent="0.25">
      <c r="C25" s="151" t="s">
        <v>549</v>
      </c>
      <c r="D25" s="153" t="s">
        <v>348</v>
      </c>
      <c r="E25" s="153" t="s">
        <v>569</v>
      </c>
      <c r="F25" s="151" t="s">
        <v>553</v>
      </c>
      <c r="G25" s="150">
        <v>11.2</v>
      </c>
      <c r="H25" s="151" t="s">
        <v>563</v>
      </c>
      <c r="I25" s="150" t="s">
        <v>258</v>
      </c>
      <c r="J25" s="151" t="s">
        <v>258</v>
      </c>
    </row>
    <row r="26" spans="1:10" s="151" customFormat="1" x14ac:dyDescent="0.25">
      <c r="C26" s="151" t="s">
        <v>549</v>
      </c>
      <c r="D26" s="153" t="s">
        <v>348</v>
      </c>
      <c r="E26" s="153" t="s">
        <v>569</v>
      </c>
      <c r="F26" s="151" t="s">
        <v>552</v>
      </c>
      <c r="G26" s="150">
        <v>11</v>
      </c>
      <c r="H26" s="151" t="s">
        <v>563</v>
      </c>
      <c r="I26" s="150" t="s">
        <v>258</v>
      </c>
      <c r="J26" s="151" t="s">
        <v>258</v>
      </c>
    </row>
    <row r="27" spans="1:10" s="151" customFormat="1" x14ac:dyDescent="0.25">
      <c r="C27" s="151" t="s">
        <v>549</v>
      </c>
      <c r="D27" s="153" t="s">
        <v>348</v>
      </c>
      <c r="E27" s="153" t="s">
        <v>569</v>
      </c>
      <c r="F27" s="151" t="s">
        <v>555</v>
      </c>
      <c r="G27" s="150">
        <v>10</v>
      </c>
      <c r="H27" s="151" t="s">
        <v>563</v>
      </c>
      <c r="I27" s="150" t="s">
        <v>258</v>
      </c>
      <c r="J27" s="151" t="s">
        <v>258</v>
      </c>
    </row>
    <row r="28" spans="1:10" s="151" customFormat="1" x14ac:dyDescent="0.25">
      <c r="C28" s="151" t="s">
        <v>549</v>
      </c>
      <c r="D28" s="153" t="s">
        <v>348</v>
      </c>
      <c r="E28" s="153" t="s">
        <v>569</v>
      </c>
      <c r="F28" s="151" t="s">
        <v>554</v>
      </c>
      <c r="G28" s="150">
        <v>9.6999999999999993</v>
      </c>
      <c r="H28" s="151" t="s">
        <v>563</v>
      </c>
      <c r="I28" s="150" t="s">
        <v>258</v>
      </c>
      <c r="J28" s="151" t="s">
        <v>258</v>
      </c>
    </row>
    <row r="29" spans="1:10" s="151" customFormat="1" x14ac:dyDescent="0.25">
      <c r="C29" s="151" t="s">
        <v>549</v>
      </c>
      <c r="D29" s="151" t="s">
        <v>348</v>
      </c>
      <c r="E29" s="153" t="s">
        <v>546</v>
      </c>
      <c r="F29" s="151" t="s">
        <v>564</v>
      </c>
      <c r="G29" s="155">
        <v>12.1</v>
      </c>
      <c r="H29" s="151" t="s">
        <v>565</v>
      </c>
      <c r="I29" s="150" t="s">
        <v>258</v>
      </c>
      <c r="J29" s="151" t="s">
        <v>258</v>
      </c>
    </row>
    <row r="30" spans="1:10" s="151" customFormat="1" x14ac:dyDescent="0.25">
      <c r="C30" s="151" t="s">
        <v>549</v>
      </c>
      <c r="D30" s="151" t="s">
        <v>348</v>
      </c>
      <c r="E30" s="153" t="s">
        <v>546</v>
      </c>
      <c r="F30" s="151" t="s">
        <v>561</v>
      </c>
      <c r="G30" s="155">
        <v>12.1</v>
      </c>
      <c r="H30" s="151" t="s">
        <v>565</v>
      </c>
      <c r="I30" s="150" t="s">
        <v>258</v>
      </c>
      <c r="J30" s="151" t="s">
        <v>258</v>
      </c>
    </row>
    <row r="31" spans="1:10" s="151" customFormat="1" x14ac:dyDescent="0.25">
      <c r="C31" s="151" t="s">
        <v>549</v>
      </c>
      <c r="D31" s="151" t="s">
        <v>348</v>
      </c>
      <c r="E31" s="153" t="s">
        <v>546</v>
      </c>
      <c r="F31" s="151" t="s">
        <v>553</v>
      </c>
      <c r="G31" s="150">
        <v>12.1</v>
      </c>
      <c r="H31" s="151" t="s">
        <v>563</v>
      </c>
      <c r="I31" s="150" t="s">
        <v>258</v>
      </c>
      <c r="J31" s="151" t="s">
        <v>258</v>
      </c>
    </row>
    <row r="32" spans="1:10" s="151" customFormat="1" x14ac:dyDescent="0.25">
      <c r="C32" s="151" t="s">
        <v>549</v>
      </c>
      <c r="D32" s="151" t="s">
        <v>348</v>
      </c>
      <c r="E32" s="153" t="s">
        <v>546</v>
      </c>
      <c r="F32" s="151" t="s">
        <v>552</v>
      </c>
      <c r="G32" s="150">
        <v>12.5</v>
      </c>
      <c r="H32" s="151" t="s">
        <v>563</v>
      </c>
      <c r="I32" s="150" t="s">
        <v>258</v>
      </c>
      <c r="J32" s="151" t="s">
        <v>258</v>
      </c>
    </row>
    <row r="33" spans="3:11" s="151" customFormat="1" x14ac:dyDescent="0.25">
      <c r="C33" s="151" t="s">
        <v>549</v>
      </c>
      <c r="D33" s="151" t="s">
        <v>348</v>
      </c>
      <c r="E33" s="153" t="s">
        <v>546</v>
      </c>
      <c r="F33" s="151" t="s">
        <v>555</v>
      </c>
      <c r="G33" s="150">
        <v>12.4</v>
      </c>
      <c r="H33" s="151" t="s">
        <v>563</v>
      </c>
      <c r="I33" s="150" t="s">
        <v>258</v>
      </c>
      <c r="J33" s="151" t="s">
        <v>258</v>
      </c>
    </row>
    <row r="34" spans="3:11" s="151" customFormat="1" x14ac:dyDescent="0.25">
      <c r="C34" s="151" t="s">
        <v>549</v>
      </c>
      <c r="D34" s="151" t="s">
        <v>348</v>
      </c>
      <c r="E34" s="153" t="s">
        <v>546</v>
      </c>
      <c r="F34" s="151" t="s">
        <v>554</v>
      </c>
      <c r="G34" s="150">
        <v>12.2</v>
      </c>
      <c r="H34" s="151" t="s">
        <v>563</v>
      </c>
      <c r="I34" s="150" t="s">
        <v>258</v>
      </c>
      <c r="J34" s="151" t="s">
        <v>258</v>
      </c>
    </row>
    <row r="35" spans="3:11" s="151" customFormat="1" x14ac:dyDescent="0.25">
      <c r="C35" s="151" t="s">
        <v>549</v>
      </c>
      <c r="D35" s="151" t="s">
        <v>348</v>
      </c>
      <c r="E35" s="153" t="s">
        <v>548</v>
      </c>
      <c r="F35" s="151" t="s">
        <v>561</v>
      </c>
      <c r="G35" s="150">
        <v>12.1</v>
      </c>
      <c r="H35" s="151" t="s">
        <v>562</v>
      </c>
      <c r="I35" s="150" t="s">
        <v>258</v>
      </c>
      <c r="J35" s="151" t="s">
        <v>258</v>
      </c>
    </row>
    <row r="36" spans="3:11" s="151" customFormat="1" x14ac:dyDescent="0.25">
      <c r="C36" s="151" t="s">
        <v>549</v>
      </c>
      <c r="D36" s="151" t="s">
        <v>348</v>
      </c>
      <c r="E36" s="153" t="s">
        <v>548</v>
      </c>
      <c r="F36" s="151" t="s">
        <v>553</v>
      </c>
      <c r="G36" s="150">
        <v>12.1</v>
      </c>
      <c r="H36" s="151" t="s">
        <v>563</v>
      </c>
      <c r="I36" s="150" t="s">
        <v>258</v>
      </c>
      <c r="J36" s="151" t="s">
        <v>258</v>
      </c>
    </row>
    <row r="37" spans="3:11" s="151" customFormat="1" x14ac:dyDescent="0.25">
      <c r="C37" s="151" t="s">
        <v>549</v>
      </c>
      <c r="D37" s="151" t="s">
        <v>348</v>
      </c>
      <c r="E37" s="153" t="s">
        <v>548</v>
      </c>
      <c r="F37" s="151" t="s">
        <v>552</v>
      </c>
      <c r="G37" s="150">
        <v>12</v>
      </c>
      <c r="H37" s="151" t="s">
        <v>563</v>
      </c>
      <c r="I37" s="150" t="s">
        <v>258</v>
      </c>
      <c r="J37" s="151" t="s">
        <v>258</v>
      </c>
    </row>
    <row r="38" spans="3:11" s="151" customFormat="1" x14ac:dyDescent="0.25">
      <c r="C38" s="151" t="s">
        <v>549</v>
      </c>
      <c r="D38" s="151" t="s">
        <v>348</v>
      </c>
      <c r="E38" s="153" t="s">
        <v>548</v>
      </c>
      <c r="F38" s="151" t="s">
        <v>555</v>
      </c>
      <c r="G38" s="150">
        <v>11.9</v>
      </c>
      <c r="H38" s="151" t="s">
        <v>563</v>
      </c>
      <c r="I38" s="150" t="s">
        <v>258</v>
      </c>
      <c r="J38" s="151" t="s">
        <v>258</v>
      </c>
    </row>
    <row r="39" spans="3:11" s="151" customFormat="1" x14ac:dyDescent="0.25">
      <c r="C39" s="151" t="s">
        <v>549</v>
      </c>
      <c r="D39" s="151" t="s">
        <v>348</v>
      </c>
      <c r="E39" s="153" t="s">
        <v>548</v>
      </c>
      <c r="F39" s="151" t="s">
        <v>554</v>
      </c>
      <c r="G39" s="150">
        <v>11.7</v>
      </c>
      <c r="H39" s="151" t="s">
        <v>563</v>
      </c>
      <c r="I39" s="150" t="s">
        <v>258</v>
      </c>
      <c r="J39" s="151" t="s">
        <v>258</v>
      </c>
    </row>
    <row r="40" spans="3:11" s="151" customFormat="1" x14ac:dyDescent="0.25">
      <c r="C40" s="151" t="s">
        <v>550</v>
      </c>
      <c r="D40" s="151" t="s">
        <v>348</v>
      </c>
      <c r="E40" s="153" t="s">
        <v>569</v>
      </c>
      <c r="F40" s="151" t="s">
        <v>561</v>
      </c>
      <c r="G40" s="150" t="s">
        <v>258</v>
      </c>
      <c r="H40" s="151" t="s">
        <v>567</v>
      </c>
      <c r="I40" s="150" t="s">
        <v>258</v>
      </c>
      <c r="J40" s="151" t="s">
        <v>567</v>
      </c>
    </row>
    <row r="41" spans="3:11" s="151" customFormat="1" x14ac:dyDescent="0.25">
      <c r="C41" s="151" t="s">
        <v>550</v>
      </c>
      <c r="D41" s="151" t="s">
        <v>348</v>
      </c>
      <c r="E41" s="153" t="s">
        <v>569</v>
      </c>
      <c r="F41" s="151" t="s">
        <v>553</v>
      </c>
      <c r="G41" s="150">
        <v>11</v>
      </c>
      <c r="H41" s="151" t="s">
        <v>566</v>
      </c>
      <c r="I41" s="152">
        <v>3.3</v>
      </c>
      <c r="J41" s="151" t="s">
        <v>566</v>
      </c>
      <c r="K41" s="152"/>
    </row>
    <row r="42" spans="3:11" s="151" customFormat="1" x14ac:dyDescent="0.25">
      <c r="C42" s="151" t="s">
        <v>550</v>
      </c>
      <c r="D42" s="151" t="s">
        <v>348</v>
      </c>
      <c r="E42" s="153" t="s">
        <v>569</v>
      </c>
      <c r="F42" s="151" t="s">
        <v>552</v>
      </c>
      <c r="G42" s="150">
        <v>10.6</v>
      </c>
      <c r="H42" s="151" t="s">
        <v>566</v>
      </c>
      <c r="I42" s="152">
        <v>3.2</v>
      </c>
      <c r="J42" s="151" t="s">
        <v>566</v>
      </c>
      <c r="K42" s="152"/>
    </row>
    <row r="43" spans="3:11" s="151" customFormat="1" x14ac:dyDescent="0.25">
      <c r="C43" s="151" t="s">
        <v>550</v>
      </c>
      <c r="D43" s="151" t="s">
        <v>348</v>
      </c>
      <c r="E43" s="153" t="s">
        <v>569</v>
      </c>
      <c r="F43" s="151" t="s">
        <v>551</v>
      </c>
      <c r="G43" s="150">
        <v>9.5</v>
      </c>
      <c r="H43" s="151" t="s">
        <v>566</v>
      </c>
      <c r="I43" s="152">
        <v>3.2</v>
      </c>
      <c r="J43" s="151" t="s">
        <v>566</v>
      </c>
      <c r="K43" s="152"/>
    </row>
    <row r="44" spans="3:11" s="151" customFormat="1" x14ac:dyDescent="0.25">
      <c r="C44" s="151" t="s">
        <v>550</v>
      </c>
      <c r="D44" s="151" t="s">
        <v>348</v>
      </c>
      <c r="E44" s="153" t="s">
        <v>546</v>
      </c>
      <c r="F44" s="151" t="s">
        <v>564</v>
      </c>
      <c r="G44" s="155">
        <v>11.2</v>
      </c>
      <c r="H44" s="151" t="s">
        <v>565</v>
      </c>
      <c r="I44" s="152">
        <v>4.2</v>
      </c>
      <c r="J44" s="151" t="s">
        <v>565</v>
      </c>
    </row>
    <row r="45" spans="3:11" s="151" customFormat="1" x14ac:dyDescent="0.25">
      <c r="C45" s="151" t="s">
        <v>550</v>
      </c>
      <c r="D45" s="151" t="s">
        <v>348</v>
      </c>
      <c r="E45" s="153" t="s">
        <v>546</v>
      </c>
      <c r="F45" s="151" t="s">
        <v>561</v>
      </c>
      <c r="G45" s="155">
        <v>12</v>
      </c>
      <c r="H45" s="151" t="s">
        <v>565</v>
      </c>
      <c r="I45" s="152">
        <v>4.2</v>
      </c>
      <c r="J45" s="151" t="s">
        <v>565</v>
      </c>
    </row>
    <row r="46" spans="3:11" s="151" customFormat="1" x14ac:dyDescent="0.25">
      <c r="C46" s="151" t="s">
        <v>550</v>
      </c>
      <c r="D46" s="151" t="s">
        <v>348</v>
      </c>
      <c r="E46" s="153" t="s">
        <v>546</v>
      </c>
      <c r="F46" s="151" t="s">
        <v>553</v>
      </c>
      <c r="G46" s="151">
        <v>12</v>
      </c>
      <c r="H46" s="151" t="s">
        <v>566</v>
      </c>
      <c r="I46" s="151">
        <v>4.2</v>
      </c>
      <c r="J46" s="151" t="s">
        <v>566</v>
      </c>
    </row>
    <row r="47" spans="3:11" s="151" customFormat="1" x14ac:dyDescent="0.25">
      <c r="C47" s="151" t="s">
        <v>550</v>
      </c>
      <c r="D47" s="151" t="s">
        <v>348</v>
      </c>
      <c r="E47" s="153" t="s">
        <v>546</v>
      </c>
      <c r="F47" s="151" t="s">
        <v>557</v>
      </c>
      <c r="G47" s="150" t="s">
        <v>258</v>
      </c>
      <c r="H47" s="151" t="s">
        <v>258</v>
      </c>
      <c r="I47" s="150" t="s">
        <v>258</v>
      </c>
      <c r="J47" s="151" t="s">
        <v>258</v>
      </c>
    </row>
    <row r="48" spans="3:11" s="151" customFormat="1" x14ac:dyDescent="0.25">
      <c r="C48" s="151" t="s">
        <v>550</v>
      </c>
      <c r="D48" s="151" t="s">
        <v>348</v>
      </c>
      <c r="E48" s="154" t="s">
        <v>547</v>
      </c>
      <c r="F48" s="151" t="s">
        <v>553</v>
      </c>
      <c r="G48" s="151">
        <v>16.2</v>
      </c>
      <c r="H48" s="151" t="s">
        <v>566</v>
      </c>
      <c r="I48" s="151">
        <v>3.6</v>
      </c>
      <c r="J48" s="151" t="s">
        <v>566</v>
      </c>
    </row>
    <row r="49" spans="2:10" s="151" customFormat="1" x14ac:dyDescent="0.25">
      <c r="C49" s="151" t="s">
        <v>550</v>
      </c>
      <c r="D49" s="151" t="s">
        <v>348</v>
      </c>
      <c r="E49" s="154" t="s">
        <v>547</v>
      </c>
      <c r="F49" s="151" t="s">
        <v>557</v>
      </c>
      <c r="G49" s="150" t="s">
        <v>258</v>
      </c>
      <c r="H49" s="151" t="s">
        <v>258</v>
      </c>
      <c r="I49" s="150" t="s">
        <v>258</v>
      </c>
      <c r="J49" s="151" t="s">
        <v>258</v>
      </c>
    </row>
    <row r="50" spans="2:10" s="151" customFormat="1" x14ac:dyDescent="0.25">
      <c r="C50" s="151" t="s">
        <v>550</v>
      </c>
      <c r="D50" s="151" t="s">
        <v>348</v>
      </c>
      <c r="E50" s="154" t="s">
        <v>556</v>
      </c>
      <c r="F50" s="151" t="s">
        <v>553</v>
      </c>
      <c r="G50" s="151">
        <v>13.4</v>
      </c>
      <c r="H50" s="151" t="s">
        <v>566</v>
      </c>
      <c r="I50" s="151">
        <v>3.1</v>
      </c>
      <c r="J50" s="151" t="s">
        <v>566</v>
      </c>
    </row>
    <row r="51" spans="2:10" s="151" customFormat="1" x14ac:dyDescent="0.25">
      <c r="C51" s="151" t="s">
        <v>550</v>
      </c>
      <c r="D51" s="151" t="s">
        <v>348</v>
      </c>
      <c r="E51" s="154" t="s">
        <v>556</v>
      </c>
      <c r="F51" s="151" t="s">
        <v>557</v>
      </c>
      <c r="G51" s="150" t="s">
        <v>258</v>
      </c>
      <c r="H51" s="150" t="s">
        <v>258</v>
      </c>
      <c r="I51" s="150" t="s">
        <v>258</v>
      </c>
      <c r="J51" s="151" t="s">
        <v>258</v>
      </c>
    </row>
    <row r="52" spans="2:10" s="151" customFormat="1" x14ac:dyDescent="0.25">
      <c r="C52" s="151" t="s">
        <v>549</v>
      </c>
      <c r="D52" s="151" t="s">
        <v>801</v>
      </c>
      <c r="E52" s="154" t="s">
        <v>569</v>
      </c>
      <c r="F52" s="151" t="s">
        <v>561</v>
      </c>
      <c r="G52" s="150">
        <v>11</v>
      </c>
      <c r="H52" s="150" t="s">
        <v>802</v>
      </c>
      <c r="I52" s="150" t="s">
        <v>258</v>
      </c>
      <c r="J52" s="151" t="s">
        <v>258</v>
      </c>
    </row>
    <row r="53" spans="2:10" s="151" customFormat="1" x14ac:dyDescent="0.25">
      <c r="C53" s="151" t="s">
        <v>549</v>
      </c>
      <c r="D53" s="151" t="s">
        <v>801</v>
      </c>
      <c r="E53" s="154" t="s">
        <v>569</v>
      </c>
      <c r="F53" s="151" t="s">
        <v>553</v>
      </c>
      <c r="G53" s="150">
        <v>10.4</v>
      </c>
      <c r="H53" s="150" t="s">
        <v>802</v>
      </c>
      <c r="I53" s="150" t="s">
        <v>258</v>
      </c>
      <c r="J53" s="151" t="s">
        <v>258</v>
      </c>
    </row>
    <row r="54" spans="2:10" s="151" customFormat="1" x14ac:dyDescent="0.25">
      <c r="C54" s="151" t="s">
        <v>549</v>
      </c>
      <c r="D54" s="151" t="s">
        <v>801</v>
      </c>
      <c r="E54" s="154" t="s">
        <v>569</v>
      </c>
      <c r="F54" s="151" t="s">
        <v>552</v>
      </c>
      <c r="G54" s="150">
        <v>10.199999999999999</v>
      </c>
      <c r="H54" s="150" t="s">
        <v>802</v>
      </c>
      <c r="I54" s="150" t="s">
        <v>258</v>
      </c>
      <c r="J54" s="151" t="s">
        <v>258</v>
      </c>
    </row>
    <row r="55" spans="2:10" s="151" customFormat="1" x14ac:dyDescent="0.25">
      <c r="C55" s="151" t="s">
        <v>549</v>
      </c>
      <c r="D55" s="151" t="s">
        <v>801</v>
      </c>
      <c r="E55" s="154" t="s">
        <v>569</v>
      </c>
      <c r="F55" s="151" t="s">
        <v>551</v>
      </c>
      <c r="G55" s="150">
        <v>10.199999999999999</v>
      </c>
      <c r="H55" s="150" t="s">
        <v>803</v>
      </c>
      <c r="I55" s="150" t="s">
        <v>258</v>
      </c>
      <c r="J55" s="151" t="s">
        <v>258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917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356</v>
      </c>
    </row>
    <row r="4" spans="1:12" s="39" customFormat="1" x14ac:dyDescent="0.25">
      <c r="A4" s="39" t="s">
        <v>250</v>
      </c>
      <c r="C4" s="39" t="s">
        <v>393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357</v>
      </c>
    </row>
    <row r="7" spans="1:12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12" s="39" customFormat="1" x14ac:dyDescent="0.25">
      <c r="A8" s="39" t="s">
        <v>250</v>
      </c>
      <c r="C8" s="32">
        <v>41186</v>
      </c>
      <c r="D8" s="33" t="s">
        <v>386</v>
      </c>
      <c r="E8" s="33" t="s">
        <v>265</v>
      </c>
    </row>
    <row r="9" spans="1:12" s="39" customFormat="1" x14ac:dyDescent="0.25">
      <c r="A9" s="39" t="s">
        <v>250</v>
      </c>
      <c r="C9" s="32">
        <v>41203</v>
      </c>
      <c r="D9" s="33" t="s">
        <v>386</v>
      </c>
      <c r="E9" s="33" t="s">
        <v>384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358</v>
      </c>
    </row>
    <row r="12" spans="1:12" x14ac:dyDescent="0.25">
      <c r="A12" s="33" t="s">
        <v>250</v>
      </c>
      <c r="C12" s="33" t="s">
        <v>309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355</v>
      </c>
    </row>
    <row r="15" spans="1:12" x14ac:dyDescent="0.25">
      <c r="A15" s="33" t="s">
        <v>250</v>
      </c>
      <c r="C15" s="33" t="s">
        <v>310</v>
      </c>
      <c r="E15" s="31"/>
    </row>
    <row r="16" spans="1:12" x14ac:dyDescent="0.25">
      <c r="A16" s="33" t="s">
        <v>250</v>
      </c>
      <c r="C16" s="33" t="s">
        <v>394</v>
      </c>
      <c r="E16" s="31"/>
    </row>
    <row r="17" spans="1:8" x14ac:dyDescent="0.25">
      <c r="A17" s="33" t="s">
        <v>250</v>
      </c>
      <c r="C17" s="33" t="s">
        <v>396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272</v>
      </c>
      <c r="F19" s="33"/>
    </row>
    <row r="20" spans="1:8" s="39" customFormat="1" x14ac:dyDescent="0.25">
      <c r="A20" s="39" t="s">
        <v>250</v>
      </c>
      <c r="C20" s="49" t="s">
        <v>376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365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280</v>
      </c>
      <c r="D25" s="29" t="s">
        <v>279</v>
      </c>
      <c r="E25" s="33" t="s">
        <v>312</v>
      </c>
      <c r="F25" s="33"/>
    </row>
    <row r="26" spans="1:8" x14ac:dyDescent="0.25">
      <c r="C26" s="29" t="s">
        <v>395</v>
      </c>
      <c r="D26" s="29" t="s">
        <v>397</v>
      </c>
      <c r="E26" s="33">
        <v>0.8</v>
      </c>
      <c r="F26" s="33"/>
    </row>
    <row r="27" spans="1:8" x14ac:dyDescent="0.25">
      <c r="C27" s="29" t="s">
        <v>395</v>
      </c>
      <c r="D27" s="29" t="s">
        <v>398</v>
      </c>
      <c r="E27" s="33">
        <v>0.79</v>
      </c>
      <c r="F27" s="33"/>
    </row>
    <row r="28" spans="1:8" x14ac:dyDescent="0.25">
      <c r="C28" s="29" t="s">
        <v>395</v>
      </c>
      <c r="D28" s="29" t="s">
        <v>311</v>
      </c>
      <c r="E28" s="33">
        <v>0.71799999999999997</v>
      </c>
      <c r="F28" s="33"/>
    </row>
    <row r="29" spans="1:8" x14ac:dyDescent="0.25">
      <c r="C29" s="29" t="s">
        <v>395</v>
      </c>
      <c r="D29" s="29" t="s">
        <v>313</v>
      </c>
      <c r="E29" s="33">
        <v>0.63900000000000001</v>
      </c>
      <c r="F29" s="33"/>
    </row>
    <row r="30" spans="1:8" x14ac:dyDescent="0.25">
      <c r="C30" s="29" t="s">
        <v>399</v>
      </c>
      <c r="D30" s="29" t="s">
        <v>398</v>
      </c>
      <c r="E30" s="33">
        <v>0.63900000000000001</v>
      </c>
      <c r="F30" s="33"/>
      <c r="G30" s="36"/>
    </row>
    <row r="31" spans="1:8" x14ac:dyDescent="0.25">
      <c r="C31" s="29" t="s">
        <v>399</v>
      </c>
      <c r="D31" s="29" t="s">
        <v>311</v>
      </c>
      <c r="E31" s="33">
        <v>0.63900000000000001</v>
      </c>
      <c r="F31" s="33"/>
      <c r="G31" s="36"/>
    </row>
    <row r="32" spans="1:8" x14ac:dyDescent="0.25">
      <c r="C32" s="29" t="s">
        <v>399</v>
      </c>
      <c r="D32" s="29" t="s">
        <v>400</v>
      </c>
      <c r="E32" s="33">
        <v>0.6</v>
      </c>
      <c r="F32" s="33"/>
      <c r="G32" s="36"/>
    </row>
    <row r="33" spans="2:7" x14ac:dyDescent="0.25">
      <c r="C33" s="29" t="s">
        <v>399</v>
      </c>
      <c r="D33" s="29" t="s">
        <v>401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271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274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279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280</v>
      </c>
      <c r="D4" s="29" t="s">
        <v>282</v>
      </c>
      <c r="E4" s="37" t="s">
        <v>282</v>
      </c>
      <c r="F4" s="29" t="s">
        <v>283</v>
      </c>
      <c r="G4" s="37" t="s">
        <v>283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278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275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281</v>
      </c>
      <c r="D7" s="38" t="s">
        <v>258</v>
      </c>
      <c r="E7" s="35" t="s">
        <v>258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276</v>
      </c>
      <c r="D8" s="36">
        <v>10</v>
      </c>
      <c r="E8" s="34">
        <v>10.1</v>
      </c>
      <c r="F8" s="38" t="s">
        <v>258</v>
      </c>
      <c r="G8" s="35" t="s">
        <v>258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277</v>
      </c>
      <c r="D9" s="36">
        <v>9.6999999999999993</v>
      </c>
      <c r="E9" s="34">
        <v>9.8000000000000007</v>
      </c>
      <c r="F9" s="38" t="s">
        <v>258</v>
      </c>
      <c r="G9" s="35" t="s">
        <v>258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</vt:lpstr>
      <vt:lpstr>UnitaryAC-HPMinEffReq_Old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Jireh Peng</cp:lastModifiedBy>
  <dcterms:created xsi:type="dcterms:W3CDTF">2012-09-11T19:42:19Z</dcterms:created>
  <dcterms:modified xsi:type="dcterms:W3CDTF">2022-03-09T22:12:53Z</dcterms:modified>
</cp:coreProperties>
</file>