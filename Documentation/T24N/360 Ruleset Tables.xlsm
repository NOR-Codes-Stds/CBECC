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360 Local\_CBECC Com_E+94\Documentation\T24N\"/>
    </mc:Choice>
  </mc:AlternateContent>
  <xr:revisionPtr revIDLastSave="0" documentId="13_ncr:1_{45C9DABA-0843-4398-B80C-E6A2D573A71F}" xr6:coauthVersionLast="46" xr6:coauthVersionMax="46" xr10:uidLastSave="{00000000-0000-0000-0000-000000000000}"/>
  <bookViews>
    <workbookView xWindow="5880" yWindow="2265" windowWidth="31455" windowHeight="16815" tabRatio="933" firstSheet="31" activeTab="34" xr2:uid="{00000000-000D-0000-FFFF-FFFF00000000}"/>
  </bookViews>
  <sheets>
    <sheet name="Key" sheetId="25" r:id="rId1"/>
    <sheet name="2013StandardTableList" sheetId="1" r:id="rId2"/>
    <sheet name="LtgInputRestrictions_T24N_2013" sheetId="43" r:id="rId3"/>
    <sheet name="LtgInputRestrictions_T24N_2016" sheetId="45" r:id="rId4"/>
    <sheet name="LtgInputRestrictions_T24N_2019" sheetId="51" r:id="rId5"/>
    <sheet name="LtgInputRestrictions_S901G" sheetId="44" r:id="rId6"/>
    <sheet name="PAFs_T24N_2013" sheetId="26" r:id="rId7"/>
    <sheet name="PAFs_T24N_2016" sheetId="46" r:id="rId8"/>
    <sheet name="PAFs_T24N_2019" sheetId="52" r:id="rId9"/>
    <sheet name="PAFs_S901G" sheetId="42" r:id="rId10"/>
    <sheet name="AreaCategoryLPA" sheetId="27" r:id="rId11"/>
    <sheet name="TailoredMethodLPA_T24N_2013" sheetId="28" r:id="rId12"/>
    <sheet name="TailoredMethodLPA_T24N_2016" sheetId="49" r:id="rId13"/>
    <sheet name="TailoredMethodLPA_T24N_2019" sheetId="50" r:id="rId14"/>
    <sheet name="IlluminanceLevelLPD_T24N_2013" sheetId="29" r:id="rId15"/>
    <sheet name="IlluminanceLevelLPD_T24N_2016" sheetId="47" r:id="rId16"/>
    <sheet name="IlluminanceLevelLPD_T24N_2019" sheetId="54" r:id="rId17"/>
    <sheet name="LightHeatGainDistribution" sheetId="34" r:id="rId18"/>
    <sheet name="DayltCtrlParms" sheetId="36" r:id="rId19"/>
    <sheet name="FenConsInputReqs_T24N" sheetId="35" r:id="rId20"/>
    <sheet name="FenConsInputReqs_S901G" sheetId="37" r:id="rId21"/>
    <sheet name="DefaultFenUFactors_T24N" sheetId="4" r:id="rId22"/>
    <sheet name="DefaultFenestrationSHGC_T24N" sheetId="30" r:id="rId23"/>
    <sheet name="DefaultVertFenPerf_S901G" sheetId="39" r:id="rId24"/>
    <sheet name="DefaultSkyltUFactors_S901G" sheetId="40" r:id="rId25"/>
    <sheet name="DefaultSkyltSHGC_S901G" sheetId="41" r:id="rId26"/>
    <sheet name="BaseVerticalFenPerf_T24N" sheetId="6" r:id="rId27"/>
    <sheet name="BaseSkylightPerf_T24N" sheetId="10" r:id="rId28"/>
    <sheet name="BaselineFenPerf_S901G" sheetId="38" r:id="rId29"/>
    <sheet name="NA6FenestrationUFactorCoeff" sheetId="31" r:id="rId30"/>
    <sheet name="NA6FenestrationVTf_T24N" sheetId="32" r:id="rId31"/>
    <sheet name="AltFenPerformance" sheetId="33" r:id="rId32"/>
    <sheet name="BaseOpaqueEnvEffRValue" sheetId="3" r:id="rId33"/>
    <sheet name="UnitaryAC-HPMinEffReq_T24N_2016" sheetId="55" r:id="rId34"/>
    <sheet name="UnitaryAC-HPMinEffReq_T24N" sheetId="56" r:id="rId35"/>
    <sheet name="UnitaryAC-HPMinEffReq_Old" sheetId="7" state="hidden" r:id="rId36"/>
    <sheet name="ChillerMinEffReq" sheetId="19" r:id="rId37"/>
    <sheet name="Sheet3" sheetId="9" r:id="rId38"/>
  </sheets>
  <externalReferences>
    <externalReference r:id="rId39"/>
  </externalReferences>
  <definedNames>
    <definedName name="_xlnm._FilterDatabase" localSheetId="4" hidden="1">LtgInputRestrictions_T24N_2019!$A$25:$V$110</definedName>
    <definedName name="Status" localSheetId="34">[1]Key!$B$4:$B$9</definedName>
    <definedName name="Status" localSheetId="33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4" i="56" l="1"/>
  <c r="K84" i="56"/>
  <c r="V27" i="51" l="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X100" i="51" l="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A91" i="51" l="1"/>
  <c r="Z26" i="51"/>
  <c r="T101" i="51"/>
  <c r="Y106" i="51"/>
  <c r="Z106" i="51" s="1"/>
  <c r="Y107" i="51"/>
  <c r="Z107" i="51" s="1"/>
  <c r="Y108" i="51"/>
  <c r="Z108" i="51" s="1"/>
  <c r="Y109" i="51"/>
  <c r="Z109" i="51" s="1"/>
  <c r="T102" i="51" l="1"/>
  <c r="T103" i="51" l="1"/>
  <c r="T104" i="51" l="1"/>
  <c r="B28" i="56"/>
  <c r="B23" i="55"/>
  <c r="C28" i="54" l="1"/>
  <c r="C29" i="54" s="1"/>
  <c r="C30" i="54" s="1"/>
  <c r="C31" i="54" s="1"/>
  <c r="B22" i="54"/>
  <c r="C18" i="54"/>
  <c r="AD17" i="51" l="1"/>
  <c r="AD16" i="51"/>
  <c r="AD15" i="51"/>
  <c r="AD14" i="51"/>
  <c r="U106" i="51"/>
  <c r="U107" i="51"/>
  <c r="U108" i="51"/>
  <c r="U109" i="51"/>
  <c r="AA69" i="51" l="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B22" i="50" l="1"/>
  <c r="C18" i="50"/>
  <c r="B22" i="49" l="1"/>
  <c r="C18" i="49"/>
  <c r="C28" i="47" l="1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B22" i="45" l="1"/>
  <c r="B22" i="44" l="1"/>
  <c r="B22" i="43" l="1"/>
  <c r="T34" i="35" l="1"/>
  <c r="T35" i="35"/>
  <c r="F21" i="41" l="1"/>
  <c r="F19" i="41"/>
  <c r="C119" i="38" l="1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C124" i="38" l="1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C18" i="36" l="1"/>
  <c r="T36" i="35" l="1"/>
  <c r="T33" i="35"/>
  <c r="T32" i="35"/>
  <c r="T31" i="35"/>
  <c r="T30" i="35"/>
  <c r="T29" i="35"/>
  <c r="T28" i="35"/>
  <c r="T27" i="35"/>
  <c r="T26" i="35"/>
  <c r="C18" i="34" l="1"/>
  <c r="B22" i="34"/>
  <c r="C18" i="29" l="1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O66" i="3" l="1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</calcChain>
</file>

<file path=xl/sharedStrings.xml><?xml version="1.0" encoding="utf-8"?>
<sst xmlns="http://schemas.openxmlformats.org/spreadsheetml/2006/main" count="6540" uniqueCount="1065">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</sst>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</cellStyleXfs>
  <cellXfs count="37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8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9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6" activePane="bottomLeft" state="frozen"/>
      <selection pane="bottomLeft" activeCell="C51" sqref="C51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31" priority="4">
      <formula>IF($J6="NotUsed",TRUE,FALSE)</formula>
    </cfRule>
  </conditionalFormatting>
  <conditionalFormatting sqref="L46">
    <cfRule type="expression" dxfId="30" priority="3">
      <formula>IF($J46="NotUsed",TRUE,FALSE)</formula>
    </cfRule>
  </conditionalFormatting>
  <conditionalFormatting sqref="K51">
    <cfRule type="expression" dxfId="29" priority="2">
      <formula>IF($J51="NotUsed",TRUE,FALSE)</formula>
    </cfRule>
  </conditionalFormatting>
  <conditionalFormatting sqref="K56">
    <cfRule type="expression" dxfId="2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27" priority="2">
      <formula>D26=1</formula>
    </cfRule>
  </conditionalFormatting>
  <conditionalFormatting sqref="L79:S79">
    <cfRule type="expression" dxfId="2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25" priority="2">
      <formula>D26=1</formula>
    </cfRule>
  </conditionalFormatting>
  <conditionalFormatting sqref="D79:R79">
    <cfRule type="expression" dxfId="2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H13" sqref="H13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23" priority="13">
      <formula>D26&gt;0</formula>
    </cfRule>
  </conditionalFormatting>
  <conditionalFormatting sqref="O26:O96 O106:O109">
    <cfRule type="expression" dxfId="22" priority="11">
      <formula>O26&gt;0</formula>
    </cfRule>
  </conditionalFormatting>
  <conditionalFormatting sqref="K26:R33">
    <cfRule type="expression" dxfId="21" priority="10">
      <formula>K26&gt;0</formula>
    </cfRule>
  </conditionalFormatting>
  <conditionalFormatting sqref="D26:J33">
    <cfRule type="expression" dxfId="20" priority="9">
      <formula>D26&gt;0</formula>
    </cfRule>
  </conditionalFormatting>
  <conditionalFormatting sqref="D119:N119 P119:R119">
    <cfRule type="expression" dxfId="19" priority="8">
      <formula>D119&gt;0</formula>
    </cfRule>
  </conditionalFormatting>
  <conditionalFormatting sqref="O119">
    <cfRule type="expression" dxfId="18" priority="7">
      <formula>O119&gt;0</formula>
    </cfRule>
  </conditionalFormatting>
  <conditionalFormatting sqref="K111:R118">
    <cfRule type="expression" dxfId="17" priority="6">
      <formula>K111&gt;0</formula>
    </cfRule>
  </conditionalFormatting>
  <conditionalFormatting sqref="D111:J118">
    <cfRule type="expression" dxfId="16" priority="5">
      <formula>D111&gt;0</formula>
    </cfRule>
  </conditionalFormatting>
  <conditionalFormatting sqref="D105:N105 P105:R105">
    <cfRule type="expression" dxfId="15" priority="4">
      <formula>D105&gt;0</formula>
    </cfRule>
  </conditionalFormatting>
  <conditionalFormatting sqref="O105">
    <cfRule type="expression" dxfId="14" priority="3">
      <formula>O105&gt;0</formula>
    </cfRule>
  </conditionalFormatting>
  <conditionalFormatting sqref="K97:R104">
    <cfRule type="expression" dxfId="13" priority="2">
      <formula>K97&gt;0</formula>
    </cfRule>
  </conditionalFormatting>
  <conditionalFormatting sqref="D97:J104">
    <cfRule type="expression" dxfId="1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H8" sqref="H8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11" priority="1">
      <formula>D26="Addl. Criteria"</formula>
    </cfRule>
    <cfRule type="expression" dxfId="10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9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C43" sqref="C43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workbookViewId="0">
      <selection activeCell="C25" sqref="C25:L10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4" workbookViewId="0">
      <selection activeCell="L28" sqref="L28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zoomScale="85" zoomScaleNormal="85" workbookViewId="0">
      <selection activeCell="R32" sqref="R32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8" priority="1">
      <formula>G26=1</formula>
    </cfRule>
  </conditionalFormatting>
  <conditionalFormatting sqref="G26:R36">
    <cfRule type="expression" dxfId="7" priority="5">
      <formula>$L26=1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6" priority="1">
      <formula>G26=1</formula>
    </cfRule>
  </conditionalFormatting>
  <conditionalFormatting sqref="G26:L29">
    <cfRule type="expression" dxfId="5" priority="8">
      <formula>#REF!=1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zoomScaleNormal="100" workbookViewId="0">
      <selection activeCell="K19" sqref="K19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zoomScaleNormal="100" workbookViewId="0">
      <selection activeCell="N43" sqref="N43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00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40" zoomScaleNormal="40" workbookViewId="0">
      <selection activeCell="C25" sqref="C25:M75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94"/>
  <sheetViews>
    <sheetView tabSelected="1" topLeftCell="A28" zoomScale="85" zoomScaleNormal="85" workbookViewId="0">
      <selection activeCell="J57" sqref="J57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30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/>
      <c r="D12" s="145"/>
    </row>
    <row r="13" spans="1:14" s="138" customFormat="1" x14ac:dyDescent="0.25">
      <c r="A13" s="138" t="s">
        <v>250</v>
      </c>
      <c r="B13" s="116" t="s">
        <v>358</v>
      </c>
      <c r="C13" s="116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41"/>
    </row>
    <row r="14" spans="1:14" x14ac:dyDescent="0.25">
      <c r="A14" s="145" t="s">
        <v>250</v>
      </c>
      <c r="B14" s="351"/>
      <c r="C14" s="351" t="s">
        <v>381</v>
      </c>
    </row>
    <row r="15" spans="1:14" x14ac:dyDescent="0.25">
      <c r="A15" s="145" t="s">
        <v>250</v>
      </c>
      <c r="B15" s="351"/>
      <c r="C15" s="351" t="s">
        <v>1004</v>
      </c>
    </row>
    <row r="16" spans="1:14" x14ac:dyDescent="0.25">
      <c r="A16" s="145" t="s">
        <v>250</v>
      </c>
      <c r="B16" s="351"/>
      <c r="C16" s="351" t="s">
        <v>1005</v>
      </c>
    </row>
    <row r="17" spans="1:14" x14ac:dyDescent="0.25">
      <c r="A17" s="145" t="s">
        <v>250</v>
      </c>
      <c r="B17" s="351"/>
      <c r="C17" s="351" t="s">
        <v>1057</v>
      </c>
    </row>
    <row r="18" spans="1:14" x14ac:dyDescent="0.25">
      <c r="A18" s="145" t="s">
        <v>250</v>
      </c>
      <c r="B18" s="351"/>
      <c r="C18" s="351" t="s">
        <v>783</v>
      </c>
    </row>
    <row r="19" spans="1:14" s="138" customFormat="1" x14ac:dyDescent="0.25">
      <c r="A19" s="138" t="s">
        <v>250</v>
      </c>
      <c r="B19" s="116" t="s">
        <v>355</v>
      </c>
      <c r="C19" s="116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41"/>
    </row>
    <row r="20" spans="1:14" x14ac:dyDescent="0.25">
      <c r="A20" s="145" t="s">
        <v>250</v>
      </c>
      <c r="B20" s="351"/>
      <c r="C20" s="351" t="s">
        <v>382</v>
      </c>
      <c r="E20" s="352"/>
    </row>
    <row r="21" spans="1:14" x14ac:dyDescent="0.25">
      <c r="A21" s="145" t="s">
        <v>250</v>
      </c>
      <c r="B21" s="351"/>
      <c r="C21" s="351" t="s">
        <v>383</v>
      </c>
      <c r="E21" s="352"/>
    </row>
    <row r="22" spans="1:14" x14ac:dyDescent="0.25">
      <c r="A22" s="145" t="s">
        <v>250</v>
      </c>
      <c r="B22" s="351"/>
      <c r="C22" s="351" t="s">
        <v>1058</v>
      </c>
      <c r="E22" s="352"/>
    </row>
    <row r="23" spans="1:14" x14ac:dyDescent="0.25">
      <c r="A23" s="145" t="s">
        <v>250</v>
      </c>
      <c r="B23" s="351"/>
      <c r="C23" s="351"/>
      <c r="E23" s="352"/>
    </row>
    <row r="24" spans="1:14" s="138" customFormat="1" x14ac:dyDescent="0.25">
      <c r="A24" s="138" t="s">
        <v>250</v>
      </c>
      <c r="B24" s="116" t="s">
        <v>354</v>
      </c>
      <c r="C24" s="116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41"/>
    </row>
    <row r="25" spans="1:14" x14ac:dyDescent="0.25">
      <c r="A25" s="145" t="s">
        <v>250</v>
      </c>
      <c r="B25" s="351"/>
      <c r="C25" s="116" t="s">
        <v>911</v>
      </c>
      <c r="D25" s="353"/>
      <c r="E25" s="353"/>
      <c r="F25" s="353"/>
      <c r="G25" s="353"/>
      <c r="H25" s="353"/>
    </row>
    <row r="26" spans="1:14" x14ac:dyDescent="0.25">
      <c r="A26" s="145" t="s">
        <v>250</v>
      </c>
      <c r="B26" s="351"/>
      <c r="C26" s="351"/>
      <c r="E26" s="352"/>
    </row>
    <row r="27" spans="1:14" s="138" customFormat="1" x14ac:dyDescent="0.25">
      <c r="A27" s="138" t="s">
        <v>365</v>
      </c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41"/>
    </row>
    <row r="28" spans="1:14" s="151" customFormat="1" x14ac:dyDescent="0.25">
      <c r="A28" s="145"/>
      <c r="B28" s="140" t="str">
        <f>"TABLE "&amp;$C$4</f>
        <v>TABLE UnitaryACHPMinEffReq</v>
      </c>
      <c r="N28" s="145"/>
    </row>
    <row r="29" spans="1:14" x14ac:dyDescent="0.25">
      <c r="C29" s="151" t="s">
        <v>912</v>
      </c>
      <c r="D29" s="151" t="s">
        <v>558</v>
      </c>
      <c r="E29" s="151" t="s">
        <v>571</v>
      </c>
      <c r="F29" s="153" t="s">
        <v>568</v>
      </c>
      <c r="G29" s="153" t="s">
        <v>279</v>
      </c>
      <c r="H29" s="151" t="s">
        <v>11</v>
      </c>
      <c r="I29" s="151" t="s">
        <v>12</v>
      </c>
      <c r="J29" s="151" t="s">
        <v>559</v>
      </c>
      <c r="K29" s="151" t="s">
        <v>930</v>
      </c>
      <c r="L29" s="151" t="s">
        <v>931</v>
      </c>
      <c r="M29" s="151" t="s">
        <v>560</v>
      </c>
      <c r="N29" s="145" t="s">
        <v>9</v>
      </c>
    </row>
    <row r="30" spans="1:14" x14ac:dyDescent="0.25">
      <c r="C30" s="371" t="s">
        <v>1037</v>
      </c>
      <c r="D30" s="151" t="s">
        <v>1007</v>
      </c>
      <c r="E30" s="151" t="s">
        <v>348</v>
      </c>
      <c r="F30" s="153" t="s">
        <v>569</v>
      </c>
      <c r="G30" s="153" t="s">
        <v>561</v>
      </c>
      <c r="H30" s="370">
        <v>11</v>
      </c>
      <c r="I30" s="370">
        <v>0</v>
      </c>
      <c r="J30" s="151" t="s">
        <v>1008</v>
      </c>
      <c r="K30" s="358">
        <v>0</v>
      </c>
      <c r="L30" s="358">
        <v>0</v>
      </c>
      <c r="M30" s="151" t="s">
        <v>258</v>
      </c>
    </row>
    <row r="31" spans="1:14" x14ac:dyDescent="0.25">
      <c r="C31" s="354" t="s">
        <v>1006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55">
        <v>11</v>
      </c>
      <c r="I31" s="355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151" t="s">
        <v>348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150">
        <v>10</v>
      </c>
      <c r="I32" s="150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348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549</v>
      </c>
      <c r="E34" s="153" t="s">
        <v>928</v>
      </c>
      <c r="F34" s="153" t="s">
        <v>569</v>
      </c>
      <c r="G34" s="151" t="s">
        <v>927</v>
      </c>
      <c r="H34" s="150">
        <v>12.2</v>
      </c>
      <c r="I34" s="150">
        <v>0</v>
      </c>
      <c r="J34" s="151" t="s">
        <v>1038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561</v>
      </c>
      <c r="H35" s="150">
        <v>11.7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929</v>
      </c>
      <c r="F36" s="153" t="s">
        <v>569</v>
      </c>
      <c r="G36" s="151" t="s">
        <v>561</v>
      </c>
      <c r="H36" s="150">
        <v>11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s="151" customFormat="1" x14ac:dyDescent="0.25">
      <c r="C37" s="151" t="s">
        <v>348</v>
      </c>
      <c r="D37" s="151" t="s">
        <v>549</v>
      </c>
      <c r="E37" s="153" t="s">
        <v>348</v>
      </c>
      <c r="F37" s="153" t="s">
        <v>569</v>
      </c>
      <c r="G37" s="151" t="s">
        <v>561</v>
      </c>
      <c r="H37" s="358">
        <v>0</v>
      </c>
      <c r="I37" s="358">
        <v>0</v>
      </c>
      <c r="J37" s="356" t="s">
        <v>258</v>
      </c>
      <c r="K37" s="358">
        <v>0</v>
      </c>
      <c r="L37" s="358">
        <v>0</v>
      </c>
      <c r="M37" s="151" t="s">
        <v>258</v>
      </c>
      <c r="N37" s="145" t="s">
        <v>1053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553</v>
      </c>
      <c r="H38" s="150">
        <v>11.2</v>
      </c>
      <c r="I38" s="150">
        <v>12.9</v>
      </c>
      <c r="J38" s="151" t="s">
        <v>563</v>
      </c>
      <c r="K38" s="358">
        <v>0</v>
      </c>
      <c r="L38" s="358">
        <v>0</v>
      </c>
      <c r="M38" s="151" t="s">
        <v>258</v>
      </c>
      <c r="N38" s="145"/>
    </row>
    <row r="39" spans="3:14" s="151" customFormat="1" x14ac:dyDescent="0.25">
      <c r="C39" s="151" t="s">
        <v>348</v>
      </c>
      <c r="D39" s="151" t="s">
        <v>549</v>
      </c>
      <c r="E39" s="153" t="s">
        <v>348</v>
      </c>
      <c r="F39" s="153" t="s">
        <v>569</v>
      </c>
      <c r="G39" s="151" t="s">
        <v>552</v>
      </c>
      <c r="H39" s="150">
        <v>11</v>
      </c>
      <c r="I39" s="150">
        <v>12.4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151" t="s">
        <v>348</v>
      </c>
      <c r="D40" s="151" t="s">
        <v>549</v>
      </c>
      <c r="E40" s="153" t="s">
        <v>348</v>
      </c>
      <c r="F40" s="153" t="s">
        <v>569</v>
      </c>
      <c r="G40" s="151" t="s">
        <v>555</v>
      </c>
      <c r="H40" s="150">
        <v>10</v>
      </c>
      <c r="I40" s="150">
        <v>11.6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151" t="s">
        <v>348</v>
      </c>
      <c r="D41" s="151" t="s">
        <v>549</v>
      </c>
      <c r="E41" s="153" t="s">
        <v>348</v>
      </c>
      <c r="F41" s="153" t="s">
        <v>569</v>
      </c>
      <c r="G41" s="151" t="s">
        <v>554</v>
      </c>
      <c r="H41" s="150">
        <v>9.6999999999999993</v>
      </c>
      <c r="I41" s="150">
        <v>11.2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564</v>
      </c>
      <c r="H42" s="155">
        <v>12.1</v>
      </c>
      <c r="I42" s="155">
        <v>0</v>
      </c>
      <c r="J42" s="151" t="s">
        <v>565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151" t="s">
        <v>348</v>
      </c>
      <c r="D43" s="151" t="s">
        <v>549</v>
      </c>
      <c r="E43" s="151" t="s">
        <v>348</v>
      </c>
      <c r="F43" s="153" t="s">
        <v>546</v>
      </c>
      <c r="G43" s="151" t="s">
        <v>561</v>
      </c>
      <c r="H43" s="155">
        <v>12.1</v>
      </c>
      <c r="I43" s="155">
        <v>0</v>
      </c>
      <c r="J43" s="151" t="s">
        <v>565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553</v>
      </c>
      <c r="H44" s="150">
        <v>12.1</v>
      </c>
      <c r="I44" s="150">
        <v>13.9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151" t="s">
        <v>348</v>
      </c>
      <c r="D45" s="151" t="s">
        <v>549</v>
      </c>
      <c r="E45" s="151" t="s">
        <v>348</v>
      </c>
      <c r="F45" s="153" t="s">
        <v>546</v>
      </c>
      <c r="G45" s="151" t="s">
        <v>552</v>
      </c>
      <c r="H45" s="150">
        <v>12.5</v>
      </c>
      <c r="I45" s="150">
        <v>13.9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555</v>
      </c>
      <c r="H46" s="150">
        <v>12.4</v>
      </c>
      <c r="I46" s="150">
        <v>13.6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554</v>
      </c>
      <c r="H47" s="150">
        <v>12.2</v>
      </c>
      <c r="I47" s="150">
        <v>13.5</v>
      </c>
      <c r="J47" s="151" t="s">
        <v>563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561</v>
      </c>
      <c r="H48" s="150">
        <v>12.1</v>
      </c>
      <c r="I48" s="150">
        <v>0</v>
      </c>
      <c r="J48" s="151" t="s">
        <v>562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553</v>
      </c>
      <c r="H49" s="150">
        <v>12.1</v>
      </c>
      <c r="I49" s="150">
        <v>12.3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552</v>
      </c>
      <c r="H50" s="150">
        <v>12</v>
      </c>
      <c r="I50" s="150">
        <v>12.2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555</v>
      </c>
      <c r="H51" s="150">
        <v>11.9</v>
      </c>
      <c r="I51" s="150">
        <v>12.1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548</v>
      </c>
      <c r="G52" s="151" t="s">
        <v>554</v>
      </c>
      <c r="H52" s="150">
        <v>11.7</v>
      </c>
      <c r="I52" s="150">
        <v>11.9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x14ac:dyDescent="0.25">
      <c r="C53" s="371" t="s">
        <v>1037</v>
      </c>
      <c r="D53" s="151" t="s">
        <v>1009</v>
      </c>
      <c r="E53" s="151" t="s">
        <v>348</v>
      </c>
      <c r="F53" s="153" t="s">
        <v>569</v>
      </c>
      <c r="G53" s="153" t="s">
        <v>561</v>
      </c>
      <c r="H53" s="370">
        <v>11</v>
      </c>
      <c r="I53" s="370">
        <v>0</v>
      </c>
      <c r="J53" s="151" t="s">
        <v>1008</v>
      </c>
      <c r="K53" s="370">
        <v>3.3</v>
      </c>
      <c r="L53" s="370">
        <v>0</v>
      </c>
      <c r="M53" s="151" t="s">
        <v>1008</v>
      </c>
      <c r="N53" s="145" t="s">
        <v>1055</v>
      </c>
    </row>
    <row r="54" spans="3:15" x14ac:dyDescent="0.25">
      <c r="C54" s="354" t="s">
        <v>1006</v>
      </c>
      <c r="D54" s="151" t="s">
        <v>1009</v>
      </c>
      <c r="E54" s="151" t="s">
        <v>348</v>
      </c>
      <c r="F54" s="153" t="s">
        <v>569</v>
      </c>
      <c r="G54" s="153" t="s">
        <v>561</v>
      </c>
      <c r="H54" s="355">
        <v>11</v>
      </c>
      <c r="I54" s="355">
        <v>0</v>
      </c>
      <c r="J54" s="151" t="s">
        <v>1008</v>
      </c>
      <c r="K54" s="355">
        <v>3.3</v>
      </c>
      <c r="L54" s="355">
        <v>0</v>
      </c>
      <c r="M54" s="151" t="s">
        <v>1008</v>
      </c>
      <c r="N54" s="145" t="s">
        <v>1055</v>
      </c>
    </row>
    <row r="55" spans="3:15" x14ac:dyDescent="0.25">
      <c r="C55" s="151" t="s">
        <v>348</v>
      </c>
      <c r="D55" s="151" t="s">
        <v>1009</v>
      </c>
      <c r="E55" s="151" t="s">
        <v>348</v>
      </c>
      <c r="F55" s="153" t="s">
        <v>569</v>
      </c>
      <c r="G55" s="153" t="s">
        <v>561</v>
      </c>
      <c r="H55" s="150">
        <v>10</v>
      </c>
      <c r="I55" s="150">
        <v>0</v>
      </c>
      <c r="J55" s="151" t="s">
        <v>1008</v>
      </c>
      <c r="K55" s="150">
        <v>3</v>
      </c>
      <c r="L55" s="150">
        <v>0</v>
      </c>
      <c r="M55" s="151" t="s">
        <v>1008</v>
      </c>
      <c r="N55" s="145" t="s">
        <v>1055</v>
      </c>
    </row>
    <row r="56" spans="3:15" x14ac:dyDescent="0.25">
      <c r="C56" s="151" t="s">
        <v>348</v>
      </c>
      <c r="D56" s="151" t="s">
        <v>1009</v>
      </c>
      <c r="E56" s="151" t="s">
        <v>348</v>
      </c>
      <c r="F56" s="153" t="s">
        <v>569</v>
      </c>
      <c r="G56" s="153" t="s">
        <v>348</v>
      </c>
      <c r="H56" s="150">
        <v>10</v>
      </c>
      <c r="I56" s="150">
        <v>0</v>
      </c>
      <c r="J56" s="151" t="s">
        <v>1008</v>
      </c>
      <c r="K56" s="150">
        <v>3</v>
      </c>
      <c r="L56" s="150">
        <v>0</v>
      </c>
      <c r="M56" s="151" t="s">
        <v>1008</v>
      </c>
      <c r="N56" s="145" t="s">
        <v>1055</v>
      </c>
    </row>
    <row r="57" spans="3:15" x14ac:dyDescent="0.25">
      <c r="C57" s="151" t="s">
        <v>348</v>
      </c>
      <c r="D57" s="151" t="s">
        <v>550</v>
      </c>
      <c r="E57" s="153" t="s">
        <v>928</v>
      </c>
      <c r="F57" s="153" t="s">
        <v>569</v>
      </c>
      <c r="G57" s="151" t="s">
        <v>927</v>
      </c>
      <c r="H57" s="358">
        <v>0</v>
      </c>
      <c r="I57" s="150">
        <v>0</v>
      </c>
      <c r="J57" s="151" t="s">
        <v>1064</v>
      </c>
      <c r="K57" s="150">
        <v>0</v>
      </c>
      <c r="L57" s="150">
        <v>0</v>
      </c>
      <c r="M57" s="151" t="s">
        <v>258</v>
      </c>
      <c r="N57" s="145" t="s">
        <v>1054</v>
      </c>
      <c r="O57" s="145" t="s">
        <v>1063</v>
      </c>
    </row>
    <row r="58" spans="3:15" x14ac:dyDescent="0.25">
      <c r="C58" s="151" t="s">
        <v>348</v>
      </c>
      <c r="D58" s="151" t="s">
        <v>550</v>
      </c>
      <c r="E58" s="153" t="s">
        <v>928</v>
      </c>
      <c r="F58" s="153" t="s">
        <v>569</v>
      </c>
      <c r="G58" s="151" t="s">
        <v>561</v>
      </c>
      <c r="H58" s="358">
        <v>0</v>
      </c>
      <c r="I58" s="150">
        <v>0</v>
      </c>
      <c r="J58" s="151" t="s">
        <v>1064</v>
      </c>
      <c r="K58" s="150">
        <v>0</v>
      </c>
      <c r="L58" s="150">
        <v>0</v>
      </c>
      <c r="M58" s="151" t="s">
        <v>258</v>
      </c>
      <c r="N58" s="145" t="s">
        <v>1054</v>
      </c>
      <c r="O58" s="145" t="s">
        <v>1063</v>
      </c>
    </row>
    <row r="59" spans="3:15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569</v>
      </c>
      <c r="G59" s="151" t="s">
        <v>561</v>
      </c>
      <c r="H59" s="358">
        <v>0</v>
      </c>
      <c r="I59" s="358">
        <v>0</v>
      </c>
      <c r="J59" s="356" t="s">
        <v>258</v>
      </c>
      <c r="K59" s="358">
        <v>0</v>
      </c>
      <c r="L59" s="358">
        <v>0</v>
      </c>
      <c r="M59" s="151" t="s">
        <v>258</v>
      </c>
      <c r="N59" s="145" t="s">
        <v>1054</v>
      </c>
    </row>
    <row r="60" spans="3:15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569</v>
      </c>
      <c r="G60" s="151" t="s">
        <v>553</v>
      </c>
      <c r="H60" s="150">
        <v>11</v>
      </c>
      <c r="I60" s="150">
        <v>12.2</v>
      </c>
      <c r="J60" s="151" t="s">
        <v>566</v>
      </c>
      <c r="K60" s="152">
        <v>3.3</v>
      </c>
      <c r="L60" s="152">
        <v>2.25</v>
      </c>
      <c r="M60" s="151" t="s">
        <v>566</v>
      </c>
      <c r="N60" s="141"/>
    </row>
    <row r="61" spans="3:15" s="151" customFormat="1" x14ac:dyDescent="0.25">
      <c r="C61" s="151" t="s">
        <v>348</v>
      </c>
      <c r="D61" s="151" t="s">
        <v>550</v>
      </c>
      <c r="E61" s="151" t="s">
        <v>348</v>
      </c>
      <c r="F61" s="153" t="s">
        <v>569</v>
      </c>
      <c r="G61" s="151" t="s">
        <v>552</v>
      </c>
      <c r="H61" s="150">
        <v>10.6</v>
      </c>
      <c r="I61" s="150">
        <v>11.6</v>
      </c>
      <c r="J61" s="151" t="s">
        <v>566</v>
      </c>
      <c r="K61" s="152">
        <v>3.2</v>
      </c>
      <c r="L61" s="152">
        <v>2.0499999999999998</v>
      </c>
      <c r="M61" s="151" t="s">
        <v>566</v>
      </c>
      <c r="N61" s="141"/>
    </row>
    <row r="62" spans="3:15" s="151" customFormat="1" x14ac:dyDescent="0.25">
      <c r="C62" s="151" t="s">
        <v>348</v>
      </c>
      <c r="D62" s="356" t="s">
        <v>550</v>
      </c>
      <c r="E62" s="356" t="s">
        <v>348</v>
      </c>
      <c r="F62" s="357" t="s">
        <v>569</v>
      </c>
      <c r="G62" s="356" t="s">
        <v>551</v>
      </c>
      <c r="H62" s="358">
        <v>9.5</v>
      </c>
      <c r="I62" s="358">
        <v>10.6</v>
      </c>
      <c r="J62" s="356" t="s">
        <v>566</v>
      </c>
      <c r="K62" s="359">
        <v>3.2</v>
      </c>
      <c r="L62" s="359">
        <v>2.0499999999999998</v>
      </c>
      <c r="M62" s="151" t="s">
        <v>566</v>
      </c>
      <c r="N62" s="141"/>
    </row>
    <row r="63" spans="3:15" s="151" customFormat="1" x14ac:dyDescent="0.25">
      <c r="C63" s="151" t="s">
        <v>348</v>
      </c>
      <c r="D63" s="356" t="s">
        <v>550</v>
      </c>
      <c r="E63" s="356" t="s">
        <v>348</v>
      </c>
      <c r="F63" s="357" t="s">
        <v>546</v>
      </c>
      <c r="G63" s="356" t="s">
        <v>564</v>
      </c>
      <c r="H63" s="358">
        <v>11.2</v>
      </c>
      <c r="I63" s="358">
        <v>0</v>
      </c>
      <c r="J63" s="356" t="s">
        <v>562</v>
      </c>
      <c r="K63" s="359">
        <v>4.2</v>
      </c>
      <c r="L63" s="359">
        <v>0</v>
      </c>
      <c r="M63" s="151" t="s">
        <v>562</v>
      </c>
      <c r="N63" s="145"/>
    </row>
    <row r="64" spans="3:15" s="151" customFormat="1" x14ac:dyDescent="0.25">
      <c r="C64" s="151" t="s">
        <v>348</v>
      </c>
      <c r="D64" s="356" t="s">
        <v>550</v>
      </c>
      <c r="E64" s="356" t="s">
        <v>348</v>
      </c>
      <c r="F64" s="357" t="s">
        <v>546</v>
      </c>
      <c r="G64" s="356" t="s">
        <v>561</v>
      </c>
      <c r="H64" s="358">
        <v>12</v>
      </c>
      <c r="I64" s="358">
        <v>0</v>
      </c>
      <c r="J64" s="356" t="s">
        <v>562</v>
      </c>
      <c r="K64" s="359">
        <v>4.2</v>
      </c>
      <c r="L64" s="359">
        <v>0</v>
      </c>
      <c r="M64" s="151" t="s">
        <v>562</v>
      </c>
      <c r="N64" s="145"/>
    </row>
    <row r="65" spans="3:14" s="151" customFormat="1" x14ac:dyDescent="0.25">
      <c r="C65" s="151" t="s">
        <v>348</v>
      </c>
      <c r="D65" s="356" t="s">
        <v>550</v>
      </c>
      <c r="E65" s="356" t="s">
        <v>348</v>
      </c>
      <c r="F65" s="357" t="s">
        <v>546</v>
      </c>
      <c r="G65" s="356" t="s">
        <v>553</v>
      </c>
      <c r="H65" s="360">
        <v>13</v>
      </c>
      <c r="I65" s="360">
        <v>0</v>
      </c>
      <c r="J65" s="356" t="s">
        <v>566</v>
      </c>
      <c r="K65" s="360">
        <v>4.3</v>
      </c>
      <c r="L65" s="360">
        <v>0</v>
      </c>
      <c r="M65" s="151" t="s">
        <v>566</v>
      </c>
      <c r="N65" s="145"/>
    </row>
    <row r="66" spans="3:14" s="151" customFormat="1" x14ac:dyDescent="0.25">
      <c r="C66" s="151" t="s">
        <v>348</v>
      </c>
      <c r="D66" s="348" t="s">
        <v>550</v>
      </c>
      <c r="E66" s="348" t="s">
        <v>348</v>
      </c>
      <c r="F66" s="349" t="s">
        <v>546</v>
      </c>
      <c r="G66" s="348" t="s">
        <v>552</v>
      </c>
      <c r="H66" s="360">
        <v>12.3</v>
      </c>
      <c r="I66" s="360">
        <v>0</v>
      </c>
      <c r="J66" s="356" t="s">
        <v>562</v>
      </c>
      <c r="K66" s="360">
        <v>2.9</v>
      </c>
      <c r="L66" s="360">
        <v>0</v>
      </c>
      <c r="M66" s="151" t="s">
        <v>562</v>
      </c>
      <c r="N66" s="145"/>
    </row>
    <row r="67" spans="3:14" s="151" customFormat="1" x14ac:dyDescent="0.25">
      <c r="C67" s="151" t="s">
        <v>348</v>
      </c>
      <c r="D67" s="356" t="s">
        <v>550</v>
      </c>
      <c r="E67" s="356" t="s">
        <v>348</v>
      </c>
      <c r="F67" s="357" t="s">
        <v>546</v>
      </c>
      <c r="G67" s="356" t="s">
        <v>555</v>
      </c>
      <c r="H67" s="358">
        <v>12.2</v>
      </c>
      <c r="I67" s="358">
        <v>0</v>
      </c>
      <c r="J67" s="356" t="s">
        <v>562</v>
      </c>
      <c r="K67" s="358">
        <v>0</v>
      </c>
      <c r="L67" s="358">
        <v>0</v>
      </c>
      <c r="M67" s="151" t="s">
        <v>562</v>
      </c>
      <c r="N67" s="145"/>
    </row>
    <row r="68" spans="3:14" s="151" customFormat="1" x14ac:dyDescent="0.25">
      <c r="C68" s="151" t="s">
        <v>348</v>
      </c>
      <c r="D68" s="356" t="s">
        <v>550</v>
      </c>
      <c r="E68" s="356" t="s">
        <v>348</v>
      </c>
      <c r="F68" s="357" t="s">
        <v>546</v>
      </c>
      <c r="G68" s="151" t="s">
        <v>554</v>
      </c>
      <c r="H68" s="358">
        <v>0</v>
      </c>
      <c r="I68" s="358">
        <v>0</v>
      </c>
      <c r="J68" s="356" t="s">
        <v>258</v>
      </c>
      <c r="K68" s="358">
        <v>0</v>
      </c>
      <c r="L68" s="358">
        <v>0</v>
      </c>
      <c r="M68" s="151" t="s">
        <v>258</v>
      </c>
      <c r="N68" s="145" t="s">
        <v>1056</v>
      </c>
    </row>
    <row r="69" spans="3:14" s="151" customFormat="1" x14ac:dyDescent="0.25">
      <c r="C69" s="151" t="s">
        <v>348</v>
      </c>
      <c r="D69" s="356" t="s">
        <v>550</v>
      </c>
      <c r="E69" s="356" t="s">
        <v>348</v>
      </c>
      <c r="F69" s="357" t="s">
        <v>547</v>
      </c>
      <c r="G69" s="356" t="s">
        <v>553</v>
      </c>
      <c r="H69" s="360">
        <v>18</v>
      </c>
      <c r="I69" s="360">
        <v>0</v>
      </c>
      <c r="J69" s="356" t="s">
        <v>566</v>
      </c>
      <c r="K69" s="360">
        <v>3.7</v>
      </c>
      <c r="L69" s="360">
        <v>0</v>
      </c>
      <c r="M69" s="151" t="s">
        <v>566</v>
      </c>
      <c r="N69" s="145"/>
    </row>
    <row r="70" spans="3:14" s="151" customFormat="1" x14ac:dyDescent="0.25">
      <c r="C70" s="151" t="s">
        <v>348</v>
      </c>
      <c r="D70" s="356" t="s">
        <v>550</v>
      </c>
      <c r="E70" s="356" t="s">
        <v>348</v>
      </c>
      <c r="F70" s="357" t="s">
        <v>547</v>
      </c>
      <c r="G70" s="356" t="s">
        <v>557</v>
      </c>
      <c r="H70" s="358">
        <v>0</v>
      </c>
      <c r="I70" s="358">
        <v>0</v>
      </c>
      <c r="J70" s="356" t="s">
        <v>258</v>
      </c>
      <c r="K70" s="358">
        <v>0</v>
      </c>
      <c r="L70" s="358">
        <v>0</v>
      </c>
      <c r="M70" s="151" t="s">
        <v>258</v>
      </c>
      <c r="N70" s="145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556</v>
      </c>
      <c r="G71" s="356" t="s">
        <v>553</v>
      </c>
      <c r="H71" s="360">
        <v>14.1</v>
      </c>
      <c r="I71" s="360">
        <v>0</v>
      </c>
      <c r="J71" s="356" t="s">
        <v>566</v>
      </c>
      <c r="K71" s="360">
        <v>3.2</v>
      </c>
      <c r="L71" s="360">
        <v>0</v>
      </c>
      <c r="M71" s="151" t="s">
        <v>566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556</v>
      </c>
      <c r="G72" s="356" t="s">
        <v>557</v>
      </c>
      <c r="H72" s="358">
        <v>0</v>
      </c>
      <c r="I72" s="358">
        <v>0</v>
      </c>
      <c r="J72" s="356" t="s">
        <v>258</v>
      </c>
      <c r="K72" s="358">
        <v>0</v>
      </c>
      <c r="L72" s="358">
        <v>0</v>
      </c>
      <c r="M72" s="151" t="s">
        <v>258</v>
      </c>
      <c r="N72" s="145" t="s">
        <v>1056</v>
      </c>
    </row>
    <row r="73" spans="3:14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561</v>
      </c>
      <c r="H73" s="150">
        <v>11</v>
      </c>
      <c r="I73" s="150">
        <v>0</v>
      </c>
      <c r="J73" s="150" t="s">
        <v>802</v>
      </c>
      <c r="K73" s="358">
        <v>0</v>
      </c>
      <c r="L73" s="358">
        <v>0</v>
      </c>
      <c r="M73" s="151" t="s">
        <v>258</v>
      </c>
      <c r="N73" s="145"/>
    </row>
    <row r="74" spans="3:14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553</v>
      </c>
      <c r="H74" s="150">
        <v>10.4</v>
      </c>
      <c r="I74" s="150">
        <v>0</v>
      </c>
      <c r="J74" s="150" t="s">
        <v>802</v>
      </c>
      <c r="K74" s="358">
        <v>0</v>
      </c>
      <c r="L74" s="358">
        <v>0</v>
      </c>
      <c r="M74" s="151" t="s">
        <v>258</v>
      </c>
      <c r="N74" s="145"/>
    </row>
    <row r="75" spans="3:14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552</v>
      </c>
      <c r="H75" s="150">
        <v>10.199999999999999</v>
      </c>
      <c r="I75" s="150">
        <v>0</v>
      </c>
      <c r="J75" s="150" t="s">
        <v>802</v>
      </c>
      <c r="K75" s="358">
        <v>0</v>
      </c>
      <c r="L75" s="358">
        <v>0</v>
      </c>
      <c r="M75" s="151" t="s">
        <v>258</v>
      </c>
      <c r="N75" s="145"/>
    </row>
    <row r="76" spans="3:14" s="151" customFormat="1" x14ac:dyDescent="0.25">
      <c r="C76" s="151" t="s">
        <v>348</v>
      </c>
      <c r="D76" s="151" t="s">
        <v>549</v>
      </c>
      <c r="E76" s="151" t="s">
        <v>801</v>
      </c>
      <c r="F76" s="154" t="s">
        <v>569</v>
      </c>
      <c r="G76" s="151" t="s">
        <v>551</v>
      </c>
      <c r="H76" s="150">
        <v>10.199999999999999</v>
      </c>
      <c r="I76" s="150">
        <v>0</v>
      </c>
      <c r="J76" s="150" t="s">
        <v>803</v>
      </c>
      <c r="K76" s="358">
        <v>0</v>
      </c>
      <c r="L76" s="358">
        <v>0</v>
      </c>
      <c r="M76" s="151" t="s">
        <v>258</v>
      </c>
      <c r="N76" s="145"/>
    </row>
    <row r="77" spans="3:14" s="151" customFormat="1" x14ac:dyDescent="0.25">
      <c r="C77" s="151" t="s">
        <v>348</v>
      </c>
      <c r="D77" s="151" t="s">
        <v>1059</v>
      </c>
      <c r="E77" s="151" t="s">
        <v>549</v>
      </c>
      <c r="F77" s="154" t="s">
        <v>569</v>
      </c>
      <c r="G77" s="151" t="s">
        <v>561</v>
      </c>
      <c r="H77" s="150">
        <v>0</v>
      </c>
      <c r="I77" s="150">
        <v>0</v>
      </c>
      <c r="J77" s="150" t="s">
        <v>1060</v>
      </c>
      <c r="K77" s="358">
        <v>0</v>
      </c>
      <c r="L77" s="358">
        <v>0</v>
      </c>
      <c r="M77" s="151" t="s">
        <v>258</v>
      </c>
      <c r="N77" s="145" t="s">
        <v>1053</v>
      </c>
    </row>
    <row r="78" spans="3:14" s="151" customFormat="1" x14ac:dyDescent="0.25">
      <c r="C78" s="151" t="s">
        <v>348</v>
      </c>
      <c r="D78" s="151" t="s">
        <v>1059</v>
      </c>
      <c r="E78" s="151" t="s">
        <v>549</v>
      </c>
      <c r="F78" s="154" t="s">
        <v>569</v>
      </c>
      <c r="G78" s="151" t="s">
        <v>553</v>
      </c>
      <c r="H78" s="150">
        <v>11.2</v>
      </c>
      <c r="I78" s="150">
        <v>0</v>
      </c>
      <c r="J78" s="150" t="s">
        <v>1060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151" t="s">
        <v>1059</v>
      </c>
      <c r="E79" s="151" t="s">
        <v>549</v>
      </c>
      <c r="F79" s="154" t="s">
        <v>569</v>
      </c>
      <c r="G79" s="151" t="s">
        <v>552</v>
      </c>
      <c r="H79" s="150">
        <v>11</v>
      </c>
      <c r="I79" s="150">
        <v>0</v>
      </c>
      <c r="J79" s="150" t="s">
        <v>1060</v>
      </c>
      <c r="K79" s="358">
        <v>0</v>
      </c>
      <c r="L79" s="358">
        <v>0</v>
      </c>
      <c r="M79" s="151" t="s">
        <v>258</v>
      </c>
      <c r="N79" s="145"/>
    </row>
    <row r="80" spans="3:14" s="151" customFormat="1" x14ac:dyDescent="0.25">
      <c r="C80" s="151" t="s">
        <v>348</v>
      </c>
      <c r="D80" s="151" t="s">
        <v>1059</v>
      </c>
      <c r="E80" s="151" t="s">
        <v>549</v>
      </c>
      <c r="F80" s="154" t="s">
        <v>569</v>
      </c>
      <c r="G80" s="151" t="s">
        <v>551</v>
      </c>
      <c r="H80" s="150">
        <v>10</v>
      </c>
      <c r="I80" s="150">
        <v>0</v>
      </c>
      <c r="J80" s="150" t="s">
        <v>1060</v>
      </c>
      <c r="K80" s="358">
        <v>0</v>
      </c>
      <c r="L80" s="358">
        <v>0</v>
      </c>
      <c r="M80" s="151" t="s">
        <v>258</v>
      </c>
      <c r="N80" s="145"/>
    </row>
    <row r="81" spans="2:14" s="151" customFormat="1" x14ac:dyDescent="0.25">
      <c r="C81" s="151" t="s">
        <v>348</v>
      </c>
      <c r="D81" s="151" t="s">
        <v>1059</v>
      </c>
      <c r="E81" s="151" t="s">
        <v>550</v>
      </c>
      <c r="F81" s="154" t="s">
        <v>569</v>
      </c>
      <c r="G81" s="151" t="s">
        <v>561</v>
      </c>
      <c r="H81" s="150">
        <v>0</v>
      </c>
      <c r="I81" s="150">
        <v>0</v>
      </c>
      <c r="J81" s="150" t="s">
        <v>1061</v>
      </c>
      <c r="K81" s="358">
        <v>0</v>
      </c>
      <c r="L81" s="358">
        <v>0</v>
      </c>
      <c r="M81" s="151" t="s">
        <v>258</v>
      </c>
      <c r="N81" s="145" t="s">
        <v>1054</v>
      </c>
    </row>
    <row r="82" spans="2:14" s="151" customFormat="1" x14ac:dyDescent="0.25">
      <c r="C82" s="151" t="s">
        <v>348</v>
      </c>
      <c r="D82" s="151" t="s">
        <v>1059</v>
      </c>
      <c r="E82" s="151" t="s">
        <v>550</v>
      </c>
      <c r="F82" s="154" t="s">
        <v>569</v>
      </c>
      <c r="G82" s="151" t="s">
        <v>553</v>
      </c>
      <c r="H82" s="150">
        <v>11</v>
      </c>
      <c r="I82" s="150">
        <v>14.6</v>
      </c>
      <c r="J82" s="150" t="s">
        <v>1061</v>
      </c>
      <c r="K82" s="358">
        <v>3.3</v>
      </c>
      <c r="L82" s="373">
        <v>2.25</v>
      </c>
      <c r="M82" s="150" t="s">
        <v>1061</v>
      </c>
      <c r="N82" s="145"/>
    </row>
    <row r="83" spans="2:14" s="151" customFormat="1" x14ac:dyDescent="0.25">
      <c r="C83" s="151" t="s">
        <v>348</v>
      </c>
      <c r="D83" s="151" t="s">
        <v>1059</v>
      </c>
      <c r="E83" s="151" t="s">
        <v>550</v>
      </c>
      <c r="F83" s="154" t="s">
        <v>569</v>
      </c>
      <c r="G83" s="151" t="s">
        <v>552</v>
      </c>
      <c r="H83" s="150">
        <v>10.6</v>
      </c>
      <c r="I83" s="150">
        <v>13.9</v>
      </c>
      <c r="J83" s="150" t="s">
        <v>1061</v>
      </c>
      <c r="K83" s="358">
        <v>3.2</v>
      </c>
      <c r="L83" s="373">
        <v>2.0499999999999998</v>
      </c>
      <c r="M83" s="150" t="s">
        <v>1061</v>
      </c>
      <c r="N83" s="145"/>
    </row>
    <row r="84" spans="2:14" s="151" customFormat="1" x14ac:dyDescent="0.25">
      <c r="C84" s="151" t="s">
        <v>348</v>
      </c>
      <c r="D84" s="151" t="s">
        <v>1059</v>
      </c>
      <c r="E84" s="151" t="s">
        <v>550</v>
      </c>
      <c r="F84" s="154" t="s">
        <v>569</v>
      </c>
      <c r="G84" s="151" t="s">
        <v>551</v>
      </c>
      <c r="H84" s="150">
        <v>9.5</v>
      </c>
      <c r="I84" s="150">
        <v>12.7</v>
      </c>
      <c r="J84" s="150" t="s">
        <v>1061</v>
      </c>
      <c r="K84" s="358">
        <f>K83</f>
        <v>3.2</v>
      </c>
      <c r="L84" s="373">
        <f>L83</f>
        <v>2.0499999999999998</v>
      </c>
      <c r="M84" s="150" t="s">
        <v>1061</v>
      </c>
      <c r="N84" s="145"/>
    </row>
    <row r="85" spans="2:14" s="151" customFormat="1" x14ac:dyDescent="0.25">
      <c r="C85" s="151" t="s">
        <v>348</v>
      </c>
      <c r="D85" s="151" t="s">
        <v>1059</v>
      </c>
      <c r="E85" s="151" t="s">
        <v>550</v>
      </c>
      <c r="F85" s="357" t="s">
        <v>546</v>
      </c>
      <c r="G85" s="151" t="s">
        <v>561</v>
      </c>
      <c r="H85" s="150">
        <v>12</v>
      </c>
      <c r="I85" s="150">
        <v>15.8</v>
      </c>
      <c r="J85" s="150" t="s">
        <v>1061</v>
      </c>
      <c r="K85" s="358">
        <v>4.3</v>
      </c>
      <c r="L85" s="358">
        <v>0</v>
      </c>
      <c r="M85" s="150" t="s">
        <v>1061</v>
      </c>
      <c r="N85" s="145"/>
    </row>
    <row r="86" spans="2:14" s="151" customFormat="1" x14ac:dyDescent="0.25">
      <c r="C86" s="151" t="s">
        <v>348</v>
      </c>
      <c r="D86" s="151" t="s">
        <v>1059</v>
      </c>
      <c r="E86" s="151" t="s">
        <v>550</v>
      </c>
      <c r="F86" s="357" t="s">
        <v>546</v>
      </c>
      <c r="G86" s="151" t="s">
        <v>553</v>
      </c>
      <c r="H86" s="150">
        <v>12</v>
      </c>
      <c r="I86" s="150">
        <v>15.8</v>
      </c>
      <c r="J86" s="150" t="s">
        <v>1061</v>
      </c>
      <c r="K86" s="358">
        <v>4.3</v>
      </c>
      <c r="L86" s="358">
        <v>0</v>
      </c>
      <c r="M86" s="150" t="s">
        <v>1061</v>
      </c>
      <c r="N86" s="145"/>
    </row>
    <row r="87" spans="2:14" s="151" customFormat="1" x14ac:dyDescent="0.25">
      <c r="C87" s="151" t="s">
        <v>348</v>
      </c>
      <c r="D87" s="151" t="s">
        <v>1059</v>
      </c>
      <c r="E87" s="151" t="s">
        <v>550</v>
      </c>
      <c r="F87" s="357" t="s">
        <v>546</v>
      </c>
      <c r="G87" s="151" t="s">
        <v>552</v>
      </c>
      <c r="H87" s="150">
        <v>10</v>
      </c>
      <c r="I87" s="150">
        <v>13.8</v>
      </c>
      <c r="J87" s="150" t="s">
        <v>1061</v>
      </c>
      <c r="K87" s="358">
        <v>4</v>
      </c>
      <c r="L87" s="358">
        <v>0</v>
      </c>
      <c r="M87" s="150" t="s">
        <v>1061</v>
      </c>
      <c r="N87" s="145"/>
    </row>
    <row r="88" spans="2:14" s="151" customFormat="1" x14ac:dyDescent="0.25">
      <c r="C88" s="151" t="s">
        <v>348</v>
      </c>
      <c r="D88" s="151" t="s">
        <v>1059</v>
      </c>
      <c r="E88" s="151" t="s">
        <v>550</v>
      </c>
      <c r="F88" s="357" t="s">
        <v>546</v>
      </c>
      <c r="G88" s="151" t="s">
        <v>551</v>
      </c>
      <c r="H88" s="150">
        <v>10</v>
      </c>
      <c r="I88" s="150">
        <v>12</v>
      </c>
      <c r="J88" s="150" t="s">
        <v>1061</v>
      </c>
      <c r="K88" s="358">
        <v>3.9</v>
      </c>
      <c r="L88" s="358">
        <v>0</v>
      </c>
      <c r="M88" s="150" t="s">
        <v>1061</v>
      </c>
      <c r="N88" s="145"/>
    </row>
    <row r="89" spans="2:14" s="151" customFormat="1" x14ac:dyDescent="0.25">
      <c r="C89" s="151" t="s">
        <v>348</v>
      </c>
      <c r="D89" s="151" t="s">
        <v>1059</v>
      </c>
      <c r="E89" s="151" t="s">
        <v>550</v>
      </c>
      <c r="F89" s="357" t="s">
        <v>547</v>
      </c>
      <c r="G89" s="356" t="s">
        <v>553</v>
      </c>
      <c r="H89" s="360">
        <v>16.2</v>
      </c>
      <c r="I89" s="360">
        <v>0</v>
      </c>
      <c r="J89" s="150" t="s">
        <v>1061</v>
      </c>
      <c r="K89" s="358">
        <v>3.6</v>
      </c>
      <c r="L89" s="358">
        <v>0</v>
      </c>
      <c r="M89" s="150" t="s">
        <v>1061</v>
      </c>
      <c r="N89" s="145"/>
    </row>
    <row r="90" spans="2:14" s="151" customFormat="1" x14ac:dyDescent="0.25">
      <c r="C90" s="151" t="s">
        <v>348</v>
      </c>
      <c r="D90" s="151" t="s">
        <v>1059</v>
      </c>
      <c r="E90" s="151" t="s">
        <v>550</v>
      </c>
      <c r="F90" s="357" t="s">
        <v>547</v>
      </c>
      <c r="G90" s="356" t="s">
        <v>557</v>
      </c>
      <c r="H90" s="358">
        <v>13.8</v>
      </c>
      <c r="I90" s="358">
        <v>0</v>
      </c>
      <c r="J90" s="150" t="s">
        <v>1061</v>
      </c>
      <c r="K90" s="358">
        <v>3.3</v>
      </c>
      <c r="L90" s="358">
        <v>0</v>
      </c>
      <c r="M90" s="150" t="s">
        <v>1061</v>
      </c>
      <c r="N90" s="145"/>
    </row>
    <row r="91" spans="2:14" s="151" customFormat="1" x14ac:dyDescent="0.25">
      <c r="C91" s="151" t="s">
        <v>348</v>
      </c>
      <c r="D91" s="151" t="s">
        <v>1059</v>
      </c>
      <c r="E91" s="151" t="s">
        <v>550</v>
      </c>
      <c r="F91" s="357" t="s">
        <v>556</v>
      </c>
      <c r="G91" s="356" t="s">
        <v>553</v>
      </c>
      <c r="H91" s="360">
        <v>13.4</v>
      </c>
      <c r="I91" s="360">
        <v>0</v>
      </c>
      <c r="J91" s="150" t="s">
        <v>1061</v>
      </c>
      <c r="K91" s="358">
        <v>3.1</v>
      </c>
      <c r="L91" s="358">
        <v>0</v>
      </c>
      <c r="M91" s="150" t="s">
        <v>1061</v>
      </c>
      <c r="N91" s="145"/>
    </row>
    <row r="92" spans="2:14" s="151" customFormat="1" x14ac:dyDescent="0.25">
      <c r="C92" s="151" t="s">
        <v>348</v>
      </c>
      <c r="D92" s="151" t="s">
        <v>1059</v>
      </c>
      <c r="E92" s="151" t="s">
        <v>550</v>
      </c>
      <c r="F92" s="357" t="s">
        <v>556</v>
      </c>
      <c r="G92" s="356" t="s">
        <v>557</v>
      </c>
      <c r="H92" s="358">
        <v>11</v>
      </c>
      <c r="I92" s="358">
        <v>0</v>
      </c>
      <c r="J92" s="150" t="s">
        <v>1061</v>
      </c>
      <c r="K92" s="358">
        <v>2.8</v>
      </c>
      <c r="L92" s="358">
        <v>0</v>
      </c>
      <c r="M92" s="150" t="s">
        <v>1061</v>
      </c>
      <c r="N92" s="145"/>
    </row>
    <row r="93" spans="2:14" s="151" customFormat="1" x14ac:dyDescent="0.25">
      <c r="B93" s="145" t="s">
        <v>245</v>
      </c>
      <c r="N93" s="145"/>
    </row>
    <row r="94" spans="2:14" s="151" customFormat="1" x14ac:dyDescent="0.25">
      <c r="N94" s="145"/>
    </row>
  </sheetData>
  <phoneticPr fontId="32" type="noConversion"/>
  <conditionalFormatting sqref="K30:L76 K81:L92 H30:I80">
    <cfRule type="cellIs" dxfId="4" priority="5" operator="equal">
      <formula>0</formula>
    </cfRule>
  </conditionalFormatting>
  <conditionalFormatting sqref="K77:L80">
    <cfRule type="cellIs" dxfId="3" priority="4" operator="equal">
      <formula>0</formula>
    </cfRule>
  </conditionalFormatting>
  <conditionalFormatting sqref="H81:I84">
    <cfRule type="cellIs" dxfId="2" priority="3" operator="equal">
      <formula>0</formula>
    </cfRule>
  </conditionalFormatting>
  <conditionalFormatting sqref="H85:I88">
    <cfRule type="cellIs" dxfId="1" priority="2" operator="equal">
      <formula>0</formula>
    </cfRule>
  </conditionalFormatting>
  <conditionalFormatting sqref="H89:I9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</vt:i4>
      </vt:variant>
    </vt:vector>
  </HeadingPairs>
  <TitlesOfParts>
    <vt:vector size="39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LtgInputRestrictions_S901G</vt:lpstr>
      <vt:lpstr>PAFs_T24N_2013</vt:lpstr>
      <vt:lpstr>PAFs_T24N_2016</vt:lpstr>
      <vt:lpstr>PAFs_T24N_2019</vt:lpstr>
      <vt:lpstr>PAFs_S901G</vt:lpstr>
      <vt:lpstr>AreaCategoryLPA</vt:lpstr>
      <vt:lpstr>TailoredMethodLPA_T24N_2013</vt:lpstr>
      <vt:lpstr>TailoredMethodLPA_T24N_2016</vt:lpstr>
      <vt:lpstr>TailoredMethodLPA_T24N_2019</vt:lpstr>
      <vt:lpstr>IlluminanceLevelLPD_T24N_2013</vt:lpstr>
      <vt:lpstr>IlluminanceLevelLPD_T24N_2016</vt:lpstr>
      <vt:lpstr>IlluminanceLevelLPD_T24N_2019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JirehPeng</cp:lastModifiedBy>
  <dcterms:created xsi:type="dcterms:W3CDTF">2012-09-11T19:42:19Z</dcterms:created>
  <dcterms:modified xsi:type="dcterms:W3CDTF">2021-03-11T17:58:03Z</dcterms:modified>
</cp:coreProperties>
</file>