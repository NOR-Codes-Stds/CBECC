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E:\360 Local\AEC Repo\CBECC Com Dev-SF\trunk\CBECC-Com13\Projects\Batch\"/>
    </mc:Choice>
  </mc:AlternateContent>
  <bookViews>
    <workbookView xWindow="405" yWindow="60" windowWidth="21240" windowHeight="10575" activeTab="7"/>
  </bookViews>
  <sheets>
    <sheet name="BatchInput_T24N" sheetId="7" r:id="rId1"/>
    <sheet name="Prototypes" sheetId="1" state="hidden" r:id="rId2"/>
    <sheet name="RulesetImplementation" sheetId="4" state="hidden" r:id="rId3"/>
    <sheet name="HydronicPiping" sheetId="5" state="hidden" r:id="rId4"/>
    <sheet name="IDF" sheetId="6" state="hidden" r:id="rId5"/>
    <sheet name="BatchInput_S901G" sheetId="9" r:id="rId6"/>
    <sheet name="901 DevelopmentTesting" sheetId="8" r:id="rId7"/>
    <sheet name="VRF_Testing" sheetId="3" r:id="rId8"/>
  </sheets>
  <definedNames>
    <definedName name="BatchFileName" localSheetId="6">'901 DevelopmentTesting'!$M$9</definedName>
    <definedName name="BatchFileName" localSheetId="5">BatchInput_S901G!$M$9</definedName>
    <definedName name="BatchFileName" localSheetId="0">BatchInput_T24N!$M$9</definedName>
    <definedName name="BatchFileName" localSheetId="7">VRF_Testing!$M$9</definedName>
  </definedNames>
  <calcPr calcId="171027"/>
</workbook>
</file>

<file path=xl/calcChain.xml><?xml version="1.0" encoding="utf-8"?>
<calcChain xmlns="http://schemas.openxmlformats.org/spreadsheetml/2006/main">
  <c r="M17" i="3" l="1"/>
  <c r="M18" i="3"/>
  <c r="E18" i="3" s="1"/>
  <c r="M19" i="3"/>
  <c r="M20" i="3"/>
  <c r="E20" i="3" s="1"/>
  <c r="M21" i="3"/>
  <c r="E21" i="3" s="1"/>
  <c r="M22" i="3"/>
  <c r="E22" i="3" s="1"/>
  <c r="M23" i="3"/>
  <c r="E23" i="3" s="1"/>
  <c r="M24" i="3"/>
  <c r="M25" i="3"/>
  <c r="M26" i="3"/>
  <c r="M27" i="3"/>
  <c r="M28" i="3"/>
  <c r="E28" i="3" s="1"/>
  <c r="M29" i="3"/>
  <c r="E29" i="3" s="1"/>
  <c r="M16" i="3"/>
  <c r="L21" i="3"/>
  <c r="L22" i="3" s="1"/>
  <c r="L23" i="3" s="1"/>
  <c r="L24" i="3" s="1"/>
  <c r="BD116" i="3"/>
  <c r="AX116" i="3"/>
  <c r="AN116" i="3"/>
  <c r="E116" i="3"/>
  <c r="B116" i="3"/>
  <c r="A116" i="3"/>
  <c r="AX115" i="3"/>
  <c r="AO115" i="3"/>
  <c r="E115" i="3"/>
  <c r="B115" i="3"/>
  <c r="A115" i="3"/>
  <c r="E114" i="3"/>
  <c r="B114" i="3"/>
  <c r="A114" i="3"/>
  <c r="BF113" i="3"/>
  <c r="E113" i="3"/>
  <c r="B113" i="3"/>
  <c r="A113" i="3"/>
  <c r="AV112" i="3"/>
  <c r="E112" i="3"/>
  <c r="B112" i="3"/>
  <c r="A112" i="3"/>
  <c r="BF111" i="3"/>
  <c r="AX111" i="3"/>
  <c r="H111" i="3"/>
  <c r="E111" i="3"/>
  <c r="B111" i="3"/>
  <c r="A111" i="3"/>
  <c r="AJ110" i="3"/>
  <c r="AH110" i="3"/>
  <c r="AG110" i="3"/>
  <c r="AB110" i="3"/>
  <c r="Y110" i="3"/>
  <c r="R110" i="3"/>
  <c r="Q110" i="3"/>
  <c r="P110" i="3"/>
  <c r="O110" i="3"/>
  <c r="M110" i="3"/>
  <c r="E110" i="3" s="1"/>
  <c r="H110" i="3"/>
  <c r="B110" i="3"/>
  <c r="A110" i="3"/>
  <c r="AM109" i="3"/>
  <c r="AM110" i="3" s="1"/>
  <c r="AK109" i="3"/>
  <c r="AK110" i="3" s="1"/>
  <c r="AI109" i="3"/>
  <c r="AI110" i="3" s="1"/>
  <c r="AH109" i="3"/>
  <c r="AG109" i="3"/>
  <c r="AF109" i="3"/>
  <c r="AF110" i="3" s="1"/>
  <c r="BD110" i="3" s="1"/>
  <c r="AE109" i="3"/>
  <c r="AE110" i="3" s="1"/>
  <c r="AD109" i="3"/>
  <c r="AD110" i="3" s="1"/>
  <c r="AC109" i="3"/>
  <c r="AC110" i="3" s="1"/>
  <c r="AB109" i="3"/>
  <c r="AA109" i="3"/>
  <c r="AA110" i="3" s="1"/>
  <c r="Z109" i="3"/>
  <c r="Z110" i="3" s="1"/>
  <c r="Y109" i="3"/>
  <c r="X109" i="3"/>
  <c r="X110" i="3" s="1"/>
  <c r="W109" i="3"/>
  <c r="W110" i="3" s="1"/>
  <c r="V109" i="3"/>
  <c r="V110" i="3" s="1"/>
  <c r="U109" i="3"/>
  <c r="U110" i="3" s="1"/>
  <c r="T109" i="3"/>
  <c r="T110" i="3" s="1"/>
  <c r="S109" i="3"/>
  <c r="S110" i="3" s="1"/>
  <c r="R109" i="3"/>
  <c r="Q109" i="3"/>
  <c r="P109" i="3"/>
  <c r="O109" i="3"/>
  <c r="M109" i="3"/>
  <c r="E109" i="3" s="1"/>
  <c r="H109" i="3"/>
  <c r="B109" i="3"/>
  <c r="A109" i="3"/>
  <c r="E99" i="3"/>
  <c r="B99" i="3"/>
  <c r="E98" i="3"/>
  <c r="B98" i="3"/>
  <c r="E97" i="3"/>
  <c r="B97" i="3"/>
  <c r="E96" i="3"/>
  <c r="B96" i="3"/>
  <c r="O95" i="3"/>
  <c r="M95" i="3"/>
  <c r="E95" i="3" s="1"/>
  <c r="B95" i="3"/>
  <c r="AU94" i="3"/>
  <c r="O94" i="3"/>
  <c r="M94" i="3"/>
  <c r="E94" i="3"/>
  <c r="B94" i="3"/>
  <c r="O93" i="3"/>
  <c r="M93" i="3"/>
  <c r="E93" i="3"/>
  <c r="B93" i="3"/>
  <c r="O92" i="3"/>
  <c r="M92" i="3"/>
  <c r="E92" i="3"/>
  <c r="B92" i="3"/>
  <c r="AT91" i="3"/>
  <c r="O91" i="3"/>
  <c r="M91" i="3"/>
  <c r="E91" i="3"/>
  <c r="B91" i="3"/>
  <c r="O90" i="3"/>
  <c r="M90" i="3"/>
  <c r="E90" i="3" s="1"/>
  <c r="B90" i="3"/>
  <c r="O89" i="3"/>
  <c r="M89" i="3"/>
  <c r="E89" i="3"/>
  <c r="B89" i="3"/>
  <c r="W88" i="3"/>
  <c r="W89" i="3" s="1"/>
  <c r="W90" i="3" s="1"/>
  <c r="W91" i="3" s="1"/>
  <c r="W92" i="3" s="1"/>
  <c r="W93" i="3" s="1"/>
  <c r="W94" i="3" s="1"/>
  <c r="W95" i="3" s="1"/>
  <c r="W96" i="3" s="1"/>
  <c r="W97" i="3" s="1"/>
  <c r="W98" i="3" s="1"/>
  <c r="W99" i="3" s="1"/>
  <c r="O88" i="3"/>
  <c r="M88" i="3"/>
  <c r="E88" i="3" s="1"/>
  <c r="B88" i="3"/>
  <c r="O87" i="3"/>
  <c r="M87" i="3"/>
  <c r="E87" i="3"/>
  <c r="B87" i="3"/>
  <c r="O86" i="3"/>
  <c r="M86" i="3"/>
  <c r="E86" i="3"/>
  <c r="B86" i="3"/>
  <c r="AQ85" i="3"/>
  <c r="O85" i="3"/>
  <c r="M85" i="3"/>
  <c r="E85" i="3"/>
  <c r="B85" i="3"/>
  <c r="O84" i="3"/>
  <c r="M84" i="3"/>
  <c r="E84" i="3" s="1"/>
  <c r="B84" i="3"/>
  <c r="AQ83" i="3"/>
  <c r="O83" i="3"/>
  <c r="M83" i="3"/>
  <c r="E83" i="3"/>
  <c r="B83" i="3"/>
  <c r="AG82" i="3"/>
  <c r="AG83" i="3" s="1"/>
  <c r="AG84" i="3" s="1"/>
  <c r="AG85" i="3" s="1"/>
  <c r="AG86" i="3" s="1"/>
  <c r="AG87" i="3" s="1"/>
  <c r="AG88" i="3" s="1"/>
  <c r="AG89" i="3" s="1"/>
  <c r="AG90" i="3" s="1"/>
  <c r="AG91" i="3" s="1"/>
  <c r="AG92" i="3" s="1"/>
  <c r="AG93" i="3" s="1"/>
  <c r="AG94" i="3" s="1"/>
  <c r="AG95" i="3" s="1"/>
  <c r="AG96" i="3" s="1"/>
  <c r="AG97" i="3" s="1"/>
  <c r="AG98" i="3" s="1"/>
  <c r="AG99" i="3" s="1"/>
  <c r="O82" i="3"/>
  <c r="M82" i="3"/>
  <c r="E82" i="3"/>
  <c r="B82" i="3"/>
  <c r="AS81" i="3"/>
  <c r="O81" i="3"/>
  <c r="M81" i="3"/>
  <c r="E81" i="3"/>
  <c r="B81" i="3"/>
  <c r="S80" i="3"/>
  <c r="S81" i="3" s="1"/>
  <c r="S82" i="3" s="1"/>
  <c r="S83" i="3" s="1"/>
  <c r="S84" i="3" s="1"/>
  <c r="S85" i="3" s="1"/>
  <c r="S86" i="3" s="1"/>
  <c r="S87" i="3" s="1"/>
  <c r="S88" i="3" s="1"/>
  <c r="S89" i="3" s="1"/>
  <c r="S90" i="3" s="1"/>
  <c r="S91" i="3" s="1"/>
  <c r="S92" i="3" s="1"/>
  <c r="S93" i="3" s="1"/>
  <c r="S94" i="3" s="1"/>
  <c r="S95" i="3" s="1"/>
  <c r="S96" i="3" s="1"/>
  <c r="S97" i="3" s="1"/>
  <c r="S98" i="3" s="1"/>
  <c r="S99" i="3" s="1"/>
  <c r="O80" i="3"/>
  <c r="M80" i="3"/>
  <c r="E80" i="3" s="1"/>
  <c r="B80" i="3"/>
  <c r="AG79" i="3"/>
  <c r="AG80" i="3" s="1"/>
  <c r="AG81" i="3" s="1"/>
  <c r="U79" i="3"/>
  <c r="U80" i="3" s="1"/>
  <c r="U81" i="3" s="1"/>
  <c r="U82" i="3" s="1"/>
  <c r="U83" i="3" s="1"/>
  <c r="U84" i="3" s="1"/>
  <c r="U85" i="3" s="1"/>
  <c r="U86" i="3" s="1"/>
  <c r="U87" i="3" s="1"/>
  <c r="U88" i="3" s="1"/>
  <c r="U89" i="3" s="1"/>
  <c r="U90" i="3" s="1"/>
  <c r="U91" i="3" s="1"/>
  <c r="U92" i="3" s="1"/>
  <c r="U93" i="3" s="1"/>
  <c r="U94" i="3" s="1"/>
  <c r="U95" i="3" s="1"/>
  <c r="U96" i="3" s="1"/>
  <c r="U97" i="3" s="1"/>
  <c r="U98" i="3" s="1"/>
  <c r="U99" i="3" s="1"/>
  <c r="O79" i="3"/>
  <c r="M79" i="3"/>
  <c r="E79" i="3" s="1"/>
  <c r="H79" i="3"/>
  <c r="B79" i="3"/>
  <c r="AS78" i="3"/>
  <c r="S78" i="3"/>
  <c r="S79" i="3" s="1"/>
  <c r="O78" i="3"/>
  <c r="M78" i="3"/>
  <c r="H78" i="3"/>
  <c r="E78" i="3"/>
  <c r="B78" i="3"/>
  <c r="AM77" i="3"/>
  <c r="AM78" i="3" s="1"/>
  <c r="AM79" i="3" s="1"/>
  <c r="AM80" i="3" s="1"/>
  <c r="AM81" i="3" s="1"/>
  <c r="AM82" i="3" s="1"/>
  <c r="AM83" i="3" s="1"/>
  <c r="AM84" i="3" s="1"/>
  <c r="AM85" i="3" s="1"/>
  <c r="AM86" i="3" s="1"/>
  <c r="AM87" i="3" s="1"/>
  <c r="AM88" i="3" s="1"/>
  <c r="AM89" i="3" s="1"/>
  <c r="AM90" i="3" s="1"/>
  <c r="AM91" i="3" s="1"/>
  <c r="AM92" i="3" s="1"/>
  <c r="AM93" i="3" s="1"/>
  <c r="AM94" i="3" s="1"/>
  <c r="AM95" i="3" s="1"/>
  <c r="AM96" i="3" s="1"/>
  <c r="AM97" i="3" s="1"/>
  <c r="AM98" i="3" s="1"/>
  <c r="AM99" i="3" s="1"/>
  <c r="O77" i="3"/>
  <c r="M77" i="3"/>
  <c r="H77" i="3"/>
  <c r="E77" i="3"/>
  <c r="B77" i="3"/>
  <c r="O76" i="3"/>
  <c r="M76" i="3"/>
  <c r="E76" i="3"/>
  <c r="B76" i="3"/>
  <c r="O75" i="3"/>
  <c r="M75" i="3"/>
  <c r="E75" i="3" s="1"/>
  <c r="B75" i="3"/>
  <c r="T74" i="3"/>
  <c r="T75" i="3" s="1"/>
  <c r="T76" i="3" s="1"/>
  <c r="T77" i="3" s="1"/>
  <c r="T78" i="3" s="1"/>
  <c r="T79" i="3" s="1"/>
  <c r="T80" i="3" s="1"/>
  <c r="T81" i="3" s="1"/>
  <c r="T82" i="3" s="1"/>
  <c r="T83" i="3" s="1"/>
  <c r="T84" i="3" s="1"/>
  <c r="T85" i="3" s="1"/>
  <c r="T86" i="3" s="1"/>
  <c r="T87" i="3" s="1"/>
  <c r="T88" i="3" s="1"/>
  <c r="T89" i="3" s="1"/>
  <c r="T90" i="3" s="1"/>
  <c r="T91" i="3" s="1"/>
  <c r="T92" i="3" s="1"/>
  <c r="T93" i="3" s="1"/>
  <c r="T94" i="3" s="1"/>
  <c r="T95" i="3" s="1"/>
  <c r="T96" i="3" s="1"/>
  <c r="T97" i="3" s="1"/>
  <c r="T98" i="3" s="1"/>
  <c r="T99" i="3" s="1"/>
  <c r="O74" i="3"/>
  <c r="M74" i="3"/>
  <c r="H74" i="3"/>
  <c r="E74" i="3"/>
  <c r="B74" i="3"/>
  <c r="BC73" i="3"/>
  <c r="AK73" i="3"/>
  <c r="AK74" i="3" s="1"/>
  <c r="AK75" i="3" s="1"/>
  <c r="AK76" i="3" s="1"/>
  <c r="AK77" i="3" s="1"/>
  <c r="AK78" i="3" s="1"/>
  <c r="AK79" i="3" s="1"/>
  <c r="AK80" i="3" s="1"/>
  <c r="AK81" i="3" s="1"/>
  <c r="AK82" i="3" s="1"/>
  <c r="AK83" i="3" s="1"/>
  <c r="AK84" i="3" s="1"/>
  <c r="AK85" i="3" s="1"/>
  <c r="AK86" i="3" s="1"/>
  <c r="AK87" i="3" s="1"/>
  <c r="AK88" i="3" s="1"/>
  <c r="AK89" i="3" s="1"/>
  <c r="AK90" i="3" s="1"/>
  <c r="AK91" i="3" s="1"/>
  <c r="AI73" i="3"/>
  <c r="AI74" i="3" s="1"/>
  <c r="AI75" i="3" s="1"/>
  <c r="AI76" i="3" s="1"/>
  <c r="AI77" i="3" s="1"/>
  <c r="AI78" i="3" s="1"/>
  <c r="AI79" i="3" s="1"/>
  <c r="AI80" i="3" s="1"/>
  <c r="AI81" i="3" s="1"/>
  <c r="AI82" i="3" s="1"/>
  <c r="AI83" i="3" s="1"/>
  <c r="AI84" i="3" s="1"/>
  <c r="AI85" i="3" s="1"/>
  <c r="AI86" i="3" s="1"/>
  <c r="AI87" i="3" s="1"/>
  <c r="AI88" i="3" s="1"/>
  <c r="AI89" i="3" s="1"/>
  <c r="AI90" i="3" s="1"/>
  <c r="AI91" i="3" s="1"/>
  <c r="AI92" i="3" s="1"/>
  <c r="AI93" i="3" s="1"/>
  <c r="AI94" i="3" s="1"/>
  <c r="AI95" i="3" s="1"/>
  <c r="AI96" i="3" s="1"/>
  <c r="AI97" i="3" s="1"/>
  <c r="AI98" i="3" s="1"/>
  <c r="AI99" i="3" s="1"/>
  <c r="O73" i="3"/>
  <c r="M73" i="3"/>
  <c r="E73" i="3" s="1"/>
  <c r="B73" i="3"/>
  <c r="X72" i="3"/>
  <c r="X73" i="3" s="1"/>
  <c r="O72" i="3"/>
  <c r="M72" i="3"/>
  <c r="H72" i="3"/>
  <c r="E72" i="3"/>
  <c r="B72" i="3"/>
  <c r="AK71" i="3"/>
  <c r="AK72" i="3" s="1"/>
  <c r="O71" i="3"/>
  <c r="M71" i="3"/>
  <c r="E71" i="3" s="1"/>
  <c r="L71" i="3"/>
  <c r="B71" i="3"/>
  <c r="BD70" i="3"/>
  <c r="AV70" i="3"/>
  <c r="AM70" i="3"/>
  <c r="AM71" i="3" s="1"/>
  <c r="AM72" i="3" s="1"/>
  <c r="AM73" i="3" s="1"/>
  <c r="AM74" i="3" s="1"/>
  <c r="AM75" i="3" s="1"/>
  <c r="AM76" i="3" s="1"/>
  <c r="AB70" i="3"/>
  <c r="AB71" i="3" s="1"/>
  <c r="AB72" i="3" s="1"/>
  <c r="AB73" i="3" s="1"/>
  <c r="AB74" i="3" s="1"/>
  <c r="AB75" i="3" s="1"/>
  <c r="AB76" i="3" s="1"/>
  <c r="AB77" i="3" s="1"/>
  <c r="AB78" i="3" s="1"/>
  <c r="AB79" i="3" s="1"/>
  <c r="AB80" i="3" s="1"/>
  <c r="AB81" i="3" s="1"/>
  <c r="AB82" i="3" s="1"/>
  <c r="AB83" i="3" s="1"/>
  <c r="AB84" i="3" s="1"/>
  <c r="AB85" i="3" s="1"/>
  <c r="AB86" i="3" s="1"/>
  <c r="AB87" i="3" s="1"/>
  <c r="AB88" i="3" s="1"/>
  <c r="AB89" i="3" s="1"/>
  <c r="AB90" i="3" s="1"/>
  <c r="AB91" i="3" s="1"/>
  <c r="AB92" i="3" s="1"/>
  <c r="AB93" i="3" s="1"/>
  <c r="AB94" i="3" s="1"/>
  <c r="AB95" i="3" s="1"/>
  <c r="AB96" i="3" s="1"/>
  <c r="AB97" i="3" s="1"/>
  <c r="AB98" i="3" s="1"/>
  <c r="AB99" i="3" s="1"/>
  <c r="AA70" i="3"/>
  <c r="AA71" i="3" s="1"/>
  <c r="AA72" i="3" s="1"/>
  <c r="AA73" i="3" s="1"/>
  <c r="AA74" i="3" s="1"/>
  <c r="AA75" i="3" s="1"/>
  <c r="AA76" i="3" s="1"/>
  <c r="AA77" i="3" s="1"/>
  <c r="AA78" i="3" s="1"/>
  <c r="AA79" i="3" s="1"/>
  <c r="AA80" i="3" s="1"/>
  <c r="AA81" i="3" s="1"/>
  <c r="AA82" i="3" s="1"/>
  <c r="AA83" i="3" s="1"/>
  <c r="AA84" i="3" s="1"/>
  <c r="AA85" i="3" s="1"/>
  <c r="AA86" i="3" s="1"/>
  <c r="AA87" i="3" s="1"/>
  <c r="AA88" i="3" s="1"/>
  <c r="AA89" i="3" s="1"/>
  <c r="AA90" i="3" s="1"/>
  <c r="AA91" i="3" s="1"/>
  <c r="AA92" i="3" s="1"/>
  <c r="AA93" i="3" s="1"/>
  <c r="AA94" i="3" s="1"/>
  <c r="AA95" i="3" s="1"/>
  <c r="AA96" i="3" s="1"/>
  <c r="AA97" i="3" s="1"/>
  <c r="AA98" i="3" s="1"/>
  <c r="AA99" i="3" s="1"/>
  <c r="U70" i="3"/>
  <c r="U71" i="3" s="1"/>
  <c r="U72" i="3" s="1"/>
  <c r="U73" i="3" s="1"/>
  <c r="U74" i="3" s="1"/>
  <c r="U75" i="3" s="1"/>
  <c r="U76" i="3" s="1"/>
  <c r="U77" i="3" s="1"/>
  <c r="U78" i="3" s="1"/>
  <c r="O70" i="3"/>
  <c r="M70" i="3"/>
  <c r="L70" i="3"/>
  <c r="A70" i="3" s="1"/>
  <c r="E70" i="3"/>
  <c r="B70" i="3"/>
  <c r="BI69" i="3"/>
  <c r="AM69" i="3"/>
  <c r="AJ69" i="3"/>
  <c r="AJ70" i="3" s="1"/>
  <c r="AJ71" i="3" s="1"/>
  <c r="AJ72" i="3" s="1"/>
  <c r="AJ73" i="3" s="1"/>
  <c r="AA69" i="3"/>
  <c r="U69" i="3"/>
  <c r="Q69" i="3"/>
  <c r="Q70" i="3" s="1"/>
  <c r="Q71" i="3" s="1"/>
  <c r="Q72" i="3" s="1"/>
  <c r="Q73" i="3" s="1"/>
  <c r="Q74" i="3" s="1"/>
  <c r="Q75" i="3" s="1"/>
  <c r="Q76" i="3" s="1"/>
  <c r="Q77" i="3" s="1"/>
  <c r="Q78" i="3" s="1"/>
  <c r="Q79" i="3" s="1"/>
  <c r="Q80" i="3" s="1"/>
  <c r="Q81" i="3" s="1"/>
  <c r="Q82" i="3" s="1"/>
  <c r="Q83" i="3" s="1"/>
  <c r="Q84" i="3" s="1"/>
  <c r="Q85" i="3" s="1"/>
  <c r="Q86" i="3" s="1"/>
  <c r="Q87" i="3" s="1"/>
  <c r="Q88" i="3" s="1"/>
  <c r="Q89" i="3" s="1"/>
  <c r="Q90" i="3" s="1"/>
  <c r="Q91" i="3" s="1"/>
  <c r="Q92" i="3" s="1"/>
  <c r="Q93" i="3" s="1"/>
  <c r="Q94" i="3" s="1"/>
  <c r="Q95" i="3" s="1"/>
  <c r="Q96" i="3" s="1"/>
  <c r="Q97" i="3" s="1"/>
  <c r="Q98" i="3" s="1"/>
  <c r="O69" i="3"/>
  <c r="M69" i="3"/>
  <c r="L69" i="3"/>
  <c r="A69" i="3" s="1"/>
  <c r="H69" i="3"/>
  <c r="E69" i="3"/>
  <c r="B69" i="3"/>
  <c r="BI68" i="3"/>
  <c r="AX68" i="3"/>
  <c r="AK68" i="3"/>
  <c r="AK69" i="3" s="1"/>
  <c r="AK70" i="3" s="1"/>
  <c r="AJ68" i="3"/>
  <c r="AI68" i="3"/>
  <c r="AI69" i="3" s="1"/>
  <c r="AI70" i="3" s="1"/>
  <c r="AI71" i="3" s="1"/>
  <c r="AI72" i="3" s="1"/>
  <c r="AH68" i="3"/>
  <c r="AC68" i="3"/>
  <c r="AC69" i="3" s="1"/>
  <c r="AC70" i="3" s="1"/>
  <c r="AC71" i="3" s="1"/>
  <c r="AC72" i="3" s="1"/>
  <c r="AC73" i="3" s="1"/>
  <c r="AC74" i="3" s="1"/>
  <c r="AC75" i="3" s="1"/>
  <c r="AC76" i="3" s="1"/>
  <c r="AC77" i="3" s="1"/>
  <c r="AC78" i="3" s="1"/>
  <c r="AC79" i="3" s="1"/>
  <c r="AC80" i="3" s="1"/>
  <c r="AC81" i="3" s="1"/>
  <c r="AC82" i="3" s="1"/>
  <c r="AC83" i="3" s="1"/>
  <c r="AC84" i="3" s="1"/>
  <c r="AC85" i="3" s="1"/>
  <c r="AC86" i="3" s="1"/>
  <c r="AC87" i="3" s="1"/>
  <c r="AC88" i="3" s="1"/>
  <c r="AC89" i="3" s="1"/>
  <c r="AA68" i="3"/>
  <c r="Z68" i="3"/>
  <c r="Z69" i="3" s="1"/>
  <c r="Y68" i="3"/>
  <c r="Y69" i="3" s="1"/>
  <c r="Y70" i="3" s="1"/>
  <c r="Y71" i="3" s="1"/>
  <c r="Y72" i="3" s="1"/>
  <c r="Y73" i="3" s="1"/>
  <c r="Y74" i="3" s="1"/>
  <c r="Y75" i="3" s="1"/>
  <c r="Y76" i="3" s="1"/>
  <c r="Y77" i="3" s="1"/>
  <c r="Y78" i="3" s="1"/>
  <c r="Y79" i="3" s="1"/>
  <c r="Y80" i="3" s="1"/>
  <c r="Y81" i="3" s="1"/>
  <c r="P68" i="3"/>
  <c r="P69" i="3" s="1"/>
  <c r="P70" i="3" s="1"/>
  <c r="O68" i="3"/>
  <c r="M68" i="3"/>
  <c r="L68" i="3"/>
  <c r="H68" i="3"/>
  <c r="E68" i="3"/>
  <c r="B68" i="3"/>
  <c r="A68" i="3"/>
  <c r="BI67" i="3"/>
  <c r="BA67" i="3"/>
  <c r="AV67" i="3"/>
  <c r="AO67" i="3"/>
  <c r="AN67" i="3"/>
  <c r="AK67" i="3"/>
  <c r="AJ67" i="3"/>
  <c r="AI67" i="3"/>
  <c r="AH67" i="3"/>
  <c r="AG67" i="3"/>
  <c r="AG68" i="3" s="1"/>
  <c r="AG69" i="3" s="1"/>
  <c r="AG70" i="3" s="1"/>
  <c r="AG71" i="3" s="1"/>
  <c r="AG72" i="3" s="1"/>
  <c r="AG73" i="3" s="1"/>
  <c r="AG74" i="3" s="1"/>
  <c r="AG75" i="3" s="1"/>
  <c r="AG76" i="3" s="1"/>
  <c r="AG77" i="3" s="1"/>
  <c r="AG78" i="3" s="1"/>
  <c r="AF67" i="3"/>
  <c r="AF68" i="3" s="1"/>
  <c r="AF69" i="3" s="1"/>
  <c r="AF70" i="3" s="1"/>
  <c r="AF71" i="3" s="1"/>
  <c r="AE67" i="3"/>
  <c r="AE68" i="3" s="1"/>
  <c r="AE69" i="3" s="1"/>
  <c r="AE70" i="3" s="1"/>
  <c r="AE71" i="3" s="1"/>
  <c r="AE72" i="3" s="1"/>
  <c r="AE73" i="3" s="1"/>
  <c r="AE74" i="3" s="1"/>
  <c r="AE75" i="3" s="1"/>
  <c r="AE76" i="3" s="1"/>
  <c r="AE77" i="3" s="1"/>
  <c r="AE78" i="3" s="1"/>
  <c r="AE79" i="3" s="1"/>
  <c r="AE80" i="3" s="1"/>
  <c r="AE81" i="3" s="1"/>
  <c r="AE82" i="3" s="1"/>
  <c r="AE83" i="3" s="1"/>
  <c r="AE84" i="3" s="1"/>
  <c r="AE85" i="3" s="1"/>
  <c r="AE86" i="3" s="1"/>
  <c r="AE87" i="3" s="1"/>
  <c r="AE88" i="3" s="1"/>
  <c r="AE89" i="3" s="1"/>
  <c r="AE90" i="3" s="1"/>
  <c r="AE91" i="3" s="1"/>
  <c r="AE92" i="3" s="1"/>
  <c r="AE93" i="3" s="1"/>
  <c r="AE94" i="3" s="1"/>
  <c r="AE95" i="3" s="1"/>
  <c r="AE96" i="3" s="1"/>
  <c r="AE97" i="3" s="1"/>
  <c r="AE98" i="3" s="1"/>
  <c r="AE99" i="3" s="1"/>
  <c r="AD67" i="3"/>
  <c r="AC67" i="3"/>
  <c r="AB67" i="3"/>
  <c r="AB68" i="3" s="1"/>
  <c r="AB69" i="3" s="1"/>
  <c r="AA67" i="3"/>
  <c r="Z67" i="3"/>
  <c r="AX67" i="3" s="1"/>
  <c r="Y67" i="3"/>
  <c r="X67" i="3"/>
  <c r="X68" i="3" s="1"/>
  <c r="X69" i="3" s="1"/>
  <c r="X70" i="3" s="1"/>
  <c r="X71" i="3" s="1"/>
  <c r="W67" i="3"/>
  <c r="W68" i="3" s="1"/>
  <c r="W69" i="3" s="1"/>
  <c r="W70" i="3" s="1"/>
  <c r="W71" i="3" s="1"/>
  <c r="W72" i="3" s="1"/>
  <c r="W73" i="3" s="1"/>
  <c r="W74" i="3" s="1"/>
  <c r="W75" i="3" s="1"/>
  <c r="W76" i="3" s="1"/>
  <c r="W77" i="3" s="1"/>
  <c r="W78" i="3" s="1"/>
  <c r="W79" i="3" s="1"/>
  <c r="W80" i="3" s="1"/>
  <c r="W81" i="3" s="1"/>
  <c r="W82" i="3" s="1"/>
  <c r="W83" i="3" s="1"/>
  <c r="W84" i="3" s="1"/>
  <c r="W85" i="3" s="1"/>
  <c r="W86" i="3" s="1"/>
  <c r="W87" i="3" s="1"/>
  <c r="V67" i="3"/>
  <c r="U67" i="3"/>
  <c r="U68" i="3" s="1"/>
  <c r="T67" i="3"/>
  <c r="T68" i="3" s="1"/>
  <c r="T69" i="3" s="1"/>
  <c r="T70" i="3" s="1"/>
  <c r="T71" i="3" s="1"/>
  <c r="T72" i="3" s="1"/>
  <c r="T73" i="3" s="1"/>
  <c r="S67" i="3"/>
  <c r="S68" i="3" s="1"/>
  <c r="S69" i="3" s="1"/>
  <c r="S70" i="3" s="1"/>
  <c r="S71" i="3" s="1"/>
  <c r="S72" i="3" s="1"/>
  <c r="S73" i="3" s="1"/>
  <c r="S74" i="3" s="1"/>
  <c r="S75" i="3" s="1"/>
  <c r="S76" i="3" s="1"/>
  <c r="S77" i="3" s="1"/>
  <c r="R67" i="3"/>
  <c r="Q67" i="3"/>
  <c r="Q68" i="3" s="1"/>
  <c r="P67" i="3"/>
  <c r="O67" i="3"/>
  <c r="M67" i="3"/>
  <c r="H67" i="3"/>
  <c r="E67" i="3"/>
  <c r="B67" i="3"/>
  <c r="A67" i="3"/>
  <c r="M61" i="3"/>
  <c r="M103" i="3" s="1"/>
  <c r="M60" i="3"/>
  <c r="M102" i="3" s="1"/>
  <c r="M57" i="3"/>
  <c r="E57" i="3" s="1"/>
  <c r="B57" i="3"/>
  <c r="A57" i="3"/>
  <c r="M56" i="3"/>
  <c r="E56" i="3" s="1"/>
  <c r="B56" i="3"/>
  <c r="A56" i="3"/>
  <c r="O55" i="3"/>
  <c r="M55" i="3"/>
  <c r="E55" i="3"/>
  <c r="B55" i="3"/>
  <c r="O54" i="3"/>
  <c r="M54" i="3"/>
  <c r="E54" i="3" s="1"/>
  <c r="H54" i="3"/>
  <c r="B54" i="3"/>
  <c r="O53" i="3"/>
  <c r="M53" i="3"/>
  <c r="E53" i="3"/>
  <c r="C53" i="3"/>
  <c r="B53" i="3"/>
  <c r="AJ52" i="3"/>
  <c r="AJ53" i="3" s="1"/>
  <c r="O52" i="3"/>
  <c r="M52" i="3"/>
  <c r="E52" i="3" s="1"/>
  <c r="B52" i="3"/>
  <c r="AA51" i="3"/>
  <c r="AA52" i="3" s="1"/>
  <c r="AA53" i="3" s="1"/>
  <c r="S51" i="3"/>
  <c r="S52" i="3" s="1"/>
  <c r="S53" i="3" s="1"/>
  <c r="O51" i="3"/>
  <c r="M51" i="3"/>
  <c r="E51" i="3" s="1"/>
  <c r="H51" i="3"/>
  <c r="B51" i="3"/>
  <c r="AU50" i="3"/>
  <c r="W50" i="3"/>
  <c r="W51" i="3" s="1"/>
  <c r="W52" i="3" s="1"/>
  <c r="W53" i="3" s="1"/>
  <c r="O50" i="3"/>
  <c r="M50" i="3"/>
  <c r="E50" i="3" s="1"/>
  <c r="B50" i="3"/>
  <c r="O49" i="3"/>
  <c r="M49" i="3"/>
  <c r="E49" i="3" s="1"/>
  <c r="B49" i="3"/>
  <c r="O48" i="3"/>
  <c r="M48" i="3"/>
  <c r="E48" i="3" s="1"/>
  <c r="B48" i="3"/>
  <c r="BI47" i="3"/>
  <c r="AS47" i="3"/>
  <c r="AD47" i="3"/>
  <c r="AD48" i="3" s="1"/>
  <c r="AD49" i="3" s="1"/>
  <c r="AD50" i="3" s="1"/>
  <c r="AD51" i="3" s="1"/>
  <c r="AD52" i="3" s="1"/>
  <c r="AD53" i="3" s="1"/>
  <c r="O47" i="3"/>
  <c r="M47" i="3"/>
  <c r="E47" i="3" s="1"/>
  <c r="H47" i="3"/>
  <c r="B47" i="3"/>
  <c r="AS46" i="3"/>
  <c r="AQ46" i="3"/>
  <c r="AK46" i="3"/>
  <c r="AK47" i="3" s="1"/>
  <c r="AK48" i="3" s="1"/>
  <c r="AK49" i="3" s="1"/>
  <c r="AK50" i="3" s="1"/>
  <c r="AK51" i="3" s="1"/>
  <c r="AK52" i="3" s="1"/>
  <c r="AK53" i="3" s="1"/>
  <c r="W46" i="3"/>
  <c r="W47" i="3" s="1"/>
  <c r="W48" i="3" s="1"/>
  <c r="W49" i="3" s="1"/>
  <c r="S46" i="3"/>
  <c r="S47" i="3" s="1"/>
  <c r="S48" i="3" s="1"/>
  <c r="S49" i="3" s="1"/>
  <c r="S50" i="3" s="1"/>
  <c r="O46" i="3"/>
  <c r="M46" i="3"/>
  <c r="E46" i="3" s="1"/>
  <c r="B46" i="3"/>
  <c r="AK45" i="3"/>
  <c r="AC45" i="3"/>
  <c r="AC46" i="3" s="1"/>
  <c r="AC47" i="3" s="1"/>
  <c r="AC48" i="3" s="1"/>
  <c r="AC49" i="3" s="1"/>
  <c r="AA45" i="3"/>
  <c r="AA46" i="3" s="1"/>
  <c r="AA47" i="3" s="1"/>
  <c r="AA48" i="3" s="1"/>
  <c r="AA49" i="3" s="1"/>
  <c r="AA50" i="3" s="1"/>
  <c r="O45" i="3"/>
  <c r="H45" i="3"/>
  <c r="M45" i="3" s="1"/>
  <c r="E45" i="3" s="1"/>
  <c r="B45" i="3"/>
  <c r="AE44" i="3"/>
  <c r="AE45" i="3" s="1"/>
  <c r="AE46" i="3" s="1"/>
  <c r="AE47" i="3" s="1"/>
  <c r="AE48" i="3" s="1"/>
  <c r="AE49" i="3" s="1"/>
  <c r="AE50" i="3" s="1"/>
  <c r="AE51" i="3" s="1"/>
  <c r="AE52" i="3" s="1"/>
  <c r="AE53" i="3" s="1"/>
  <c r="AD44" i="3"/>
  <c r="AD45" i="3" s="1"/>
  <c r="AD46" i="3" s="1"/>
  <c r="O44" i="3"/>
  <c r="M44" i="3"/>
  <c r="E44" i="3" s="1"/>
  <c r="B44" i="3"/>
  <c r="BI43" i="3"/>
  <c r="AT43" i="3"/>
  <c r="AE43" i="3"/>
  <c r="AB43" i="3"/>
  <c r="AB44" i="3" s="1"/>
  <c r="AB45" i="3" s="1"/>
  <c r="AB46" i="3" s="1"/>
  <c r="AB47" i="3" s="1"/>
  <c r="AB48" i="3" s="1"/>
  <c r="AB49" i="3" s="1"/>
  <c r="AB50" i="3" s="1"/>
  <c r="AB51" i="3" s="1"/>
  <c r="AB52" i="3" s="1"/>
  <c r="AB53" i="3" s="1"/>
  <c r="V43" i="3"/>
  <c r="V44" i="3" s="1"/>
  <c r="V45" i="3" s="1"/>
  <c r="V46" i="3" s="1"/>
  <c r="V47" i="3" s="1"/>
  <c r="V48" i="3" s="1"/>
  <c r="V49" i="3" s="1"/>
  <c r="V50" i="3" s="1"/>
  <c r="V51" i="3" s="1"/>
  <c r="V52" i="3" s="1"/>
  <c r="V53" i="3" s="1"/>
  <c r="T43" i="3"/>
  <c r="T44" i="3" s="1"/>
  <c r="T45" i="3" s="1"/>
  <c r="T46" i="3" s="1"/>
  <c r="T47" i="3" s="1"/>
  <c r="T48" i="3" s="1"/>
  <c r="T49" i="3" s="1"/>
  <c r="T50" i="3" s="1"/>
  <c r="T51" i="3" s="1"/>
  <c r="T52" i="3" s="1"/>
  <c r="T53" i="3" s="1"/>
  <c r="O43" i="3"/>
  <c r="M43" i="3"/>
  <c r="E43" i="3" s="1"/>
  <c r="B43" i="3"/>
  <c r="BA42" i="3"/>
  <c r="AJ42" i="3"/>
  <c r="AJ43" i="3" s="1"/>
  <c r="AJ44" i="3" s="1"/>
  <c r="AJ45" i="3" s="1"/>
  <c r="AJ46" i="3" s="1"/>
  <c r="AJ47" i="3" s="1"/>
  <c r="AJ48" i="3" s="1"/>
  <c r="AJ49" i="3" s="1"/>
  <c r="AJ50" i="3" s="1"/>
  <c r="AJ51" i="3" s="1"/>
  <c r="AE42" i="3"/>
  <c r="X42" i="3"/>
  <c r="X43" i="3" s="1"/>
  <c r="X44" i="3" s="1"/>
  <c r="W42" i="3"/>
  <c r="W43" i="3" s="1"/>
  <c r="W44" i="3" s="1"/>
  <c r="W45" i="3" s="1"/>
  <c r="T42" i="3"/>
  <c r="P42" i="3"/>
  <c r="AN42" i="3" s="1"/>
  <c r="O42" i="3"/>
  <c r="M42" i="3"/>
  <c r="E42" i="3" s="1"/>
  <c r="H42" i="3"/>
  <c r="B42" i="3"/>
  <c r="BB41" i="3"/>
  <c r="AS41" i="3"/>
  <c r="AN41" i="3"/>
  <c r="AK41" i="3"/>
  <c r="AK42" i="3" s="1"/>
  <c r="AK43" i="3" s="1"/>
  <c r="AK44" i="3" s="1"/>
  <c r="AI41" i="3"/>
  <c r="AI42" i="3" s="1"/>
  <c r="AI43" i="3" s="1"/>
  <c r="AI44" i="3" s="1"/>
  <c r="AI45" i="3" s="1"/>
  <c r="AI46" i="3" s="1"/>
  <c r="AI47" i="3" s="1"/>
  <c r="AI48" i="3" s="1"/>
  <c r="AI49" i="3" s="1"/>
  <c r="AI50" i="3" s="1"/>
  <c r="AI51" i="3" s="1"/>
  <c r="AI52" i="3" s="1"/>
  <c r="AI53" i="3" s="1"/>
  <c r="AF41" i="3"/>
  <c r="AE41" i="3"/>
  <c r="AC41" i="3"/>
  <c r="AC42" i="3" s="1"/>
  <c r="AC43" i="3" s="1"/>
  <c r="AC44" i="3" s="1"/>
  <c r="AA41" i="3"/>
  <c r="AA42" i="3" s="1"/>
  <c r="AA43" i="3" s="1"/>
  <c r="AA44" i="3" s="1"/>
  <c r="X41" i="3"/>
  <c r="AV41" i="3" s="1"/>
  <c r="W41" i="3"/>
  <c r="U41" i="3"/>
  <c r="U42" i="3" s="1"/>
  <c r="U43" i="3" s="1"/>
  <c r="U44" i="3" s="1"/>
  <c r="U45" i="3" s="1"/>
  <c r="U46" i="3" s="1"/>
  <c r="U47" i="3" s="1"/>
  <c r="U48" i="3" s="1"/>
  <c r="U49" i="3" s="1"/>
  <c r="U50" i="3" s="1"/>
  <c r="U51" i="3" s="1"/>
  <c r="U52" i="3" s="1"/>
  <c r="U53" i="3" s="1"/>
  <c r="U57" i="3" s="1"/>
  <c r="O41" i="3"/>
  <c r="L41" i="3"/>
  <c r="H41" i="3"/>
  <c r="M41" i="3" s="1"/>
  <c r="E41" i="3"/>
  <c r="B41" i="3"/>
  <c r="BI40" i="3"/>
  <c r="BH40" i="3"/>
  <c r="BA40" i="3"/>
  <c r="AX40" i="3"/>
  <c r="AV40" i="3"/>
  <c r="AN40" i="3"/>
  <c r="AL40" i="3"/>
  <c r="AL41" i="3" s="1"/>
  <c r="AL42" i="3" s="1"/>
  <c r="AL43" i="3" s="1"/>
  <c r="AL44" i="3" s="1"/>
  <c r="AL45" i="3" s="1"/>
  <c r="AL46" i="3" s="1"/>
  <c r="AL47" i="3" s="1"/>
  <c r="AL48" i="3" s="1"/>
  <c r="AL49" i="3" s="1"/>
  <c r="AL50" i="3" s="1"/>
  <c r="AL51" i="3" s="1"/>
  <c r="AL52" i="3" s="1"/>
  <c r="AL53" i="3" s="1"/>
  <c r="AK40" i="3"/>
  <c r="AJ40" i="3"/>
  <c r="AJ41" i="3" s="1"/>
  <c r="AI40" i="3"/>
  <c r="AH40" i="3"/>
  <c r="AH41" i="3" s="1"/>
  <c r="AG40" i="3"/>
  <c r="AF40" i="3"/>
  <c r="AE40" i="3"/>
  <c r="AD40" i="3"/>
  <c r="AD41" i="3" s="1"/>
  <c r="AD42" i="3" s="1"/>
  <c r="AD43" i="3" s="1"/>
  <c r="AC40" i="3"/>
  <c r="AB40" i="3"/>
  <c r="AB41" i="3" s="1"/>
  <c r="AB42" i="3" s="1"/>
  <c r="AA40" i="3"/>
  <c r="Z40" i="3"/>
  <c r="Z41" i="3" s="1"/>
  <c r="AX41" i="3" s="1"/>
  <c r="Y40" i="3"/>
  <c r="Y41" i="3" s="1"/>
  <c r="X40" i="3"/>
  <c r="W40" i="3"/>
  <c r="V40" i="3"/>
  <c r="V41" i="3" s="1"/>
  <c r="V42" i="3" s="1"/>
  <c r="U40" i="3"/>
  <c r="T40" i="3"/>
  <c r="T41" i="3" s="1"/>
  <c r="S40" i="3"/>
  <c r="S41" i="3" s="1"/>
  <c r="S42" i="3" s="1"/>
  <c r="S43" i="3" s="1"/>
  <c r="S44" i="3" s="1"/>
  <c r="S45" i="3" s="1"/>
  <c r="R40" i="3"/>
  <c r="R41" i="3" s="1"/>
  <c r="Q40" i="3"/>
  <c r="Q41" i="3" s="1"/>
  <c r="P40" i="3"/>
  <c r="P41" i="3" s="1"/>
  <c r="O40" i="3"/>
  <c r="M40" i="3"/>
  <c r="E40" i="3" s="1"/>
  <c r="H40" i="3"/>
  <c r="C40" i="3"/>
  <c r="B40" i="3"/>
  <c r="A40" i="3"/>
  <c r="M38" i="3"/>
  <c r="D54" i="3" s="1"/>
  <c r="M34" i="3"/>
  <c r="M33" i="3"/>
  <c r="M37" i="3" s="1"/>
  <c r="C41" i="3" s="1"/>
  <c r="E30" i="3"/>
  <c r="B30" i="3"/>
  <c r="L29" i="3"/>
  <c r="B29" i="3"/>
  <c r="AB28" i="3"/>
  <c r="AB29" i="3" s="1"/>
  <c r="AB30" i="3" s="1"/>
  <c r="O28" i="3"/>
  <c r="B28" i="3"/>
  <c r="A28" i="3"/>
  <c r="AE27" i="3"/>
  <c r="AE28" i="3" s="1"/>
  <c r="AE29" i="3" s="1"/>
  <c r="AE30" i="3" s="1"/>
  <c r="W27" i="3"/>
  <c r="W28" i="3" s="1"/>
  <c r="W29" i="3" s="1"/>
  <c r="W30" i="3" s="1"/>
  <c r="O27" i="3"/>
  <c r="L27" i="3"/>
  <c r="L28" i="3" s="1"/>
  <c r="E27" i="3"/>
  <c r="B27" i="3"/>
  <c r="A27" i="3"/>
  <c r="AB26" i="3"/>
  <c r="AB27" i="3" s="1"/>
  <c r="O26" i="3"/>
  <c r="E26" i="3"/>
  <c r="B26" i="3"/>
  <c r="A26" i="3"/>
  <c r="O25" i="3"/>
  <c r="E25" i="3"/>
  <c r="B25" i="3"/>
  <c r="O24" i="3"/>
  <c r="E24" i="3"/>
  <c r="B24" i="3"/>
  <c r="O23" i="3"/>
  <c r="B23" i="3"/>
  <c r="BC22" i="3"/>
  <c r="Z22" i="3"/>
  <c r="T22" i="3"/>
  <c r="T23" i="3" s="1"/>
  <c r="T24" i="3" s="1"/>
  <c r="T25" i="3" s="1"/>
  <c r="T26" i="3" s="1"/>
  <c r="T27" i="3" s="1"/>
  <c r="T28" i="3" s="1"/>
  <c r="T29" i="3" s="1"/>
  <c r="T30" i="3" s="1"/>
  <c r="O22" i="3"/>
  <c r="B22" i="3"/>
  <c r="AF21" i="3"/>
  <c r="AF22" i="3" s="1"/>
  <c r="AF23" i="3" s="1"/>
  <c r="AF24" i="3" s="1"/>
  <c r="AF25" i="3" s="1"/>
  <c r="AF26" i="3" s="1"/>
  <c r="AA21" i="3"/>
  <c r="AA22" i="3" s="1"/>
  <c r="AA23" i="3" s="1"/>
  <c r="AA24" i="3" s="1"/>
  <c r="AA25" i="3" s="1"/>
  <c r="AA26" i="3" s="1"/>
  <c r="AA27" i="3" s="1"/>
  <c r="AA28" i="3" s="1"/>
  <c r="AA29" i="3" s="1"/>
  <c r="AA30" i="3" s="1"/>
  <c r="O21" i="3"/>
  <c r="B21" i="3"/>
  <c r="A21" i="3"/>
  <c r="BB20" i="3"/>
  <c r="AX20" i="3"/>
  <c r="AN20" i="3"/>
  <c r="AE20" i="3"/>
  <c r="AE21" i="3" s="1"/>
  <c r="AE22" i="3" s="1"/>
  <c r="AE23" i="3" s="1"/>
  <c r="AE24" i="3" s="1"/>
  <c r="AE25" i="3" s="1"/>
  <c r="AE26" i="3" s="1"/>
  <c r="S20" i="3"/>
  <c r="S21" i="3" s="1"/>
  <c r="S22" i="3" s="1"/>
  <c r="S23" i="3" s="1"/>
  <c r="S24" i="3" s="1"/>
  <c r="S25" i="3" s="1"/>
  <c r="S26" i="3" s="1"/>
  <c r="S27" i="3" s="1"/>
  <c r="S28" i="3" s="1"/>
  <c r="S29" i="3" s="1"/>
  <c r="S30" i="3" s="1"/>
  <c r="O20" i="3"/>
  <c r="B20" i="3"/>
  <c r="BD19" i="3"/>
  <c r="AX19" i="3"/>
  <c r="AU19" i="3"/>
  <c r="AN19" i="3"/>
  <c r="AH19" i="3"/>
  <c r="BF19" i="3" s="1"/>
  <c r="AF19" i="3"/>
  <c r="AF20" i="3" s="1"/>
  <c r="BD20" i="3" s="1"/>
  <c r="O19" i="3"/>
  <c r="L19" i="3"/>
  <c r="E19" i="3"/>
  <c r="B19" i="3"/>
  <c r="BF18" i="3"/>
  <c r="BD18" i="3"/>
  <c r="AX18" i="3"/>
  <c r="AV18" i="3"/>
  <c r="AU18" i="3"/>
  <c r="AN18" i="3"/>
  <c r="AM18" i="3"/>
  <c r="AM19" i="3" s="1"/>
  <c r="AM20" i="3" s="1"/>
  <c r="AM21" i="3" s="1"/>
  <c r="AM22" i="3" s="1"/>
  <c r="AM23" i="3" s="1"/>
  <c r="AM24" i="3" s="1"/>
  <c r="AM25" i="3" s="1"/>
  <c r="AM26" i="3" s="1"/>
  <c r="AM27" i="3" s="1"/>
  <c r="AM28" i="3" s="1"/>
  <c r="AM29" i="3" s="1"/>
  <c r="AM30" i="3" s="1"/>
  <c r="BK30" i="3" s="1"/>
  <c r="AI18" i="3"/>
  <c r="AI19" i="3" s="1"/>
  <c r="AI20" i="3" s="1"/>
  <c r="AI21" i="3" s="1"/>
  <c r="AI22" i="3" s="1"/>
  <c r="AI23" i="3" s="1"/>
  <c r="AI24" i="3" s="1"/>
  <c r="AI25" i="3" s="1"/>
  <c r="AI26" i="3" s="1"/>
  <c r="AI27" i="3" s="1"/>
  <c r="AI28" i="3" s="1"/>
  <c r="AI29" i="3" s="1"/>
  <c r="AI30" i="3" s="1"/>
  <c r="AH18" i="3"/>
  <c r="AF18" i="3"/>
  <c r="AC18" i="3"/>
  <c r="AC19" i="3" s="1"/>
  <c r="AC20" i="3" s="1"/>
  <c r="AC21" i="3" s="1"/>
  <c r="AA18" i="3"/>
  <c r="AA19" i="3" s="1"/>
  <c r="AA20" i="3" s="1"/>
  <c r="Z18" i="3"/>
  <c r="Z19" i="3" s="1"/>
  <c r="Z20" i="3" s="1"/>
  <c r="Z21" i="3" s="1"/>
  <c r="AX21" i="3" s="1"/>
  <c r="W18" i="3"/>
  <c r="W19" i="3" s="1"/>
  <c r="W20" i="3" s="1"/>
  <c r="W21" i="3" s="1"/>
  <c r="W22" i="3" s="1"/>
  <c r="W23" i="3" s="1"/>
  <c r="W24" i="3" s="1"/>
  <c r="W25" i="3" s="1"/>
  <c r="W26" i="3" s="1"/>
  <c r="U18" i="3"/>
  <c r="U19" i="3" s="1"/>
  <c r="U20" i="3" s="1"/>
  <c r="U21" i="3" s="1"/>
  <c r="U22" i="3" s="1"/>
  <c r="U23" i="3" s="1"/>
  <c r="U24" i="3" s="1"/>
  <c r="U25" i="3" s="1"/>
  <c r="U26" i="3" s="1"/>
  <c r="R18" i="3"/>
  <c r="AP18" i="3" s="1"/>
  <c r="P18" i="3"/>
  <c r="P19" i="3" s="1"/>
  <c r="P20" i="3" s="1"/>
  <c r="P21" i="3" s="1"/>
  <c r="O18" i="3"/>
  <c r="L18" i="3"/>
  <c r="A18" i="3" s="1"/>
  <c r="C18" i="3"/>
  <c r="B18" i="3"/>
  <c r="BG17" i="3"/>
  <c r="BF17" i="3"/>
  <c r="BD17" i="3"/>
  <c r="AX17" i="3"/>
  <c r="AV17" i="3"/>
  <c r="AP17" i="3"/>
  <c r="AN17" i="3"/>
  <c r="AM17" i="3"/>
  <c r="AK17" i="3"/>
  <c r="AK18" i="3" s="1"/>
  <c r="AK19" i="3" s="1"/>
  <c r="AK20" i="3" s="1"/>
  <c r="AK21" i="3" s="1"/>
  <c r="AI17" i="3"/>
  <c r="AH17" i="3"/>
  <c r="AG17" i="3"/>
  <c r="AG18" i="3" s="1"/>
  <c r="AF17" i="3"/>
  <c r="AE17" i="3"/>
  <c r="AE18" i="3" s="1"/>
  <c r="AE19" i="3" s="1"/>
  <c r="AD17" i="3"/>
  <c r="AD18" i="3" s="1"/>
  <c r="AD19" i="3" s="1"/>
  <c r="AD20" i="3" s="1"/>
  <c r="AD21" i="3" s="1"/>
  <c r="AD22" i="3" s="1"/>
  <c r="AD23" i="3" s="1"/>
  <c r="AD24" i="3" s="1"/>
  <c r="AD25" i="3" s="1"/>
  <c r="AD26" i="3" s="1"/>
  <c r="AD27" i="3" s="1"/>
  <c r="AD28" i="3" s="1"/>
  <c r="AD29" i="3" s="1"/>
  <c r="AD30" i="3" s="1"/>
  <c r="AC17" i="3"/>
  <c r="AB17" i="3"/>
  <c r="AB18" i="3" s="1"/>
  <c r="AB19" i="3" s="1"/>
  <c r="AB20" i="3" s="1"/>
  <c r="AB21" i="3" s="1"/>
  <c r="AB22" i="3" s="1"/>
  <c r="AB23" i="3" s="1"/>
  <c r="AB24" i="3" s="1"/>
  <c r="AB25" i="3" s="1"/>
  <c r="AA17" i="3"/>
  <c r="Z17" i="3"/>
  <c r="Y17" i="3"/>
  <c r="X17" i="3"/>
  <c r="X18" i="3" s="1"/>
  <c r="X19" i="3" s="1"/>
  <c r="W17" i="3"/>
  <c r="V17" i="3"/>
  <c r="V18" i="3" s="1"/>
  <c r="V19" i="3" s="1"/>
  <c r="V20" i="3" s="1"/>
  <c r="V21" i="3" s="1"/>
  <c r="V22" i="3" s="1"/>
  <c r="V23" i="3" s="1"/>
  <c r="V24" i="3" s="1"/>
  <c r="V25" i="3" s="1"/>
  <c r="V26" i="3" s="1"/>
  <c r="V27" i="3" s="1"/>
  <c r="V28" i="3" s="1"/>
  <c r="V29" i="3" s="1"/>
  <c r="V30" i="3" s="1"/>
  <c r="U17" i="3"/>
  <c r="T17" i="3"/>
  <c r="T18" i="3" s="1"/>
  <c r="T19" i="3" s="1"/>
  <c r="T20" i="3" s="1"/>
  <c r="T21" i="3" s="1"/>
  <c r="S17" i="3"/>
  <c r="S18" i="3" s="1"/>
  <c r="S19" i="3" s="1"/>
  <c r="R17" i="3"/>
  <c r="Q17" i="3"/>
  <c r="P17" i="3"/>
  <c r="O17" i="3"/>
  <c r="E17" i="3"/>
  <c r="L17" i="3"/>
  <c r="B17" i="3"/>
  <c r="A17" i="3"/>
  <c r="BF16" i="3"/>
  <c r="BE16" i="3"/>
  <c r="BD16" i="3"/>
  <c r="AY16" i="3"/>
  <c r="AX16" i="3"/>
  <c r="AW16" i="3"/>
  <c r="AV16" i="3"/>
  <c r="AT16" i="3"/>
  <c r="AP16" i="3"/>
  <c r="AO16" i="3"/>
  <c r="AN16" i="3"/>
  <c r="AM16" i="3"/>
  <c r="AM67" i="3" s="1"/>
  <c r="AM68" i="3" s="1"/>
  <c r="AL16" i="3"/>
  <c r="AJ16" i="3"/>
  <c r="AJ109" i="3" s="1"/>
  <c r="O16" i="3"/>
  <c r="E16" i="3"/>
  <c r="B16" i="3"/>
  <c r="A16" i="3"/>
  <c r="AR15" i="3"/>
  <c r="AS15" i="3" s="1"/>
  <c r="AT15" i="3" s="1"/>
  <c r="AU15" i="3" s="1"/>
  <c r="AV15" i="3" s="1"/>
  <c r="AW15" i="3" s="1"/>
  <c r="AX15" i="3" s="1"/>
  <c r="AY15" i="3" s="1"/>
  <c r="AZ15" i="3" s="1"/>
  <c r="BA15" i="3" s="1"/>
  <c r="BB15" i="3" s="1"/>
  <c r="BC15" i="3" s="1"/>
  <c r="BD15" i="3" s="1"/>
  <c r="BE15" i="3" s="1"/>
  <c r="BF15" i="3" s="1"/>
  <c r="BG15" i="3" s="1"/>
  <c r="BH15" i="3" s="1"/>
  <c r="BI15" i="3" s="1"/>
  <c r="BJ15" i="3" s="1"/>
  <c r="BK15" i="3" s="1"/>
  <c r="AQ15" i="3"/>
  <c r="AO15" i="3"/>
  <c r="AP15" i="3" s="1"/>
  <c r="J13" i="3"/>
  <c r="I13" i="3"/>
  <c r="H13" i="3"/>
  <c r="G13" i="3"/>
  <c r="F13" i="3"/>
  <c r="E13" i="3"/>
  <c r="D13" i="3"/>
  <c r="C13" i="3"/>
  <c r="B13" i="3"/>
  <c r="AM12" i="3"/>
  <c r="AL12" i="3"/>
  <c r="AK12" i="3"/>
  <c r="BI71" i="3" s="1"/>
  <c r="AJ12" i="3"/>
  <c r="AI12" i="3"/>
  <c r="AH12" i="3"/>
  <c r="AG12" i="3"/>
  <c r="AF12" i="3"/>
  <c r="AE12" i="3"/>
  <c r="AD12" i="3"/>
  <c r="AC12" i="3"/>
  <c r="AB12" i="3"/>
  <c r="AZ16" i="3" s="1"/>
  <c r="AA12" i="3"/>
  <c r="Z12" i="3"/>
  <c r="Y12" i="3"/>
  <c r="X12" i="3"/>
  <c r="W12" i="3"/>
  <c r="V12" i="3"/>
  <c r="U12" i="3"/>
  <c r="AS49" i="3" s="1"/>
  <c r="T12" i="3"/>
  <c r="AR75" i="3" s="1"/>
  <c r="S12" i="3"/>
  <c r="R12" i="3"/>
  <c r="Q12" i="3"/>
  <c r="P12" i="3"/>
  <c r="AN115" i="3" s="1"/>
  <c r="R11" i="3"/>
  <c r="S11" i="3" s="1"/>
  <c r="T11" i="3" s="1"/>
  <c r="U11" i="3" s="1"/>
  <c r="V11" i="3" s="1"/>
  <c r="W11" i="3" s="1"/>
  <c r="X11" i="3" s="1"/>
  <c r="Y11" i="3" s="1"/>
  <c r="Z11" i="3" s="1"/>
  <c r="AA11" i="3" s="1"/>
  <c r="AB11" i="3" s="1"/>
  <c r="AC11" i="3" s="1"/>
  <c r="AD11" i="3" s="1"/>
  <c r="AE11" i="3" s="1"/>
  <c r="AF11" i="3" s="1"/>
  <c r="AG11" i="3" s="1"/>
  <c r="AH11" i="3" s="1"/>
  <c r="AI11" i="3" s="1"/>
  <c r="AJ11" i="3" s="1"/>
  <c r="AK11" i="3" s="1"/>
  <c r="AL11" i="3" s="1"/>
  <c r="AM11" i="3" s="1"/>
  <c r="Q11" i="3"/>
  <c r="M11" i="3"/>
  <c r="M9" i="3"/>
  <c r="M62" i="3" s="1"/>
  <c r="M104" i="3" s="1"/>
  <c r="B9" i="3"/>
  <c r="D41" i="3" l="1"/>
  <c r="C54" i="3"/>
  <c r="D48" i="3"/>
  <c r="D40" i="3"/>
  <c r="D42" i="3"/>
  <c r="D51" i="3"/>
  <c r="D44" i="3"/>
  <c r="BE18" i="3"/>
  <c r="AG19" i="3"/>
  <c r="V57" i="3"/>
  <c r="V54" i="3"/>
  <c r="V55" i="3" s="1"/>
  <c r="V56" i="3" s="1"/>
  <c r="AT56" i="3" s="1"/>
  <c r="AF27" i="3"/>
  <c r="BD26" i="3"/>
  <c r="AL54" i="3"/>
  <c r="AL55" i="3" s="1"/>
  <c r="AL56" i="3" s="1"/>
  <c r="AL57" i="3"/>
  <c r="BB26" i="3"/>
  <c r="AE54" i="3"/>
  <c r="AE55" i="3" s="1"/>
  <c r="AE56" i="3" s="1"/>
  <c r="AE57" i="3"/>
  <c r="BC57" i="3" s="1"/>
  <c r="W54" i="3"/>
  <c r="W55" i="3" s="1"/>
  <c r="W56" i="3" s="1"/>
  <c r="AU56" i="3" s="1"/>
  <c r="W57" i="3"/>
  <c r="AA57" i="3"/>
  <c r="AY57" i="3" s="1"/>
  <c r="AA54" i="3"/>
  <c r="AA55" i="3" s="1"/>
  <c r="AA56" i="3" s="1"/>
  <c r="U27" i="3"/>
  <c r="AS26" i="3"/>
  <c r="R19" i="3"/>
  <c r="AY23" i="3"/>
  <c r="AC90" i="3"/>
  <c r="AC91" i="3" s="1"/>
  <c r="AC92" i="3" s="1"/>
  <c r="AC93" i="3" s="1"/>
  <c r="AC94" i="3" s="1"/>
  <c r="AC95" i="3" s="1"/>
  <c r="AC96" i="3" s="1"/>
  <c r="AC97" i="3" s="1"/>
  <c r="AC98" i="3" s="1"/>
  <c r="AC99" i="3" s="1"/>
  <c r="BA99" i="3" s="1"/>
  <c r="BA89" i="3"/>
  <c r="AJ74" i="3"/>
  <c r="AJ75" i="3" s="1"/>
  <c r="AJ76" i="3" s="1"/>
  <c r="AJ77" i="3" s="1"/>
  <c r="AJ78" i="3" s="1"/>
  <c r="AJ79" i="3" s="1"/>
  <c r="AJ80" i="3" s="1"/>
  <c r="AJ81" i="3" s="1"/>
  <c r="BH73" i="3"/>
  <c r="AQ115" i="3"/>
  <c r="AQ98" i="3"/>
  <c r="AQ97" i="3"/>
  <c r="AQ96" i="3"/>
  <c r="AQ113" i="3"/>
  <c r="AQ99" i="3"/>
  <c r="AQ95" i="3"/>
  <c r="AQ91" i="3"/>
  <c r="AQ93" i="3"/>
  <c r="AQ74" i="3"/>
  <c r="AQ94" i="3"/>
  <c r="AQ78" i="3"/>
  <c r="AQ116" i="3"/>
  <c r="AQ89" i="3"/>
  <c r="AQ81" i="3"/>
  <c r="AQ70" i="3"/>
  <c r="AQ112" i="3"/>
  <c r="AQ87" i="3"/>
  <c r="AQ84" i="3"/>
  <c r="AQ79" i="3"/>
  <c r="AQ77" i="3"/>
  <c r="AQ72" i="3"/>
  <c r="AQ57" i="3"/>
  <c r="AQ82" i="3"/>
  <c r="AQ44" i="3"/>
  <c r="AQ43" i="3"/>
  <c r="AQ42" i="3"/>
  <c r="AQ68" i="3"/>
  <c r="AQ53" i="3"/>
  <c r="AQ50" i="3"/>
  <c r="AQ49" i="3"/>
  <c r="AQ48" i="3"/>
  <c r="AQ47" i="3"/>
  <c r="AQ114" i="3"/>
  <c r="AQ111" i="3"/>
  <c r="AQ73" i="3"/>
  <c r="AQ69" i="3"/>
  <c r="AQ51" i="3"/>
  <c r="AQ41" i="3"/>
  <c r="AQ75" i="3"/>
  <c r="AQ52" i="3"/>
  <c r="AQ76" i="3"/>
  <c r="AQ110" i="3"/>
  <c r="AQ109" i="3"/>
  <c r="AQ92" i="3"/>
  <c r="AQ71" i="3"/>
  <c r="AQ90" i="3"/>
  <c r="AQ88" i="3"/>
  <c r="AQ86" i="3"/>
  <c r="AQ28" i="3"/>
  <c r="AQ25" i="3"/>
  <c r="AQ20" i="3"/>
  <c r="AQ30" i="3"/>
  <c r="AQ19" i="3"/>
  <c r="AQ18" i="3"/>
  <c r="AQ29" i="3"/>
  <c r="AQ27" i="3"/>
  <c r="AQ21" i="3"/>
  <c r="AQ80" i="3"/>
  <c r="AQ54" i="3"/>
  <c r="AQ45" i="3"/>
  <c r="AQ67" i="3"/>
  <c r="AQ22" i="3"/>
  <c r="AQ23" i="3"/>
  <c r="AY115" i="3"/>
  <c r="AY116" i="3"/>
  <c r="AY113" i="3"/>
  <c r="AY99" i="3"/>
  <c r="AY96" i="3"/>
  <c r="AY93" i="3"/>
  <c r="AY90" i="3"/>
  <c r="AY89" i="3"/>
  <c r="AY112" i="3"/>
  <c r="AY111" i="3"/>
  <c r="AY110" i="3"/>
  <c r="AY92" i="3"/>
  <c r="AY109" i="3"/>
  <c r="AY74" i="3"/>
  <c r="AY78" i="3"/>
  <c r="AY80" i="3"/>
  <c r="AY70" i="3"/>
  <c r="AY97" i="3"/>
  <c r="AY91" i="3"/>
  <c r="AY88" i="3"/>
  <c r="AY86" i="3"/>
  <c r="AY83" i="3"/>
  <c r="AY73" i="3"/>
  <c r="AY98" i="3"/>
  <c r="AY81" i="3"/>
  <c r="AY76" i="3"/>
  <c r="AY75" i="3"/>
  <c r="AY68" i="3"/>
  <c r="AY44" i="3"/>
  <c r="AY43" i="3"/>
  <c r="AY42" i="3"/>
  <c r="AY85" i="3"/>
  <c r="AY77" i="3"/>
  <c r="AY50" i="3"/>
  <c r="AY49" i="3"/>
  <c r="AY48" i="3"/>
  <c r="AY47" i="3"/>
  <c r="AY114" i="3"/>
  <c r="AY71" i="3"/>
  <c r="AY45" i="3"/>
  <c r="AY84" i="3"/>
  <c r="AY53" i="3"/>
  <c r="AY40" i="3"/>
  <c r="AY67" i="3"/>
  <c r="AY54" i="3"/>
  <c r="AY87" i="3"/>
  <c r="AY95" i="3"/>
  <c r="AY94" i="3"/>
  <c r="AY72" i="3"/>
  <c r="AY56" i="3"/>
  <c r="AY55" i="3"/>
  <c r="AY52" i="3"/>
  <c r="AY41" i="3"/>
  <c r="AY26" i="3"/>
  <c r="AY19" i="3"/>
  <c r="AY51" i="3"/>
  <c r="AY46" i="3"/>
  <c r="AY29" i="3"/>
  <c r="AY28" i="3"/>
  <c r="AY18" i="3"/>
  <c r="AY22" i="3"/>
  <c r="AY25" i="3"/>
  <c r="AY69" i="3"/>
  <c r="AY79" i="3"/>
  <c r="AY20" i="3"/>
  <c r="AY30" i="3"/>
  <c r="AY27" i="3"/>
  <c r="AY24" i="3"/>
  <c r="AY21" i="3"/>
  <c r="BG112" i="3"/>
  <c r="BG99" i="3"/>
  <c r="BG97" i="3"/>
  <c r="BG95" i="3"/>
  <c r="BG91" i="3"/>
  <c r="BG110" i="3"/>
  <c r="BG94" i="3"/>
  <c r="BG93" i="3"/>
  <c r="BG89" i="3"/>
  <c r="BG111" i="3"/>
  <c r="BG90" i="3"/>
  <c r="BG87" i="3"/>
  <c r="BG83" i="3"/>
  <c r="BG79" i="3"/>
  <c r="BG73" i="3"/>
  <c r="BG96" i="3"/>
  <c r="BG92" i="3"/>
  <c r="BG86" i="3"/>
  <c r="BG82" i="3"/>
  <c r="BG77" i="3"/>
  <c r="BG72" i="3"/>
  <c r="BG85" i="3"/>
  <c r="BG116" i="3"/>
  <c r="BG76" i="3"/>
  <c r="BG71" i="3"/>
  <c r="BG114" i="3"/>
  <c r="BG98" i="3"/>
  <c r="BG75" i="3"/>
  <c r="BG74" i="3"/>
  <c r="BG70" i="3"/>
  <c r="BG78" i="3"/>
  <c r="BG46" i="3"/>
  <c r="BG45" i="3"/>
  <c r="BG30" i="3"/>
  <c r="BG115" i="3"/>
  <c r="BG113" i="3"/>
  <c r="BG81" i="3"/>
  <c r="BG52" i="3"/>
  <c r="BG51" i="3"/>
  <c r="BG29" i="3"/>
  <c r="BG69" i="3"/>
  <c r="BG53" i="3"/>
  <c r="BG40" i="3"/>
  <c r="BG68" i="3"/>
  <c r="BG47" i="3"/>
  <c r="BG44" i="3"/>
  <c r="BG41" i="3"/>
  <c r="BG20" i="3"/>
  <c r="BG109" i="3"/>
  <c r="BG67" i="3"/>
  <c r="BG24" i="3"/>
  <c r="BG16" i="3"/>
  <c r="BG88" i="3"/>
  <c r="BG42" i="3"/>
  <c r="BG21" i="3"/>
  <c r="BG19" i="3"/>
  <c r="BG80" i="3"/>
  <c r="BG48" i="3"/>
  <c r="BG26" i="3"/>
  <c r="BG18" i="3"/>
  <c r="BG27" i="3"/>
  <c r="BG50" i="3"/>
  <c r="BG43" i="3"/>
  <c r="BG28" i="3"/>
  <c r="BG22" i="3"/>
  <c r="BG25" i="3"/>
  <c r="BG49" i="3"/>
  <c r="AV19" i="3"/>
  <c r="X20" i="3"/>
  <c r="AQ17" i="3"/>
  <c r="BG23" i="3"/>
  <c r="AQ24" i="3"/>
  <c r="AQ16" i="3"/>
  <c r="J16" i="3" s="1"/>
  <c r="Q18" i="3"/>
  <c r="Q19" i="3" s="1"/>
  <c r="AO17" i="3"/>
  <c r="AQ40" i="3"/>
  <c r="AY82" i="3"/>
  <c r="AT116" i="3"/>
  <c r="AT98" i="3"/>
  <c r="AT96" i="3"/>
  <c r="AT93" i="3"/>
  <c r="AT111" i="3"/>
  <c r="AT115" i="3"/>
  <c r="AT114" i="3"/>
  <c r="AT94" i="3"/>
  <c r="AT109" i="3"/>
  <c r="AT85" i="3"/>
  <c r="AT81" i="3"/>
  <c r="AT84" i="3"/>
  <c r="AT80" i="3"/>
  <c r="AT97" i="3"/>
  <c r="AT90" i="3"/>
  <c r="AT112" i="3"/>
  <c r="AT95" i="3"/>
  <c r="AT76" i="3"/>
  <c r="AT110" i="3"/>
  <c r="AT99" i="3"/>
  <c r="AT82" i="3"/>
  <c r="AT67" i="3"/>
  <c r="AT28" i="3"/>
  <c r="AT27" i="3"/>
  <c r="AT26" i="3"/>
  <c r="AT113" i="3"/>
  <c r="AT92" i="3"/>
  <c r="AT87" i="3"/>
  <c r="AT78" i="3"/>
  <c r="AT70" i="3"/>
  <c r="AT41" i="3"/>
  <c r="AT20" i="3"/>
  <c r="AT19" i="3"/>
  <c r="AT18" i="3"/>
  <c r="AT17" i="3"/>
  <c r="AT53" i="3"/>
  <c r="AT50" i="3"/>
  <c r="AT83" i="3"/>
  <c r="AT51" i="3"/>
  <c r="AT29" i="3"/>
  <c r="AT23" i="3"/>
  <c r="AT79" i="3"/>
  <c r="AT77" i="3"/>
  <c r="AT69" i="3"/>
  <c r="AT48" i="3"/>
  <c r="AT86" i="3"/>
  <c r="AT24" i="3"/>
  <c r="AT89" i="3"/>
  <c r="AT74" i="3"/>
  <c r="AT68" i="3"/>
  <c r="AT57" i="3"/>
  <c r="AT47" i="3"/>
  <c r="AT21" i="3"/>
  <c r="AT88" i="3"/>
  <c r="AT73" i="3"/>
  <c r="AT40" i="3"/>
  <c r="AT55" i="3"/>
  <c r="AT45" i="3"/>
  <c r="AT75" i="3"/>
  <c r="AT72" i="3"/>
  <c r="AT49" i="3"/>
  <c r="AT42" i="3"/>
  <c r="AT25" i="3"/>
  <c r="AT52" i="3"/>
  <c r="AT46" i="3"/>
  <c r="AT44" i="3"/>
  <c r="AT71" i="3"/>
  <c r="AT30" i="3"/>
  <c r="BJ113" i="3"/>
  <c r="BJ116" i="3"/>
  <c r="BJ90" i="3"/>
  <c r="BJ112" i="3"/>
  <c r="BJ111" i="3"/>
  <c r="BJ89" i="3"/>
  <c r="BJ115" i="3"/>
  <c r="BJ40" i="3"/>
  <c r="J40" i="3" s="1"/>
  <c r="BJ71" i="3"/>
  <c r="BJ53" i="3"/>
  <c r="BJ44" i="3"/>
  <c r="BJ43" i="3"/>
  <c r="BJ42" i="3"/>
  <c r="BJ81" i="3"/>
  <c r="BJ57" i="3"/>
  <c r="BJ50" i="3"/>
  <c r="BJ69" i="3"/>
  <c r="BJ48" i="3"/>
  <c r="BJ49" i="3"/>
  <c r="BJ46" i="3"/>
  <c r="BJ56" i="3"/>
  <c r="BJ16" i="3"/>
  <c r="BJ114" i="3"/>
  <c r="BJ51" i="3"/>
  <c r="BJ45" i="3"/>
  <c r="BJ41" i="3"/>
  <c r="BJ54" i="3"/>
  <c r="BJ47" i="3"/>
  <c r="BF41" i="3"/>
  <c r="AH42" i="3"/>
  <c r="T57" i="3"/>
  <c r="T54" i="3"/>
  <c r="T55" i="3" s="1"/>
  <c r="T56" i="3" s="1"/>
  <c r="AJ57" i="3"/>
  <c r="AJ54" i="3"/>
  <c r="BC116" i="3"/>
  <c r="BC98" i="3"/>
  <c r="BC96" i="3"/>
  <c r="BC93" i="3"/>
  <c r="BC97" i="3"/>
  <c r="BC99" i="3"/>
  <c r="BC95" i="3"/>
  <c r="BC91" i="3"/>
  <c r="BC113" i="3"/>
  <c r="BC88" i="3"/>
  <c r="BC85" i="3"/>
  <c r="BC81" i="3"/>
  <c r="BC110" i="3"/>
  <c r="BC109" i="3"/>
  <c r="BC84" i="3"/>
  <c r="BC80" i="3"/>
  <c r="BC115" i="3"/>
  <c r="BC92" i="3"/>
  <c r="BC89" i="3"/>
  <c r="BC86" i="3"/>
  <c r="BC111" i="3"/>
  <c r="BC77" i="3"/>
  <c r="BC72" i="3"/>
  <c r="BC67" i="3"/>
  <c r="BC70" i="3"/>
  <c r="BC54" i="3"/>
  <c r="BC28" i="3"/>
  <c r="BC27" i="3"/>
  <c r="BC26" i="3"/>
  <c r="BC90" i="3"/>
  <c r="BC83" i="3"/>
  <c r="BC75" i="3"/>
  <c r="BC41" i="3"/>
  <c r="BC20" i="3"/>
  <c r="BC19" i="3"/>
  <c r="BC18" i="3"/>
  <c r="BC17" i="3"/>
  <c r="BC16" i="3"/>
  <c r="BC56" i="3"/>
  <c r="BC47" i="3"/>
  <c r="BC71" i="3"/>
  <c r="BC42" i="3"/>
  <c r="BC87" i="3"/>
  <c r="BC82" i="3"/>
  <c r="BC78" i="3"/>
  <c r="BC46" i="3"/>
  <c r="BC68" i="3"/>
  <c r="BC55" i="3"/>
  <c r="BC52" i="3"/>
  <c r="BC112" i="3"/>
  <c r="BC74" i="3"/>
  <c r="BC53" i="3"/>
  <c r="BC40" i="3"/>
  <c r="BC29" i="3"/>
  <c r="BC23" i="3"/>
  <c r="BC69" i="3"/>
  <c r="BC24" i="3"/>
  <c r="BC49" i="3"/>
  <c r="BC79" i="3"/>
  <c r="BC48" i="3"/>
  <c r="BC44" i="3"/>
  <c r="BC30" i="3"/>
  <c r="BC50" i="3"/>
  <c r="BC43" i="3"/>
  <c r="BC21" i="3"/>
  <c r="BC114" i="3"/>
  <c r="BC94" i="3"/>
  <c r="BC51" i="3"/>
  <c r="BC45" i="3"/>
  <c r="BJ52" i="3"/>
  <c r="Q99" i="3"/>
  <c r="AO99" i="3" s="1"/>
  <c r="AO98" i="3"/>
  <c r="BC76" i="3"/>
  <c r="AS86" i="3"/>
  <c r="AW17" i="3"/>
  <c r="Y18" i="3"/>
  <c r="Q42" i="3"/>
  <c r="Q43" i="3" s="1"/>
  <c r="Q44" i="3" s="1"/>
  <c r="AO41" i="3"/>
  <c r="Y42" i="3"/>
  <c r="Y43" i="3" s="1"/>
  <c r="AW41" i="3"/>
  <c r="AG41" i="3"/>
  <c r="BE40" i="3"/>
  <c r="BG84" i="3"/>
  <c r="BB113" i="3"/>
  <c r="BB110" i="3"/>
  <c r="BB109" i="3"/>
  <c r="BB116" i="3"/>
  <c r="BB112" i="3"/>
  <c r="BB98" i="3"/>
  <c r="BB97" i="3"/>
  <c r="BB96" i="3"/>
  <c r="BB92" i="3"/>
  <c r="BB99" i="3"/>
  <c r="BB95" i="3"/>
  <c r="BB91" i="3"/>
  <c r="BB94" i="3"/>
  <c r="BB89" i="3"/>
  <c r="BB75" i="3"/>
  <c r="BB74" i="3"/>
  <c r="BB114" i="3"/>
  <c r="BB93" i="3"/>
  <c r="BB88" i="3"/>
  <c r="BB87" i="3"/>
  <c r="BB83" i="3"/>
  <c r="BB73" i="3"/>
  <c r="BB111" i="3"/>
  <c r="BB81" i="3"/>
  <c r="BB77" i="3"/>
  <c r="BB72" i="3"/>
  <c r="BB79" i="3"/>
  <c r="BB57" i="3"/>
  <c r="BB40" i="3"/>
  <c r="BB25" i="3"/>
  <c r="BB24" i="3"/>
  <c r="BB23" i="3"/>
  <c r="BB22" i="3"/>
  <c r="BB21" i="3"/>
  <c r="BB76" i="3"/>
  <c r="BB68" i="3"/>
  <c r="BB44" i="3"/>
  <c r="BB43" i="3"/>
  <c r="BB42" i="3"/>
  <c r="BB86" i="3"/>
  <c r="BB51" i="3"/>
  <c r="BB52" i="3"/>
  <c r="BB49" i="3"/>
  <c r="BB46" i="3"/>
  <c r="BB115" i="3"/>
  <c r="BB45" i="3"/>
  <c r="BB30" i="3"/>
  <c r="BB90" i="3"/>
  <c r="BB82" i="3"/>
  <c r="BB78" i="3"/>
  <c r="BB47" i="3"/>
  <c r="BB27" i="3"/>
  <c r="BB71" i="3"/>
  <c r="BB84" i="3"/>
  <c r="BB69" i="3"/>
  <c r="BB67" i="3"/>
  <c r="BB53" i="3"/>
  <c r="BB16" i="3"/>
  <c r="BB80" i="3"/>
  <c r="BB70" i="3"/>
  <c r="BB48" i="3"/>
  <c r="BB19" i="3"/>
  <c r="BB18" i="3"/>
  <c r="BB29" i="3"/>
  <c r="BB50" i="3"/>
  <c r="BB28" i="3"/>
  <c r="BB17" i="3"/>
  <c r="BB85" i="3"/>
  <c r="AY17" i="3"/>
  <c r="AC22" i="3"/>
  <c r="AC23" i="3" s="1"/>
  <c r="BA21" i="3"/>
  <c r="L20" i="3"/>
  <c r="A20" i="3" s="1"/>
  <c r="A19" i="3"/>
  <c r="C16" i="3"/>
  <c r="C29" i="3"/>
  <c r="C27" i="3"/>
  <c r="C28" i="3"/>
  <c r="C23" i="3"/>
  <c r="C25" i="3"/>
  <c r="C17" i="3"/>
  <c r="C26" i="3"/>
  <c r="C24" i="3"/>
  <c r="C21" i="3"/>
  <c r="C20" i="3"/>
  <c r="C19" i="3"/>
  <c r="C30" i="3"/>
  <c r="M12" i="3"/>
  <c r="AU111" i="3"/>
  <c r="AU115" i="3"/>
  <c r="AU91" i="3"/>
  <c r="AU109" i="3"/>
  <c r="AU88" i="3"/>
  <c r="AU99" i="3"/>
  <c r="AU90" i="3"/>
  <c r="AU76" i="3"/>
  <c r="AU97" i="3"/>
  <c r="AU75" i="3"/>
  <c r="AU112" i="3"/>
  <c r="AU98" i="3"/>
  <c r="AU96" i="3"/>
  <c r="AU95" i="3"/>
  <c r="AU85" i="3"/>
  <c r="AU80" i="3"/>
  <c r="AU79" i="3"/>
  <c r="AU110" i="3"/>
  <c r="AU82" i="3"/>
  <c r="AU67" i="3"/>
  <c r="AU71" i="3"/>
  <c r="AU68" i="3"/>
  <c r="AU55" i="3"/>
  <c r="AU54" i="3"/>
  <c r="AU113" i="3"/>
  <c r="AU93" i="3"/>
  <c r="AU92" i="3"/>
  <c r="AU83" i="3"/>
  <c r="AU77" i="3"/>
  <c r="AU69" i="3"/>
  <c r="AU40" i="3"/>
  <c r="AU25" i="3"/>
  <c r="AU24" i="3"/>
  <c r="AU23" i="3"/>
  <c r="AU22" i="3"/>
  <c r="AU21" i="3"/>
  <c r="AU16" i="3"/>
  <c r="AU84" i="3"/>
  <c r="AU43" i="3"/>
  <c r="AU87" i="3"/>
  <c r="AU57" i="3"/>
  <c r="AU47" i="3"/>
  <c r="AU30" i="3"/>
  <c r="AU114" i="3"/>
  <c r="AU73" i="3"/>
  <c r="AU86" i="3"/>
  <c r="AU49" i="3"/>
  <c r="AU42" i="3"/>
  <c r="AU41" i="3"/>
  <c r="AU26" i="3"/>
  <c r="AU78" i="3"/>
  <c r="AU81" i="3"/>
  <c r="AU51" i="3"/>
  <c r="AU45" i="3"/>
  <c r="AU72" i="3"/>
  <c r="AU53" i="3"/>
  <c r="AU28" i="3"/>
  <c r="AU17" i="3"/>
  <c r="AU116" i="3"/>
  <c r="AU89" i="3"/>
  <c r="AU70" i="3"/>
  <c r="AU52" i="3"/>
  <c r="AU74" i="3"/>
  <c r="AU48" i="3"/>
  <c r="AU46" i="3"/>
  <c r="AU44" i="3"/>
  <c r="AU29" i="3"/>
  <c r="AU27" i="3"/>
  <c r="AU20" i="3"/>
  <c r="BK116" i="3"/>
  <c r="BK98" i="3"/>
  <c r="BK96" i="3"/>
  <c r="BK93" i="3"/>
  <c r="BK112" i="3"/>
  <c r="BK111" i="3"/>
  <c r="BK110" i="3"/>
  <c r="BK97" i="3"/>
  <c r="BK92" i="3"/>
  <c r="BK88" i="3"/>
  <c r="BK114" i="3"/>
  <c r="BK85" i="3"/>
  <c r="BK81" i="3"/>
  <c r="BK115" i="3"/>
  <c r="BK84" i="3"/>
  <c r="BK80" i="3"/>
  <c r="BK82" i="3"/>
  <c r="BK94" i="3"/>
  <c r="BK95" i="3"/>
  <c r="BK86" i="3"/>
  <c r="BK78" i="3"/>
  <c r="BK73" i="3"/>
  <c r="BK67" i="3"/>
  <c r="BK109" i="3"/>
  <c r="BK28" i="3"/>
  <c r="BK27" i="3"/>
  <c r="BK26" i="3"/>
  <c r="BK41" i="3"/>
  <c r="BK20" i="3"/>
  <c r="BK19" i="3"/>
  <c r="BK18" i="3"/>
  <c r="BK17" i="3"/>
  <c r="BK16" i="3"/>
  <c r="BK77" i="3"/>
  <c r="BK48" i="3"/>
  <c r="BK45" i="3"/>
  <c r="BK113" i="3"/>
  <c r="BK90" i="3"/>
  <c r="BK75" i="3"/>
  <c r="BK69" i="3"/>
  <c r="BK43" i="3"/>
  <c r="BK40" i="3"/>
  <c r="BK74" i="3"/>
  <c r="BK70" i="3"/>
  <c r="BK91" i="3"/>
  <c r="BK76" i="3"/>
  <c r="BK89" i="3"/>
  <c r="BK44" i="3"/>
  <c r="BK21" i="3"/>
  <c r="BK72" i="3"/>
  <c r="BK23" i="3"/>
  <c r="BK87" i="3"/>
  <c r="BK79" i="3"/>
  <c r="BK99" i="3"/>
  <c r="BK68" i="3"/>
  <c r="BK46" i="3"/>
  <c r="BK29" i="3"/>
  <c r="BK24" i="3"/>
  <c r="BK71" i="3"/>
  <c r="BK51" i="3"/>
  <c r="BK22" i="3"/>
  <c r="BK47" i="3"/>
  <c r="BK25" i="3"/>
  <c r="BK83" i="3"/>
  <c r="BK42" i="3"/>
  <c r="AK22" i="3"/>
  <c r="AK23" i="3" s="1"/>
  <c r="BI21" i="3"/>
  <c r="AS20" i="3"/>
  <c r="C22" i="3"/>
  <c r="BC25" i="3"/>
  <c r="AD54" i="3"/>
  <c r="AD57" i="3"/>
  <c r="P22" i="3"/>
  <c r="AN21" i="3"/>
  <c r="AS19" i="3"/>
  <c r="AT22" i="3"/>
  <c r="AQ26" i="3"/>
  <c r="AI57" i="3"/>
  <c r="BG57" i="3" s="1"/>
  <c r="AI54" i="3"/>
  <c r="AI55" i="3" s="1"/>
  <c r="AI56" i="3" s="1"/>
  <c r="BG56" i="3" s="1"/>
  <c r="AB57" i="3"/>
  <c r="AB54" i="3"/>
  <c r="AB55" i="3" s="1"/>
  <c r="AB56" i="3" s="1"/>
  <c r="AC50" i="3"/>
  <c r="BA49" i="3"/>
  <c r="AK57" i="3"/>
  <c r="AK54" i="3"/>
  <c r="AK55" i="3" s="1"/>
  <c r="AK56" i="3" s="1"/>
  <c r="S57" i="3"/>
  <c r="S54" i="3"/>
  <c r="S55" i="3" s="1"/>
  <c r="S56" i="3" s="1"/>
  <c r="AQ56" i="3" s="1"/>
  <c r="AK92" i="3"/>
  <c r="AK93" i="3" s="1"/>
  <c r="AK94" i="3" s="1"/>
  <c r="AK95" i="3" s="1"/>
  <c r="AK96" i="3" s="1"/>
  <c r="AK97" i="3" s="1"/>
  <c r="AK98" i="3" s="1"/>
  <c r="AK99" i="3" s="1"/>
  <c r="BI99" i="3" s="1"/>
  <c r="BI91" i="3"/>
  <c r="AV43" i="3"/>
  <c r="AN70" i="3"/>
  <c r="P71" i="3"/>
  <c r="AH20" i="3"/>
  <c r="AR23" i="3"/>
  <c r="BH41" i="3"/>
  <c r="AR48" i="3"/>
  <c r="BH51" i="3"/>
  <c r="Y82" i="3"/>
  <c r="Y83" i="3" s="1"/>
  <c r="Y84" i="3" s="1"/>
  <c r="Y85" i="3" s="1"/>
  <c r="Y86" i="3" s="1"/>
  <c r="Y87" i="3" s="1"/>
  <c r="Y88" i="3" s="1"/>
  <c r="Y89" i="3" s="1"/>
  <c r="Y90" i="3" s="1"/>
  <c r="Y91" i="3" s="1"/>
  <c r="Y92" i="3" s="1"/>
  <c r="Y93" i="3" s="1"/>
  <c r="Y94" i="3" s="1"/>
  <c r="Y95" i="3" s="1"/>
  <c r="AW81" i="3"/>
  <c r="L72" i="3"/>
  <c r="A71" i="3"/>
  <c r="BA71" i="3"/>
  <c r="X74" i="3"/>
  <c r="X75" i="3" s="1"/>
  <c r="X76" i="3" s="1"/>
  <c r="AV73" i="3"/>
  <c r="AR96" i="3"/>
  <c r="AL109" i="3"/>
  <c r="AL110" i="3" s="1"/>
  <c r="BJ110" i="3" s="1"/>
  <c r="AL67" i="3"/>
  <c r="AL68" i="3" s="1"/>
  <c r="AL69" i="3" s="1"/>
  <c r="AL70" i="3" s="1"/>
  <c r="AL71" i="3" s="1"/>
  <c r="AL72" i="3" s="1"/>
  <c r="AL73" i="3" s="1"/>
  <c r="AL74" i="3" s="1"/>
  <c r="AL75" i="3" s="1"/>
  <c r="AL76" i="3" s="1"/>
  <c r="AL77" i="3" s="1"/>
  <c r="AL78" i="3" s="1"/>
  <c r="AL79" i="3" s="1"/>
  <c r="AL80" i="3" s="1"/>
  <c r="AL81" i="3" s="1"/>
  <c r="AL82" i="3" s="1"/>
  <c r="AL83" i="3" s="1"/>
  <c r="AL84" i="3" s="1"/>
  <c r="AL85" i="3" s="1"/>
  <c r="AL86" i="3" s="1"/>
  <c r="AL87" i="3" s="1"/>
  <c r="AL88" i="3" s="1"/>
  <c r="AL89" i="3" s="1"/>
  <c r="AL90" i="3" s="1"/>
  <c r="AL91" i="3" s="1"/>
  <c r="AL92" i="3" s="1"/>
  <c r="AL93" i="3" s="1"/>
  <c r="AL94" i="3" s="1"/>
  <c r="AL95" i="3" s="1"/>
  <c r="AL96" i="3" s="1"/>
  <c r="AL97" i="3" s="1"/>
  <c r="AL98" i="3" s="1"/>
  <c r="AL99" i="3" s="1"/>
  <c r="BJ99" i="3" s="1"/>
  <c r="AL17" i="3"/>
  <c r="AL18" i="3" s="1"/>
  <c r="BH16" i="3"/>
  <c r="AX22" i="3"/>
  <c r="Z23" i="3"/>
  <c r="AR25" i="3"/>
  <c r="L30" i="3"/>
  <c r="A30" i="3" s="1"/>
  <c r="A29" i="3"/>
  <c r="M35" i="3"/>
  <c r="AR42" i="3"/>
  <c r="AF72" i="3"/>
  <c r="AF73" i="3" s="1"/>
  <c r="AF74" i="3" s="1"/>
  <c r="AF75" i="3" s="1"/>
  <c r="AF76" i="3" s="1"/>
  <c r="AF77" i="3" s="1"/>
  <c r="BD71" i="3"/>
  <c r="Z70" i="3"/>
  <c r="Z71" i="3" s="1"/>
  <c r="Z72" i="3" s="1"/>
  <c r="Z73" i="3" s="1"/>
  <c r="Z74" i="3" s="1"/>
  <c r="AX69" i="3"/>
  <c r="AR22" i="3"/>
  <c r="AP40" i="3"/>
  <c r="BF40" i="3"/>
  <c r="L42" i="3"/>
  <c r="A41" i="3"/>
  <c r="M64" i="3"/>
  <c r="AR67" i="3"/>
  <c r="AW68" i="3"/>
  <c r="AV44" i="3"/>
  <c r="X45" i="3"/>
  <c r="AV42" i="3"/>
  <c r="AR92" i="3"/>
  <c r="AR116" i="3"/>
  <c r="AR112" i="3"/>
  <c r="AR90" i="3"/>
  <c r="AR113" i="3"/>
  <c r="AR99" i="3"/>
  <c r="AR95" i="3"/>
  <c r="AR91" i="3"/>
  <c r="AR115" i="3"/>
  <c r="AR111" i="3"/>
  <c r="AR97" i="3"/>
  <c r="AR84" i="3"/>
  <c r="AR80" i="3"/>
  <c r="AR89" i="3"/>
  <c r="AR87" i="3"/>
  <c r="AR83" i="3"/>
  <c r="AR79" i="3"/>
  <c r="AR73" i="3"/>
  <c r="AR86" i="3"/>
  <c r="AR81" i="3"/>
  <c r="AR77" i="3"/>
  <c r="AR72" i="3"/>
  <c r="AR57" i="3"/>
  <c r="AR85" i="3"/>
  <c r="AR78" i="3"/>
  <c r="AR70" i="3"/>
  <c r="AR41" i="3"/>
  <c r="AR20" i="3"/>
  <c r="AR19" i="3"/>
  <c r="AR18" i="3"/>
  <c r="AR17" i="3"/>
  <c r="AR110" i="3"/>
  <c r="AR93" i="3"/>
  <c r="AR114" i="3"/>
  <c r="AR94" i="3"/>
  <c r="AR46" i="3"/>
  <c r="AR45" i="3"/>
  <c r="AR30" i="3"/>
  <c r="AR47" i="3"/>
  <c r="AR44" i="3"/>
  <c r="AR98" i="3"/>
  <c r="AR82" i="3"/>
  <c r="AR74" i="3"/>
  <c r="AR68" i="3"/>
  <c r="AR55" i="3"/>
  <c r="AR109" i="3"/>
  <c r="AR71" i="3"/>
  <c r="AR69" i="3"/>
  <c r="AR28" i="3"/>
  <c r="AR26" i="3"/>
  <c r="AR21" i="3"/>
  <c r="AR53" i="3"/>
  <c r="AR50" i="3"/>
  <c r="AR76" i="3"/>
  <c r="AR43" i="3"/>
  <c r="AR56" i="3"/>
  <c r="AR52" i="3"/>
  <c r="AR49" i="3"/>
  <c r="AR16" i="3"/>
  <c r="BH115" i="3"/>
  <c r="BH114" i="3"/>
  <c r="BH109" i="3"/>
  <c r="BH116" i="3"/>
  <c r="BH111" i="3"/>
  <c r="BH70" i="3"/>
  <c r="BH57" i="3"/>
  <c r="BH71" i="3"/>
  <c r="BH53" i="3"/>
  <c r="BH44" i="3"/>
  <c r="BH43" i="3"/>
  <c r="BH42" i="3"/>
  <c r="BH112" i="3"/>
  <c r="BH72" i="3"/>
  <c r="BH69" i="3"/>
  <c r="BH67" i="3"/>
  <c r="BH50" i="3"/>
  <c r="BH49" i="3"/>
  <c r="BH48" i="3"/>
  <c r="BH47" i="3"/>
  <c r="BH46" i="3"/>
  <c r="BH110" i="3"/>
  <c r="BH52" i="3"/>
  <c r="BH68" i="3"/>
  <c r="BH45" i="3"/>
  <c r="AR24" i="3"/>
  <c r="AP41" i="3"/>
  <c r="R42" i="3"/>
  <c r="AR40" i="3"/>
  <c r="Z42" i="3"/>
  <c r="AR51" i="3"/>
  <c r="AR54" i="3"/>
  <c r="AH69" i="3"/>
  <c r="AH70" i="3" s="1"/>
  <c r="BF68" i="3"/>
  <c r="BA69" i="3"/>
  <c r="BH113" i="3"/>
  <c r="AS113" i="3"/>
  <c r="AS110" i="3"/>
  <c r="AS109" i="3"/>
  <c r="AS97" i="3"/>
  <c r="AS115" i="3"/>
  <c r="AS114" i="3"/>
  <c r="AS94" i="3"/>
  <c r="AS98" i="3"/>
  <c r="AS88" i="3"/>
  <c r="AS75" i="3"/>
  <c r="AS116" i="3"/>
  <c r="AS112" i="3"/>
  <c r="AS96" i="3"/>
  <c r="AS95" i="3"/>
  <c r="AS93" i="3"/>
  <c r="AS92" i="3"/>
  <c r="AS91" i="3"/>
  <c r="AS74" i="3"/>
  <c r="AS87" i="3"/>
  <c r="AS84" i="3"/>
  <c r="AS79" i="3"/>
  <c r="AS76" i="3"/>
  <c r="AS80" i="3"/>
  <c r="AS71" i="3"/>
  <c r="AS69" i="3"/>
  <c r="AS67" i="3"/>
  <c r="AS40" i="3"/>
  <c r="AS25" i="3"/>
  <c r="AS24" i="3"/>
  <c r="AS23" i="3"/>
  <c r="AS22" i="3"/>
  <c r="AS21" i="3"/>
  <c r="AS16" i="3"/>
  <c r="AS111" i="3"/>
  <c r="AS82" i="3"/>
  <c r="AS73" i="3"/>
  <c r="AS72" i="3"/>
  <c r="AS57" i="3"/>
  <c r="AS44" i="3"/>
  <c r="AS43" i="3"/>
  <c r="AS42" i="3"/>
  <c r="AS90" i="3"/>
  <c r="AS89" i="3"/>
  <c r="AS85" i="3"/>
  <c r="AS77" i="3"/>
  <c r="AS70" i="3"/>
  <c r="AS99" i="3"/>
  <c r="AS48" i="3"/>
  <c r="AS45" i="3"/>
  <c r="AS53" i="3"/>
  <c r="AS52" i="3"/>
  <c r="AS51" i="3"/>
  <c r="AS68" i="3"/>
  <c r="AS50" i="3"/>
  <c r="AS18" i="3"/>
  <c r="AS17" i="3"/>
  <c r="AS83" i="3"/>
  <c r="BA92" i="3"/>
  <c r="BA90" i="3"/>
  <c r="BA112" i="3"/>
  <c r="BA111" i="3"/>
  <c r="BA110" i="3"/>
  <c r="BA96" i="3"/>
  <c r="BA84" i="3"/>
  <c r="BA80" i="3"/>
  <c r="BA114" i="3"/>
  <c r="BA87" i="3"/>
  <c r="BA83" i="3"/>
  <c r="BA79" i="3"/>
  <c r="BA73" i="3"/>
  <c r="BA82" i="3"/>
  <c r="BA113" i="3"/>
  <c r="BA109" i="3"/>
  <c r="BA88" i="3"/>
  <c r="BA86" i="3"/>
  <c r="BA78" i="3"/>
  <c r="BA116" i="3"/>
  <c r="BA74" i="3"/>
  <c r="BA41" i="3"/>
  <c r="BA20" i="3"/>
  <c r="BA19" i="3"/>
  <c r="BA18" i="3"/>
  <c r="BA17" i="3"/>
  <c r="BA16" i="3"/>
  <c r="BA93" i="3"/>
  <c r="BA46" i="3"/>
  <c r="BA45" i="3"/>
  <c r="BA115" i="3"/>
  <c r="BA81" i="3"/>
  <c r="BA76" i="3"/>
  <c r="BA68" i="3"/>
  <c r="BA48" i="3"/>
  <c r="BA77" i="3"/>
  <c r="BA75" i="3"/>
  <c r="BA44" i="3"/>
  <c r="BA43" i="3"/>
  <c r="BA72" i="3"/>
  <c r="BA85" i="3"/>
  <c r="BA70" i="3"/>
  <c r="BI92" i="3"/>
  <c r="BI116" i="3"/>
  <c r="BI113" i="3"/>
  <c r="BI90" i="3"/>
  <c r="BI89" i="3"/>
  <c r="BI115" i="3"/>
  <c r="BI84" i="3"/>
  <c r="BI80" i="3"/>
  <c r="BI111" i="3"/>
  <c r="BI87" i="3"/>
  <c r="BI83" i="3"/>
  <c r="BI79" i="3"/>
  <c r="BI73" i="3"/>
  <c r="BI78" i="3"/>
  <c r="BI114" i="3"/>
  <c r="BI82" i="3"/>
  <c r="BI74" i="3"/>
  <c r="BI57" i="3"/>
  <c r="BI85" i="3"/>
  <c r="BI112" i="3"/>
  <c r="BI95" i="3"/>
  <c r="BI41" i="3"/>
  <c r="BI20" i="3"/>
  <c r="BI19" i="3"/>
  <c r="BI18" i="3"/>
  <c r="BI17" i="3"/>
  <c r="BI16" i="3"/>
  <c r="BI109" i="3"/>
  <c r="BI94" i="3"/>
  <c r="BI46" i="3"/>
  <c r="BI45" i="3"/>
  <c r="BI70" i="3"/>
  <c r="BI52" i="3"/>
  <c r="BI49" i="3"/>
  <c r="BI42" i="3"/>
  <c r="BI88" i="3"/>
  <c r="BI86" i="3"/>
  <c r="BI76" i="3"/>
  <c r="BI56" i="3"/>
  <c r="BI110" i="3"/>
  <c r="BI51" i="3"/>
  <c r="BI81" i="3"/>
  <c r="BI53" i="3"/>
  <c r="BI50" i="3"/>
  <c r="BI75" i="3"/>
  <c r="BI48" i="3"/>
  <c r="BI77" i="3"/>
  <c r="AR27" i="3"/>
  <c r="AR29" i="3"/>
  <c r="P43" i="3"/>
  <c r="BI44" i="3"/>
  <c r="BA47" i="3"/>
  <c r="U54" i="3"/>
  <c r="U55" i="3" s="1"/>
  <c r="U56" i="3" s="1"/>
  <c r="AS56" i="3" s="1"/>
  <c r="BI72" i="3"/>
  <c r="AR88" i="3"/>
  <c r="AO114" i="3"/>
  <c r="AO109" i="3"/>
  <c r="AO112" i="3"/>
  <c r="AO93" i="3"/>
  <c r="AO89" i="3"/>
  <c r="AO111" i="3"/>
  <c r="AO110" i="3"/>
  <c r="AO97" i="3"/>
  <c r="AO96" i="3"/>
  <c r="AO92" i="3"/>
  <c r="AO90" i="3"/>
  <c r="AO116" i="3"/>
  <c r="AO94" i="3"/>
  <c r="AO78" i="3"/>
  <c r="AO76" i="3"/>
  <c r="AO71" i="3"/>
  <c r="AO87" i="3"/>
  <c r="AO82" i="3"/>
  <c r="AO73" i="3"/>
  <c r="AO69" i="3"/>
  <c r="AO95" i="3"/>
  <c r="AO68" i="3"/>
  <c r="AO88" i="3"/>
  <c r="AO75" i="3"/>
  <c r="AO74" i="3"/>
  <c r="AO113" i="3"/>
  <c r="AO91" i="3"/>
  <c r="AO83" i="3"/>
  <c r="AO79" i="3"/>
  <c r="AO72" i="3"/>
  <c r="AO86" i="3"/>
  <c r="AO81" i="3"/>
  <c r="AO40" i="3"/>
  <c r="AO70" i="3"/>
  <c r="AO85" i="3"/>
  <c r="AO80" i="3"/>
  <c r="AO84" i="3"/>
  <c r="AW110" i="3"/>
  <c r="AW94" i="3"/>
  <c r="AW93" i="3"/>
  <c r="AW116" i="3"/>
  <c r="AW114" i="3"/>
  <c r="AW78" i="3"/>
  <c r="AW115" i="3"/>
  <c r="AW90" i="3"/>
  <c r="AW76" i="3"/>
  <c r="AW71" i="3"/>
  <c r="AW113" i="3"/>
  <c r="AW75" i="3"/>
  <c r="AW74" i="3"/>
  <c r="AW69" i="3"/>
  <c r="AW109" i="3"/>
  <c r="AW80" i="3"/>
  <c r="AW67" i="3"/>
  <c r="AW112" i="3"/>
  <c r="AW92" i="3"/>
  <c r="AW88" i="3"/>
  <c r="AW79" i="3"/>
  <c r="AW72" i="3"/>
  <c r="AW70" i="3"/>
  <c r="AW77" i="3"/>
  <c r="AW73" i="3"/>
  <c r="AW40" i="3"/>
  <c r="AW111" i="3"/>
  <c r="BE114" i="3"/>
  <c r="BE94" i="3"/>
  <c r="BE115" i="3"/>
  <c r="BE111" i="3"/>
  <c r="BE91" i="3"/>
  <c r="BE109" i="3"/>
  <c r="BE96" i="3"/>
  <c r="BE93" i="3"/>
  <c r="BE86" i="3"/>
  <c r="BE82" i="3"/>
  <c r="BE77" i="3"/>
  <c r="BE72" i="3"/>
  <c r="BE113" i="3"/>
  <c r="BE85" i="3"/>
  <c r="BE81" i="3"/>
  <c r="BE90" i="3"/>
  <c r="BE87" i="3"/>
  <c r="BE79" i="3"/>
  <c r="BE68" i="3"/>
  <c r="BE116" i="3"/>
  <c r="BE92" i="3"/>
  <c r="BE84" i="3"/>
  <c r="BE76" i="3"/>
  <c r="BE71" i="3"/>
  <c r="BE69" i="3"/>
  <c r="BE99" i="3"/>
  <c r="BE89" i="3"/>
  <c r="BE88" i="3"/>
  <c r="BE95" i="3"/>
  <c r="BE110" i="3"/>
  <c r="BE98" i="3"/>
  <c r="BE70" i="3"/>
  <c r="BE97" i="3"/>
  <c r="BE75" i="3"/>
  <c r="BE74" i="3"/>
  <c r="BE67" i="3"/>
  <c r="BE80" i="3"/>
  <c r="BE112" i="3"/>
  <c r="BE78" i="3"/>
  <c r="BE17" i="3"/>
  <c r="AO18" i="3"/>
  <c r="A23" i="3"/>
  <c r="C57" i="3"/>
  <c r="C56" i="3"/>
  <c r="C51" i="3"/>
  <c r="C50" i="3"/>
  <c r="C49" i="3"/>
  <c r="C48" i="3"/>
  <c r="C45" i="3"/>
  <c r="C42" i="3"/>
  <c r="C46" i="3"/>
  <c r="C55" i="3"/>
  <c r="C44" i="3"/>
  <c r="C47" i="3"/>
  <c r="C43" i="3"/>
  <c r="BD41" i="3"/>
  <c r="AF42" i="3"/>
  <c r="C52" i="3"/>
  <c r="BE83" i="3"/>
  <c r="D57" i="3"/>
  <c r="D47" i="3"/>
  <c r="D46" i="3"/>
  <c r="D55" i="3"/>
  <c r="D53" i="3"/>
  <c r="D52" i="3"/>
  <c r="D56" i="3"/>
  <c r="D49" i="3"/>
  <c r="D45" i="3"/>
  <c r="D43" i="3"/>
  <c r="D50" i="3"/>
  <c r="BE73" i="3"/>
  <c r="AO77" i="3"/>
  <c r="AP67" i="3"/>
  <c r="R68" i="3"/>
  <c r="BD109" i="3"/>
  <c r="AP112" i="3"/>
  <c r="AP116" i="3"/>
  <c r="AP113" i="3"/>
  <c r="AP111" i="3"/>
  <c r="AP110" i="3"/>
  <c r="AP115" i="3"/>
  <c r="J115" i="3" s="1"/>
  <c r="AX112" i="3"/>
  <c r="AX114" i="3"/>
  <c r="AX109" i="3"/>
  <c r="AX113" i="3"/>
  <c r="AX72" i="3"/>
  <c r="BF115" i="3"/>
  <c r="BF114" i="3"/>
  <c r="BF109" i="3"/>
  <c r="BF116" i="3"/>
  <c r="BF112" i="3"/>
  <c r="BF110" i="3"/>
  <c r="BD21" i="3"/>
  <c r="A22" i="3"/>
  <c r="BD22" i="3"/>
  <c r="BD23" i="3"/>
  <c r="BD24" i="3"/>
  <c r="BD25" i="3"/>
  <c r="AM40" i="3"/>
  <c r="AM41" i="3" s="1"/>
  <c r="AM42" i="3" s="1"/>
  <c r="AM43" i="3" s="1"/>
  <c r="AM44" i="3" s="1"/>
  <c r="AM45" i="3" s="1"/>
  <c r="AM46" i="3" s="1"/>
  <c r="AM47" i="3" s="1"/>
  <c r="AM48" i="3" s="1"/>
  <c r="AM49" i="3" s="1"/>
  <c r="AM50" i="3" s="1"/>
  <c r="AM51" i="3" s="1"/>
  <c r="AM52" i="3" s="1"/>
  <c r="AM53" i="3" s="1"/>
  <c r="BD40" i="3"/>
  <c r="AX71" i="3"/>
  <c r="BD74" i="3"/>
  <c r="AP109" i="3"/>
  <c r="AN114" i="3"/>
  <c r="AN110" i="3"/>
  <c r="AN112" i="3"/>
  <c r="AN113" i="3"/>
  <c r="AN109" i="3"/>
  <c r="AN111" i="3"/>
  <c r="AN68" i="3"/>
  <c r="AN69" i="3"/>
  <c r="AV114" i="3"/>
  <c r="AV116" i="3"/>
  <c r="AV110" i="3"/>
  <c r="AV72" i="3"/>
  <c r="AV111" i="3"/>
  <c r="AV109" i="3"/>
  <c r="AV115" i="3"/>
  <c r="AV71" i="3"/>
  <c r="AV68" i="3"/>
  <c r="AV113" i="3"/>
  <c r="AV75" i="3"/>
  <c r="AV74" i="3"/>
  <c r="AV69" i="3"/>
  <c r="BD111" i="3"/>
  <c r="BD113" i="3"/>
  <c r="BD115" i="3"/>
  <c r="BD114" i="3"/>
  <c r="BD112" i="3"/>
  <c r="BD76" i="3"/>
  <c r="BD75" i="3"/>
  <c r="BD67" i="3"/>
  <c r="BD68" i="3"/>
  <c r="AJ17" i="3"/>
  <c r="AJ18" i="3" s="1"/>
  <c r="M106" i="3"/>
  <c r="BF67" i="3"/>
  <c r="BD69" i="3"/>
  <c r="BD72" i="3"/>
  <c r="BD73" i="3"/>
  <c r="AX110" i="3"/>
  <c r="AP114" i="3"/>
  <c r="M41" i="7"/>
  <c r="M42" i="7"/>
  <c r="M43" i="7"/>
  <c r="M44" i="7"/>
  <c r="M45" i="7"/>
  <c r="M46" i="7"/>
  <c r="AH21" i="3" l="1"/>
  <c r="BF20" i="3"/>
  <c r="AO19" i="3"/>
  <c r="Q20" i="3"/>
  <c r="J112" i="3"/>
  <c r="AK24" i="3"/>
  <c r="BI23" i="3"/>
  <c r="BJ96" i="3"/>
  <c r="BJ83" i="3"/>
  <c r="BH80" i="3"/>
  <c r="AJ55" i="3"/>
  <c r="BH54" i="3"/>
  <c r="BJ17" i="3"/>
  <c r="BJ88" i="3"/>
  <c r="BJ87" i="3"/>
  <c r="J114" i="3"/>
  <c r="AW82" i="3"/>
  <c r="AW91" i="3"/>
  <c r="AW84" i="3"/>
  <c r="L43" i="3"/>
  <c r="A42" i="3"/>
  <c r="AF78" i="3"/>
  <c r="BD77" i="3"/>
  <c r="AX23" i="3"/>
  <c r="Z24" i="3"/>
  <c r="X77" i="3"/>
  <c r="AV76" i="3"/>
  <c r="P72" i="3"/>
  <c r="AN71" i="3"/>
  <c r="BE41" i="3"/>
  <c r="J41" i="3" s="1"/>
  <c r="AG42" i="3"/>
  <c r="BJ55" i="3"/>
  <c r="BG55" i="3"/>
  <c r="J68" i="3"/>
  <c r="J109" i="3"/>
  <c r="AM54" i="3"/>
  <c r="AM57" i="3"/>
  <c r="BK57" i="3" s="1"/>
  <c r="AX73" i="3"/>
  <c r="AW42" i="3"/>
  <c r="AW85" i="3"/>
  <c r="BI97" i="3"/>
  <c r="BI96" i="3"/>
  <c r="BA95" i="3"/>
  <c r="BA91" i="3"/>
  <c r="R43" i="3"/>
  <c r="AP42" i="3"/>
  <c r="BH17" i="3"/>
  <c r="J17" i="3" s="1"/>
  <c r="BH78" i="3"/>
  <c r="BK49" i="3"/>
  <c r="BK52" i="3"/>
  <c r="BK53" i="3"/>
  <c r="AH43" i="3"/>
  <c r="BF42" i="3"/>
  <c r="BJ79" i="3"/>
  <c r="BJ94" i="3"/>
  <c r="X21" i="3"/>
  <c r="AV20" i="3"/>
  <c r="BG54" i="3"/>
  <c r="U28" i="3"/>
  <c r="AS27" i="3"/>
  <c r="A72" i="3"/>
  <c r="L73" i="3"/>
  <c r="AJ82" i="3"/>
  <c r="BH81" i="3"/>
  <c r="J116" i="3"/>
  <c r="BH77" i="3"/>
  <c r="D30" i="3"/>
  <c r="D22" i="3"/>
  <c r="D24" i="3"/>
  <c r="D19" i="3"/>
  <c r="D26" i="3"/>
  <c r="D21" i="3"/>
  <c r="D18" i="3"/>
  <c r="D17" i="3"/>
  <c r="D23" i="3"/>
  <c r="D27" i="3"/>
  <c r="D20" i="3"/>
  <c r="D28" i="3"/>
  <c r="D25" i="3"/>
  <c r="D16" i="3"/>
  <c r="D29" i="3"/>
  <c r="Q45" i="3"/>
  <c r="AO44" i="3"/>
  <c r="BJ70" i="3"/>
  <c r="BJ68" i="3"/>
  <c r="BJ93" i="3"/>
  <c r="AO42" i="3"/>
  <c r="Y96" i="3"/>
  <c r="AW95" i="3"/>
  <c r="AJ19" i="3"/>
  <c r="BH18" i="3"/>
  <c r="J113" i="3"/>
  <c r="BF69" i="3"/>
  <c r="A25" i="3"/>
  <c r="A24" i="3"/>
  <c r="AW89" i="3"/>
  <c r="BI22" i="3"/>
  <c r="BI98" i="3"/>
  <c r="BA94" i="3"/>
  <c r="X46" i="3"/>
  <c r="AV45" i="3"/>
  <c r="Y44" i="3"/>
  <c r="AW43" i="3"/>
  <c r="BJ95" i="3"/>
  <c r="BJ97" i="3"/>
  <c r="BJ67" i="3"/>
  <c r="J67" i="3" s="1"/>
  <c r="BJ85" i="3"/>
  <c r="AL19" i="3"/>
  <c r="BJ18" i="3"/>
  <c r="AC51" i="3"/>
  <c r="BA50" i="3"/>
  <c r="AH71" i="3"/>
  <c r="BF70" i="3"/>
  <c r="AN22" i="3"/>
  <c r="P23" i="3"/>
  <c r="BJ82" i="3"/>
  <c r="BJ84" i="3"/>
  <c r="AF28" i="3"/>
  <c r="BD27" i="3"/>
  <c r="AS54" i="3"/>
  <c r="BH76" i="3"/>
  <c r="BH75" i="3"/>
  <c r="BJ76" i="3"/>
  <c r="BJ72" i="3"/>
  <c r="BJ77" i="3"/>
  <c r="BJ74" i="3"/>
  <c r="J111" i="3"/>
  <c r="J110" i="3"/>
  <c r="R69" i="3"/>
  <c r="AP68" i="3"/>
  <c r="BD42" i="3"/>
  <c r="AF43" i="3"/>
  <c r="AW87" i="3"/>
  <c r="AW86" i="3"/>
  <c r="P44" i="3"/>
  <c r="AN43" i="3"/>
  <c r="BI93" i="3"/>
  <c r="BA97" i="3"/>
  <c r="AS55" i="3"/>
  <c r="BH74" i="3"/>
  <c r="C92" i="3"/>
  <c r="C95" i="3"/>
  <c r="C89" i="3"/>
  <c r="C79" i="3"/>
  <c r="C77" i="3"/>
  <c r="C72" i="3"/>
  <c r="C99" i="3"/>
  <c r="C82" i="3"/>
  <c r="C70" i="3"/>
  <c r="C97" i="3"/>
  <c r="M65" i="3"/>
  <c r="C87" i="3"/>
  <c r="C76" i="3"/>
  <c r="C75" i="3"/>
  <c r="C86" i="3"/>
  <c r="C81" i="3"/>
  <c r="C94" i="3"/>
  <c r="C85" i="3"/>
  <c r="C69" i="3"/>
  <c r="C93" i="3"/>
  <c r="C88" i="3"/>
  <c r="C84" i="3"/>
  <c r="C83" i="3"/>
  <c r="C73" i="3"/>
  <c r="C98" i="3"/>
  <c r="C96" i="3"/>
  <c r="C90" i="3"/>
  <c r="C68" i="3"/>
  <c r="C67" i="3"/>
  <c r="C91" i="3"/>
  <c r="C80" i="3"/>
  <c r="C78" i="3"/>
  <c r="C74" i="3"/>
  <c r="C71" i="3"/>
  <c r="Z75" i="3"/>
  <c r="AX74" i="3"/>
  <c r="AC24" i="3"/>
  <c r="BA23" i="3"/>
  <c r="AW18" i="3"/>
  <c r="J18" i="3" s="1"/>
  <c r="Y19" i="3"/>
  <c r="BJ78" i="3"/>
  <c r="BJ86" i="3"/>
  <c r="BJ73" i="3"/>
  <c r="BJ80" i="3"/>
  <c r="BJ98" i="3"/>
  <c r="BJ109" i="3"/>
  <c r="AT54" i="3"/>
  <c r="AQ55" i="3"/>
  <c r="C116" i="3"/>
  <c r="C114" i="3"/>
  <c r="C115" i="3"/>
  <c r="C111" i="3"/>
  <c r="C110" i="3"/>
  <c r="C112" i="3"/>
  <c r="C109" i="3"/>
  <c r="C113" i="3"/>
  <c r="M107" i="3"/>
  <c r="AX70" i="3"/>
  <c r="AW83" i="3"/>
  <c r="AO43" i="3"/>
  <c r="BI55" i="3"/>
  <c r="BI54" i="3"/>
  <c r="BA22" i="3"/>
  <c r="BA98" i="3"/>
  <c r="AX42" i="3"/>
  <c r="Z43" i="3"/>
  <c r="BH79" i="3"/>
  <c r="AD55" i="3"/>
  <c r="BB54" i="3"/>
  <c r="BK50" i="3"/>
  <c r="BJ92" i="3"/>
  <c r="BJ91" i="3"/>
  <c r="BJ75" i="3"/>
  <c r="AP19" i="3"/>
  <c r="R20" i="3"/>
  <c r="AG20" i="3"/>
  <c r="BE19" i="3"/>
  <c r="O112" i="7"/>
  <c r="M112" i="7"/>
  <c r="E112" i="7" s="1"/>
  <c r="B112" i="7"/>
  <c r="O111" i="7"/>
  <c r="M111" i="7"/>
  <c r="E111" i="7" s="1"/>
  <c r="B111" i="7"/>
  <c r="O110" i="7"/>
  <c r="M110" i="7"/>
  <c r="E110" i="7" s="1"/>
  <c r="B110" i="7"/>
  <c r="O66" i="7"/>
  <c r="M66" i="7"/>
  <c r="E66" i="7" s="1"/>
  <c r="B66" i="7"/>
  <c r="O67" i="7"/>
  <c r="M67" i="7"/>
  <c r="E67" i="7" s="1"/>
  <c r="B67" i="7"/>
  <c r="O65" i="7"/>
  <c r="M65" i="7"/>
  <c r="E65" i="7" s="1"/>
  <c r="B65" i="7"/>
  <c r="O64" i="7"/>
  <c r="M64" i="7"/>
  <c r="E64" i="7" s="1"/>
  <c r="H64" i="7"/>
  <c r="B64" i="7"/>
  <c r="O63" i="7"/>
  <c r="M63" i="7"/>
  <c r="E63" i="7" s="1"/>
  <c r="B63" i="7"/>
  <c r="O62" i="7"/>
  <c r="M62" i="7"/>
  <c r="E62" i="7" s="1"/>
  <c r="B62" i="7"/>
  <c r="O61" i="7"/>
  <c r="M61" i="7"/>
  <c r="E61" i="7" s="1"/>
  <c r="H61" i="7"/>
  <c r="B61" i="7"/>
  <c r="O60" i="7"/>
  <c r="M60" i="7"/>
  <c r="E60" i="7" s="1"/>
  <c r="B60" i="7"/>
  <c r="O59" i="7"/>
  <c r="M59" i="7"/>
  <c r="E59" i="7" s="1"/>
  <c r="B59" i="7"/>
  <c r="O58" i="7"/>
  <c r="M58" i="7"/>
  <c r="E58" i="7" s="1"/>
  <c r="B58" i="7"/>
  <c r="AG21" i="3" l="1"/>
  <c r="BE20" i="3"/>
  <c r="D98" i="3"/>
  <c r="D96" i="3"/>
  <c r="D92" i="3"/>
  <c r="D99" i="3"/>
  <c r="D95" i="3"/>
  <c r="D93" i="3"/>
  <c r="D90" i="3"/>
  <c r="D88" i="3"/>
  <c r="D84" i="3"/>
  <c r="D80" i="3"/>
  <c r="D74" i="3"/>
  <c r="D87" i="3"/>
  <c r="D83" i="3"/>
  <c r="D78" i="3"/>
  <c r="D73" i="3"/>
  <c r="D97" i="3"/>
  <c r="D89" i="3"/>
  <c r="D82" i="3"/>
  <c r="D71" i="3"/>
  <c r="D70" i="3"/>
  <c r="D68" i="3"/>
  <c r="D94" i="3"/>
  <c r="D72" i="3"/>
  <c r="D67" i="3"/>
  <c r="D86" i="3"/>
  <c r="D81" i="3"/>
  <c r="D91" i="3"/>
  <c r="D85" i="3"/>
  <c r="D77" i="3"/>
  <c r="D69" i="3"/>
  <c r="D76" i="3"/>
  <c r="D75" i="3"/>
  <c r="D79" i="3"/>
  <c r="P45" i="3"/>
  <c r="AN44" i="3"/>
  <c r="AH22" i="3"/>
  <c r="BF21" i="3"/>
  <c r="AW19" i="3"/>
  <c r="J19" i="3" s="1"/>
  <c r="Y20" i="3"/>
  <c r="AF44" i="3"/>
  <c r="BD43" i="3"/>
  <c r="A73" i="3"/>
  <c r="L74" i="3"/>
  <c r="BE42" i="3"/>
  <c r="J42" i="3" s="1"/>
  <c r="AG43" i="3"/>
  <c r="AO20" i="3"/>
  <c r="Q21" i="3"/>
  <c r="Z76" i="3"/>
  <c r="AX75" i="3"/>
  <c r="AH72" i="3"/>
  <c r="BF71" i="3"/>
  <c r="Y97" i="3"/>
  <c r="AW96" i="3"/>
  <c r="X78" i="3"/>
  <c r="AV77" i="3"/>
  <c r="Z44" i="3"/>
  <c r="AX43" i="3"/>
  <c r="AJ83" i="3"/>
  <c r="BH82" i="3"/>
  <c r="Z25" i="3"/>
  <c r="AX24" i="3"/>
  <c r="AF29" i="3"/>
  <c r="BD28" i="3"/>
  <c r="Y45" i="3"/>
  <c r="AW44" i="3"/>
  <c r="AL20" i="3"/>
  <c r="BJ19" i="3"/>
  <c r="AV46" i="3"/>
  <c r="X47" i="3"/>
  <c r="AF79" i="3"/>
  <c r="BD78" i="3"/>
  <c r="AN23" i="3"/>
  <c r="P24" i="3"/>
  <c r="BF43" i="3"/>
  <c r="AH44" i="3"/>
  <c r="R44" i="3"/>
  <c r="AP43" i="3"/>
  <c r="AK25" i="3"/>
  <c r="BI24" i="3"/>
  <c r="AD56" i="3"/>
  <c r="BB56" i="3" s="1"/>
  <c r="BB55" i="3"/>
  <c r="AJ56" i="3"/>
  <c r="BH56" i="3" s="1"/>
  <c r="BH55" i="3"/>
  <c r="AP20" i="3"/>
  <c r="R21" i="3"/>
  <c r="X22" i="3"/>
  <c r="AV21" i="3"/>
  <c r="D113" i="3"/>
  <c r="D115" i="3"/>
  <c r="D116" i="3"/>
  <c r="D110" i="3"/>
  <c r="D114" i="3"/>
  <c r="D111" i="3"/>
  <c r="D109" i="3"/>
  <c r="D112" i="3"/>
  <c r="AC52" i="3"/>
  <c r="BA51" i="3"/>
  <c r="AC25" i="3"/>
  <c r="BA24" i="3"/>
  <c r="AP69" i="3"/>
  <c r="J69" i="3" s="1"/>
  <c r="R70" i="3"/>
  <c r="AJ20" i="3"/>
  <c r="BH19" i="3"/>
  <c r="Q46" i="3"/>
  <c r="AO45" i="3"/>
  <c r="U29" i="3"/>
  <c r="AS28" i="3"/>
  <c r="AM55" i="3"/>
  <c r="BK54" i="3"/>
  <c r="P73" i="3"/>
  <c r="AN72" i="3"/>
  <c r="L44" i="3"/>
  <c r="A43" i="3"/>
  <c r="AI123" i="7"/>
  <c r="AI124" i="7" s="1"/>
  <c r="AI125" i="7" s="1"/>
  <c r="AI78" i="7"/>
  <c r="AI79" i="7" s="1"/>
  <c r="AI80" i="7" s="1"/>
  <c r="AI81" i="7" s="1"/>
  <c r="AI41" i="7"/>
  <c r="AI42" i="7" s="1"/>
  <c r="AI18" i="7"/>
  <c r="AI19" i="7" s="1"/>
  <c r="AI20" i="7" s="1"/>
  <c r="AI21" i="7" s="1"/>
  <c r="AI13" i="7"/>
  <c r="BL123" i="7" s="1"/>
  <c r="AC53" i="3" l="1"/>
  <c r="BA52" i="3"/>
  <c r="BF22" i="3"/>
  <c r="AH23" i="3"/>
  <c r="AL21" i="3"/>
  <c r="BJ20" i="3"/>
  <c r="J20" i="3" s="1"/>
  <c r="AJ84" i="3"/>
  <c r="BH83" i="3"/>
  <c r="L75" i="3"/>
  <c r="A74" i="3"/>
  <c r="AV22" i="3"/>
  <c r="X23" i="3"/>
  <c r="AM56" i="3"/>
  <c r="BK56" i="3" s="1"/>
  <c r="BK55" i="3"/>
  <c r="AC26" i="3"/>
  <c r="BA25" i="3"/>
  <c r="X48" i="3"/>
  <c r="AV47" i="3"/>
  <c r="X79" i="3"/>
  <c r="AV78" i="3"/>
  <c r="L45" i="3"/>
  <c r="A44" i="3"/>
  <c r="Q47" i="3"/>
  <c r="AO46" i="3"/>
  <c r="R45" i="3"/>
  <c r="AP44" i="3"/>
  <c r="Z26" i="3"/>
  <c r="AX25" i="3"/>
  <c r="AG44" i="3"/>
  <c r="BE43" i="3"/>
  <c r="J43" i="3" s="1"/>
  <c r="AH45" i="3"/>
  <c r="BF44" i="3"/>
  <c r="Y98" i="3"/>
  <c r="AW97" i="3"/>
  <c r="P74" i="3"/>
  <c r="AN73" i="3"/>
  <c r="AJ21" i="3"/>
  <c r="BH20" i="3"/>
  <c r="AN24" i="3"/>
  <c r="P25" i="3"/>
  <c r="AH73" i="3"/>
  <c r="BF72" i="3"/>
  <c r="P46" i="3"/>
  <c r="AN45" i="3"/>
  <c r="R71" i="3"/>
  <c r="AP70" i="3"/>
  <c r="J70" i="3" s="1"/>
  <c r="Y46" i="3"/>
  <c r="AW45" i="3"/>
  <c r="Z45" i="3"/>
  <c r="AX44" i="3"/>
  <c r="R22" i="3"/>
  <c r="AP21" i="3"/>
  <c r="AK26" i="3"/>
  <c r="BI25" i="3"/>
  <c r="Z77" i="3"/>
  <c r="AX76" i="3"/>
  <c r="BD44" i="3"/>
  <c r="AF45" i="3"/>
  <c r="U30" i="3"/>
  <c r="AS30" i="3" s="1"/>
  <c r="AS29" i="3"/>
  <c r="AF80" i="3"/>
  <c r="BD79" i="3"/>
  <c r="BD29" i="3"/>
  <c r="AF30" i="3"/>
  <c r="BD30" i="3" s="1"/>
  <c r="Q22" i="3"/>
  <c r="AO21" i="3"/>
  <c r="Y21" i="3"/>
  <c r="AW20" i="3"/>
  <c r="AG22" i="3"/>
  <c r="BE21" i="3"/>
  <c r="BL125" i="7"/>
  <c r="BL17" i="7"/>
  <c r="BL19" i="7"/>
  <c r="BL41" i="7"/>
  <c r="BL79" i="7"/>
  <c r="BL81" i="7"/>
  <c r="AI82" i="7"/>
  <c r="BL21" i="7"/>
  <c r="AI22" i="7"/>
  <c r="BL42" i="7"/>
  <c r="AI43" i="7"/>
  <c r="AI44" i="7" s="1"/>
  <c r="AI126" i="7"/>
  <c r="BL18" i="7"/>
  <c r="BL78" i="7"/>
  <c r="BL20" i="7"/>
  <c r="BL80" i="7"/>
  <c r="BL124" i="7"/>
  <c r="M51" i="9"/>
  <c r="M52" i="9"/>
  <c r="M53" i="9"/>
  <c r="M54" i="9"/>
  <c r="R23" i="3" l="1"/>
  <c r="AP22" i="3"/>
  <c r="BD45" i="3"/>
  <c r="AF46" i="3"/>
  <c r="P47" i="3"/>
  <c r="AN46" i="3"/>
  <c r="L46" i="3"/>
  <c r="A45" i="3"/>
  <c r="AO22" i="3"/>
  <c r="Q23" i="3"/>
  <c r="Z46" i="3"/>
  <c r="AX45" i="3"/>
  <c r="P75" i="3"/>
  <c r="AN74" i="3"/>
  <c r="Z27" i="3"/>
  <c r="AX26" i="3"/>
  <c r="AL22" i="3"/>
  <c r="BJ21" i="3"/>
  <c r="AH74" i="3"/>
  <c r="BF73" i="3"/>
  <c r="X24" i="3"/>
  <c r="AV23" i="3"/>
  <c r="BF23" i="3"/>
  <c r="AH24" i="3"/>
  <c r="Z78" i="3"/>
  <c r="AX77" i="3"/>
  <c r="Y47" i="3"/>
  <c r="AW46" i="3"/>
  <c r="P26" i="3"/>
  <c r="AN25" i="3"/>
  <c r="Y99" i="3"/>
  <c r="AW99" i="3" s="1"/>
  <c r="AW98" i="3"/>
  <c r="R46" i="3"/>
  <c r="AP45" i="3"/>
  <c r="X80" i="3"/>
  <c r="AV79" i="3"/>
  <c r="Y22" i="3"/>
  <c r="AW21" i="3"/>
  <c r="J21" i="3" s="1"/>
  <c r="AJ22" i="3"/>
  <c r="BH21" i="3"/>
  <c r="AG45" i="3"/>
  <c r="BE44" i="3"/>
  <c r="J44" i="3" s="1"/>
  <c r="AC27" i="3"/>
  <c r="BA26" i="3"/>
  <c r="AJ85" i="3"/>
  <c r="BH84" i="3"/>
  <c r="AG23" i="3"/>
  <c r="BE22" i="3"/>
  <c r="AF81" i="3"/>
  <c r="BD80" i="3"/>
  <c r="AK27" i="3"/>
  <c r="BI26" i="3"/>
  <c r="AH46" i="3"/>
  <c r="BF45" i="3"/>
  <c r="Q48" i="3"/>
  <c r="AO47" i="3"/>
  <c r="AV48" i="3"/>
  <c r="X49" i="3"/>
  <c r="L76" i="3"/>
  <c r="A75" i="3"/>
  <c r="AC54" i="3"/>
  <c r="AC57" i="3"/>
  <c r="BA57" i="3" s="1"/>
  <c r="BA53" i="3"/>
  <c r="R72" i="3"/>
  <c r="AP71" i="3"/>
  <c r="J71" i="3" s="1"/>
  <c r="BL43" i="7"/>
  <c r="AI23" i="7"/>
  <c r="BL22" i="7"/>
  <c r="BL126" i="7"/>
  <c r="AI127" i="7"/>
  <c r="AI45" i="7"/>
  <c r="BL44" i="7"/>
  <c r="BL82" i="7"/>
  <c r="AI83" i="7"/>
  <c r="M42" i="9"/>
  <c r="M43" i="9"/>
  <c r="M44" i="9"/>
  <c r="E44" i="9" s="1"/>
  <c r="M45" i="9"/>
  <c r="E45" i="9" s="1"/>
  <c r="M46" i="9"/>
  <c r="E46" i="9" s="1"/>
  <c r="M47" i="9"/>
  <c r="E47" i="9" s="1"/>
  <c r="M48" i="9"/>
  <c r="E48" i="9" s="1"/>
  <c r="M49" i="9"/>
  <c r="E49" i="9" s="1"/>
  <c r="M50" i="9"/>
  <c r="M41" i="9"/>
  <c r="M18" i="9"/>
  <c r="E18" i="9" s="1"/>
  <c r="M19" i="9"/>
  <c r="E19" i="9" s="1"/>
  <c r="M20" i="9"/>
  <c r="E20" i="9" s="1"/>
  <c r="M21" i="9"/>
  <c r="E21" i="9" s="1"/>
  <c r="M17" i="9"/>
  <c r="E17" i="9" s="1"/>
  <c r="E52" i="9"/>
  <c r="E53" i="9"/>
  <c r="E54" i="9"/>
  <c r="M55" i="9"/>
  <c r="E55" i="9" s="1"/>
  <c r="B55" i="9"/>
  <c r="A55" i="9"/>
  <c r="B54" i="9"/>
  <c r="B53" i="9"/>
  <c r="B52" i="9"/>
  <c r="E51" i="9"/>
  <c r="B51" i="9"/>
  <c r="E50" i="9"/>
  <c r="B50" i="9"/>
  <c r="B49" i="9"/>
  <c r="B48" i="9"/>
  <c r="B47" i="9"/>
  <c r="O55" i="9"/>
  <c r="O54" i="9"/>
  <c r="O53" i="9"/>
  <c r="O52" i="9"/>
  <c r="O51" i="9"/>
  <c r="O50" i="9"/>
  <c r="O49" i="9"/>
  <c r="O48" i="9"/>
  <c r="O47" i="9"/>
  <c r="AE46" i="9"/>
  <c r="BG46" i="9" s="1"/>
  <c r="AB46" i="9"/>
  <c r="AB47" i="9" s="1"/>
  <c r="O46" i="9"/>
  <c r="B46" i="9"/>
  <c r="O45" i="9"/>
  <c r="B45" i="9"/>
  <c r="O44" i="9"/>
  <c r="B44" i="9"/>
  <c r="O43" i="9"/>
  <c r="H43" i="9"/>
  <c r="E43" i="9" s="1"/>
  <c r="B43" i="9"/>
  <c r="T42" i="9"/>
  <c r="T43" i="9" s="1"/>
  <c r="T44" i="9" s="1"/>
  <c r="T45" i="9" s="1"/>
  <c r="T46" i="9" s="1"/>
  <c r="T47" i="9" s="1"/>
  <c r="O42" i="9"/>
  <c r="L42" i="9"/>
  <c r="A42" i="9" s="1"/>
  <c r="H42" i="9"/>
  <c r="E42" i="9" s="1"/>
  <c r="B42" i="9"/>
  <c r="AO41" i="9"/>
  <c r="AO42" i="9" s="1"/>
  <c r="AO43" i="9" s="1"/>
  <c r="AO44" i="9" s="1"/>
  <c r="AO45" i="9" s="1"/>
  <c r="AO46" i="9" s="1"/>
  <c r="AO47" i="9" s="1"/>
  <c r="AM41" i="9"/>
  <c r="AM42" i="9" s="1"/>
  <c r="AM43" i="9" s="1"/>
  <c r="AM44" i="9" s="1"/>
  <c r="AM45" i="9" s="1"/>
  <c r="AM46" i="9" s="1"/>
  <c r="AL41" i="9"/>
  <c r="AL42" i="9" s="1"/>
  <c r="AL43" i="9" s="1"/>
  <c r="AL44" i="9" s="1"/>
  <c r="AL45" i="9" s="1"/>
  <c r="AL46" i="9" s="1"/>
  <c r="AK41" i="9"/>
  <c r="AK42" i="9" s="1"/>
  <c r="AK43" i="9" s="1"/>
  <c r="AK44" i="9" s="1"/>
  <c r="AK45" i="9" s="1"/>
  <c r="AK46" i="9" s="1"/>
  <c r="AK47" i="9" s="1"/>
  <c r="AJ41" i="9"/>
  <c r="AJ42" i="9" s="1"/>
  <c r="AJ43" i="9" s="1"/>
  <c r="AJ44" i="9" s="1"/>
  <c r="AJ45" i="9" s="1"/>
  <c r="AJ46" i="9" s="1"/>
  <c r="AJ47" i="9" s="1"/>
  <c r="AJ48" i="9" s="1"/>
  <c r="AI41" i="9"/>
  <c r="AI42" i="9" s="1"/>
  <c r="AI43" i="9" s="1"/>
  <c r="AI44" i="9" s="1"/>
  <c r="AI45" i="9" s="1"/>
  <c r="AI46" i="9" s="1"/>
  <c r="AH41" i="9"/>
  <c r="AH42" i="9" s="1"/>
  <c r="AH43" i="9" s="1"/>
  <c r="AH44" i="9" s="1"/>
  <c r="AH45" i="9" s="1"/>
  <c r="AH46" i="9" s="1"/>
  <c r="AG41" i="9"/>
  <c r="AG42" i="9" s="1"/>
  <c r="AG43" i="9" s="1"/>
  <c r="AG44" i="9" s="1"/>
  <c r="AG45" i="9" s="1"/>
  <c r="AG46" i="9" s="1"/>
  <c r="AG47" i="9" s="1"/>
  <c r="AF41" i="9"/>
  <c r="AF42" i="9" s="1"/>
  <c r="AF43" i="9" s="1"/>
  <c r="AF44" i="9" s="1"/>
  <c r="AF45" i="9" s="1"/>
  <c r="AF46" i="9" s="1"/>
  <c r="AF47" i="9" s="1"/>
  <c r="AE41" i="9"/>
  <c r="AE42" i="9" s="1"/>
  <c r="AE43" i="9" s="1"/>
  <c r="AE44" i="9" s="1"/>
  <c r="AE45" i="9" s="1"/>
  <c r="AD41" i="9"/>
  <c r="AD42" i="9" s="1"/>
  <c r="AD43" i="9" s="1"/>
  <c r="AD44" i="9" s="1"/>
  <c r="AD45" i="9" s="1"/>
  <c r="AD46" i="9" s="1"/>
  <c r="AC41" i="9"/>
  <c r="AC42" i="9" s="1"/>
  <c r="AC43" i="9" s="1"/>
  <c r="AC44" i="9" s="1"/>
  <c r="AC45" i="9" s="1"/>
  <c r="AC46" i="9" s="1"/>
  <c r="AC47" i="9" s="1"/>
  <c r="BE47" i="9" s="1"/>
  <c r="AB41" i="9"/>
  <c r="AB42" i="9" s="1"/>
  <c r="AB43" i="9" s="1"/>
  <c r="AB44" i="9" s="1"/>
  <c r="AB45" i="9" s="1"/>
  <c r="AA41" i="9"/>
  <c r="AA42" i="9" s="1"/>
  <c r="AA43" i="9" s="1"/>
  <c r="AA44" i="9" s="1"/>
  <c r="AA45" i="9" s="1"/>
  <c r="AA46" i="9" s="1"/>
  <c r="Z41" i="9"/>
  <c r="Z42" i="9" s="1"/>
  <c r="Z43" i="9" s="1"/>
  <c r="Z44" i="9" s="1"/>
  <c r="Z45" i="9" s="1"/>
  <c r="Z46" i="9" s="1"/>
  <c r="Y41" i="9"/>
  <c r="Y42" i="9" s="1"/>
  <c r="Y43" i="9" s="1"/>
  <c r="Y44" i="9" s="1"/>
  <c r="Y45" i="9" s="1"/>
  <c r="Y46" i="9" s="1"/>
  <c r="Y47" i="9" s="1"/>
  <c r="X41" i="9"/>
  <c r="X42" i="9" s="1"/>
  <c r="X43" i="9" s="1"/>
  <c r="X44" i="9" s="1"/>
  <c r="X45" i="9" s="1"/>
  <c r="X46" i="9" s="1"/>
  <c r="X47" i="9" s="1"/>
  <c r="X48" i="9" s="1"/>
  <c r="AZ48" i="9" s="1"/>
  <c r="W41" i="9"/>
  <c r="W42" i="9" s="1"/>
  <c r="W43" i="9" s="1"/>
  <c r="W44" i="9" s="1"/>
  <c r="W45" i="9" s="1"/>
  <c r="W46" i="9" s="1"/>
  <c r="V41" i="9"/>
  <c r="V42" i="9" s="1"/>
  <c r="V43" i="9" s="1"/>
  <c r="V44" i="9" s="1"/>
  <c r="V45" i="9" s="1"/>
  <c r="V46" i="9" s="1"/>
  <c r="U41" i="9"/>
  <c r="U42" i="9" s="1"/>
  <c r="U43" i="9" s="1"/>
  <c r="U44" i="9" s="1"/>
  <c r="T41" i="9"/>
  <c r="S41" i="9"/>
  <c r="S42" i="9" s="1"/>
  <c r="S43" i="9" s="1"/>
  <c r="S44" i="9" s="1"/>
  <c r="S45" i="9" s="1"/>
  <c r="S46" i="9" s="1"/>
  <c r="S47" i="9" s="1"/>
  <c r="R41" i="9"/>
  <c r="R42" i="9" s="1"/>
  <c r="R43" i="9" s="1"/>
  <c r="R44" i="9" s="1"/>
  <c r="R45" i="9" s="1"/>
  <c r="R46" i="9" s="1"/>
  <c r="Q41" i="9"/>
  <c r="Q42" i="9" s="1"/>
  <c r="Q43" i="9" s="1"/>
  <c r="Q44" i="9" s="1"/>
  <c r="Q45" i="9" s="1"/>
  <c r="Q46" i="9" s="1"/>
  <c r="P41" i="9"/>
  <c r="P42" i="9" s="1"/>
  <c r="P43" i="9" s="1"/>
  <c r="P44" i="9" s="1"/>
  <c r="P45" i="9" s="1"/>
  <c r="P46" i="9" s="1"/>
  <c r="P47" i="9" s="1"/>
  <c r="O41" i="9"/>
  <c r="H41" i="9"/>
  <c r="B41" i="9"/>
  <c r="A41" i="9"/>
  <c r="M35" i="9"/>
  <c r="M34" i="9"/>
  <c r="M31" i="9"/>
  <c r="E31" i="9" s="1"/>
  <c r="B31" i="9"/>
  <c r="M30" i="9"/>
  <c r="E30" i="9"/>
  <c r="B30" i="9"/>
  <c r="M29" i="9"/>
  <c r="E29" i="9" s="1"/>
  <c r="L29" i="9"/>
  <c r="A29" i="9" s="1"/>
  <c r="B29" i="9"/>
  <c r="M28" i="9"/>
  <c r="E28" i="9" s="1"/>
  <c r="B28" i="9"/>
  <c r="A28" i="9"/>
  <c r="E27" i="9"/>
  <c r="B27" i="9"/>
  <c r="E26" i="9"/>
  <c r="B26" i="9"/>
  <c r="E25" i="9"/>
  <c r="B25" i="9"/>
  <c r="E24" i="9"/>
  <c r="B24" i="9"/>
  <c r="E23" i="9"/>
  <c r="B23" i="9"/>
  <c r="BG22" i="9"/>
  <c r="E22" i="9"/>
  <c r="B22" i="9"/>
  <c r="O21" i="9"/>
  <c r="B21" i="9"/>
  <c r="O20" i="9"/>
  <c r="B20" i="9"/>
  <c r="BO19" i="9"/>
  <c r="O19" i="9"/>
  <c r="B19" i="9"/>
  <c r="AT18" i="9"/>
  <c r="AO18" i="9"/>
  <c r="AO19" i="9" s="1"/>
  <c r="AO20" i="9" s="1"/>
  <c r="AO21" i="9" s="1"/>
  <c r="AO22" i="9" s="1"/>
  <c r="AO23" i="9" s="1"/>
  <c r="AO24" i="9" s="1"/>
  <c r="AO25" i="9" s="1"/>
  <c r="AM18" i="9"/>
  <c r="AM19" i="9" s="1"/>
  <c r="AM20" i="9" s="1"/>
  <c r="AM21" i="9" s="1"/>
  <c r="AM22" i="9" s="1"/>
  <c r="AM23" i="9" s="1"/>
  <c r="AM24" i="9" s="1"/>
  <c r="AM25" i="9" s="1"/>
  <c r="AM26" i="9" s="1"/>
  <c r="AM27" i="9" s="1"/>
  <c r="AL18" i="9"/>
  <c r="AL19" i="9" s="1"/>
  <c r="AL20" i="9" s="1"/>
  <c r="AL21" i="9" s="1"/>
  <c r="AK18" i="9"/>
  <c r="AK19" i="9" s="1"/>
  <c r="AK20" i="9" s="1"/>
  <c r="AK21" i="9" s="1"/>
  <c r="AJ18" i="9"/>
  <c r="AJ19" i="9" s="1"/>
  <c r="AJ20" i="9" s="1"/>
  <c r="AJ21" i="9" s="1"/>
  <c r="AJ22" i="9" s="1"/>
  <c r="AJ23" i="9" s="1"/>
  <c r="AJ24" i="9" s="1"/>
  <c r="AJ25" i="9" s="1"/>
  <c r="AJ26" i="9" s="1"/>
  <c r="AJ27" i="9" s="1"/>
  <c r="AJ28" i="9" s="1"/>
  <c r="AJ29" i="9" s="1"/>
  <c r="AJ30" i="9" s="1"/>
  <c r="AJ31" i="9" s="1"/>
  <c r="AI18" i="9"/>
  <c r="AI19" i="9" s="1"/>
  <c r="AI20" i="9" s="1"/>
  <c r="AI21" i="9" s="1"/>
  <c r="AI22" i="9" s="1"/>
  <c r="AI23" i="9" s="1"/>
  <c r="AI24" i="9" s="1"/>
  <c r="AI25" i="9" s="1"/>
  <c r="AI26" i="9" s="1"/>
  <c r="AI27" i="9" s="1"/>
  <c r="AI28" i="9" s="1"/>
  <c r="AI29" i="9" s="1"/>
  <c r="AI30" i="9" s="1"/>
  <c r="AI31" i="9" s="1"/>
  <c r="AH18" i="9"/>
  <c r="AH19" i="9" s="1"/>
  <c r="AH20" i="9" s="1"/>
  <c r="AH21" i="9" s="1"/>
  <c r="AH22" i="9" s="1"/>
  <c r="AH23" i="9" s="1"/>
  <c r="AH24" i="9" s="1"/>
  <c r="AH25" i="9" s="1"/>
  <c r="AH26" i="9" s="1"/>
  <c r="AH27" i="9" s="1"/>
  <c r="AG18" i="9"/>
  <c r="AG19" i="9" s="1"/>
  <c r="AF18" i="9"/>
  <c r="AF19" i="9" s="1"/>
  <c r="AF20" i="9" s="1"/>
  <c r="AF21" i="9" s="1"/>
  <c r="AF22" i="9" s="1"/>
  <c r="AF23" i="9" s="1"/>
  <c r="AF24" i="9" s="1"/>
  <c r="AF25" i="9" s="1"/>
  <c r="AF26" i="9" s="1"/>
  <c r="AF27" i="9" s="1"/>
  <c r="AE18" i="9"/>
  <c r="AE19" i="9" s="1"/>
  <c r="AE20" i="9" s="1"/>
  <c r="AE21" i="9" s="1"/>
  <c r="AE22" i="9" s="1"/>
  <c r="AE23" i="9" s="1"/>
  <c r="AE24" i="9" s="1"/>
  <c r="AE25" i="9" s="1"/>
  <c r="AE26" i="9" s="1"/>
  <c r="AE27" i="9" s="1"/>
  <c r="AD18" i="9"/>
  <c r="AD19" i="9" s="1"/>
  <c r="AD20" i="9" s="1"/>
  <c r="AD21" i="9" s="1"/>
  <c r="AD22" i="9" s="1"/>
  <c r="AD23" i="9" s="1"/>
  <c r="AD24" i="9" s="1"/>
  <c r="AD25" i="9" s="1"/>
  <c r="AD26" i="9" s="1"/>
  <c r="AD27" i="9" s="1"/>
  <c r="AD28" i="9" s="1"/>
  <c r="AD29" i="9" s="1"/>
  <c r="AD30" i="9" s="1"/>
  <c r="AD31" i="9" s="1"/>
  <c r="AC18" i="9"/>
  <c r="AC19" i="9" s="1"/>
  <c r="AC20" i="9" s="1"/>
  <c r="AC21" i="9" s="1"/>
  <c r="AC22" i="9" s="1"/>
  <c r="AB18" i="9"/>
  <c r="AB19" i="9" s="1"/>
  <c r="AB20" i="9" s="1"/>
  <c r="AB21" i="9" s="1"/>
  <c r="AB22" i="9" s="1"/>
  <c r="AB23" i="9" s="1"/>
  <c r="AB24" i="9" s="1"/>
  <c r="AB25" i="9" s="1"/>
  <c r="AB26" i="9" s="1"/>
  <c r="AB27" i="9" s="1"/>
  <c r="AB28" i="9" s="1"/>
  <c r="AB29" i="9" s="1"/>
  <c r="AB30" i="9" s="1"/>
  <c r="AB31" i="9" s="1"/>
  <c r="AA18" i="9"/>
  <c r="AA19" i="9" s="1"/>
  <c r="AA20" i="9" s="1"/>
  <c r="AA21" i="9" s="1"/>
  <c r="AA22" i="9" s="1"/>
  <c r="AA23" i="9" s="1"/>
  <c r="AA24" i="9" s="1"/>
  <c r="AA25" i="9" s="1"/>
  <c r="AA26" i="9" s="1"/>
  <c r="AA27" i="9" s="1"/>
  <c r="AA28" i="9" s="1"/>
  <c r="AA29" i="9" s="1"/>
  <c r="AA30" i="9" s="1"/>
  <c r="AA31" i="9" s="1"/>
  <c r="Z18" i="9"/>
  <c r="Z19" i="9" s="1"/>
  <c r="Y18" i="9"/>
  <c r="Y19" i="9" s="1"/>
  <c r="Y20" i="9" s="1"/>
  <c r="Y21" i="9" s="1"/>
  <c r="Y22" i="9" s="1"/>
  <c r="Y23" i="9" s="1"/>
  <c r="Y24" i="9" s="1"/>
  <c r="Y25" i="9" s="1"/>
  <c r="X18" i="9"/>
  <c r="X19" i="9" s="1"/>
  <c r="X20" i="9" s="1"/>
  <c r="X21" i="9" s="1"/>
  <c r="X22" i="9" s="1"/>
  <c r="X23" i="9" s="1"/>
  <c r="X24" i="9" s="1"/>
  <c r="X25" i="9" s="1"/>
  <c r="X26" i="9" s="1"/>
  <c r="W18" i="9"/>
  <c r="W19" i="9" s="1"/>
  <c r="W20" i="9" s="1"/>
  <c r="W21" i="9" s="1"/>
  <c r="W22" i="9" s="1"/>
  <c r="W23" i="9" s="1"/>
  <c r="W24" i="9" s="1"/>
  <c r="W25" i="9" s="1"/>
  <c r="W26" i="9" s="1"/>
  <c r="W27" i="9" s="1"/>
  <c r="V18" i="9"/>
  <c r="V19" i="9" s="1"/>
  <c r="V20" i="9" s="1"/>
  <c r="V21" i="9" s="1"/>
  <c r="V22" i="9" s="1"/>
  <c r="V23" i="9" s="1"/>
  <c r="V24" i="9" s="1"/>
  <c r="V25" i="9" s="1"/>
  <c r="V26" i="9" s="1"/>
  <c r="V27" i="9" s="1"/>
  <c r="V28" i="9" s="1"/>
  <c r="V29" i="9" s="1"/>
  <c r="V30" i="9" s="1"/>
  <c r="V31" i="9" s="1"/>
  <c r="U18" i="9"/>
  <c r="U19" i="9" s="1"/>
  <c r="U20" i="9" s="1"/>
  <c r="U21" i="9" s="1"/>
  <c r="U22" i="9" s="1"/>
  <c r="U23" i="9" s="1"/>
  <c r="U24" i="9" s="1"/>
  <c r="U25" i="9" s="1"/>
  <c r="U26" i="9" s="1"/>
  <c r="U27" i="9" s="1"/>
  <c r="U28" i="9" s="1"/>
  <c r="U29" i="9" s="1"/>
  <c r="U30" i="9" s="1"/>
  <c r="U31" i="9" s="1"/>
  <c r="T18" i="9"/>
  <c r="T19" i="9" s="1"/>
  <c r="T20" i="9" s="1"/>
  <c r="T21" i="9" s="1"/>
  <c r="T22" i="9" s="1"/>
  <c r="T23" i="9" s="1"/>
  <c r="T24" i="9" s="1"/>
  <c r="T25" i="9" s="1"/>
  <c r="T26" i="9" s="1"/>
  <c r="T27" i="9" s="1"/>
  <c r="T28" i="9" s="1"/>
  <c r="T29" i="9" s="1"/>
  <c r="T30" i="9" s="1"/>
  <c r="T31" i="9" s="1"/>
  <c r="S18" i="9"/>
  <c r="S19" i="9" s="1"/>
  <c r="S20" i="9" s="1"/>
  <c r="S21" i="9" s="1"/>
  <c r="S22" i="9" s="1"/>
  <c r="S23" i="9" s="1"/>
  <c r="S24" i="9" s="1"/>
  <c r="S25" i="9" s="1"/>
  <c r="S26" i="9" s="1"/>
  <c r="S27" i="9" s="1"/>
  <c r="S28" i="9" s="1"/>
  <c r="S29" i="9" s="1"/>
  <c r="S30" i="9" s="1"/>
  <c r="S31" i="9" s="1"/>
  <c r="R18" i="9"/>
  <c r="R19" i="9" s="1"/>
  <c r="R20" i="9" s="1"/>
  <c r="R21" i="9" s="1"/>
  <c r="R22" i="9" s="1"/>
  <c r="R23" i="9" s="1"/>
  <c r="R24" i="9" s="1"/>
  <c r="R25" i="9" s="1"/>
  <c r="R26" i="9" s="1"/>
  <c r="R27" i="9" s="1"/>
  <c r="Q18" i="9"/>
  <c r="P18" i="9"/>
  <c r="P19" i="9" s="1"/>
  <c r="P20" i="9" s="1"/>
  <c r="P21" i="9" s="1"/>
  <c r="P22" i="9" s="1"/>
  <c r="P23" i="9" s="1"/>
  <c r="P24" i="9" s="1"/>
  <c r="P25" i="9" s="1"/>
  <c r="P26" i="9" s="1"/>
  <c r="P27" i="9" s="1"/>
  <c r="O18" i="9"/>
  <c r="L18" i="9"/>
  <c r="L19" i="9" s="1"/>
  <c r="B18" i="9"/>
  <c r="A18" i="9"/>
  <c r="AQ17" i="9"/>
  <c r="AP17" i="9"/>
  <c r="AP18" i="9" s="1"/>
  <c r="AP19" i="9" s="1"/>
  <c r="AN17" i="9"/>
  <c r="AN41" i="9" s="1"/>
  <c r="AN42" i="9" s="1"/>
  <c r="AN43" i="9" s="1"/>
  <c r="AN44" i="9" s="1"/>
  <c r="AN45" i="9" s="1"/>
  <c r="AN46" i="9" s="1"/>
  <c r="BP46" i="9" s="1"/>
  <c r="O17" i="9"/>
  <c r="B17" i="9"/>
  <c r="A17" i="9"/>
  <c r="AS16" i="9"/>
  <c r="AT16" i="9" s="1"/>
  <c r="AU16" i="9" s="1"/>
  <c r="AV16" i="9" s="1"/>
  <c r="AW16" i="9" s="1"/>
  <c r="AX16" i="9" s="1"/>
  <c r="AY16" i="9" s="1"/>
  <c r="AZ16" i="9" s="1"/>
  <c r="BA16" i="9" s="1"/>
  <c r="BB16" i="9" s="1"/>
  <c r="BC16" i="9" s="1"/>
  <c r="BD16" i="9" s="1"/>
  <c r="BE16" i="9" s="1"/>
  <c r="BF16" i="9" s="1"/>
  <c r="BG16" i="9" s="1"/>
  <c r="BH16" i="9" s="1"/>
  <c r="BI16" i="9" s="1"/>
  <c r="BJ16" i="9" s="1"/>
  <c r="BK16" i="9" s="1"/>
  <c r="BL16" i="9" s="1"/>
  <c r="BM16" i="9" s="1"/>
  <c r="BN16" i="9" s="1"/>
  <c r="BO16" i="9" s="1"/>
  <c r="BP16" i="9" s="1"/>
  <c r="BQ16" i="9" s="1"/>
  <c r="BR16" i="9" s="1"/>
  <c r="BS16" i="9" s="1"/>
  <c r="J14" i="9"/>
  <c r="I14" i="9"/>
  <c r="H14" i="9"/>
  <c r="G14" i="9"/>
  <c r="F14" i="9"/>
  <c r="E14" i="9"/>
  <c r="D14" i="9"/>
  <c r="C14" i="9"/>
  <c r="B14" i="9"/>
  <c r="AQ13" i="9"/>
  <c r="AP13" i="9"/>
  <c r="AO13" i="9"/>
  <c r="BQ43" i="9" s="1"/>
  <c r="AN13" i="9"/>
  <c r="AM13" i="9"/>
  <c r="AL13" i="9"/>
  <c r="AK13" i="9"/>
  <c r="AJ13" i="9"/>
  <c r="AI13" i="9"/>
  <c r="AH13" i="9"/>
  <c r="BJ17" i="9" s="1"/>
  <c r="AG13" i="9"/>
  <c r="BI17" i="9" s="1"/>
  <c r="AF13" i="9"/>
  <c r="AE13" i="9"/>
  <c r="BG20" i="9" s="1"/>
  <c r="AD13" i="9"/>
  <c r="AC13" i="9"/>
  <c r="AB13" i="9"/>
  <c r="AA13" i="9"/>
  <c r="Z13" i="9"/>
  <c r="Y13" i="9"/>
  <c r="BA43" i="9" s="1"/>
  <c r="X13" i="9"/>
  <c r="W13" i="9"/>
  <c r="V13" i="9"/>
  <c r="AX21" i="9" s="1"/>
  <c r="U13" i="9"/>
  <c r="T13" i="9"/>
  <c r="AV46" i="9" s="1"/>
  <c r="S13" i="9"/>
  <c r="R13" i="9"/>
  <c r="Q13" i="9"/>
  <c r="AS42" i="9" s="1"/>
  <c r="P13" i="9"/>
  <c r="AR18" i="9" s="1"/>
  <c r="Q12" i="9"/>
  <c r="R12" i="9" s="1"/>
  <c r="S12" i="9" s="1"/>
  <c r="T12" i="9" s="1"/>
  <c r="U12" i="9" s="1"/>
  <c r="V12" i="9" s="1"/>
  <c r="W12" i="9" s="1"/>
  <c r="X12" i="9" s="1"/>
  <c r="Y12" i="9" s="1"/>
  <c r="Z12" i="9" s="1"/>
  <c r="AA12" i="9" s="1"/>
  <c r="AB12" i="9" s="1"/>
  <c r="AC12" i="9" s="1"/>
  <c r="AD12" i="9" s="1"/>
  <c r="AE12" i="9" s="1"/>
  <c r="AF12" i="9" s="1"/>
  <c r="AG12" i="9" s="1"/>
  <c r="AH12" i="9" s="1"/>
  <c r="AI12" i="9" s="1"/>
  <c r="AJ12" i="9" s="1"/>
  <c r="AK12" i="9" s="1"/>
  <c r="AL12" i="9" s="1"/>
  <c r="AM12" i="9" s="1"/>
  <c r="AN12" i="9" s="1"/>
  <c r="AO12" i="9" s="1"/>
  <c r="AP12" i="9" s="1"/>
  <c r="AQ12" i="9" s="1"/>
  <c r="M12" i="9"/>
  <c r="M10" i="9"/>
  <c r="B9" i="9" s="1"/>
  <c r="M9" i="9"/>
  <c r="A76" i="3" l="1"/>
  <c r="L77" i="3"/>
  <c r="Y48" i="3"/>
  <c r="AW47" i="3"/>
  <c r="AH75" i="3"/>
  <c r="BF74" i="3"/>
  <c r="Z47" i="3"/>
  <c r="AX46" i="3"/>
  <c r="AF47" i="3"/>
  <c r="BD46" i="3"/>
  <c r="R73" i="3"/>
  <c r="AP72" i="3"/>
  <c r="J72" i="3" s="1"/>
  <c r="AG46" i="3"/>
  <c r="BE45" i="3"/>
  <c r="J45" i="3" s="1"/>
  <c r="Q24" i="3"/>
  <c r="AO23" i="3"/>
  <c r="Q49" i="3"/>
  <c r="AO48" i="3"/>
  <c r="BE23" i="3"/>
  <c r="AG24" i="3"/>
  <c r="R47" i="3"/>
  <c r="AP46" i="3"/>
  <c r="Z79" i="3"/>
  <c r="AX78" i="3"/>
  <c r="AL23" i="3"/>
  <c r="BJ22" i="3"/>
  <c r="J22" i="3"/>
  <c r="AK28" i="3"/>
  <c r="BI27" i="3"/>
  <c r="Y23" i="3"/>
  <c r="AW22" i="3"/>
  <c r="P27" i="3"/>
  <c r="AN26" i="3"/>
  <c r="X25" i="3"/>
  <c r="AV24" i="3"/>
  <c r="P76" i="3"/>
  <c r="AN75" i="3"/>
  <c r="X50" i="3"/>
  <c r="AV49" i="3"/>
  <c r="AC28" i="3"/>
  <c r="BA27" i="3"/>
  <c r="AN47" i="3"/>
  <c r="P48" i="3"/>
  <c r="AF82" i="3"/>
  <c r="BD81" i="3"/>
  <c r="X81" i="3"/>
  <c r="AV80" i="3"/>
  <c r="AJ23" i="3"/>
  <c r="BH22" i="3"/>
  <c r="AH25" i="3"/>
  <c r="BF24" i="3"/>
  <c r="AC55" i="3"/>
  <c r="BA54" i="3"/>
  <c r="AH47" i="3"/>
  <c r="BF46" i="3"/>
  <c r="AX27" i="3"/>
  <c r="Z28" i="3"/>
  <c r="L47" i="3"/>
  <c r="A46" i="3"/>
  <c r="AP23" i="3"/>
  <c r="R24" i="3"/>
  <c r="AJ86" i="3"/>
  <c r="BH85" i="3"/>
  <c r="AZ47" i="9"/>
  <c r="AS18" i="9"/>
  <c r="BA47" i="9"/>
  <c r="BJ46" i="9"/>
  <c r="BD46" i="9"/>
  <c r="AU47" i="9"/>
  <c r="BC46" i="9"/>
  <c r="BK46" i="9"/>
  <c r="AT46" i="9"/>
  <c r="BQ46" i="9"/>
  <c r="BF46" i="9"/>
  <c r="BI46" i="9"/>
  <c r="BB46" i="9"/>
  <c r="BL46" i="9"/>
  <c r="AZ42" i="9"/>
  <c r="BH46" i="9"/>
  <c r="BI47" i="9"/>
  <c r="AG48" i="9"/>
  <c r="AG49" i="9" s="1"/>
  <c r="AG50" i="9" s="1"/>
  <c r="AS46" i="9"/>
  <c r="Q47" i="9"/>
  <c r="AX46" i="9"/>
  <c r="V47" i="9"/>
  <c r="V48" i="9" s="1"/>
  <c r="V49" i="9" s="1"/>
  <c r="AL47" i="9"/>
  <c r="BN46" i="9"/>
  <c r="P48" i="9"/>
  <c r="AR47" i="9"/>
  <c r="W47" i="9"/>
  <c r="AY46" i="9"/>
  <c r="AE47" i="9"/>
  <c r="AE48" i="9" s="1"/>
  <c r="AE49" i="9" s="1"/>
  <c r="AZ46" i="9"/>
  <c r="BL47" i="9"/>
  <c r="BA46" i="9"/>
  <c r="Q19" i="9"/>
  <c r="Q20" i="9" s="1"/>
  <c r="Q21" i="9" s="1"/>
  <c r="Q22" i="9" s="1"/>
  <c r="Q23" i="9" s="1"/>
  <c r="Q24" i="9" s="1"/>
  <c r="Q25" i="9" s="1"/>
  <c r="Q26" i="9" s="1"/>
  <c r="Q27" i="9" s="1"/>
  <c r="M38" i="9"/>
  <c r="C54" i="9" s="1"/>
  <c r="AR46" i="9"/>
  <c r="AN47" i="9"/>
  <c r="AN48" i="9" s="1"/>
  <c r="BP48" i="9" s="1"/>
  <c r="BL83" i="7"/>
  <c r="AI84" i="7"/>
  <c r="AI46" i="7"/>
  <c r="BL45" i="7"/>
  <c r="BL127" i="7"/>
  <c r="AI128" i="7"/>
  <c r="BL23" i="7"/>
  <c r="AI24" i="7"/>
  <c r="AD47" i="9"/>
  <c r="C49" i="9"/>
  <c r="C47" i="9"/>
  <c r="C52" i="9"/>
  <c r="C48" i="9"/>
  <c r="C50" i="9"/>
  <c r="C51" i="9"/>
  <c r="E41" i="9"/>
  <c r="BS47" i="9"/>
  <c r="BI49" i="9"/>
  <c r="AK48" i="9"/>
  <c r="BM47" i="9"/>
  <c r="AH47" i="9"/>
  <c r="BI48" i="9"/>
  <c r="AN49" i="9"/>
  <c r="AU46" i="9"/>
  <c r="BE46" i="9"/>
  <c r="AI47" i="9"/>
  <c r="Y48" i="9"/>
  <c r="AM47" i="9"/>
  <c r="BO46" i="9"/>
  <c r="Z47" i="9"/>
  <c r="AJ49" i="9"/>
  <c r="BL48" i="9"/>
  <c r="AC48" i="9"/>
  <c r="X49" i="9"/>
  <c r="AA47" i="9"/>
  <c r="BP47" i="9"/>
  <c r="AS47" i="9"/>
  <c r="Q48" i="9"/>
  <c r="BG48" i="9"/>
  <c r="BM46" i="9"/>
  <c r="S48" i="9"/>
  <c r="R47" i="9"/>
  <c r="BQ47" i="9"/>
  <c r="AO48" i="9"/>
  <c r="AR48" i="9"/>
  <c r="P49" i="9"/>
  <c r="AF48" i="9"/>
  <c r="BH47" i="9"/>
  <c r="T48" i="9"/>
  <c r="AV47" i="9"/>
  <c r="AB48" i="9"/>
  <c r="BD47" i="9"/>
  <c r="W48" i="9"/>
  <c r="AY47" i="9"/>
  <c r="AG20" i="9"/>
  <c r="AG21" i="9" s="1"/>
  <c r="AG22" i="9" s="1"/>
  <c r="AG23" i="9" s="1"/>
  <c r="AG24" i="9" s="1"/>
  <c r="AG25" i="9" s="1"/>
  <c r="AG26" i="9" s="1"/>
  <c r="AG27" i="9" s="1"/>
  <c r="BI27" i="9" s="1"/>
  <c r="BI19" i="9"/>
  <c r="BH19" i="9"/>
  <c r="AY19" i="9"/>
  <c r="AY21" i="9"/>
  <c r="BF45" i="9"/>
  <c r="BN44" i="9"/>
  <c r="BO44" i="9"/>
  <c r="BP43" i="9"/>
  <c r="C45" i="9"/>
  <c r="C41" i="9"/>
  <c r="C46" i="9"/>
  <c r="M39" i="9"/>
  <c r="D42" i="9" s="1"/>
  <c r="C44" i="9"/>
  <c r="AT42" i="9"/>
  <c r="AR21" i="9"/>
  <c r="BI42" i="9"/>
  <c r="BH18" i="9"/>
  <c r="AR44" i="9"/>
  <c r="BI18" i="9"/>
  <c r="AS17" i="9"/>
  <c r="AY22" i="9"/>
  <c r="BO22" i="9"/>
  <c r="BJ18" i="9"/>
  <c r="AR19" i="9"/>
  <c r="BH21" i="9"/>
  <c r="L30" i="9"/>
  <c r="BF43" i="9"/>
  <c r="BA20" i="9"/>
  <c r="BJ42" i="9"/>
  <c r="AZ43" i="9"/>
  <c r="BQ20" i="9"/>
  <c r="BP42" i="9"/>
  <c r="BH44" i="9"/>
  <c r="AT17" i="9"/>
  <c r="AS19" i="9"/>
  <c r="BO21" i="9"/>
  <c r="AT41" i="9"/>
  <c r="AZ20" i="9"/>
  <c r="BR19" i="9"/>
  <c r="BJ41" i="9"/>
  <c r="BB19" i="9"/>
  <c r="U45" i="9"/>
  <c r="U46" i="9" s="1"/>
  <c r="U47" i="9" s="1"/>
  <c r="AW44" i="9"/>
  <c r="A19" i="9"/>
  <c r="L20" i="9"/>
  <c r="AG28" i="9"/>
  <c r="AL22" i="9"/>
  <c r="AL23" i="9" s="1"/>
  <c r="AL24" i="9" s="1"/>
  <c r="AL25" i="9" s="1"/>
  <c r="AL26" i="9" s="1"/>
  <c r="AL27" i="9" s="1"/>
  <c r="AL28" i="9" s="1"/>
  <c r="AL29" i="9" s="1"/>
  <c r="AL30" i="9" s="1"/>
  <c r="AL31" i="9" s="1"/>
  <c r="BN31" i="9" s="1"/>
  <c r="BN21" i="9"/>
  <c r="BG27" i="9"/>
  <c r="AE28" i="9"/>
  <c r="AE29" i="9" s="1"/>
  <c r="AE30" i="9" s="1"/>
  <c r="AE31" i="9" s="1"/>
  <c r="BG31" i="9" s="1"/>
  <c r="AO26" i="9"/>
  <c r="BQ25" i="9"/>
  <c r="AY27" i="9"/>
  <c r="W28" i="9"/>
  <c r="W29" i="9" s="1"/>
  <c r="W30" i="9" s="1"/>
  <c r="W31" i="9" s="1"/>
  <c r="AY31" i="9" s="1"/>
  <c r="X27" i="9"/>
  <c r="X28" i="9" s="1"/>
  <c r="X29" i="9" s="1"/>
  <c r="AZ26" i="9"/>
  <c r="Y26" i="9"/>
  <c r="BA25" i="9"/>
  <c r="Q28" i="9"/>
  <c r="AS27" i="9"/>
  <c r="AM28" i="9"/>
  <c r="AM29" i="9" s="1"/>
  <c r="AM30" i="9" s="1"/>
  <c r="AM31" i="9" s="1"/>
  <c r="BO31" i="9" s="1"/>
  <c r="BO27" i="9"/>
  <c r="AH28" i="9"/>
  <c r="BJ27" i="9"/>
  <c r="AK22" i="9"/>
  <c r="AK23" i="9" s="1"/>
  <c r="AK24" i="9" s="1"/>
  <c r="AK25" i="9" s="1"/>
  <c r="AK26" i="9" s="1"/>
  <c r="AK27" i="9" s="1"/>
  <c r="AK28" i="9" s="1"/>
  <c r="AK29" i="9" s="1"/>
  <c r="AK30" i="9" s="1"/>
  <c r="AK31" i="9" s="1"/>
  <c r="BM31" i="9" s="1"/>
  <c r="BM21" i="9"/>
  <c r="P28" i="9"/>
  <c r="AR27" i="9"/>
  <c r="R28" i="9"/>
  <c r="AT27" i="9"/>
  <c r="AF28" i="9"/>
  <c r="BH27" i="9"/>
  <c r="BE45" i="9"/>
  <c r="AC23" i="9"/>
  <c r="AC24" i="9" s="1"/>
  <c r="AC25" i="9" s="1"/>
  <c r="AC26" i="9" s="1"/>
  <c r="AC27" i="9" s="1"/>
  <c r="AC28" i="9" s="1"/>
  <c r="AC29" i="9" s="1"/>
  <c r="AC30" i="9" s="1"/>
  <c r="AC31" i="9" s="1"/>
  <c r="BE31" i="9" s="1"/>
  <c r="BE22" i="9"/>
  <c r="C28" i="9"/>
  <c r="C20" i="9"/>
  <c r="C31" i="9"/>
  <c r="C30" i="9"/>
  <c r="C29" i="9"/>
  <c r="C27" i="9"/>
  <c r="C19" i="9"/>
  <c r="C17" i="9"/>
  <c r="C26" i="9"/>
  <c r="C18" i="9"/>
  <c r="C25" i="9"/>
  <c r="AU45" i="9"/>
  <c r="AU22" i="9"/>
  <c r="AU44" i="9"/>
  <c r="AU21" i="9"/>
  <c r="AU43" i="9"/>
  <c r="AU20" i="9"/>
  <c r="AU27" i="9"/>
  <c r="AU19" i="9"/>
  <c r="BL44" i="9"/>
  <c r="BL21" i="9"/>
  <c r="BL43" i="9"/>
  <c r="BL20" i="9"/>
  <c r="BL27" i="9"/>
  <c r="BL19" i="9"/>
  <c r="BL42" i="9"/>
  <c r="BL31" i="9"/>
  <c r="BL30" i="9"/>
  <c r="BL29" i="9"/>
  <c r="BL28" i="9"/>
  <c r="BL26" i="9"/>
  <c r="BL18" i="9"/>
  <c r="AW21" i="9"/>
  <c r="BM43" i="9"/>
  <c r="BM20" i="9"/>
  <c r="BM19" i="9"/>
  <c r="BM42" i="9"/>
  <c r="BM26" i="9"/>
  <c r="BM18" i="9"/>
  <c r="BM17" i="9"/>
  <c r="AT19" i="9"/>
  <c r="BF20" i="9"/>
  <c r="BG45" i="9"/>
  <c r="BN19" i="9"/>
  <c r="BN42" i="9"/>
  <c r="BN18" i="9"/>
  <c r="BN17" i="9"/>
  <c r="BN41" i="9"/>
  <c r="C21" i="9"/>
  <c r="M13" i="9"/>
  <c r="AY42" i="9"/>
  <c r="AY26" i="9"/>
  <c r="AY18" i="9"/>
  <c r="AY25" i="9"/>
  <c r="AY17" i="9"/>
  <c r="AY41" i="9"/>
  <c r="AY24" i="9"/>
  <c r="AY23" i="9"/>
  <c r="BG42" i="9"/>
  <c r="BG26" i="9"/>
  <c r="BG18" i="9"/>
  <c r="BG25" i="9"/>
  <c r="BG17" i="9"/>
  <c r="BG41" i="9"/>
  <c r="BG24" i="9"/>
  <c r="BG23" i="9"/>
  <c r="BO42" i="9"/>
  <c r="BO26" i="9"/>
  <c r="BO18" i="9"/>
  <c r="BO25" i="9"/>
  <c r="BO17" i="9"/>
  <c r="BO41" i="9"/>
  <c r="BO24" i="9"/>
  <c r="BO23" i="9"/>
  <c r="AU17" i="9"/>
  <c r="BK17" i="9"/>
  <c r="AU18" i="9"/>
  <c r="BK18" i="9"/>
  <c r="AZ19" i="9"/>
  <c r="AR20" i="9"/>
  <c r="BH20" i="9"/>
  <c r="AZ21" i="9"/>
  <c r="AW22" i="9"/>
  <c r="AU23" i="9"/>
  <c r="BK23" i="9"/>
  <c r="AT24" i="9"/>
  <c r="BJ24" i="9"/>
  <c r="AS25" i="9"/>
  <c r="BC26" i="9"/>
  <c r="AU28" i="9"/>
  <c r="BK28" i="9"/>
  <c r="BB41" i="9"/>
  <c r="BA42" i="9"/>
  <c r="BQ42" i="9"/>
  <c r="L43" i="9"/>
  <c r="AR43" i="9"/>
  <c r="BH43" i="9"/>
  <c r="AZ44" i="9"/>
  <c r="BP44" i="9"/>
  <c r="BM45" i="9"/>
  <c r="BC45" i="9"/>
  <c r="BC22" i="9"/>
  <c r="BC44" i="9"/>
  <c r="BC21" i="9"/>
  <c r="BC43" i="9"/>
  <c r="BC20" i="9"/>
  <c r="BC27" i="9"/>
  <c r="BC19" i="9"/>
  <c r="BC17" i="9"/>
  <c r="BC23" i="9"/>
  <c r="BC28" i="9"/>
  <c r="AV44" i="9"/>
  <c r="AV21" i="9"/>
  <c r="AV43" i="9"/>
  <c r="AV20" i="9"/>
  <c r="AV27" i="9"/>
  <c r="AV19" i="9"/>
  <c r="AV42" i="9"/>
  <c r="AV31" i="9"/>
  <c r="AV30" i="9"/>
  <c r="AV29" i="9"/>
  <c r="AV28" i="9"/>
  <c r="AV26" i="9"/>
  <c r="AV18" i="9"/>
  <c r="BF22" i="9"/>
  <c r="BC24" i="9"/>
  <c r="AU41" i="9"/>
  <c r="BK41" i="9"/>
  <c r="BE43" i="9"/>
  <c r="BE20" i="9"/>
  <c r="BE19" i="9"/>
  <c r="BE42" i="9"/>
  <c r="BE18" i="9"/>
  <c r="BE17" i="9"/>
  <c r="BC30" i="9"/>
  <c r="AV41" i="9"/>
  <c r="BL41" i="9"/>
  <c r="AV22" i="9"/>
  <c r="BF23" i="9"/>
  <c r="BE24" i="9"/>
  <c r="BG43" i="9"/>
  <c r="BL45" i="9"/>
  <c r="AR25" i="9"/>
  <c r="AR17" i="9"/>
  <c r="AR41" i="9"/>
  <c r="AR24" i="9"/>
  <c r="AR23" i="9"/>
  <c r="AR45" i="9"/>
  <c r="AR22" i="9"/>
  <c r="AZ25" i="9"/>
  <c r="AZ17" i="9"/>
  <c r="AZ41" i="9"/>
  <c r="AZ24" i="9"/>
  <c r="AZ23" i="9"/>
  <c r="AZ45" i="9"/>
  <c r="AZ22" i="9"/>
  <c r="BH25" i="9"/>
  <c r="BH17" i="9"/>
  <c r="BH41" i="9"/>
  <c r="BH24" i="9"/>
  <c r="BH23" i="9"/>
  <c r="BH45" i="9"/>
  <c r="BH22" i="9"/>
  <c r="BP17" i="9"/>
  <c r="BP41" i="9"/>
  <c r="BP45" i="9"/>
  <c r="AV17" i="9"/>
  <c r="BL17" i="9"/>
  <c r="AZ18" i="9"/>
  <c r="BA19" i="9"/>
  <c r="BQ19" i="9"/>
  <c r="AS20" i="9"/>
  <c r="BE21" i="9"/>
  <c r="AX22" i="9"/>
  <c r="AV23" i="9"/>
  <c r="BL23" i="9"/>
  <c r="AU24" i="9"/>
  <c r="BK24" i="9"/>
  <c r="AT25" i="9"/>
  <c r="BJ25" i="9"/>
  <c r="AR26" i="9"/>
  <c r="BH26" i="9"/>
  <c r="AU29" i="9"/>
  <c r="BK29" i="9"/>
  <c r="BC41" i="9"/>
  <c r="BB42" i="9"/>
  <c r="AS43" i="9"/>
  <c r="BI43" i="9"/>
  <c r="BE44" i="9"/>
  <c r="AX45" i="9"/>
  <c r="BN45" i="9"/>
  <c r="BK45" i="9"/>
  <c r="BK22" i="9"/>
  <c r="BK44" i="9"/>
  <c r="BK21" i="9"/>
  <c r="BK43" i="9"/>
  <c r="BK20" i="9"/>
  <c r="BK27" i="9"/>
  <c r="BK19" i="9"/>
  <c r="BS17" i="9"/>
  <c r="BC18" i="9"/>
  <c r="AU26" i="9"/>
  <c r="C23" i="9"/>
  <c r="BD23" i="9"/>
  <c r="BC29" i="9"/>
  <c r="AW43" i="9"/>
  <c r="AW20" i="9"/>
  <c r="AW27" i="9"/>
  <c r="AW19" i="9"/>
  <c r="AW42" i="9"/>
  <c r="AW31" i="9"/>
  <c r="AW30" i="9"/>
  <c r="AW29" i="9"/>
  <c r="AW28" i="9"/>
  <c r="AW26" i="9"/>
  <c r="AW18" i="9"/>
  <c r="AW25" i="9"/>
  <c r="AW17" i="9"/>
  <c r="BJ19" i="9"/>
  <c r="Z20" i="9"/>
  <c r="Z21" i="9" s="1"/>
  <c r="Z22" i="9" s="1"/>
  <c r="Z23" i="9" s="1"/>
  <c r="Z24" i="9" s="1"/>
  <c r="AP20" i="9"/>
  <c r="AP21" i="9" s="1"/>
  <c r="AP22" i="9" s="1"/>
  <c r="AP23" i="9" s="1"/>
  <c r="AP24" i="9" s="1"/>
  <c r="BD24" i="9"/>
  <c r="AU42" i="9"/>
  <c r="AX44" i="9"/>
  <c r="BF27" i="9"/>
  <c r="BF19" i="9"/>
  <c r="BF42" i="9"/>
  <c r="BF31" i="9"/>
  <c r="BF30" i="9"/>
  <c r="BF29" i="9"/>
  <c r="BF28" i="9"/>
  <c r="BF26" i="9"/>
  <c r="BF18" i="9"/>
  <c r="BF25" i="9"/>
  <c r="BF17" i="9"/>
  <c r="BF41" i="9"/>
  <c r="BF24" i="9"/>
  <c r="BD25" i="9"/>
  <c r="BC31" i="9"/>
  <c r="AW41" i="9"/>
  <c r="AV45" i="9"/>
  <c r="AS41" i="9"/>
  <c r="AS24" i="9"/>
  <c r="AS23" i="9"/>
  <c r="AS45" i="9"/>
  <c r="AS22" i="9"/>
  <c r="AS44" i="9"/>
  <c r="AS21" i="9"/>
  <c r="BI41" i="9"/>
  <c r="BI45" i="9"/>
  <c r="BI44" i="9"/>
  <c r="C22" i="9"/>
  <c r="AW23" i="9"/>
  <c r="AV24" i="9"/>
  <c r="BL24" i="9"/>
  <c r="AU25" i="9"/>
  <c r="BK25" i="9"/>
  <c r="AS26" i="9"/>
  <c r="AU30" i="9"/>
  <c r="BK30" i="9"/>
  <c r="BD41" i="9"/>
  <c r="BC42" i="9"/>
  <c r="AX43" i="9"/>
  <c r="BN43" i="9"/>
  <c r="BF44" i="9"/>
  <c r="AY45" i="9"/>
  <c r="BO45" i="9"/>
  <c r="BK26" i="9"/>
  <c r="BD44" i="9"/>
  <c r="BD21" i="9"/>
  <c r="BD43" i="9"/>
  <c r="BD20" i="9"/>
  <c r="BD27" i="9"/>
  <c r="BD19" i="9"/>
  <c r="BD42" i="9"/>
  <c r="BD31" i="9"/>
  <c r="BD30" i="9"/>
  <c r="BD29" i="9"/>
  <c r="BD28" i="9"/>
  <c r="BD26" i="9"/>
  <c r="BD18" i="9"/>
  <c r="BD17" i="9"/>
  <c r="BM44" i="9"/>
  <c r="BC25" i="9"/>
  <c r="BK42" i="9"/>
  <c r="AX27" i="9"/>
  <c r="AX19" i="9"/>
  <c r="AX42" i="9"/>
  <c r="AX31" i="9"/>
  <c r="AX30" i="9"/>
  <c r="AX29" i="9"/>
  <c r="AX28" i="9"/>
  <c r="AX26" i="9"/>
  <c r="AX18" i="9"/>
  <c r="AX25" i="9"/>
  <c r="AX17" i="9"/>
  <c r="AX41" i="9"/>
  <c r="AX24" i="9"/>
  <c r="BL22" i="9"/>
  <c r="C24" i="9"/>
  <c r="BM41" i="9"/>
  <c r="AY44" i="9"/>
  <c r="BA41" i="9"/>
  <c r="BA24" i="9"/>
  <c r="BA23" i="9"/>
  <c r="BA45" i="9"/>
  <c r="BA22" i="9"/>
  <c r="BA44" i="9"/>
  <c r="BA21" i="9"/>
  <c r="BQ41" i="9"/>
  <c r="BQ24" i="9"/>
  <c r="BQ23" i="9"/>
  <c r="BQ45" i="9"/>
  <c r="BQ22" i="9"/>
  <c r="BQ44" i="9"/>
  <c r="BQ21" i="9"/>
  <c r="BA17" i="9"/>
  <c r="BQ17" i="9"/>
  <c r="BA18" i="9"/>
  <c r="BQ18" i="9"/>
  <c r="AX20" i="9"/>
  <c r="BN20" i="9"/>
  <c r="BF21" i="9"/>
  <c r="M36" i="9"/>
  <c r="AT23" i="9"/>
  <c r="AT45" i="9"/>
  <c r="AT22" i="9"/>
  <c r="AT44" i="9"/>
  <c r="AT21" i="9"/>
  <c r="AT43" i="9"/>
  <c r="AT20" i="9"/>
  <c r="BB45" i="9"/>
  <c r="BB44" i="9"/>
  <c r="BB43" i="9"/>
  <c r="BJ23" i="9"/>
  <c r="BJ45" i="9"/>
  <c r="BJ22" i="9"/>
  <c r="BJ44" i="9"/>
  <c r="BJ21" i="9"/>
  <c r="BJ43" i="9"/>
  <c r="BJ20" i="9"/>
  <c r="BB17" i="9"/>
  <c r="BR17" i="9"/>
  <c r="BB18" i="9"/>
  <c r="BR18" i="9"/>
  <c r="BG19" i="9"/>
  <c r="AY20" i="9"/>
  <c r="BO20" i="9"/>
  <c r="BG21" i="9"/>
  <c r="BD22" i="9"/>
  <c r="AX23" i="9"/>
  <c r="AW24" i="9"/>
  <c r="AV25" i="9"/>
  <c r="BL25" i="9"/>
  <c r="AT26" i="9"/>
  <c r="BJ26" i="9"/>
  <c r="AU31" i="9"/>
  <c r="BK31" i="9"/>
  <c r="D41" i="9"/>
  <c r="BE41" i="9"/>
  <c r="AR42" i="9"/>
  <c r="BH42" i="9"/>
  <c r="AY43" i="9"/>
  <c r="BO43" i="9"/>
  <c r="BG44" i="9"/>
  <c r="BD45" i="9"/>
  <c r="AN18" i="9"/>
  <c r="AN19" i="9" s="1"/>
  <c r="AN20" i="9" s="1"/>
  <c r="AP41" i="9"/>
  <c r="AP42" i="9" s="1"/>
  <c r="AP43" i="9" s="1"/>
  <c r="AP44" i="9" s="1"/>
  <c r="AP45" i="9" s="1"/>
  <c r="AP46" i="9" s="1"/>
  <c r="AP47" i="9" s="1"/>
  <c r="AQ41" i="9"/>
  <c r="AQ42" i="9" s="1"/>
  <c r="AQ43" i="9" s="1"/>
  <c r="AQ44" i="9" s="1"/>
  <c r="AQ45" i="9" s="1"/>
  <c r="AQ46" i="9" s="1"/>
  <c r="AQ47" i="9" s="1"/>
  <c r="AQ48" i="9" s="1"/>
  <c r="AQ18" i="9"/>
  <c r="AQ19" i="9" s="1"/>
  <c r="AQ20" i="9" s="1"/>
  <c r="AQ21" i="9" s="1"/>
  <c r="AQ22" i="9" s="1"/>
  <c r="AQ23" i="9" s="1"/>
  <c r="AQ24" i="9" s="1"/>
  <c r="AQ25" i="9" s="1"/>
  <c r="AQ26" i="9" s="1"/>
  <c r="AQ27" i="9" s="1"/>
  <c r="AQ28" i="9" s="1"/>
  <c r="AQ29" i="9" s="1"/>
  <c r="AQ30" i="9" s="1"/>
  <c r="AQ31" i="9" s="1"/>
  <c r="BS31" i="9" s="1"/>
  <c r="AH123" i="7"/>
  <c r="AH124" i="7" s="1"/>
  <c r="AH125" i="7" s="1"/>
  <c r="AH126" i="7" s="1"/>
  <c r="AH127" i="7" s="1"/>
  <c r="AH128" i="7" s="1"/>
  <c r="AH129" i="7" s="1"/>
  <c r="AH130" i="7" s="1"/>
  <c r="AH131" i="7" s="1"/>
  <c r="AH132" i="7" s="1"/>
  <c r="AH133" i="7" s="1"/>
  <c r="AH134" i="7" s="1"/>
  <c r="AH135" i="7" s="1"/>
  <c r="AH136" i="7" s="1"/>
  <c r="AH137" i="7" s="1"/>
  <c r="AH138" i="7" s="1"/>
  <c r="AH139" i="7" s="1"/>
  <c r="AH140" i="7" s="1"/>
  <c r="AH141" i="7" s="1"/>
  <c r="AH142" i="7" s="1"/>
  <c r="AH143" i="7" s="1"/>
  <c r="AH144" i="7" s="1"/>
  <c r="AH145" i="7" s="1"/>
  <c r="AH146" i="7" s="1"/>
  <c r="AH147" i="7" s="1"/>
  <c r="AH148" i="7" s="1"/>
  <c r="AH149" i="7" s="1"/>
  <c r="AH150" i="7" s="1"/>
  <c r="AH151" i="7" s="1"/>
  <c r="AH152" i="7" s="1"/>
  <c r="AH153" i="7" s="1"/>
  <c r="AH154" i="7" s="1"/>
  <c r="AH155" i="7" s="1"/>
  <c r="AH156" i="7" s="1"/>
  <c r="AH157" i="7" s="1"/>
  <c r="AH158" i="7" s="1"/>
  <c r="AH159" i="7" s="1"/>
  <c r="AH160" i="7" s="1"/>
  <c r="AH161" i="7" s="1"/>
  <c r="AH162" i="7" s="1"/>
  <c r="AH163" i="7" s="1"/>
  <c r="AH164" i="7" s="1"/>
  <c r="AH165" i="7" s="1"/>
  <c r="AH166" i="7" s="1"/>
  <c r="AH167" i="7" s="1"/>
  <c r="AH168" i="7" s="1"/>
  <c r="AH169" i="7" s="1"/>
  <c r="AH170" i="7" s="1"/>
  <c r="AH171" i="7" s="1"/>
  <c r="AH172" i="7" s="1"/>
  <c r="AH173" i="7" s="1"/>
  <c r="AH174" i="7" s="1"/>
  <c r="AH175" i="7" s="1"/>
  <c r="AH176" i="7" s="1"/>
  <c r="AH177" i="7" s="1"/>
  <c r="AH178" i="7" s="1"/>
  <c r="AH179" i="7" s="1"/>
  <c r="AH180" i="7" s="1"/>
  <c r="AH181" i="7" s="1"/>
  <c r="AH182" i="7" s="1"/>
  <c r="AH183" i="7" s="1"/>
  <c r="AH184" i="7" s="1"/>
  <c r="AH185" i="7" s="1"/>
  <c r="AH186" i="7" s="1"/>
  <c r="AH187" i="7" s="1"/>
  <c r="AH188" i="7" s="1"/>
  <c r="AH189" i="7" s="1"/>
  <c r="AH190" i="7" s="1"/>
  <c r="AH191" i="7" s="1"/>
  <c r="AH192" i="7" s="1"/>
  <c r="AH193" i="7" s="1"/>
  <c r="AH194" i="7" s="1"/>
  <c r="AH195" i="7" s="1"/>
  <c r="AH196" i="7" s="1"/>
  <c r="AH197" i="7" s="1"/>
  <c r="AH198" i="7" s="1"/>
  <c r="AH199" i="7" s="1"/>
  <c r="AH200" i="7" s="1"/>
  <c r="AH201" i="7" s="1"/>
  <c r="AH202" i="7" s="1"/>
  <c r="AH203" i="7" s="1"/>
  <c r="AH204" i="7" s="1"/>
  <c r="AH205" i="7" s="1"/>
  <c r="AH206" i="7" s="1"/>
  <c r="AH207" i="7" s="1"/>
  <c r="AH208" i="7" s="1"/>
  <c r="AH209" i="7" s="1"/>
  <c r="AH210" i="7" s="1"/>
  <c r="AH211" i="7" s="1"/>
  <c r="AH212" i="7" s="1"/>
  <c r="AH213" i="7" s="1"/>
  <c r="AH214" i="7" s="1"/>
  <c r="AH215" i="7" s="1"/>
  <c r="AH216" i="7" s="1"/>
  <c r="AH217" i="7" s="1"/>
  <c r="AH218" i="7" s="1"/>
  <c r="AH219" i="7" s="1"/>
  <c r="AH220" i="7" s="1"/>
  <c r="AH221" i="7" s="1"/>
  <c r="AH222" i="7" s="1"/>
  <c r="AH223" i="7" s="1"/>
  <c r="AH224" i="7" s="1"/>
  <c r="AH225" i="7" s="1"/>
  <c r="AH226" i="7" s="1"/>
  <c r="AH227" i="7" s="1"/>
  <c r="AH228" i="7" s="1"/>
  <c r="AH229" i="7" s="1"/>
  <c r="AH230" i="7" s="1"/>
  <c r="AH231" i="7" s="1"/>
  <c r="AH232" i="7" s="1"/>
  <c r="AH233" i="7" s="1"/>
  <c r="AH234" i="7" s="1"/>
  <c r="AH235" i="7" s="1"/>
  <c r="AH236" i="7" s="1"/>
  <c r="AH237" i="7" s="1"/>
  <c r="AH238" i="7" s="1"/>
  <c r="AH239" i="7" s="1"/>
  <c r="AH240" i="7" s="1"/>
  <c r="AH241" i="7" s="1"/>
  <c r="AH242" i="7" s="1"/>
  <c r="AH243" i="7" s="1"/>
  <c r="AH244" i="7" s="1"/>
  <c r="AH245" i="7" s="1"/>
  <c r="AH246" i="7" s="1"/>
  <c r="AH247" i="7" s="1"/>
  <c r="AH248" i="7" s="1"/>
  <c r="AH249" i="7" s="1"/>
  <c r="AH250" i="7" s="1"/>
  <c r="AH251" i="7" s="1"/>
  <c r="AH252" i="7" s="1"/>
  <c r="AH253" i="7" s="1"/>
  <c r="AH254" i="7" s="1"/>
  <c r="AH255" i="7" s="1"/>
  <c r="AH256" i="7" s="1"/>
  <c r="AH257" i="7" s="1"/>
  <c r="AH258" i="7" s="1"/>
  <c r="AH259" i="7" s="1"/>
  <c r="AH260" i="7" s="1"/>
  <c r="AH78" i="7"/>
  <c r="AH79" i="7" s="1"/>
  <c r="AH80" i="7" s="1"/>
  <c r="AH81" i="7" s="1"/>
  <c r="AH82" i="7" s="1"/>
  <c r="AH83" i="7" s="1"/>
  <c r="AH84" i="7" s="1"/>
  <c r="AH85" i="7" s="1"/>
  <c r="AH86" i="7" s="1"/>
  <c r="AH87" i="7" s="1"/>
  <c r="AH88" i="7" s="1"/>
  <c r="AH89" i="7" s="1"/>
  <c r="AH90" i="7" s="1"/>
  <c r="AH91" i="7" s="1"/>
  <c r="AH92" i="7" s="1"/>
  <c r="AH93" i="7" s="1"/>
  <c r="AH94" i="7" s="1"/>
  <c r="AH95" i="7" s="1"/>
  <c r="AH96" i="7" s="1"/>
  <c r="AH97" i="7" s="1"/>
  <c r="AH98" i="7" s="1"/>
  <c r="AH99" i="7" s="1"/>
  <c r="AH100" i="7" s="1"/>
  <c r="AH101" i="7" s="1"/>
  <c r="AH102" i="7" s="1"/>
  <c r="AH103" i="7" s="1"/>
  <c r="AH104" i="7" s="1"/>
  <c r="AH105" i="7" s="1"/>
  <c r="AH106" i="7" s="1"/>
  <c r="AH107" i="7" s="1"/>
  <c r="AH108" i="7" s="1"/>
  <c r="AH109" i="7" s="1"/>
  <c r="AH41" i="7"/>
  <c r="AH42" i="7" s="1"/>
  <c r="AH43" i="7" s="1"/>
  <c r="AH44" i="7" s="1"/>
  <c r="AH45" i="7" s="1"/>
  <c r="AH46" i="7" s="1"/>
  <c r="AH47" i="7" s="1"/>
  <c r="AH48" i="7" s="1"/>
  <c r="AH49" i="7" s="1"/>
  <c r="AH50" i="7" s="1"/>
  <c r="AH51" i="7" s="1"/>
  <c r="AH52" i="7" s="1"/>
  <c r="AH53" i="7" s="1"/>
  <c r="AH18" i="7"/>
  <c r="AH19" i="7" s="1"/>
  <c r="AH20" i="7" s="1"/>
  <c r="AH21" i="7" s="1"/>
  <c r="AH22" i="7" s="1"/>
  <c r="AH23" i="7" s="1"/>
  <c r="AH24" i="7" s="1"/>
  <c r="AH25" i="7" s="1"/>
  <c r="AH26" i="7" s="1"/>
  <c r="AH27" i="7" s="1"/>
  <c r="AH28" i="7" s="1"/>
  <c r="AH13" i="7"/>
  <c r="AG123" i="7"/>
  <c r="AG124" i="7" s="1"/>
  <c r="AG125" i="7" s="1"/>
  <c r="AG126" i="7" s="1"/>
  <c r="AG127" i="7" s="1"/>
  <c r="AG128" i="7" s="1"/>
  <c r="AG129" i="7" s="1"/>
  <c r="AG130" i="7" s="1"/>
  <c r="AG131" i="7" s="1"/>
  <c r="AG132" i="7" s="1"/>
  <c r="AG133" i="7" s="1"/>
  <c r="AG134" i="7" s="1"/>
  <c r="AG135" i="7" s="1"/>
  <c r="AG136" i="7" s="1"/>
  <c r="AG137" i="7" s="1"/>
  <c r="AG138" i="7" s="1"/>
  <c r="AG139" i="7" s="1"/>
  <c r="AG140" i="7" s="1"/>
  <c r="AG141" i="7" s="1"/>
  <c r="AG142" i="7" s="1"/>
  <c r="AG143" i="7" s="1"/>
  <c r="AG144" i="7" s="1"/>
  <c r="AG145" i="7" s="1"/>
  <c r="AG146" i="7" s="1"/>
  <c r="AG147" i="7" s="1"/>
  <c r="AG148" i="7" s="1"/>
  <c r="AG149" i="7" s="1"/>
  <c r="AG150" i="7" s="1"/>
  <c r="AG151" i="7" s="1"/>
  <c r="AG152" i="7" s="1"/>
  <c r="AG153" i="7" s="1"/>
  <c r="AG154" i="7" s="1"/>
  <c r="AG155" i="7" s="1"/>
  <c r="AG156" i="7" s="1"/>
  <c r="AG157" i="7" s="1"/>
  <c r="AG158" i="7" s="1"/>
  <c r="AG159" i="7" s="1"/>
  <c r="AG160" i="7" s="1"/>
  <c r="AG161" i="7" s="1"/>
  <c r="AG162" i="7" s="1"/>
  <c r="AG163" i="7" s="1"/>
  <c r="AG164" i="7" s="1"/>
  <c r="AG165" i="7" s="1"/>
  <c r="AG166" i="7" s="1"/>
  <c r="AG167" i="7" s="1"/>
  <c r="AG168" i="7" s="1"/>
  <c r="AG169" i="7" s="1"/>
  <c r="AG170" i="7" s="1"/>
  <c r="AG171" i="7" s="1"/>
  <c r="AG172" i="7" s="1"/>
  <c r="AG173" i="7" s="1"/>
  <c r="AG174" i="7" s="1"/>
  <c r="AG175" i="7" s="1"/>
  <c r="AG176" i="7" s="1"/>
  <c r="AG177" i="7" s="1"/>
  <c r="AG178" i="7" s="1"/>
  <c r="AG179" i="7" s="1"/>
  <c r="AG180" i="7" s="1"/>
  <c r="AG181" i="7" s="1"/>
  <c r="AG182" i="7" s="1"/>
  <c r="AG183" i="7" s="1"/>
  <c r="AG184" i="7" s="1"/>
  <c r="AG185" i="7" s="1"/>
  <c r="AG186" i="7" s="1"/>
  <c r="AG187" i="7" s="1"/>
  <c r="AG188" i="7" s="1"/>
  <c r="AG189" i="7" s="1"/>
  <c r="AG190" i="7" s="1"/>
  <c r="AG191" i="7" s="1"/>
  <c r="AG192" i="7" s="1"/>
  <c r="AG193" i="7" s="1"/>
  <c r="AG194" i="7" s="1"/>
  <c r="AG195" i="7" s="1"/>
  <c r="AG196" i="7" s="1"/>
  <c r="AG197" i="7" s="1"/>
  <c r="AG198" i="7" s="1"/>
  <c r="AG199" i="7" s="1"/>
  <c r="AG200" i="7" s="1"/>
  <c r="AG201" i="7" s="1"/>
  <c r="AG202" i="7" s="1"/>
  <c r="AG203" i="7" s="1"/>
  <c r="AG204" i="7" s="1"/>
  <c r="AG205" i="7" s="1"/>
  <c r="AG206" i="7" s="1"/>
  <c r="AG207" i="7" s="1"/>
  <c r="AG208" i="7" s="1"/>
  <c r="AG209" i="7" s="1"/>
  <c r="AG210" i="7" s="1"/>
  <c r="AG211" i="7" s="1"/>
  <c r="AG212" i="7" s="1"/>
  <c r="AG213" i="7" s="1"/>
  <c r="AG214" i="7" s="1"/>
  <c r="AG215" i="7" s="1"/>
  <c r="AG216" i="7" s="1"/>
  <c r="AG217" i="7" s="1"/>
  <c r="AG218" i="7" s="1"/>
  <c r="AG219" i="7" s="1"/>
  <c r="AG220" i="7" s="1"/>
  <c r="AG221" i="7" s="1"/>
  <c r="AG222" i="7" s="1"/>
  <c r="AG223" i="7" s="1"/>
  <c r="AG224" i="7" s="1"/>
  <c r="AG225" i="7" s="1"/>
  <c r="AG226" i="7" s="1"/>
  <c r="AG227" i="7" s="1"/>
  <c r="AG228" i="7" s="1"/>
  <c r="AG229" i="7" s="1"/>
  <c r="AG230" i="7" s="1"/>
  <c r="AG231" i="7" s="1"/>
  <c r="AG232" i="7" s="1"/>
  <c r="AG233" i="7" s="1"/>
  <c r="AG234" i="7" s="1"/>
  <c r="AG235" i="7" s="1"/>
  <c r="AG236" i="7" s="1"/>
  <c r="AG237" i="7" s="1"/>
  <c r="AG238" i="7" s="1"/>
  <c r="AG239" i="7" s="1"/>
  <c r="AG240" i="7" s="1"/>
  <c r="AG241" i="7" s="1"/>
  <c r="AG242" i="7" s="1"/>
  <c r="AG243" i="7" s="1"/>
  <c r="AG244" i="7" s="1"/>
  <c r="AG245" i="7" s="1"/>
  <c r="AG246" i="7" s="1"/>
  <c r="AG247" i="7" s="1"/>
  <c r="AG248" i="7" s="1"/>
  <c r="AG249" i="7" s="1"/>
  <c r="AG250" i="7" s="1"/>
  <c r="AG251" i="7" s="1"/>
  <c r="AG252" i="7" s="1"/>
  <c r="AG253" i="7" s="1"/>
  <c r="AG254" i="7" s="1"/>
  <c r="AG255" i="7" s="1"/>
  <c r="AG256" i="7" s="1"/>
  <c r="AG257" i="7" s="1"/>
  <c r="AG258" i="7" s="1"/>
  <c r="AG259" i="7" s="1"/>
  <c r="AG260" i="7" s="1"/>
  <c r="AG78" i="7"/>
  <c r="AG79" i="7" s="1"/>
  <c r="AG80" i="7" s="1"/>
  <c r="AG81" i="7" s="1"/>
  <c r="AG82" i="7" s="1"/>
  <c r="AG83" i="7" s="1"/>
  <c r="AG84" i="7" s="1"/>
  <c r="AG85" i="7" s="1"/>
  <c r="AG86" i="7" s="1"/>
  <c r="AG87" i="7" s="1"/>
  <c r="AG88" i="7" s="1"/>
  <c r="AG89" i="7" s="1"/>
  <c r="AG90" i="7" s="1"/>
  <c r="AG91" i="7" s="1"/>
  <c r="AG92" i="7" s="1"/>
  <c r="AG93" i="7" s="1"/>
  <c r="AG94" i="7" s="1"/>
  <c r="AG95" i="7" s="1"/>
  <c r="AG96" i="7" s="1"/>
  <c r="AG97" i="7" s="1"/>
  <c r="AG98" i="7" s="1"/>
  <c r="AG99" i="7" s="1"/>
  <c r="AG100" i="7" s="1"/>
  <c r="AG101" i="7" s="1"/>
  <c r="AG102" i="7" s="1"/>
  <c r="AG103" i="7" s="1"/>
  <c r="AG104" i="7" s="1"/>
  <c r="AG105" i="7" s="1"/>
  <c r="AG106" i="7" s="1"/>
  <c r="AG107" i="7" s="1"/>
  <c r="AG108" i="7" s="1"/>
  <c r="AG109" i="7" s="1"/>
  <c r="AG41" i="7"/>
  <c r="AG42" i="7" s="1"/>
  <c r="AG43" i="7" s="1"/>
  <c r="AG44" i="7" s="1"/>
  <c r="AG45" i="7" s="1"/>
  <c r="AG46" i="7" s="1"/>
  <c r="AG47" i="7" s="1"/>
  <c r="AG48" i="7" s="1"/>
  <c r="AG49" i="7" s="1"/>
  <c r="AG50" i="7" s="1"/>
  <c r="AG51" i="7" s="1"/>
  <c r="AG52" i="7" s="1"/>
  <c r="AG53" i="7" s="1"/>
  <c r="AG54" i="7" s="1"/>
  <c r="AG55" i="7" s="1"/>
  <c r="AG56" i="7" s="1"/>
  <c r="AG57" i="7" s="1"/>
  <c r="AG18" i="7"/>
  <c r="AG19" i="7" s="1"/>
  <c r="AG20" i="7" s="1"/>
  <c r="AG21" i="7" s="1"/>
  <c r="AG22" i="7" s="1"/>
  <c r="AG23" i="7" s="1"/>
  <c r="AG24" i="7" s="1"/>
  <c r="AG25" i="7" s="1"/>
  <c r="AG26" i="7" s="1"/>
  <c r="AG27" i="7" s="1"/>
  <c r="AG28" i="7" s="1"/>
  <c r="AG29" i="7" s="1"/>
  <c r="AG30" i="7" s="1"/>
  <c r="AG31" i="7" s="1"/>
  <c r="AG13" i="7"/>
  <c r="AF123" i="7"/>
  <c r="AF124" i="7" s="1"/>
  <c r="AF125" i="7" s="1"/>
  <c r="AF126" i="7" s="1"/>
  <c r="AF127" i="7" s="1"/>
  <c r="AF128" i="7" s="1"/>
  <c r="AF129" i="7" s="1"/>
  <c r="AF130" i="7" s="1"/>
  <c r="AF131" i="7" s="1"/>
  <c r="AF132" i="7" s="1"/>
  <c r="AF133" i="7" s="1"/>
  <c r="AF134" i="7" s="1"/>
  <c r="AF135" i="7" s="1"/>
  <c r="AF136" i="7" s="1"/>
  <c r="AF137" i="7" s="1"/>
  <c r="AF138" i="7" s="1"/>
  <c r="AF139" i="7" s="1"/>
  <c r="AF140" i="7" s="1"/>
  <c r="AF141" i="7" s="1"/>
  <c r="AF142" i="7" s="1"/>
  <c r="AF143" i="7" s="1"/>
  <c r="AF144" i="7" s="1"/>
  <c r="AF145" i="7" s="1"/>
  <c r="AF146" i="7" s="1"/>
  <c r="AF147" i="7" s="1"/>
  <c r="AF148" i="7" s="1"/>
  <c r="AF149" i="7" s="1"/>
  <c r="AF150" i="7" s="1"/>
  <c r="AF151" i="7" s="1"/>
  <c r="AF152" i="7" s="1"/>
  <c r="AF153" i="7" s="1"/>
  <c r="AF154" i="7" s="1"/>
  <c r="AF155" i="7" s="1"/>
  <c r="AF156" i="7" s="1"/>
  <c r="AF157" i="7" s="1"/>
  <c r="AF158" i="7" s="1"/>
  <c r="AF159" i="7" s="1"/>
  <c r="AF160" i="7" s="1"/>
  <c r="AF161" i="7" s="1"/>
  <c r="AF162" i="7" s="1"/>
  <c r="AF163" i="7" s="1"/>
  <c r="AF164" i="7" s="1"/>
  <c r="AF165" i="7" s="1"/>
  <c r="AF166" i="7" s="1"/>
  <c r="AF167" i="7" s="1"/>
  <c r="AF168" i="7" s="1"/>
  <c r="AF169" i="7" s="1"/>
  <c r="AF170" i="7" s="1"/>
  <c r="AF171" i="7" s="1"/>
  <c r="AF172" i="7" s="1"/>
  <c r="AF173" i="7" s="1"/>
  <c r="AF174" i="7" s="1"/>
  <c r="AF175" i="7" s="1"/>
  <c r="AF176" i="7" s="1"/>
  <c r="AF177" i="7" s="1"/>
  <c r="AF178" i="7" s="1"/>
  <c r="AF179" i="7" s="1"/>
  <c r="AF180" i="7" s="1"/>
  <c r="AF181" i="7" s="1"/>
  <c r="AF182" i="7" s="1"/>
  <c r="AF183" i="7" s="1"/>
  <c r="AF184" i="7" s="1"/>
  <c r="AF185" i="7" s="1"/>
  <c r="AF186" i="7" s="1"/>
  <c r="AF187" i="7" s="1"/>
  <c r="AF188" i="7" s="1"/>
  <c r="AF189" i="7" s="1"/>
  <c r="AF190" i="7" s="1"/>
  <c r="AF191" i="7" s="1"/>
  <c r="AF192" i="7" s="1"/>
  <c r="AF193" i="7" s="1"/>
  <c r="AF194" i="7" s="1"/>
  <c r="AF195" i="7" s="1"/>
  <c r="AF196" i="7" s="1"/>
  <c r="AF197" i="7" s="1"/>
  <c r="AF198" i="7" s="1"/>
  <c r="AF199" i="7" s="1"/>
  <c r="AF200" i="7" s="1"/>
  <c r="AF201" i="7" s="1"/>
  <c r="AF202" i="7" s="1"/>
  <c r="AF203" i="7" s="1"/>
  <c r="AF204" i="7" s="1"/>
  <c r="AF205" i="7" s="1"/>
  <c r="AF206" i="7" s="1"/>
  <c r="AF207" i="7" s="1"/>
  <c r="AF208" i="7" s="1"/>
  <c r="AF209" i="7" s="1"/>
  <c r="AF210" i="7" s="1"/>
  <c r="AF211" i="7" s="1"/>
  <c r="AF212" i="7" s="1"/>
  <c r="AF213" i="7" s="1"/>
  <c r="AF214" i="7" s="1"/>
  <c r="AF215" i="7" s="1"/>
  <c r="AF216" i="7" s="1"/>
  <c r="AF217" i="7" s="1"/>
  <c r="AF218" i="7" s="1"/>
  <c r="AF219" i="7" s="1"/>
  <c r="AF220" i="7" s="1"/>
  <c r="AF221" i="7" s="1"/>
  <c r="AF222" i="7" s="1"/>
  <c r="AF223" i="7" s="1"/>
  <c r="AF224" i="7" s="1"/>
  <c r="AF225" i="7" s="1"/>
  <c r="AF226" i="7" s="1"/>
  <c r="AF227" i="7" s="1"/>
  <c r="AF228" i="7" s="1"/>
  <c r="AF229" i="7" s="1"/>
  <c r="AF230" i="7" s="1"/>
  <c r="AF231" i="7" s="1"/>
  <c r="AF232" i="7" s="1"/>
  <c r="AF233" i="7" s="1"/>
  <c r="AF234" i="7" s="1"/>
  <c r="AF235" i="7" s="1"/>
  <c r="AF236" i="7" s="1"/>
  <c r="AF237" i="7" s="1"/>
  <c r="AF238" i="7" s="1"/>
  <c r="AF239" i="7" s="1"/>
  <c r="AF240" i="7" s="1"/>
  <c r="AF241" i="7" s="1"/>
  <c r="AF242" i="7" s="1"/>
  <c r="AF243" i="7" s="1"/>
  <c r="AF244" i="7" s="1"/>
  <c r="AF245" i="7" s="1"/>
  <c r="AF246" i="7" s="1"/>
  <c r="AF247" i="7" s="1"/>
  <c r="AF248" i="7" s="1"/>
  <c r="AF249" i="7" s="1"/>
  <c r="AF250" i="7" s="1"/>
  <c r="AF251" i="7" s="1"/>
  <c r="AF252" i="7" s="1"/>
  <c r="AF253" i="7" s="1"/>
  <c r="AF254" i="7" s="1"/>
  <c r="AF255" i="7" s="1"/>
  <c r="AF256" i="7" s="1"/>
  <c r="AF257" i="7" s="1"/>
  <c r="AF258" i="7" s="1"/>
  <c r="AF259" i="7" s="1"/>
  <c r="AF260" i="7" s="1"/>
  <c r="AF78" i="7"/>
  <c r="AF79" i="7" s="1"/>
  <c r="AF80" i="7" s="1"/>
  <c r="AF81" i="7" s="1"/>
  <c r="AF82" i="7" s="1"/>
  <c r="AF83" i="7" s="1"/>
  <c r="AF84" i="7" s="1"/>
  <c r="AF85" i="7" s="1"/>
  <c r="AF86" i="7" s="1"/>
  <c r="AF87" i="7" s="1"/>
  <c r="AF88" i="7" s="1"/>
  <c r="AF89" i="7" s="1"/>
  <c r="AF90" i="7" s="1"/>
  <c r="AF91" i="7" s="1"/>
  <c r="AF92" i="7" s="1"/>
  <c r="AF93" i="7" s="1"/>
  <c r="AF94" i="7" s="1"/>
  <c r="AF95" i="7" s="1"/>
  <c r="AF96" i="7" s="1"/>
  <c r="AF97" i="7" s="1"/>
  <c r="AF98" i="7" s="1"/>
  <c r="AF99" i="7" s="1"/>
  <c r="AF100" i="7" s="1"/>
  <c r="AF101" i="7" s="1"/>
  <c r="AF102" i="7" s="1"/>
  <c r="AF103" i="7" s="1"/>
  <c r="AF104" i="7" s="1"/>
  <c r="AF105" i="7" s="1"/>
  <c r="AF106" i="7" s="1"/>
  <c r="AF107" i="7" s="1"/>
  <c r="AF108" i="7" s="1"/>
  <c r="AF109" i="7" s="1"/>
  <c r="AF41" i="7"/>
  <c r="AF42" i="7" s="1"/>
  <c r="AF43" i="7" s="1"/>
  <c r="AF44" i="7" s="1"/>
  <c r="AF45" i="7" s="1"/>
  <c r="AF46" i="7" s="1"/>
  <c r="AF47" i="7" s="1"/>
  <c r="AF48" i="7" s="1"/>
  <c r="AF49" i="7" s="1"/>
  <c r="AF50" i="7" s="1"/>
  <c r="AF51" i="7" s="1"/>
  <c r="AF52" i="7" s="1"/>
  <c r="AF53" i="7" s="1"/>
  <c r="AF54" i="7" s="1"/>
  <c r="AF55" i="7" s="1"/>
  <c r="AF56" i="7" s="1"/>
  <c r="AF57" i="7" s="1"/>
  <c r="AF18" i="7"/>
  <c r="AF19" i="7" s="1"/>
  <c r="AF20" i="7" s="1"/>
  <c r="AF21" i="7" s="1"/>
  <c r="AF22" i="7" s="1"/>
  <c r="AF23" i="7" s="1"/>
  <c r="AF24" i="7" s="1"/>
  <c r="AF25" i="7" s="1"/>
  <c r="AF26" i="7" s="1"/>
  <c r="AF27" i="7" s="1"/>
  <c r="AF28" i="7" s="1"/>
  <c r="AF29" i="7" s="1"/>
  <c r="AF30" i="7" s="1"/>
  <c r="AF31" i="7" s="1"/>
  <c r="AF13" i="7"/>
  <c r="AE123" i="7"/>
  <c r="AE78" i="7"/>
  <c r="AE79" i="7" s="1"/>
  <c r="AE41" i="7"/>
  <c r="AE18" i="7"/>
  <c r="AE13" i="7"/>
  <c r="BE24" i="3" l="1"/>
  <c r="AG25" i="3"/>
  <c r="R74" i="3"/>
  <c r="AP73" i="3"/>
  <c r="J73" i="3" s="1"/>
  <c r="Y49" i="3"/>
  <c r="AW48" i="3"/>
  <c r="AL24" i="3"/>
  <c r="BJ23" i="3"/>
  <c r="Q50" i="3"/>
  <c r="AO49" i="3"/>
  <c r="A77" i="3"/>
  <c r="L78" i="3"/>
  <c r="AJ87" i="3"/>
  <c r="BH86" i="3"/>
  <c r="AH48" i="3"/>
  <c r="BF47" i="3"/>
  <c r="X82" i="3"/>
  <c r="AV81" i="3"/>
  <c r="X51" i="3"/>
  <c r="AV50" i="3"/>
  <c r="Y24" i="3"/>
  <c r="AW23" i="3"/>
  <c r="AP24" i="3"/>
  <c r="R25" i="3"/>
  <c r="AP47" i="3"/>
  <c r="R48" i="3"/>
  <c r="AG47" i="3"/>
  <c r="BE46" i="3"/>
  <c r="J46" i="3" s="1"/>
  <c r="AH76" i="3"/>
  <c r="BF75" i="3"/>
  <c r="AC56" i="3"/>
  <c r="BA56" i="3" s="1"/>
  <c r="BA55" i="3"/>
  <c r="AF83" i="3"/>
  <c r="BD82" i="3"/>
  <c r="P77" i="3"/>
  <c r="AN76" i="3"/>
  <c r="AK29" i="3"/>
  <c r="BI28" i="3"/>
  <c r="P49" i="3"/>
  <c r="AN48" i="3"/>
  <c r="L48" i="3"/>
  <c r="A47" i="3"/>
  <c r="AH26" i="3"/>
  <c r="BF25" i="3"/>
  <c r="X26" i="3"/>
  <c r="AV25" i="3"/>
  <c r="Z29" i="3"/>
  <c r="AX28" i="3"/>
  <c r="BD47" i="3"/>
  <c r="AF48" i="3"/>
  <c r="AJ24" i="3"/>
  <c r="BH23" i="3"/>
  <c r="BA28" i="3"/>
  <c r="AC29" i="3"/>
  <c r="P28" i="3"/>
  <c r="AN27" i="3"/>
  <c r="J23" i="3"/>
  <c r="Z80" i="3"/>
  <c r="AX79" i="3"/>
  <c r="Q25" i="3"/>
  <c r="AO24" i="3"/>
  <c r="AX47" i="3"/>
  <c r="Z48" i="3"/>
  <c r="BI22" i="9"/>
  <c r="D45" i="9"/>
  <c r="BI24" i="9"/>
  <c r="C43" i="9"/>
  <c r="C53" i="9"/>
  <c r="BG28" i="9"/>
  <c r="BI20" i="9"/>
  <c r="BI23" i="9"/>
  <c r="BR23" i="9"/>
  <c r="BO29" i="9"/>
  <c r="BI25" i="9"/>
  <c r="C42" i="9"/>
  <c r="AX47" i="9"/>
  <c r="BS46" i="9"/>
  <c r="C55" i="9"/>
  <c r="BK110" i="7"/>
  <c r="BH17" i="7"/>
  <c r="BJ24" i="7"/>
  <c r="AH113" i="7"/>
  <c r="AH110" i="7"/>
  <c r="AH111" i="7" s="1"/>
  <c r="AH112" i="7" s="1"/>
  <c r="BK112" i="7" s="1"/>
  <c r="AG68" i="7"/>
  <c r="BJ68" i="7" s="1"/>
  <c r="AG58" i="7"/>
  <c r="AG59" i="7" s="1"/>
  <c r="AF68" i="7"/>
  <c r="BI68" i="7" s="1"/>
  <c r="AF58" i="7"/>
  <c r="AF113" i="7"/>
  <c r="AF110" i="7"/>
  <c r="AG113" i="7"/>
  <c r="AG110" i="7"/>
  <c r="AH54" i="7"/>
  <c r="AH55" i="7" s="1"/>
  <c r="AH56" i="7" s="1"/>
  <c r="AH57" i="7" s="1"/>
  <c r="BK57" i="7" s="1"/>
  <c r="BK53" i="7"/>
  <c r="BS42" i="9"/>
  <c r="AW45" i="9"/>
  <c r="BR46" i="9"/>
  <c r="BM24" i="9"/>
  <c r="BG47" i="9"/>
  <c r="AW46" i="9"/>
  <c r="BN47" i="9"/>
  <c r="AL48" i="9"/>
  <c r="BM22" i="9"/>
  <c r="BM25" i="9"/>
  <c r="AX48" i="9"/>
  <c r="BM23" i="9"/>
  <c r="BI26" i="9"/>
  <c r="BI21" i="9"/>
  <c r="BO28" i="9"/>
  <c r="BK41" i="7"/>
  <c r="AI25" i="7"/>
  <c r="BL24" i="7"/>
  <c r="AI129" i="7"/>
  <c r="BL128" i="7"/>
  <c r="AI47" i="7"/>
  <c r="BL46" i="7"/>
  <c r="AI85" i="7"/>
  <c r="BL84" i="7"/>
  <c r="BJ18" i="7"/>
  <c r="BK89" i="7"/>
  <c r="BK96" i="7"/>
  <c r="BK47" i="7"/>
  <c r="BK78" i="7"/>
  <c r="BK49" i="7"/>
  <c r="BJ196" i="7"/>
  <c r="BK162" i="7"/>
  <c r="BK227" i="7"/>
  <c r="BJ175" i="7"/>
  <c r="BK42" i="7"/>
  <c r="BK85" i="7"/>
  <c r="BK167" i="7"/>
  <c r="BK154" i="7"/>
  <c r="BK125" i="7"/>
  <c r="BJ200" i="7"/>
  <c r="BK141" i="7"/>
  <c r="BJ219" i="7"/>
  <c r="BK221" i="7"/>
  <c r="BK43" i="7"/>
  <c r="BJ173" i="7"/>
  <c r="BK45" i="7"/>
  <c r="BK92" i="7"/>
  <c r="BK175" i="7"/>
  <c r="BF47" i="9"/>
  <c r="AD48" i="9"/>
  <c r="AH29" i="7"/>
  <c r="AH30" i="7" s="1"/>
  <c r="BK28" i="7"/>
  <c r="BI255" i="7"/>
  <c r="BI256" i="7"/>
  <c r="BI253" i="7"/>
  <c r="BI249" i="7"/>
  <c r="BI245" i="7"/>
  <c r="BI241" i="7"/>
  <c r="BI237" i="7"/>
  <c r="BI233" i="7"/>
  <c r="BI229" i="7"/>
  <c r="BI225" i="7"/>
  <c r="BI221" i="7"/>
  <c r="BI260" i="7"/>
  <c r="BI251" i="7"/>
  <c r="BI247" i="7"/>
  <c r="BI243" i="7"/>
  <c r="BI239" i="7"/>
  <c r="BI257" i="7"/>
  <c r="BI240" i="7"/>
  <c r="BI228" i="7"/>
  <c r="BI226" i="7"/>
  <c r="BI216" i="7"/>
  <c r="BI246" i="7"/>
  <c r="BI236" i="7"/>
  <c r="BI230" i="7"/>
  <c r="BI227" i="7"/>
  <c r="BI252" i="7"/>
  <c r="BI250" i="7"/>
  <c r="BI211" i="7"/>
  <c r="BI207" i="7"/>
  <c r="BI203" i="7"/>
  <c r="BI199" i="7"/>
  <c r="BI195" i="7"/>
  <c r="BI191" i="7"/>
  <c r="BI187" i="7"/>
  <c r="BI183" i="7"/>
  <c r="BI179" i="7"/>
  <c r="BI175" i="7"/>
  <c r="BI171" i="7"/>
  <c r="BI167" i="7"/>
  <c r="BI248" i="7"/>
  <c r="BI231" i="7"/>
  <c r="BI213" i="7"/>
  <c r="BI198" i="7"/>
  <c r="BI196" i="7"/>
  <c r="BI238" i="7"/>
  <c r="BI224" i="7"/>
  <c r="BI209" i="7"/>
  <c r="BI194" i="7"/>
  <c r="BI192" i="7"/>
  <c r="BI234" i="7"/>
  <c r="BI217" i="7"/>
  <c r="BI212" i="7"/>
  <c r="BI197" i="7"/>
  <c r="BI182" i="7"/>
  <c r="BI180" i="7"/>
  <c r="BI165" i="7"/>
  <c r="BI259" i="7"/>
  <c r="BI214" i="7"/>
  <c r="BI193" i="7"/>
  <c r="BI173" i="7"/>
  <c r="BI170" i="7"/>
  <c r="BI164" i="7"/>
  <c r="BI162" i="7"/>
  <c r="BI258" i="7"/>
  <c r="BI222" i="7"/>
  <c r="BI205" i="7"/>
  <c r="BI204" i="7"/>
  <c r="BI202" i="7"/>
  <c r="BI220" i="7"/>
  <c r="BI215" i="7"/>
  <c r="BI201" i="7"/>
  <c r="BI181" i="7"/>
  <c r="BI169" i="7"/>
  <c r="BI166" i="7"/>
  <c r="BI163" i="7"/>
  <c r="BI154" i="7"/>
  <c r="BI152" i="7"/>
  <c r="BI244" i="7"/>
  <c r="BI188" i="7"/>
  <c r="BI159" i="7"/>
  <c r="BI218" i="7"/>
  <c r="BI210" i="7"/>
  <c r="BI186" i="7"/>
  <c r="BI150" i="7"/>
  <c r="BI138" i="7"/>
  <c r="BI136" i="7"/>
  <c r="BI109" i="7"/>
  <c r="BI107" i="7"/>
  <c r="BI94" i="7"/>
  <c r="BI92" i="7"/>
  <c r="BI56" i="7"/>
  <c r="BI235" i="7"/>
  <c r="BI232" i="7"/>
  <c r="BI254" i="7"/>
  <c r="BI148" i="7"/>
  <c r="BI130" i="7"/>
  <c r="BI128" i="7"/>
  <c r="BI101" i="7"/>
  <c r="BI99" i="7"/>
  <c r="BI86" i="7"/>
  <c r="BI84" i="7"/>
  <c r="BI200" i="7"/>
  <c r="BI185" i="7"/>
  <c r="BI151" i="7"/>
  <c r="BI137" i="7"/>
  <c r="BI105" i="7"/>
  <c r="BI91" i="7"/>
  <c r="BI85" i="7"/>
  <c r="BI78" i="7"/>
  <c r="BI42" i="7"/>
  <c r="BI31" i="7"/>
  <c r="BI26" i="7"/>
  <c r="BI22" i="7"/>
  <c r="BI18" i="7"/>
  <c r="BI123" i="7"/>
  <c r="BI104" i="7"/>
  <c r="BI97" i="7"/>
  <c r="BI54" i="7"/>
  <c r="BI48" i="7"/>
  <c r="BI29" i="7"/>
  <c r="BI190" i="7"/>
  <c r="BI172" i="7"/>
  <c r="BI158" i="7"/>
  <c r="BI98" i="7"/>
  <c r="BI219" i="7"/>
  <c r="BI178" i="7"/>
  <c r="BI140" i="7"/>
  <c r="BI139" i="7"/>
  <c r="BI133" i="7"/>
  <c r="BI126" i="7"/>
  <c r="BI87" i="7"/>
  <c r="BI81" i="7"/>
  <c r="BI80" i="7"/>
  <c r="BI47" i="7"/>
  <c r="BI30" i="7"/>
  <c r="BI28" i="7"/>
  <c r="BI25" i="7"/>
  <c r="BI41" i="7"/>
  <c r="BI51" i="7"/>
  <c r="BI57" i="7"/>
  <c r="BI79" i="7"/>
  <c r="BI83" i="7"/>
  <c r="BI90" i="7"/>
  <c r="BK108" i="7"/>
  <c r="BI146" i="7"/>
  <c r="BI153" i="7"/>
  <c r="BI155" i="7"/>
  <c r="BI157" i="7"/>
  <c r="BI177" i="7"/>
  <c r="BJ26" i="7"/>
  <c r="BI50" i="7"/>
  <c r="BK86" i="7"/>
  <c r="BI93" i="7"/>
  <c r="BI100" i="7"/>
  <c r="BK137" i="7"/>
  <c r="BI143" i="7"/>
  <c r="BK146" i="7"/>
  <c r="BJ166" i="7"/>
  <c r="BJ169" i="7"/>
  <c r="BJ199" i="7"/>
  <c r="BJ203" i="7"/>
  <c r="BK211" i="7"/>
  <c r="BK233" i="7"/>
  <c r="BI17" i="7"/>
  <c r="BI27" i="7"/>
  <c r="BI49" i="7"/>
  <c r="BK50" i="7"/>
  <c r="BI55" i="7"/>
  <c r="BI82" i="7"/>
  <c r="BI89" i="7"/>
  <c r="BI96" i="7"/>
  <c r="BK133" i="7"/>
  <c r="BK140" i="7"/>
  <c r="BI161" i="7"/>
  <c r="BI184" i="7"/>
  <c r="BI113" i="7"/>
  <c r="BI129" i="7"/>
  <c r="BI145" i="7"/>
  <c r="BI208" i="7"/>
  <c r="AE19" i="7"/>
  <c r="BH18" i="7"/>
  <c r="BI19" i="7"/>
  <c r="BI88" i="7"/>
  <c r="AE42" i="7"/>
  <c r="BH41" i="7"/>
  <c r="BI21" i="7"/>
  <c r="BI124" i="7"/>
  <c r="BK128" i="7"/>
  <c r="BI131" i="7"/>
  <c r="BI135" i="7"/>
  <c r="BK138" i="7"/>
  <c r="BI147" i="7"/>
  <c r="BI149" i="7"/>
  <c r="BI160" i="7"/>
  <c r="BI168" i="7"/>
  <c r="BK209" i="7"/>
  <c r="BI223" i="7"/>
  <c r="BI103" i="7"/>
  <c r="BI106" i="7"/>
  <c r="BI125" i="7"/>
  <c r="BI20" i="7"/>
  <c r="BK81" i="7"/>
  <c r="BI102" i="7"/>
  <c r="BK106" i="7"/>
  <c r="BI132" i="7"/>
  <c r="BI142" i="7"/>
  <c r="BI156" i="7"/>
  <c r="BI176" i="7"/>
  <c r="BJ254" i="7"/>
  <c r="BJ257" i="7"/>
  <c r="BJ246" i="7"/>
  <c r="BJ243" i="7"/>
  <c r="BJ224" i="7"/>
  <c r="BJ222" i="7"/>
  <c r="BJ256" i="7"/>
  <c r="BJ253" i="7"/>
  <c r="BJ252" i="7"/>
  <c r="BJ239" i="7"/>
  <c r="BJ260" i="7"/>
  <c r="BJ245" i="7"/>
  <c r="BJ238" i="7"/>
  <c r="BJ235" i="7"/>
  <c r="BJ258" i="7"/>
  <c r="BJ249" i="7"/>
  <c r="BJ242" i="7"/>
  <c r="BJ237" i="7"/>
  <c r="BJ234" i="7"/>
  <c r="BJ231" i="7"/>
  <c r="BJ163" i="7"/>
  <c r="BJ162" i="7"/>
  <c r="BJ161" i="7"/>
  <c r="BJ160" i="7"/>
  <c r="BJ159" i="7"/>
  <c r="BJ158" i="7"/>
  <c r="BJ157" i="7"/>
  <c r="BJ156" i="7"/>
  <c r="BJ155" i="7"/>
  <c r="BJ154" i="7"/>
  <c r="BJ153" i="7"/>
  <c r="BJ152" i="7"/>
  <c r="BJ151" i="7"/>
  <c r="BJ150" i="7"/>
  <c r="BJ149" i="7"/>
  <c r="BJ148" i="7"/>
  <c r="BJ147" i="7"/>
  <c r="BJ146" i="7"/>
  <c r="BJ145" i="7"/>
  <c r="BJ144" i="7"/>
  <c r="BJ143" i="7"/>
  <c r="BJ142" i="7"/>
  <c r="BJ141" i="7"/>
  <c r="BJ140" i="7"/>
  <c r="BJ139" i="7"/>
  <c r="BJ138" i="7"/>
  <c r="BJ137" i="7"/>
  <c r="BJ136" i="7"/>
  <c r="BJ135" i="7"/>
  <c r="BJ134" i="7"/>
  <c r="BJ133" i="7"/>
  <c r="BJ132" i="7"/>
  <c r="BJ131" i="7"/>
  <c r="BJ130" i="7"/>
  <c r="BJ129" i="7"/>
  <c r="BJ128" i="7"/>
  <c r="BJ127" i="7"/>
  <c r="BJ126" i="7"/>
  <c r="BJ125" i="7"/>
  <c r="BJ124" i="7"/>
  <c r="BJ123" i="7"/>
  <c r="BJ113" i="7"/>
  <c r="BJ109" i="7"/>
  <c r="BJ108" i="7"/>
  <c r="BJ107" i="7"/>
  <c r="BJ106" i="7"/>
  <c r="BJ105" i="7"/>
  <c r="BJ104" i="7"/>
  <c r="BJ103" i="7"/>
  <c r="BJ102" i="7"/>
  <c r="BJ101" i="7"/>
  <c r="BJ100" i="7"/>
  <c r="BJ99" i="7"/>
  <c r="BJ98" i="7"/>
  <c r="BJ97" i="7"/>
  <c r="BJ96" i="7"/>
  <c r="BJ95" i="7"/>
  <c r="BJ94" i="7"/>
  <c r="BJ93" i="7"/>
  <c r="BJ92" i="7"/>
  <c r="BJ91" i="7"/>
  <c r="BJ90" i="7"/>
  <c r="BJ89" i="7"/>
  <c r="BJ88" i="7"/>
  <c r="BJ87" i="7"/>
  <c r="BJ86" i="7"/>
  <c r="BJ85" i="7"/>
  <c r="BJ84" i="7"/>
  <c r="BJ83" i="7"/>
  <c r="BJ82" i="7"/>
  <c r="BJ81" i="7"/>
  <c r="BJ80" i="7"/>
  <c r="BJ79" i="7"/>
  <c r="BJ78" i="7"/>
  <c r="BJ57" i="7"/>
  <c r="BJ56" i="7"/>
  <c r="BJ55" i="7"/>
  <c r="BJ54" i="7"/>
  <c r="BJ53" i="7"/>
  <c r="BJ52" i="7"/>
  <c r="BJ51" i="7"/>
  <c r="BJ50" i="7"/>
  <c r="BJ49" i="7"/>
  <c r="BJ48" i="7"/>
  <c r="BJ47" i="7"/>
  <c r="BJ46" i="7"/>
  <c r="BJ45" i="7"/>
  <c r="BJ44" i="7"/>
  <c r="BJ43" i="7"/>
  <c r="BJ42" i="7"/>
  <c r="BJ41" i="7"/>
  <c r="BJ31" i="7"/>
  <c r="BJ30" i="7"/>
  <c r="BJ29" i="7"/>
  <c r="BJ28" i="7"/>
  <c r="BJ241" i="7"/>
  <c r="BJ225" i="7"/>
  <c r="BJ211" i="7"/>
  <c r="BJ209" i="7"/>
  <c r="BJ194" i="7"/>
  <c r="BJ192" i="7"/>
  <c r="BJ232" i="7"/>
  <c r="BJ226" i="7"/>
  <c r="BJ223" i="7"/>
  <c r="BJ218" i="7"/>
  <c r="BJ215" i="7"/>
  <c r="BJ207" i="7"/>
  <c r="BJ205" i="7"/>
  <c r="BJ190" i="7"/>
  <c r="BJ188" i="7"/>
  <c r="BJ259" i="7"/>
  <c r="BJ250" i="7"/>
  <c r="BJ228" i="7"/>
  <c r="BJ221" i="7"/>
  <c r="BJ214" i="7"/>
  <c r="BJ210" i="7"/>
  <c r="BJ208" i="7"/>
  <c r="BJ195" i="7"/>
  <c r="BJ193" i="7"/>
  <c r="BJ178" i="7"/>
  <c r="BJ176" i="7"/>
  <c r="BJ244" i="7"/>
  <c r="BJ230" i="7"/>
  <c r="BJ220" i="7"/>
  <c r="BJ183" i="7"/>
  <c r="BJ167" i="7"/>
  <c r="BJ227" i="7"/>
  <c r="BJ206" i="7"/>
  <c r="BJ180" i="7"/>
  <c r="BJ177" i="7"/>
  <c r="BJ174" i="7"/>
  <c r="BJ168" i="7"/>
  <c r="BJ212" i="7"/>
  <c r="BJ187" i="7"/>
  <c r="BJ182" i="7"/>
  <c r="BJ247" i="7"/>
  <c r="BJ233" i="7"/>
  <c r="BJ202" i="7"/>
  <c r="BJ184" i="7"/>
  <c r="BJ236" i="7"/>
  <c r="BJ229" i="7"/>
  <c r="BJ216" i="7"/>
  <c r="BJ197" i="7"/>
  <c r="BJ251" i="7"/>
  <c r="BJ204" i="7"/>
  <c r="BJ191" i="7"/>
  <c r="BJ189" i="7"/>
  <c r="BJ240" i="7"/>
  <c r="BJ181" i="7"/>
  <c r="BJ172" i="7"/>
  <c r="BJ165" i="7"/>
  <c r="BJ27" i="7"/>
  <c r="BJ23" i="7"/>
  <c r="BJ19" i="7"/>
  <c r="BJ179" i="7"/>
  <c r="BJ170" i="7"/>
  <c r="BJ213" i="7"/>
  <c r="BJ201" i="7"/>
  <c r="BJ186" i="7"/>
  <c r="BJ171" i="7"/>
  <c r="BJ164" i="7"/>
  <c r="BJ25" i="7"/>
  <c r="BJ21" i="7"/>
  <c r="BJ17" i="7"/>
  <c r="BJ248" i="7"/>
  <c r="BJ20" i="7"/>
  <c r="BI53" i="7"/>
  <c r="BI95" i="7"/>
  <c r="BK102" i="7"/>
  <c r="BK109" i="7"/>
  <c r="BJ185" i="7"/>
  <c r="BI189" i="7"/>
  <c r="BK193" i="7"/>
  <c r="BJ217" i="7"/>
  <c r="BJ22" i="7"/>
  <c r="BI46" i="7"/>
  <c r="AE124" i="7"/>
  <c r="BH123" i="7"/>
  <c r="BI23" i="7"/>
  <c r="BI24" i="7"/>
  <c r="BI43" i="7"/>
  <c r="BI44" i="7"/>
  <c r="BI45" i="7"/>
  <c r="BK46" i="7"/>
  <c r="BI52" i="7"/>
  <c r="BK101" i="7"/>
  <c r="BI108" i="7"/>
  <c r="BI127" i="7"/>
  <c r="BI134" i="7"/>
  <c r="BI141" i="7"/>
  <c r="BI144" i="7"/>
  <c r="BI174" i="7"/>
  <c r="BJ198" i="7"/>
  <c r="BI206" i="7"/>
  <c r="BK210" i="7"/>
  <c r="BK214" i="7"/>
  <c r="BI242" i="7"/>
  <c r="BJ255" i="7"/>
  <c r="AE80" i="7"/>
  <c r="BH79" i="7"/>
  <c r="BK93" i="7"/>
  <c r="BK94" i="7"/>
  <c r="BK100" i="7"/>
  <c r="BK216" i="7"/>
  <c r="BK136" i="7"/>
  <c r="BK153" i="7"/>
  <c r="BK160" i="7"/>
  <c r="BK187" i="7"/>
  <c r="BK258" i="7"/>
  <c r="BK250" i="7"/>
  <c r="BK246" i="7"/>
  <c r="BK242" i="7"/>
  <c r="BK238" i="7"/>
  <c r="BK234" i="7"/>
  <c r="BK230" i="7"/>
  <c r="BK226" i="7"/>
  <c r="BK222" i="7"/>
  <c r="BK254" i="7"/>
  <c r="BK252" i="7"/>
  <c r="BK248" i="7"/>
  <c r="BK244" i="7"/>
  <c r="BK240" i="7"/>
  <c r="BK259" i="7"/>
  <c r="BK249" i="7"/>
  <c r="BK237" i="7"/>
  <c r="BK235" i="7"/>
  <c r="BK220" i="7"/>
  <c r="BK217" i="7"/>
  <c r="BK260" i="7"/>
  <c r="BK245" i="7"/>
  <c r="BK255" i="7"/>
  <c r="BK251" i="7"/>
  <c r="BK232" i="7"/>
  <c r="BK229" i="7"/>
  <c r="BK228" i="7"/>
  <c r="BK225" i="7"/>
  <c r="BK219" i="7"/>
  <c r="BK212" i="7"/>
  <c r="BK208" i="7"/>
  <c r="BK204" i="7"/>
  <c r="BK200" i="7"/>
  <c r="BK196" i="7"/>
  <c r="BK192" i="7"/>
  <c r="BK188" i="7"/>
  <c r="BK184" i="7"/>
  <c r="BK180" i="7"/>
  <c r="BK176" i="7"/>
  <c r="BK172" i="7"/>
  <c r="BK168" i="7"/>
  <c r="BK164" i="7"/>
  <c r="BK224" i="7"/>
  <c r="BK223" i="7"/>
  <c r="BK218" i="7"/>
  <c r="BK215" i="7"/>
  <c r="BK207" i="7"/>
  <c r="BK205" i="7"/>
  <c r="BK190" i="7"/>
  <c r="BK257" i="7"/>
  <c r="BK203" i="7"/>
  <c r="BK201" i="7"/>
  <c r="BK186" i="7"/>
  <c r="BK243" i="7"/>
  <c r="BK206" i="7"/>
  <c r="BK191" i="7"/>
  <c r="BK189" i="7"/>
  <c r="BK174" i="7"/>
  <c r="BK163" i="7"/>
  <c r="BK159" i="7"/>
  <c r="BK155" i="7"/>
  <c r="BK151" i="7"/>
  <c r="BK147" i="7"/>
  <c r="BK143" i="7"/>
  <c r="BK139" i="7"/>
  <c r="BK135" i="7"/>
  <c r="BK131" i="7"/>
  <c r="BK127" i="7"/>
  <c r="BK123" i="7"/>
  <c r="BK107" i="7"/>
  <c r="BK103" i="7"/>
  <c r="BK99" i="7"/>
  <c r="BK95" i="7"/>
  <c r="BK91" i="7"/>
  <c r="BK87" i="7"/>
  <c r="BK83" i="7"/>
  <c r="BK79" i="7"/>
  <c r="BK56" i="7"/>
  <c r="BK52" i="7"/>
  <c r="BK48" i="7"/>
  <c r="BK44" i="7"/>
  <c r="BK27" i="7"/>
  <c r="BK26" i="7"/>
  <c r="BK25" i="7"/>
  <c r="BK24" i="7"/>
  <c r="BK23" i="7"/>
  <c r="BK22" i="7"/>
  <c r="BK21" i="7"/>
  <c r="BK20" i="7"/>
  <c r="BK19" i="7"/>
  <c r="BK18" i="7"/>
  <c r="BK17" i="7"/>
  <c r="BK253" i="7"/>
  <c r="BK197" i="7"/>
  <c r="BK195" i="7"/>
  <c r="BK194" i="7"/>
  <c r="BK182" i="7"/>
  <c r="BK256" i="7"/>
  <c r="BK185" i="7"/>
  <c r="BK171" i="7"/>
  <c r="BK165" i="7"/>
  <c r="BK236" i="7"/>
  <c r="BK231" i="7"/>
  <c r="BK198" i="7"/>
  <c r="BK150" i="7"/>
  <c r="BK148" i="7"/>
  <c r="BK241" i="7"/>
  <c r="BK213" i="7"/>
  <c r="BK199" i="7"/>
  <c r="BK161" i="7"/>
  <c r="BK157" i="7"/>
  <c r="BK247" i="7"/>
  <c r="BK181" i="7"/>
  <c r="BK177" i="7"/>
  <c r="BK173" i="7"/>
  <c r="BK169" i="7"/>
  <c r="BK156" i="7"/>
  <c r="BK149" i="7"/>
  <c r="BK145" i="7"/>
  <c r="BK142" i="7"/>
  <c r="BK134" i="7"/>
  <c r="BK132" i="7"/>
  <c r="BK105" i="7"/>
  <c r="BK90" i="7"/>
  <c r="BK88" i="7"/>
  <c r="BK54" i="7"/>
  <c r="BK239" i="7"/>
  <c r="BK202" i="7"/>
  <c r="BK178" i="7"/>
  <c r="BK170" i="7"/>
  <c r="BK166" i="7"/>
  <c r="BK144" i="7"/>
  <c r="BK126" i="7"/>
  <c r="BK124" i="7"/>
  <c r="BK97" i="7"/>
  <c r="BK82" i="7"/>
  <c r="BK80" i="7"/>
  <c r="BK51" i="7"/>
  <c r="BK113" i="7"/>
  <c r="BK129" i="7"/>
  <c r="BK152" i="7"/>
  <c r="BK84" i="7"/>
  <c r="BK98" i="7"/>
  <c r="BK104" i="7"/>
  <c r="BK130" i="7"/>
  <c r="BK158" i="7"/>
  <c r="BK179" i="7"/>
  <c r="BK183" i="7"/>
  <c r="BH78" i="7"/>
  <c r="D43" i="9"/>
  <c r="D52" i="9"/>
  <c r="D55" i="9"/>
  <c r="D53" i="9"/>
  <c r="D47" i="9"/>
  <c r="D50" i="9"/>
  <c r="D48" i="9"/>
  <c r="D54" i="9"/>
  <c r="D51" i="9"/>
  <c r="D49" i="9"/>
  <c r="T49" i="9"/>
  <c r="AV48" i="9"/>
  <c r="AS48" i="9"/>
  <c r="Q49" i="9"/>
  <c r="R48" i="9"/>
  <c r="AT47" i="9"/>
  <c r="U48" i="9"/>
  <c r="AW47" i="9"/>
  <c r="BH48" i="9"/>
  <c r="AF49" i="9"/>
  <c r="S49" i="9"/>
  <c r="AU48" i="9"/>
  <c r="AJ50" i="9"/>
  <c r="BL49" i="9"/>
  <c r="BR47" i="9"/>
  <c r="AP48" i="9"/>
  <c r="Z48" i="9"/>
  <c r="BB47" i="9"/>
  <c r="BP49" i="9"/>
  <c r="AN50" i="9"/>
  <c r="AG51" i="9"/>
  <c r="BI50" i="9"/>
  <c r="BJ47" i="9"/>
  <c r="AH48" i="9"/>
  <c r="AB49" i="9"/>
  <c r="BD48" i="9"/>
  <c r="AZ49" i="9"/>
  <c r="X50" i="9"/>
  <c r="Y49" i="9"/>
  <c r="BA48" i="9"/>
  <c r="AQ49" i="9"/>
  <c r="BS48" i="9"/>
  <c r="AY48" i="9"/>
  <c r="W49" i="9"/>
  <c r="V50" i="9"/>
  <c r="AX49" i="9"/>
  <c r="BG49" i="9"/>
  <c r="AE50" i="9"/>
  <c r="AA48" i="9"/>
  <c r="BC47" i="9"/>
  <c r="AR49" i="9"/>
  <c r="P50" i="9"/>
  <c r="AM48" i="9"/>
  <c r="BO47" i="9"/>
  <c r="BQ48" i="9"/>
  <c r="AO49" i="9"/>
  <c r="BE48" i="9"/>
  <c r="AC49" i="9"/>
  <c r="AI48" i="9"/>
  <c r="BK47" i="9"/>
  <c r="AK49" i="9"/>
  <c r="BM48" i="9"/>
  <c r="BE27" i="9"/>
  <c r="AY28" i="9"/>
  <c r="AY29" i="9"/>
  <c r="BO30" i="9"/>
  <c r="BR20" i="9"/>
  <c r="BS43" i="9"/>
  <c r="BS26" i="9"/>
  <c r="BE26" i="9"/>
  <c r="BR43" i="9"/>
  <c r="J43" i="9" s="1"/>
  <c r="BP18" i="9"/>
  <c r="BE28" i="9"/>
  <c r="BG29" i="9"/>
  <c r="BN27" i="9"/>
  <c r="BR21" i="9"/>
  <c r="BE23" i="9"/>
  <c r="BE29" i="9"/>
  <c r="BG30" i="9"/>
  <c r="BM29" i="9"/>
  <c r="BR41" i="9"/>
  <c r="BR44" i="9"/>
  <c r="BE30" i="9"/>
  <c r="BR22" i="9"/>
  <c r="BS24" i="9"/>
  <c r="AY30" i="9"/>
  <c r="BM27" i="9"/>
  <c r="A30" i="9"/>
  <c r="L31" i="9"/>
  <c r="A31" i="9" s="1"/>
  <c r="D44" i="9"/>
  <c r="D46" i="9"/>
  <c r="BR45" i="9"/>
  <c r="BS27" i="9"/>
  <c r="BR42" i="9"/>
  <c r="BE25" i="9"/>
  <c r="BS18" i="9"/>
  <c r="L44" i="9"/>
  <c r="A43" i="9"/>
  <c r="BB20" i="9"/>
  <c r="BS23" i="9"/>
  <c r="BN22" i="9"/>
  <c r="AF29" i="9"/>
  <c r="BH28" i="9"/>
  <c r="J17" i="9"/>
  <c r="BN25" i="9"/>
  <c r="BM28" i="9"/>
  <c r="Y27" i="9"/>
  <c r="BA26" i="9"/>
  <c r="AO27" i="9"/>
  <c r="BQ26" i="9"/>
  <c r="BB23" i="9"/>
  <c r="BS29" i="9"/>
  <c r="BS44" i="9"/>
  <c r="BN28" i="9"/>
  <c r="BS25" i="9"/>
  <c r="BM30" i="9"/>
  <c r="R29" i="9"/>
  <c r="AT28" i="9"/>
  <c r="AH29" i="9"/>
  <c r="BJ28" i="9"/>
  <c r="Z25" i="9"/>
  <c r="BB24" i="9"/>
  <c r="D31" i="9"/>
  <c r="D30" i="9"/>
  <c r="D29" i="9"/>
  <c r="D27" i="9"/>
  <c r="D19" i="9"/>
  <c r="D17" i="9"/>
  <c r="D26" i="9"/>
  <c r="D18" i="9"/>
  <c r="D25" i="9"/>
  <c r="D24" i="9"/>
  <c r="D22" i="9"/>
  <c r="D28" i="9"/>
  <c r="D20" i="9"/>
  <c r="D21" i="9"/>
  <c r="D23" i="9"/>
  <c r="BS21" i="9"/>
  <c r="AN21" i="9"/>
  <c r="BP20" i="9"/>
  <c r="BS22" i="9"/>
  <c r="BS41" i="9"/>
  <c r="BP19" i="9"/>
  <c r="BN29" i="9"/>
  <c r="AG29" i="9"/>
  <c r="BI28" i="9"/>
  <c r="X30" i="9"/>
  <c r="AZ29" i="9"/>
  <c r="A20" i="9"/>
  <c r="L21" i="9"/>
  <c r="BS20" i="9"/>
  <c r="BB22" i="9"/>
  <c r="BN23" i="9"/>
  <c r="BS30" i="9"/>
  <c r="BN24" i="9"/>
  <c r="BN26" i="9"/>
  <c r="P29" i="9"/>
  <c r="AR28" i="9"/>
  <c r="BB21" i="9"/>
  <c r="BS28" i="9"/>
  <c r="BS19" i="9"/>
  <c r="BS45" i="9"/>
  <c r="AP25" i="9"/>
  <c r="BR24" i="9"/>
  <c r="AZ28" i="9"/>
  <c r="AZ27" i="9"/>
  <c r="BN30" i="9"/>
  <c r="Q29" i="9"/>
  <c r="AS28" i="9"/>
  <c r="AP123" i="7"/>
  <c r="AN123" i="7"/>
  <c r="AM123" i="7"/>
  <c r="AL123" i="7"/>
  <c r="AK123" i="7"/>
  <c r="AJ123" i="7"/>
  <c r="AD123" i="7"/>
  <c r="AC123" i="7"/>
  <c r="AB123" i="7"/>
  <c r="AA123" i="7"/>
  <c r="Z123" i="7"/>
  <c r="Y123" i="7"/>
  <c r="X123" i="7"/>
  <c r="W123" i="7"/>
  <c r="V123" i="7"/>
  <c r="U123" i="7"/>
  <c r="T123" i="7"/>
  <c r="S123" i="7"/>
  <c r="R123" i="7"/>
  <c r="Q123" i="7"/>
  <c r="P123" i="7"/>
  <c r="AP78" i="7"/>
  <c r="AN78" i="7"/>
  <c r="AM78" i="7"/>
  <c r="AL78" i="7"/>
  <c r="AK78" i="7"/>
  <c r="AJ78" i="7"/>
  <c r="AD78" i="7"/>
  <c r="AD79" i="7" s="1"/>
  <c r="AD80" i="7" s="1"/>
  <c r="AD81" i="7" s="1"/>
  <c r="AD82" i="7" s="1"/>
  <c r="AD83" i="7" s="1"/>
  <c r="AD84" i="7" s="1"/>
  <c r="AD85" i="7" s="1"/>
  <c r="AD86" i="7" s="1"/>
  <c r="AD87" i="7" s="1"/>
  <c r="AD88" i="7" s="1"/>
  <c r="AD89" i="7" s="1"/>
  <c r="AD90" i="7" s="1"/>
  <c r="AD91" i="7" s="1"/>
  <c r="AD92" i="7" s="1"/>
  <c r="AD93" i="7" s="1"/>
  <c r="AD94" i="7" s="1"/>
  <c r="AD95" i="7" s="1"/>
  <c r="AD96" i="7" s="1"/>
  <c r="AD97" i="7" s="1"/>
  <c r="AD98" i="7" s="1"/>
  <c r="AD99" i="7" s="1"/>
  <c r="AD100" i="7" s="1"/>
  <c r="AD101" i="7" s="1"/>
  <c r="AD102" i="7" s="1"/>
  <c r="AD103" i="7" s="1"/>
  <c r="AD104" i="7" s="1"/>
  <c r="AD105" i="7" s="1"/>
  <c r="AD106" i="7" s="1"/>
  <c r="AD107" i="7" s="1"/>
  <c r="AD108" i="7" s="1"/>
  <c r="AD109" i="7" s="1"/>
  <c r="AC78" i="7"/>
  <c r="AB78" i="7"/>
  <c r="AA78" i="7"/>
  <c r="Z78" i="7"/>
  <c r="Y78" i="7"/>
  <c r="X78" i="7"/>
  <c r="W78" i="7"/>
  <c r="V78" i="7"/>
  <c r="V79" i="7" s="1"/>
  <c r="V80" i="7" s="1"/>
  <c r="V81" i="7" s="1"/>
  <c r="V82" i="7" s="1"/>
  <c r="V83" i="7" s="1"/>
  <c r="V84" i="7" s="1"/>
  <c r="V85" i="7" s="1"/>
  <c r="V86" i="7" s="1"/>
  <c r="V87" i="7" s="1"/>
  <c r="V88" i="7" s="1"/>
  <c r="V89" i="7" s="1"/>
  <c r="V90" i="7" s="1"/>
  <c r="V91" i="7" s="1"/>
  <c r="V92" i="7" s="1"/>
  <c r="V93" i="7" s="1"/>
  <c r="V94" i="7" s="1"/>
  <c r="V95" i="7" s="1"/>
  <c r="V96" i="7" s="1"/>
  <c r="V97" i="7" s="1"/>
  <c r="V98" i="7" s="1"/>
  <c r="V99" i="7" s="1"/>
  <c r="V100" i="7" s="1"/>
  <c r="V101" i="7" s="1"/>
  <c r="V102" i="7" s="1"/>
  <c r="V103" i="7" s="1"/>
  <c r="V104" i="7" s="1"/>
  <c r="V105" i="7" s="1"/>
  <c r="V106" i="7" s="1"/>
  <c r="V107" i="7" s="1"/>
  <c r="V108" i="7" s="1"/>
  <c r="V109" i="7" s="1"/>
  <c r="U78" i="7"/>
  <c r="T78" i="7"/>
  <c r="S78" i="7"/>
  <c r="R78" i="7"/>
  <c r="Q78" i="7"/>
  <c r="P78" i="7"/>
  <c r="AP41" i="7"/>
  <c r="AN41" i="7"/>
  <c r="AM41" i="7"/>
  <c r="AL41" i="7"/>
  <c r="AK41" i="7"/>
  <c r="AJ41" i="7"/>
  <c r="AD41" i="7"/>
  <c r="AC41" i="7"/>
  <c r="AB41" i="7"/>
  <c r="AA41" i="7"/>
  <c r="Z41" i="7"/>
  <c r="Y41" i="7"/>
  <c r="X41" i="7"/>
  <c r="W41" i="7"/>
  <c r="V41" i="7"/>
  <c r="U41" i="7"/>
  <c r="T41" i="7"/>
  <c r="S41" i="7"/>
  <c r="R41" i="7"/>
  <c r="Q41" i="7"/>
  <c r="P41" i="7"/>
  <c r="Q26" i="3" l="1"/>
  <c r="AO25" i="3"/>
  <c r="X27" i="3"/>
  <c r="AV26" i="3"/>
  <c r="AH49" i="3"/>
  <c r="BF48" i="3"/>
  <c r="AL25" i="3"/>
  <c r="BJ24" i="3"/>
  <c r="AJ25" i="3"/>
  <c r="BH24" i="3"/>
  <c r="AK30" i="3"/>
  <c r="BI30" i="3" s="1"/>
  <c r="BI29" i="3"/>
  <c r="AH77" i="3"/>
  <c r="BF76" i="3"/>
  <c r="Z81" i="3"/>
  <c r="AX80" i="3"/>
  <c r="BD48" i="3"/>
  <c r="AF49" i="3"/>
  <c r="Y25" i="3"/>
  <c r="AW24" i="3"/>
  <c r="J24" i="3" s="1"/>
  <c r="AJ88" i="3"/>
  <c r="BH87" i="3"/>
  <c r="Y50" i="3"/>
  <c r="AW49" i="3"/>
  <c r="BF26" i="3"/>
  <c r="AH27" i="3"/>
  <c r="P78" i="3"/>
  <c r="AN77" i="3"/>
  <c r="AG48" i="3"/>
  <c r="BE47" i="3"/>
  <c r="J47" i="3" s="1"/>
  <c r="L79" i="3"/>
  <c r="A78" i="3"/>
  <c r="AP48" i="3"/>
  <c r="R49" i="3"/>
  <c r="X52" i="3"/>
  <c r="AV51" i="3"/>
  <c r="AP74" i="3"/>
  <c r="J74" i="3" s="1"/>
  <c r="R75" i="3"/>
  <c r="AX48" i="3"/>
  <c r="Z49" i="3"/>
  <c r="P29" i="3"/>
  <c r="AN28" i="3"/>
  <c r="A48" i="3"/>
  <c r="L49" i="3"/>
  <c r="AF84" i="3"/>
  <c r="BD83" i="3"/>
  <c r="AG26" i="3"/>
  <c r="BE25" i="3"/>
  <c r="AC30" i="3"/>
  <c r="BA30" i="3" s="1"/>
  <c r="BA29" i="3"/>
  <c r="Z30" i="3"/>
  <c r="AX30" i="3" s="1"/>
  <c r="AX29" i="3"/>
  <c r="X83" i="3"/>
  <c r="AV82" i="3"/>
  <c r="Q51" i="3"/>
  <c r="AO50" i="3"/>
  <c r="P50" i="3"/>
  <c r="AN49" i="3"/>
  <c r="R26" i="3"/>
  <c r="AP25" i="3"/>
  <c r="J42" i="9"/>
  <c r="BK55" i="7"/>
  <c r="BJ58" i="7"/>
  <c r="BI58" i="7"/>
  <c r="AF59" i="7"/>
  <c r="BK111" i="7"/>
  <c r="AH68" i="7"/>
  <c r="BK68" i="7" s="1"/>
  <c r="AH58" i="7"/>
  <c r="BI110" i="7"/>
  <c r="AF111" i="7"/>
  <c r="BJ59" i="7"/>
  <c r="AG60" i="7"/>
  <c r="BJ110" i="7"/>
  <c r="AG111" i="7"/>
  <c r="V113" i="7"/>
  <c r="V110" i="7"/>
  <c r="AD113" i="7"/>
  <c r="AD110" i="7"/>
  <c r="J47" i="9"/>
  <c r="AL49" i="9"/>
  <c r="BN48" i="9"/>
  <c r="AI130" i="7"/>
  <c r="BL129" i="7"/>
  <c r="AI86" i="7"/>
  <c r="BL85" i="7"/>
  <c r="AI48" i="7"/>
  <c r="BL47" i="7"/>
  <c r="AI26" i="7"/>
  <c r="BL25" i="7"/>
  <c r="BK29" i="7"/>
  <c r="BF48" i="9"/>
  <c r="AD49" i="9"/>
  <c r="AE43" i="7"/>
  <c r="BH42" i="7"/>
  <c r="AE125" i="7"/>
  <c r="BH124" i="7"/>
  <c r="AE81" i="7"/>
  <c r="BH80" i="7"/>
  <c r="AE20" i="7"/>
  <c r="BH19" i="7"/>
  <c r="AH31" i="7"/>
  <c r="BK31" i="7" s="1"/>
  <c r="BK30" i="7"/>
  <c r="AB50" i="9"/>
  <c r="BD49" i="9"/>
  <c r="T50" i="9"/>
  <c r="AV49" i="9"/>
  <c r="BQ49" i="9"/>
  <c r="AO50" i="9"/>
  <c r="AH49" i="9"/>
  <c r="BJ48" i="9"/>
  <c r="AP49" i="9"/>
  <c r="BR48" i="9"/>
  <c r="AK50" i="9"/>
  <c r="BM49" i="9"/>
  <c r="AA49" i="9"/>
  <c r="BC48" i="9"/>
  <c r="AQ50" i="9"/>
  <c r="BS49" i="9"/>
  <c r="U49" i="9"/>
  <c r="AW48" i="9"/>
  <c r="BG50" i="9"/>
  <c r="AE51" i="9"/>
  <c r="AI49" i="9"/>
  <c r="BK48" i="9"/>
  <c r="BO48" i="9"/>
  <c r="AM49" i="9"/>
  <c r="BA49" i="9"/>
  <c r="Y50" i="9"/>
  <c r="AG52" i="9"/>
  <c r="BI51" i="9"/>
  <c r="AJ51" i="9"/>
  <c r="BL50" i="9"/>
  <c r="AT48" i="9"/>
  <c r="R49" i="9"/>
  <c r="Z49" i="9"/>
  <c r="BB48" i="9"/>
  <c r="AC50" i="9"/>
  <c r="BE49" i="9"/>
  <c r="AZ50" i="9"/>
  <c r="X51" i="9"/>
  <c r="BP50" i="9"/>
  <c r="AN51" i="9"/>
  <c r="Q50" i="9"/>
  <c r="AS49" i="9"/>
  <c r="AX50" i="9"/>
  <c r="V51" i="9"/>
  <c r="S50" i="9"/>
  <c r="AU49" i="9"/>
  <c r="AR50" i="9"/>
  <c r="P51" i="9"/>
  <c r="AY49" i="9"/>
  <c r="W50" i="9"/>
  <c r="BH49" i="9"/>
  <c r="AF50" i="9"/>
  <c r="J20" i="9"/>
  <c r="J44" i="9"/>
  <c r="J19" i="9"/>
  <c r="J41" i="9"/>
  <c r="J45" i="9"/>
  <c r="J46" i="9"/>
  <c r="J18" i="9"/>
  <c r="AN22" i="9"/>
  <c r="BP21" i="9"/>
  <c r="J21" i="9" s="1"/>
  <c r="AH30" i="9"/>
  <c r="BJ29" i="9"/>
  <c r="AO28" i="9"/>
  <c r="BQ27" i="9"/>
  <c r="AF30" i="9"/>
  <c r="BH29" i="9"/>
  <c r="X31" i="9"/>
  <c r="AZ31" i="9" s="1"/>
  <c r="AZ30" i="9"/>
  <c r="Z26" i="9"/>
  <c r="BB25" i="9"/>
  <c r="Y28" i="9"/>
  <c r="BA27" i="9"/>
  <c r="A21" i="9"/>
  <c r="AG30" i="9"/>
  <c r="BI29" i="9"/>
  <c r="R30" i="9"/>
  <c r="AT29" i="9"/>
  <c r="A44" i="9"/>
  <c r="L45" i="9"/>
  <c r="AP26" i="9"/>
  <c r="BR25" i="9"/>
  <c r="P30" i="9"/>
  <c r="AR29" i="9"/>
  <c r="Q30" i="9"/>
  <c r="AS29" i="9"/>
  <c r="B260" i="7"/>
  <c r="B259" i="7"/>
  <c r="B258" i="7"/>
  <c r="B257" i="7"/>
  <c r="B256" i="7"/>
  <c r="B255" i="7"/>
  <c r="B254" i="7"/>
  <c r="B253" i="7"/>
  <c r="B252" i="7"/>
  <c r="B251" i="7"/>
  <c r="B250" i="7"/>
  <c r="B249" i="7"/>
  <c r="B248" i="7"/>
  <c r="B247" i="7"/>
  <c r="B246" i="7"/>
  <c r="B245" i="7"/>
  <c r="B244" i="7"/>
  <c r="B243" i="7"/>
  <c r="B242" i="7"/>
  <c r="B241" i="7"/>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H260" i="7"/>
  <c r="H259" i="7"/>
  <c r="H258" i="7"/>
  <c r="A258" i="7"/>
  <c r="H257" i="7"/>
  <c r="H256" i="7"/>
  <c r="H255" i="7"/>
  <c r="H254" i="7"/>
  <c r="H253" i="7"/>
  <c r="H252" i="7"/>
  <c r="H251" i="7"/>
  <c r="H250" i="7"/>
  <c r="H249" i="7"/>
  <c r="H248" i="7"/>
  <c r="H247" i="7"/>
  <c r="H246" i="7"/>
  <c r="H245" i="7"/>
  <c r="H244" i="7"/>
  <c r="H243" i="7"/>
  <c r="H242" i="7"/>
  <c r="H241" i="7"/>
  <c r="H240" i="7"/>
  <c r="H239" i="7"/>
  <c r="A239" i="7"/>
  <c r="H238" i="7"/>
  <c r="A238" i="7"/>
  <c r="H237" i="7"/>
  <c r="H236" i="7"/>
  <c r="H235" i="7"/>
  <c r="H234" i="7"/>
  <c r="H233" i="7"/>
  <c r="H232" i="7"/>
  <c r="H231" i="7"/>
  <c r="H230" i="7"/>
  <c r="H229" i="7"/>
  <c r="H228" i="7"/>
  <c r="H227" i="7"/>
  <c r="H226" i="7"/>
  <c r="H225" i="7"/>
  <c r="H224" i="7"/>
  <c r="H223" i="7"/>
  <c r="H222" i="7"/>
  <c r="H221" i="7"/>
  <c r="H220" i="7"/>
  <c r="H219" i="7"/>
  <c r="H218" i="7"/>
  <c r="H217" i="7"/>
  <c r="A217" i="7"/>
  <c r="H216" i="7"/>
  <c r="A216" i="7"/>
  <c r="H215" i="7"/>
  <c r="H214" i="7"/>
  <c r="H213" i="7"/>
  <c r="H212" i="7"/>
  <c r="H211" i="7"/>
  <c r="H210" i="7"/>
  <c r="H209" i="7"/>
  <c r="H208" i="7"/>
  <c r="H207" i="7"/>
  <c r="A207" i="7"/>
  <c r="H206" i="7"/>
  <c r="A206" i="7"/>
  <c r="H205" i="7"/>
  <c r="H204" i="7"/>
  <c r="H203" i="7"/>
  <c r="H202" i="7"/>
  <c r="H201" i="7"/>
  <c r="H200" i="7"/>
  <c r="H199" i="7"/>
  <c r="H198" i="7"/>
  <c r="H197" i="7"/>
  <c r="H196" i="7"/>
  <c r="H195" i="7"/>
  <c r="H194" i="7"/>
  <c r="H193" i="7"/>
  <c r="H192" i="7"/>
  <c r="H191" i="7"/>
  <c r="H190" i="7"/>
  <c r="H189" i="7"/>
  <c r="H188" i="7"/>
  <c r="H187" i="7"/>
  <c r="H186" i="7"/>
  <c r="H185" i="7"/>
  <c r="H184" i="7"/>
  <c r="A184" i="7"/>
  <c r="H183" i="7"/>
  <c r="A183" i="7"/>
  <c r="H182" i="7"/>
  <c r="H181" i="7"/>
  <c r="H180" i="7"/>
  <c r="H179" i="7"/>
  <c r="H178" i="7"/>
  <c r="H177" i="7"/>
  <c r="H176" i="7"/>
  <c r="H175" i="7"/>
  <c r="H174" i="7"/>
  <c r="H173" i="7"/>
  <c r="H172" i="7"/>
  <c r="H171" i="7"/>
  <c r="H170" i="7"/>
  <c r="H169" i="7"/>
  <c r="H168" i="7"/>
  <c r="H167" i="7"/>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H137" i="7"/>
  <c r="H136" i="7"/>
  <c r="H135" i="7"/>
  <c r="H134" i="7"/>
  <c r="H133" i="7"/>
  <c r="H132" i="7"/>
  <c r="H131" i="7"/>
  <c r="H130" i="7"/>
  <c r="H129" i="7"/>
  <c r="H128" i="7"/>
  <c r="H127" i="7"/>
  <c r="H126" i="7"/>
  <c r="H125" i="7"/>
  <c r="H124" i="7"/>
  <c r="L208" i="7"/>
  <c r="L209" i="7" s="1"/>
  <c r="L210" i="7" s="1"/>
  <c r="L211" i="7" s="1"/>
  <c r="L212" i="7" s="1"/>
  <c r="L213" i="7" s="1"/>
  <c r="L214" i="7" s="1"/>
  <c r="L215" i="7" s="1"/>
  <c r="A215" i="7" s="1"/>
  <c r="L218" i="7"/>
  <c r="L219" i="7" s="1"/>
  <c r="A219" i="7" s="1"/>
  <c r="L240" i="7"/>
  <c r="A240" i="7" s="1"/>
  <c r="L124" i="7"/>
  <c r="L125" i="7" s="1"/>
  <c r="L126" i="7" s="1"/>
  <c r="M124" i="7"/>
  <c r="E124" i="7" s="1"/>
  <c r="M125" i="7"/>
  <c r="E125" i="7" s="1"/>
  <c r="M126" i="7"/>
  <c r="E126" i="7" s="1"/>
  <c r="M127" i="7"/>
  <c r="E127" i="7" s="1"/>
  <c r="M128" i="7"/>
  <c r="E128" i="7" s="1"/>
  <c r="M129" i="7"/>
  <c r="E129" i="7" s="1"/>
  <c r="M130" i="7"/>
  <c r="E130" i="7" s="1"/>
  <c r="M131" i="7"/>
  <c r="E131" i="7" s="1"/>
  <c r="M132" i="7"/>
  <c r="E132" i="7" s="1"/>
  <c r="M133" i="7"/>
  <c r="E133" i="7" s="1"/>
  <c r="M134" i="7"/>
  <c r="E134" i="7" s="1"/>
  <c r="M135" i="7"/>
  <c r="E135" i="7" s="1"/>
  <c r="M136" i="7"/>
  <c r="E136" i="7" s="1"/>
  <c r="M137" i="7"/>
  <c r="E137" i="7" s="1"/>
  <c r="M138" i="7"/>
  <c r="E138" i="7" s="1"/>
  <c r="M139" i="7"/>
  <c r="E139" i="7" s="1"/>
  <c r="M140" i="7"/>
  <c r="E140" i="7" s="1"/>
  <c r="M141" i="7"/>
  <c r="E141" i="7" s="1"/>
  <c r="M142" i="7"/>
  <c r="E142" i="7" s="1"/>
  <c r="M143" i="7"/>
  <c r="E143" i="7" s="1"/>
  <c r="M144" i="7"/>
  <c r="E144" i="7" s="1"/>
  <c r="M145" i="7"/>
  <c r="E145" i="7" s="1"/>
  <c r="M146" i="7"/>
  <c r="E146" i="7" s="1"/>
  <c r="M147" i="7"/>
  <c r="E147" i="7" s="1"/>
  <c r="M148" i="7"/>
  <c r="E148" i="7" s="1"/>
  <c r="M149" i="7"/>
  <c r="E149" i="7" s="1"/>
  <c r="M150" i="7"/>
  <c r="E150" i="7" s="1"/>
  <c r="M151" i="7"/>
  <c r="E151" i="7" s="1"/>
  <c r="M152" i="7"/>
  <c r="E152" i="7" s="1"/>
  <c r="M153" i="7"/>
  <c r="E153" i="7" s="1"/>
  <c r="M154" i="7"/>
  <c r="E154" i="7" s="1"/>
  <c r="M155" i="7"/>
  <c r="E155" i="7" s="1"/>
  <c r="M156" i="7"/>
  <c r="E156" i="7" s="1"/>
  <c r="M157" i="7"/>
  <c r="E157" i="7" s="1"/>
  <c r="M158" i="7"/>
  <c r="E158" i="7" s="1"/>
  <c r="M159" i="7"/>
  <c r="E159" i="7" s="1"/>
  <c r="M160" i="7"/>
  <c r="E160" i="7" s="1"/>
  <c r="M161" i="7"/>
  <c r="E161" i="7" s="1"/>
  <c r="M162" i="7"/>
  <c r="E162" i="7" s="1"/>
  <c r="M163" i="7"/>
  <c r="E163" i="7" s="1"/>
  <c r="M164" i="7"/>
  <c r="E164" i="7" s="1"/>
  <c r="M165" i="7"/>
  <c r="E165" i="7" s="1"/>
  <c r="M166" i="7"/>
  <c r="E166" i="7" s="1"/>
  <c r="M167" i="7"/>
  <c r="E167" i="7" s="1"/>
  <c r="M168" i="7"/>
  <c r="E168" i="7" s="1"/>
  <c r="M169" i="7"/>
  <c r="E169" i="7" s="1"/>
  <c r="M170" i="7"/>
  <c r="E170" i="7" s="1"/>
  <c r="M171" i="7"/>
  <c r="E171" i="7" s="1"/>
  <c r="M172" i="7"/>
  <c r="E172" i="7" s="1"/>
  <c r="M173" i="7"/>
  <c r="E173" i="7" s="1"/>
  <c r="M174" i="7"/>
  <c r="E174" i="7" s="1"/>
  <c r="M175" i="7"/>
  <c r="E175" i="7" s="1"/>
  <c r="M176" i="7"/>
  <c r="E176" i="7" s="1"/>
  <c r="M177" i="7"/>
  <c r="E177" i="7" s="1"/>
  <c r="M178" i="7"/>
  <c r="E178" i="7" s="1"/>
  <c r="M179" i="7"/>
  <c r="E179" i="7" s="1"/>
  <c r="M180" i="7"/>
  <c r="E180" i="7" s="1"/>
  <c r="M181" i="7"/>
  <c r="E181" i="7" s="1"/>
  <c r="M182" i="7"/>
  <c r="E182" i="7" s="1"/>
  <c r="M183" i="7"/>
  <c r="E183" i="7" s="1"/>
  <c r="M184" i="7"/>
  <c r="E184" i="7" s="1"/>
  <c r="M185" i="7"/>
  <c r="E185" i="7" s="1"/>
  <c r="M186" i="7"/>
  <c r="E186" i="7" s="1"/>
  <c r="M187" i="7"/>
  <c r="E187" i="7" s="1"/>
  <c r="M188" i="7"/>
  <c r="E188" i="7" s="1"/>
  <c r="M189" i="7"/>
  <c r="E189" i="7" s="1"/>
  <c r="M190" i="7"/>
  <c r="E190" i="7" s="1"/>
  <c r="M191" i="7"/>
  <c r="E191" i="7" s="1"/>
  <c r="M192" i="7"/>
  <c r="E192" i="7" s="1"/>
  <c r="M193" i="7"/>
  <c r="E193" i="7" s="1"/>
  <c r="M194" i="7"/>
  <c r="E194" i="7" s="1"/>
  <c r="M195" i="7"/>
  <c r="E195" i="7" s="1"/>
  <c r="M196" i="7"/>
  <c r="E196" i="7" s="1"/>
  <c r="M197" i="7"/>
  <c r="E197" i="7" s="1"/>
  <c r="M198" i="7"/>
  <c r="E198" i="7" s="1"/>
  <c r="M199" i="7"/>
  <c r="E199" i="7" s="1"/>
  <c r="M200" i="7"/>
  <c r="E200" i="7" s="1"/>
  <c r="M201" i="7"/>
  <c r="E201" i="7" s="1"/>
  <c r="M202" i="7"/>
  <c r="E202" i="7" s="1"/>
  <c r="M203" i="7"/>
  <c r="E203" i="7" s="1"/>
  <c r="M204" i="7"/>
  <c r="E204" i="7" s="1"/>
  <c r="M205" i="7"/>
  <c r="E205" i="7" s="1"/>
  <c r="M206" i="7"/>
  <c r="E206" i="7" s="1"/>
  <c r="M207" i="7"/>
  <c r="E207" i="7" s="1"/>
  <c r="M208" i="7"/>
  <c r="E208" i="7" s="1"/>
  <c r="M209" i="7"/>
  <c r="E209" i="7" s="1"/>
  <c r="M210" i="7"/>
  <c r="E210" i="7" s="1"/>
  <c r="M211" i="7"/>
  <c r="E211" i="7" s="1"/>
  <c r="M212" i="7"/>
  <c r="E212" i="7" s="1"/>
  <c r="M213" i="7"/>
  <c r="E213" i="7" s="1"/>
  <c r="M214" i="7"/>
  <c r="E214" i="7" s="1"/>
  <c r="M215" i="7"/>
  <c r="E215" i="7" s="1"/>
  <c r="M216" i="7"/>
  <c r="E216" i="7" s="1"/>
  <c r="M217" i="7"/>
  <c r="E217" i="7" s="1"/>
  <c r="M218" i="7"/>
  <c r="E218" i="7" s="1"/>
  <c r="M219" i="7"/>
  <c r="E219" i="7" s="1"/>
  <c r="M220" i="7"/>
  <c r="E220" i="7" s="1"/>
  <c r="M221" i="7"/>
  <c r="E221" i="7" s="1"/>
  <c r="M222" i="7"/>
  <c r="E222" i="7" s="1"/>
  <c r="M223" i="7"/>
  <c r="E223" i="7" s="1"/>
  <c r="M224" i="7"/>
  <c r="E224" i="7" s="1"/>
  <c r="M225" i="7"/>
  <c r="E225" i="7" s="1"/>
  <c r="M226" i="7"/>
  <c r="E226" i="7" s="1"/>
  <c r="M227" i="7"/>
  <c r="E227" i="7" s="1"/>
  <c r="M228" i="7"/>
  <c r="E228" i="7" s="1"/>
  <c r="M229" i="7"/>
  <c r="E229" i="7" s="1"/>
  <c r="M230" i="7"/>
  <c r="E230" i="7" s="1"/>
  <c r="M231" i="7"/>
  <c r="E231" i="7" s="1"/>
  <c r="M232" i="7"/>
  <c r="E232" i="7" s="1"/>
  <c r="M233" i="7"/>
  <c r="E233" i="7" s="1"/>
  <c r="M234" i="7"/>
  <c r="E234" i="7" s="1"/>
  <c r="M235" i="7"/>
  <c r="E235" i="7" s="1"/>
  <c r="M236" i="7"/>
  <c r="E236" i="7" s="1"/>
  <c r="M237" i="7"/>
  <c r="E237" i="7" s="1"/>
  <c r="M238" i="7"/>
  <c r="E238" i="7" s="1"/>
  <c r="M239" i="7"/>
  <c r="E239" i="7" s="1"/>
  <c r="M240" i="7"/>
  <c r="E240" i="7" s="1"/>
  <c r="M241" i="7"/>
  <c r="E241" i="7" s="1"/>
  <c r="M242" i="7"/>
  <c r="E242" i="7" s="1"/>
  <c r="M243" i="7"/>
  <c r="E243" i="7" s="1"/>
  <c r="M244" i="7"/>
  <c r="E244" i="7" s="1"/>
  <c r="M245" i="7"/>
  <c r="E245" i="7" s="1"/>
  <c r="M246" i="7"/>
  <c r="E246" i="7" s="1"/>
  <c r="M247" i="7"/>
  <c r="E247" i="7" s="1"/>
  <c r="M248" i="7"/>
  <c r="E248" i="7" s="1"/>
  <c r="M249" i="7"/>
  <c r="E249" i="7" s="1"/>
  <c r="M250" i="7"/>
  <c r="E250" i="7" s="1"/>
  <c r="M251" i="7"/>
  <c r="E251" i="7" s="1"/>
  <c r="M252" i="7"/>
  <c r="E252" i="7" s="1"/>
  <c r="M253" i="7"/>
  <c r="E253" i="7" s="1"/>
  <c r="M254" i="7"/>
  <c r="E254" i="7" s="1"/>
  <c r="M255" i="7"/>
  <c r="E255" i="7" s="1"/>
  <c r="M256" i="7"/>
  <c r="E256" i="7" s="1"/>
  <c r="M257" i="7"/>
  <c r="E257" i="7" s="1"/>
  <c r="M258" i="7"/>
  <c r="E258" i="7" s="1"/>
  <c r="M259" i="7"/>
  <c r="E259" i="7" s="1"/>
  <c r="M260" i="7"/>
  <c r="E260" i="7" s="1"/>
  <c r="M123" i="7"/>
  <c r="O260" i="7"/>
  <c r="O259" i="7"/>
  <c r="O258" i="7"/>
  <c r="O257" i="7"/>
  <c r="O256" i="7"/>
  <c r="O255" i="7"/>
  <c r="O254" i="7"/>
  <c r="O253" i="7"/>
  <c r="O252" i="7"/>
  <c r="O251" i="7"/>
  <c r="O250" i="7"/>
  <c r="O249" i="7"/>
  <c r="O248" i="7"/>
  <c r="O247" i="7"/>
  <c r="O246" i="7"/>
  <c r="O245" i="7"/>
  <c r="O244" i="7"/>
  <c r="O243" i="7"/>
  <c r="O242" i="7"/>
  <c r="O241" i="7"/>
  <c r="O240" i="7"/>
  <c r="O239" i="7"/>
  <c r="O238" i="7"/>
  <c r="O237" i="7"/>
  <c r="O236" i="7"/>
  <c r="O235" i="7"/>
  <c r="O234" i="7"/>
  <c r="O233" i="7"/>
  <c r="O232" i="7"/>
  <c r="O231" i="7"/>
  <c r="O230" i="7"/>
  <c r="O229" i="7"/>
  <c r="O228" i="7"/>
  <c r="O227" i="7"/>
  <c r="O226" i="7"/>
  <c r="O225" i="7"/>
  <c r="O224" i="7"/>
  <c r="O223" i="7"/>
  <c r="O222" i="7"/>
  <c r="O221" i="7"/>
  <c r="O220" i="7"/>
  <c r="O219" i="7"/>
  <c r="O218" i="7"/>
  <c r="O217" i="7"/>
  <c r="O216" i="7"/>
  <c r="O215" i="7"/>
  <c r="O214" i="7"/>
  <c r="O213" i="7"/>
  <c r="O212" i="7"/>
  <c r="O211" i="7"/>
  <c r="O210" i="7"/>
  <c r="O209" i="7"/>
  <c r="O208" i="7"/>
  <c r="O207" i="7"/>
  <c r="O206" i="7"/>
  <c r="O205" i="7"/>
  <c r="O204" i="7"/>
  <c r="O203" i="7"/>
  <c r="O202" i="7"/>
  <c r="O201" i="7"/>
  <c r="O200" i="7"/>
  <c r="O199" i="7"/>
  <c r="O198" i="7"/>
  <c r="O197" i="7"/>
  <c r="O196" i="7"/>
  <c r="O195" i="7"/>
  <c r="O194" i="7"/>
  <c r="O193" i="7"/>
  <c r="O192" i="7"/>
  <c r="O191" i="7"/>
  <c r="O190" i="7"/>
  <c r="O189" i="7"/>
  <c r="O188" i="7"/>
  <c r="O187" i="7"/>
  <c r="O186" i="7"/>
  <c r="O185" i="7"/>
  <c r="O184" i="7"/>
  <c r="O183" i="7"/>
  <c r="O182" i="7"/>
  <c r="O181" i="7"/>
  <c r="O180" i="7"/>
  <c r="O179" i="7"/>
  <c r="O178" i="7"/>
  <c r="O177" i="7"/>
  <c r="O176" i="7"/>
  <c r="O175" i="7"/>
  <c r="O174" i="7"/>
  <c r="O173" i="7"/>
  <c r="O172" i="7"/>
  <c r="O171" i="7"/>
  <c r="O170" i="7"/>
  <c r="O169" i="7"/>
  <c r="O168" i="7"/>
  <c r="O167" i="7"/>
  <c r="O166" i="7"/>
  <c r="O165" i="7"/>
  <c r="O164" i="7"/>
  <c r="O163" i="7"/>
  <c r="O162" i="7"/>
  <c r="O161" i="7"/>
  <c r="O160" i="7"/>
  <c r="O159" i="7"/>
  <c r="O158" i="7"/>
  <c r="O157" i="7"/>
  <c r="O156" i="7"/>
  <c r="O155" i="7"/>
  <c r="O154" i="7"/>
  <c r="O153" i="7"/>
  <c r="O152" i="7"/>
  <c r="O151" i="7"/>
  <c r="O150" i="7"/>
  <c r="O149" i="7"/>
  <c r="O148" i="7"/>
  <c r="O147" i="7"/>
  <c r="O146" i="7"/>
  <c r="O145" i="7"/>
  <c r="O144" i="7"/>
  <c r="O143" i="7"/>
  <c r="O142" i="7"/>
  <c r="O141" i="7"/>
  <c r="O140" i="7"/>
  <c r="O139" i="7"/>
  <c r="O138" i="7"/>
  <c r="O137" i="7"/>
  <c r="O136" i="7"/>
  <c r="O135" i="7"/>
  <c r="O134" i="7"/>
  <c r="O133" i="7"/>
  <c r="O132" i="7"/>
  <c r="O131" i="7"/>
  <c r="O130" i="7"/>
  <c r="O129" i="7"/>
  <c r="O128" i="7"/>
  <c r="O127" i="7"/>
  <c r="O126" i="7"/>
  <c r="O125" i="7"/>
  <c r="R27" i="3" l="1"/>
  <c r="AP26" i="3"/>
  <c r="AF85" i="3"/>
  <c r="BD84" i="3"/>
  <c r="AH78" i="3"/>
  <c r="BF77" i="3"/>
  <c r="X53" i="3"/>
  <c r="AV52" i="3"/>
  <c r="R50" i="3"/>
  <c r="AP49" i="3"/>
  <c r="P79" i="3"/>
  <c r="AN78" i="3"/>
  <c r="Y26" i="3"/>
  <c r="AW25" i="3"/>
  <c r="X28" i="3"/>
  <c r="AV27" i="3"/>
  <c r="P30" i="3"/>
  <c r="AN30" i="3" s="1"/>
  <c r="AN29" i="3"/>
  <c r="AH28" i="3"/>
  <c r="BF27" i="3"/>
  <c r="BD49" i="3"/>
  <c r="AF50" i="3"/>
  <c r="A49" i="3"/>
  <c r="L50" i="3"/>
  <c r="AG49" i="3"/>
  <c r="BE48" i="3"/>
  <c r="J48" i="3" s="1"/>
  <c r="AJ89" i="3"/>
  <c r="BH88" i="3"/>
  <c r="AH50" i="3"/>
  <c r="BF49" i="3"/>
  <c r="P51" i="3"/>
  <c r="AN50" i="3"/>
  <c r="Q52" i="3"/>
  <c r="AO51" i="3"/>
  <c r="AX49" i="3"/>
  <c r="Z50" i="3"/>
  <c r="AJ26" i="3"/>
  <c r="BH25" i="3"/>
  <c r="J25" i="3" s="1"/>
  <c r="Q27" i="3"/>
  <c r="AO26" i="3"/>
  <c r="AG27" i="3"/>
  <c r="BE26" i="3"/>
  <c r="AV83" i="3"/>
  <c r="X84" i="3"/>
  <c r="R76" i="3"/>
  <c r="AP75" i="3"/>
  <c r="J75" i="3" s="1"/>
  <c r="L80" i="3"/>
  <c r="A79" i="3"/>
  <c r="Y51" i="3"/>
  <c r="AW50" i="3"/>
  <c r="Z82" i="3"/>
  <c r="AX81" i="3"/>
  <c r="AL26" i="3"/>
  <c r="BJ25" i="3"/>
  <c r="AH59" i="7"/>
  <c r="BK58" i="7"/>
  <c r="BJ111" i="7"/>
  <c r="AG112" i="7"/>
  <c r="BJ112" i="7" s="1"/>
  <c r="AF60" i="7"/>
  <c r="BI59" i="7"/>
  <c r="AF112" i="7"/>
  <c r="BI112" i="7" s="1"/>
  <c r="BI111" i="7"/>
  <c r="BJ60" i="7"/>
  <c r="AG61" i="7"/>
  <c r="AD111" i="7"/>
  <c r="V111" i="7"/>
  <c r="BN49" i="9"/>
  <c r="AL50" i="9"/>
  <c r="A45" i="9"/>
  <c r="L46" i="9"/>
  <c r="J48" i="9"/>
  <c r="AI27" i="7"/>
  <c r="BL26" i="7"/>
  <c r="AI49" i="7"/>
  <c r="BL48" i="7"/>
  <c r="AI87" i="7"/>
  <c r="BL86" i="7"/>
  <c r="AI131" i="7"/>
  <c r="BL130" i="7"/>
  <c r="A124" i="7"/>
  <c r="AD50" i="9"/>
  <c r="BF49" i="9"/>
  <c r="L127" i="7"/>
  <c r="L128" i="7" s="1"/>
  <c r="L129" i="7" s="1"/>
  <c r="A126" i="7"/>
  <c r="A214" i="7"/>
  <c r="A211" i="7"/>
  <c r="AE126" i="7"/>
  <c r="BH125" i="7"/>
  <c r="AE21" i="7"/>
  <c r="BH20" i="7"/>
  <c r="AE44" i="7"/>
  <c r="BH43" i="7"/>
  <c r="AE82" i="7"/>
  <c r="BH81" i="7"/>
  <c r="S51" i="9"/>
  <c r="AU50" i="9"/>
  <c r="AQ51" i="9"/>
  <c r="BS50" i="9"/>
  <c r="AH50" i="9"/>
  <c r="BJ49" i="9"/>
  <c r="AY50" i="9"/>
  <c r="W51" i="9"/>
  <c r="AX51" i="9"/>
  <c r="V52" i="9"/>
  <c r="AO51" i="9"/>
  <c r="BQ50" i="9"/>
  <c r="AJ52" i="9"/>
  <c r="BL51" i="9"/>
  <c r="AI50" i="9"/>
  <c r="BK49" i="9"/>
  <c r="AA50" i="9"/>
  <c r="BC49" i="9"/>
  <c r="BO49" i="9"/>
  <c r="AM50" i="9"/>
  <c r="BG51" i="9"/>
  <c r="AE52" i="9"/>
  <c r="AK51" i="9"/>
  <c r="BM50" i="9"/>
  <c r="AN52" i="9"/>
  <c r="BP51" i="9"/>
  <c r="BH50" i="9"/>
  <c r="AF51" i="9"/>
  <c r="X52" i="9"/>
  <c r="AZ51" i="9"/>
  <c r="R50" i="9"/>
  <c r="AT49" i="9"/>
  <c r="P52" i="9"/>
  <c r="AR51" i="9"/>
  <c r="Q51" i="9"/>
  <c r="AS50" i="9"/>
  <c r="AC51" i="9"/>
  <c r="BE50" i="9"/>
  <c r="AG53" i="9"/>
  <c r="BI52" i="9"/>
  <c r="AV50" i="9"/>
  <c r="T51" i="9"/>
  <c r="Y51" i="9"/>
  <c r="BA50" i="9"/>
  <c r="Z50" i="9"/>
  <c r="BB49" i="9"/>
  <c r="U50" i="9"/>
  <c r="AW49" i="9"/>
  <c r="AP50" i="9"/>
  <c r="BR49" i="9"/>
  <c r="AB51" i="9"/>
  <c r="BD50" i="9"/>
  <c r="Y29" i="9"/>
  <c r="BA28" i="9"/>
  <c r="Z27" i="9"/>
  <c r="BB26" i="9"/>
  <c r="AN23" i="9"/>
  <c r="BP22" i="9"/>
  <c r="J22" i="9" s="1"/>
  <c r="AP27" i="9"/>
  <c r="BR26" i="9"/>
  <c r="AG31" i="9"/>
  <c r="BI31" i="9" s="1"/>
  <c r="BI30" i="9"/>
  <c r="AO29" i="9"/>
  <c r="BQ28" i="9"/>
  <c r="AH31" i="9"/>
  <c r="BJ31" i="9" s="1"/>
  <c r="BJ30" i="9"/>
  <c r="R31" i="9"/>
  <c r="AT31" i="9" s="1"/>
  <c r="AT30" i="9"/>
  <c r="A22" i="9"/>
  <c r="L23" i="9"/>
  <c r="P31" i="9"/>
  <c r="AR31" i="9" s="1"/>
  <c r="AR30" i="9"/>
  <c r="Q31" i="9"/>
  <c r="AS31" i="9" s="1"/>
  <c r="AS30" i="9"/>
  <c r="AF31" i="9"/>
  <c r="BH31" i="9" s="1"/>
  <c r="BH30" i="9"/>
  <c r="A209" i="7"/>
  <c r="A212" i="7"/>
  <c r="A210" i="7"/>
  <c r="A218" i="7"/>
  <c r="A125" i="7"/>
  <c r="A213" i="7"/>
  <c r="A208" i="7"/>
  <c r="L220" i="7"/>
  <c r="L41" i="7"/>
  <c r="L78" i="7" s="1"/>
  <c r="X85" i="3" l="1"/>
  <c r="AV84" i="3"/>
  <c r="Y27" i="3"/>
  <c r="AW26" i="3"/>
  <c r="AJ90" i="3"/>
  <c r="BH89" i="3"/>
  <c r="AH29" i="3"/>
  <c r="BF28" i="3"/>
  <c r="P80" i="3"/>
  <c r="AN79" i="3"/>
  <c r="AH79" i="3"/>
  <c r="BF78" i="3"/>
  <c r="Y52" i="3"/>
  <c r="AW51" i="3"/>
  <c r="AG28" i="3"/>
  <c r="BE27" i="3"/>
  <c r="Q53" i="3"/>
  <c r="AO52" i="3"/>
  <c r="AG50" i="3"/>
  <c r="BE49" i="3"/>
  <c r="J49" i="3" s="1"/>
  <c r="J26" i="3"/>
  <c r="A50" i="3"/>
  <c r="L51" i="3"/>
  <c r="R51" i="3"/>
  <c r="AP50" i="3"/>
  <c r="A80" i="3"/>
  <c r="L81" i="3"/>
  <c r="Q28" i="3"/>
  <c r="AO27" i="3"/>
  <c r="P52" i="3"/>
  <c r="AN51" i="3"/>
  <c r="AF86" i="3"/>
  <c r="BD85" i="3"/>
  <c r="Z51" i="3"/>
  <c r="AX50" i="3"/>
  <c r="X54" i="3"/>
  <c r="X57" i="3"/>
  <c r="AV57" i="3" s="1"/>
  <c r="AV53" i="3"/>
  <c r="Z83" i="3"/>
  <c r="AX82" i="3"/>
  <c r="X29" i="3"/>
  <c r="AV28" i="3"/>
  <c r="AL27" i="3"/>
  <c r="BJ26" i="3"/>
  <c r="AP76" i="3"/>
  <c r="J76" i="3" s="1"/>
  <c r="R77" i="3"/>
  <c r="AJ27" i="3"/>
  <c r="BH26" i="3"/>
  <c r="AH51" i="3"/>
  <c r="BF50" i="3"/>
  <c r="AF51" i="3"/>
  <c r="BD50" i="3"/>
  <c r="AP27" i="3"/>
  <c r="R28" i="3"/>
  <c r="BI60" i="7"/>
  <c r="AF61" i="7"/>
  <c r="BJ61" i="7"/>
  <c r="AG62" i="7"/>
  <c r="AH60" i="7"/>
  <c r="BK59" i="7"/>
  <c r="V112" i="7"/>
  <c r="AD112" i="7"/>
  <c r="A46" i="9"/>
  <c r="L47" i="9"/>
  <c r="J49" i="9"/>
  <c r="BN50" i="9"/>
  <c r="AL51" i="9"/>
  <c r="AI132" i="7"/>
  <c r="BL131" i="7"/>
  <c r="AI88" i="7"/>
  <c r="BL87" i="7"/>
  <c r="AI50" i="7"/>
  <c r="BL49" i="7"/>
  <c r="AI28" i="7"/>
  <c r="BL27" i="7"/>
  <c r="A127" i="7"/>
  <c r="A128" i="7"/>
  <c r="BF50" i="9"/>
  <c r="AD51" i="9"/>
  <c r="AE22" i="7"/>
  <c r="BH21" i="7"/>
  <c r="AE83" i="7"/>
  <c r="BH82" i="7"/>
  <c r="AE127" i="7"/>
  <c r="BH126" i="7"/>
  <c r="AE45" i="7"/>
  <c r="BH44" i="7"/>
  <c r="L130" i="7"/>
  <c r="A129" i="7"/>
  <c r="AE53" i="9"/>
  <c r="BG52" i="9"/>
  <c r="BO50" i="9"/>
  <c r="AM51" i="9"/>
  <c r="AP51" i="9"/>
  <c r="BR50" i="9"/>
  <c r="Q52" i="9"/>
  <c r="AS51" i="9"/>
  <c r="AO52" i="9"/>
  <c r="BQ51" i="9"/>
  <c r="AH51" i="9"/>
  <c r="BJ50" i="9"/>
  <c r="AY51" i="9"/>
  <c r="W52" i="9"/>
  <c r="Y52" i="9"/>
  <c r="BA51" i="9"/>
  <c r="X53" i="9"/>
  <c r="AZ52" i="9"/>
  <c r="BL52" i="9"/>
  <c r="AJ53" i="9"/>
  <c r="AF52" i="9"/>
  <c r="BH51" i="9"/>
  <c r="AN53" i="9"/>
  <c r="BP52" i="9"/>
  <c r="AA51" i="9"/>
  <c r="BC50" i="9"/>
  <c r="AX52" i="9"/>
  <c r="V53" i="9"/>
  <c r="AB52" i="9"/>
  <c r="BD51" i="9"/>
  <c r="BE51" i="9"/>
  <c r="AC52" i="9"/>
  <c r="AV51" i="9"/>
  <c r="T52" i="9"/>
  <c r="AW50" i="9"/>
  <c r="U51" i="9"/>
  <c r="P53" i="9"/>
  <c r="AR52" i="9"/>
  <c r="AQ52" i="9"/>
  <c r="BS51" i="9"/>
  <c r="Z51" i="9"/>
  <c r="BB50" i="9"/>
  <c r="AG54" i="9"/>
  <c r="BI53" i="9"/>
  <c r="R51" i="9"/>
  <c r="AT50" i="9"/>
  <c r="BM51" i="9"/>
  <c r="AK52" i="9"/>
  <c r="AI51" i="9"/>
  <c r="BK50" i="9"/>
  <c r="S52" i="9"/>
  <c r="AU51" i="9"/>
  <c r="AN24" i="9"/>
  <c r="BP23" i="9"/>
  <c r="J23" i="9" s="1"/>
  <c r="L24" i="9"/>
  <c r="A23" i="9"/>
  <c r="Y30" i="9"/>
  <c r="BA29" i="9"/>
  <c r="Z28" i="9"/>
  <c r="BB27" i="9"/>
  <c r="AP28" i="9"/>
  <c r="BR27" i="9"/>
  <c r="AO30" i="9"/>
  <c r="BQ29" i="9"/>
  <c r="L221" i="7"/>
  <c r="A220" i="7"/>
  <c r="M9" i="7"/>
  <c r="J50" i="3" l="1"/>
  <c r="AF52" i="3"/>
  <c r="BD51" i="3"/>
  <c r="AL28" i="3"/>
  <c r="BJ27" i="3"/>
  <c r="A81" i="3"/>
  <c r="L82" i="3"/>
  <c r="Z52" i="3"/>
  <c r="AX51" i="3"/>
  <c r="Y53" i="3"/>
  <c r="AW52" i="3"/>
  <c r="AH52" i="3"/>
  <c r="BF51" i="3"/>
  <c r="X30" i="3"/>
  <c r="AV30" i="3" s="1"/>
  <c r="AV29" i="3"/>
  <c r="AJ91" i="3"/>
  <c r="BH90" i="3"/>
  <c r="AF87" i="3"/>
  <c r="BD86" i="3"/>
  <c r="R52" i="3"/>
  <c r="AP51" i="3"/>
  <c r="AG51" i="3"/>
  <c r="BE50" i="3"/>
  <c r="AH80" i="3"/>
  <c r="BF79" i="3"/>
  <c r="AJ28" i="3"/>
  <c r="BH27" i="3"/>
  <c r="Z84" i="3"/>
  <c r="AX83" i="3"/>
  <c r="Y28" i="3"/>
  <c r="AW27" i="3"/>
  <c r="J27" i="3" s="1"/>
  <c r="R29" i="3"/>
  <c r="AP28" i="3"/>
  <c r="R78" i="3"/>
  <c r="AP77" i="3"/>
  <c r="J77" i="3" s="1"/>
  <c r="P53" i="3"/>
  <c r="AN52" i="3"/>
  <c r="A51" i="3"/>
  <c r="L52" i="3"/>
  <c r="Q57" i="3"/>
  <c r="AO57" i="3" s="1"/>
  <c r="Q54" i="3"/>
  <c r="AO53" i="3"/>
  <c r="P81" i="3"/>
  <c r="AN80" i="3"/>
  <c r="X86" i="3"/>
  <c r="AV85" i="3"/>
  <c r="X55" i="3"/>
  <c r="AV54" i="3"/>
  <c r="Q29" i="3"/>
  <c r="AO28" i="3"/>
  <c r="AG29" i="3"/>
  <c r="BE28" i="3"/>
  <c r="AH30" i="3"/>
  <c r="BF30" i="3" s="1"/>
  <c r="BF29" i="3"/>
  <c r="AG63" i="7"/>
  <c r="BJ62" i="7"/>
  <c r="AH61" i="7"/>
  <c r="BK60" i="7"/>
  <c r="AF62" i="7"/>
  <c r="BI61" i="7"/>
  <c r="AL52" i="9"/>
  <c r="BN51" i="9"/>
  <c r="J50" i="9"/>
  <c r="A47" i="9"/>
  <c r="L48" i="9"/>
  <c r="AI29" i="7"/>
  <c r="BL28" i="7"/>
  <c r="AI51" i="7"/>
  <c r="BL50" i="7"/>
  <c r="AI89" i="7"/>
  <c r="BL88" i="7"/>
  <c r="AI133" i="7"/>
  <c r="BL132" i="7"/>
  <c r="AD52" i="9"/>
  <c r="BF51" i="9"/>
  <c r="AE46" i="7"/>
  <c r="BH45" i="7"/>
  <c r="AE128" i="7"/>
  <c r="BH127" i="7"/>
  <c r="AE84" i="7"/>
  <c r="BH83" i="7"/>
  <c r="L131" i="7"/>
  <c r="A130" i="7"/>
  <c r="AE23" i="7"/>
  <c r="BH22" i="7"/>
  <c r="BM52" i="9"/>
  <c r="AK53" i="9"/>
  <c r="AW51" i="9"/>
  <c r="U52" i="9"/>
  <c r="AU52" i="9"/>
  <c r="S53" i="9"/>
  <c r="BI54" i="9"/>
  <c r="AG55" i="9"/>
  <c r="BI55" i="9" s="1"/>
  <c r="BD52" i="9"/>
  <c r="AB53" i="9"/>
  <c r="Y53" i="9"/>
  <c r="BA52" i="9"/>
  <c r="Q53" i="9"/>
  <c r="AS52" i="9"/>
  <c r="AV52" i="9"/>
  <c r="T53" i="9"/>
  <c r="V54" i="9"/>
  <c r="AX53" i="9"/>
  <c r="W53" i="9"/>
  <c r="AY52" i="9"/>
  <c r="AI52" i="9"/>
  <c r="BK51" i="9"/>
  <c r="Z52" i="9"/>
  <c r="BB51" i="9"/>
  <c r="AF53" i="9"/>
  <c r="BH52" i="9"/>
  <c r="AP52" i="9"/>
  <c r="BR51" i="9"/>
  <c r="BL53" i="9"/>
  <c r="AJ54" i="9"/>
  <c r="BO51" i="9"/>
  <c r="AM52" i="9"/>
  <c r="AQ53" i="9"/>
  <c r="BS52" i="9"/>
  <c r="BC51" i="9"/>
  <c r="AA52" i="9"/>
  <c r="AH52" i="9"/>
  <c r="BJ51" i="9"/>
  <c r="BE52" i="9"/>
  <c r="AC53" i="9"/>
  <c r="R52" i="9"/>
  <c r="AT51" i="9"/>
  <c r="P54" i="9"/>
  <c r="AR53" i="9"/>
  <c r="AN54" i="9"/>
  <c r="BP53" i="9"/>
  <c r="X54" i="9"/>
  <c r="AZ53" i="9"/>
  <c r="AO53" i="9"/>
  <c r="BQ52" i="9"/>
  <c r="AE54" i="9"/>
  <c r="BG53" i="9"/>
  <c r="AP29" i="9"/>
  <c r="BR28" i="9"/>
  <c r="AO31" i="9"/>
  <c r="BQ31" i="9" s="1"/>
  <c r="BQ30" i="9"/>
  <c r="Z29" i="9"/>
  <c r="BB28" i="9"/>
  <c r="A24" i="9"/>
  <c r="L25" i="9"/>
  <c r="AN25" i="9"/>
  <c r="BP24" i="9"/>
  <c r="J24" i="9" s="1"/>
  <c r="Y31" i="9"/>
  <c r="BA31" i="9" s="1"/>
  <c r="BA30" i="9"/>
  <c r="L222" i="7"/>
  <c r="A221" i="7"/>
  <c r="O27" i="7"/>
  <c r="M18" i="7"/>
  <c r="M19" i="7"/>
  <c r="M20" i="7"/>
  <c r="M21" i="7"/>
  <c r="M22" i="7"/>
  <c r="M23" i="7"/>
  <c r="M24" i="7"/>
  <c r="M25" i="7"/>
  <c r="M26" i="7"/>
  <c r="M27" i="7"/>
  <c r="M17" i="7"/>
  <c r="L53" i="3" l="1"/>
  <c r="A52" i="3"/>
  <c r="AH81" i="3"/>
  <c r="BF80" i="3"/>
  <c r="P54" i="3"/>
  <c r="P57" i="3"/>
  <c r="AN57" i="3" s="1"/>
  <c r="AN53" i="3"/>
  <c r="P82" i="3"/>
  <c r="AN81" i="3"/>
  <c r="Q30" i="3"/>
  <c r="AO30" i="3" s="1"/>
  <c r="AO29" i="3"/>
  <c r="R79" i="3"/>
  <c r="AP78" i="3"/>
  <c r="J78" i="3" s="1"/>
  <c r="Z85" i="3"/>
  <c r="AX84" i="3"/>
  <c r="R53" i="3"/>
  <c r="AP52" i="3"/>
  <c r="AH53" i="3"/>
  <c r="BF52" i="3"/>
  <c r="AL29" i="3"/>
  <c r="BJ28" i="3"/>
  <c r="X87" i="3"/>
  <c r="AV86" i="3"/>
  <c r="Y29" i="3"/>
  <c r="AW28" i="3"/>
  <c r="J28" i="3" s="1"/>
  <c r="Z53" i="3"/>
  <c r="AX52" i="3"/>
  <c r="L83" i="3"/>
  <c r="A82" i="3"/>
  <c r="AG30" i="3"/>
  <c r="BE30" i="3" s="1"/>
  <c r="BE29" i="3"/>
  <c r="AG52" i="3"/>
  <c r="BE51" i="3"/>
  <c r="J51" i="3" s="1"/>
  <c r="Q55" i="3"/>
  <c r="AO54" i="3"/>
  <c r="AJ92" i="3"/>
  <c r="BH91" i="3"/>
  <c r="X56" i="3"/>
  <c r="AV56" i="3" s="1"/>
  <c r="AV55" i="3"/>
  <c r="R30" i="3"/>
  <c r="AP30" i="3" s="1"/>
  <c r="AP29" i="3"/>
  <c r="AJ29" i="3"/>
  <c r="BH28" i="3"/>
  <c r="AF88" i="3"/>
  <c r="BD87" i="3"/>
  <c r="Y57" i="3"/>
  <c r="AW57" i="3" s="1"/>
  <c r="Y54" i="3"/>
  <c r="AW53" i="3"/>
  <c r="AF53" i="3"/>
  <c r="BD52" i="3"/>
  <c r="AF63" i="7"/>
  <c r="BI62" i="7"/>
  <c r="AH62" i="7"/>
  <c r="BK61" i="7"/>
  <c r="AG64" i="7"/>
  <c r="BJ63" i="7"/>
  <c r="L49" i="9"/>
  <c r="A48" i="9"/>
  <c r="J51" i="9"/>
  <c r="BN52" i="9"/>
  <c r="AL53" i="9"/>
  <c r="AI52" i="7"/>
  <c r="BL51" i="7"/>
  <c r="BL133" i="7"/>
  <c r="AI134" i="7"/>
  <c r="BL89" i="7"/>
  <c r="AI90" i="7"/>
  <c r="AI30" i="7"/>
  <c r="BL29" i="7"/>
  <c r="BF52" i="9"/>
  <c r="AD53" i="9"/>
  <c r="L132" i="7"/>
  <c r="A131" i="7"/>
  <c r="AE85" i="7"/>
  <c r="BH84" i="7"/>
  <c r="AE129" i="7"/>
  <c r="BH128" i="7"/>
  <c r="AE24" i="7"/>
  <c r="BH23" i="7"/>
  <c r="AE47" i="7"/>
  <c r="BH46" i="7"/>
  <c r="BC52" i="9"/>
  <c r="AA53" i="9"/>
  <c r="BL54" i="9"/>
  <c r="AJ55" i="9"/>
  <c r="BL55" i="9" s="1"/>
  <c r="AE55" i="9"/>
  <c r="BG55" i="9" s="1"/>
  <c r="BG54" i="9"/>
  <c r="AR54" i="9"/>
  <c r="P55" i="9"/>
  <c r="AR55" i="9" s="1"/>
  <c r="AI53" i="9"/>
  <c r="BK52" i="9"/>
  <c r="Q54" i="9"/>
  <c r="AS53" i="9"/>
  <c r="AU53" i="9"/>
  <c r="S54" i="9"/>
  <c r="AO54" i="9"/>
  <c r="BQ53" i="9"/>
  <c r="R53" i="9"/>
  <c r="AT52" i="9"/>
  <c r="AP53" i="9"/>
  <c r="BR52" i="9"/>
  <c r="W54" i="9"/>
  <c r="AY53" i="9"/>
  <c r="Y54" i="9"/>
  <c r="BA53" i="9"/>
  <c r="BE53" i="9"/>
  <c r="AC54" i="9"/>
  <c r="AW52" i="9"/>
  <c r="U53" i="9"/>
  <c r="AZ54" i="9"/>
  <c r="X55" i="9"/>
  <c r="AZ55" i="9" s="1"/>
  <c r="BS53" i="9"/>
  <c r="AQ54" i="9"/>
  <c r="AF54" i="9"/>
  <c r="BH53" i="9"/>
  <c r="V55" i="9"/>
  <c r="AX55" i="9" s="1"/>
  <c r="AX54" i="9"/>
  <c r="AM53" i="9"/>
  <c r="BO52" i="9"/>
  <c r="AV53" i="9"/>
  <c r="T54" i="9"/>
  <c r="BD53" i="9"/>
  <c r="AB54" i="9"/>
  <c r="BM53" i="9"/>
  <c r="AK54" i="9"/>
  <c r="BP54" i="9"/>
  <c r="AN55" i="9"/>
  <c r="BP55" i="9" s="1"/>
  <c r="BJ52" i="9"/>
  <c r="AH53" i="9"/>
  <c r="BB52" i="9"/>
  <c r="Z53" i="9"/>
  <c r="A25" i="9"/>
  <c r="L26" i="9"/>
  <c r="Z30" i="9"/>
  <c r="BB29" i="9"/>
  <c r="AP30" i="9"/>
  <c r="BR29" i="9"/>
  <c r="AN26" i="9"/>
  <c r="BP25" i="9"/>
  <c r="J25" i="9" s="1"/>
  <c r="L223" i="7"/>
  <c r="A222" i="7"/>
  <c r="M107" i="7"/>
  <c r="M108" i="7"/>
  <c r="M109" i="7"/>
  <c r="O107" i="7"/>
  <c r="O108" i="7"/>
  <c r="O109" i="7"/>
  <c r="O57" i="7"/>
  <c r="M57" i="7"/>
  <c r="R80" i="3" l="1"/>
  <c r="AP79" i="3"/>
  <c r="J79" i="3" s="1"/>
  <c r="AG53" i="3"/>
  <c r="BE52" i="3"/>
  <c r="J52" i="3" s="1"/>
  <c r="AH82" i="3"/>
  <c r="BF81" i="3"/>
  <c r="AJ93" i="3"/>
  <c r="BH92" i="3"/>
  <c r="AL30" i="3"/>
  <c r="BJ30" i="3" s="1"/>
  <c r="BJ29" i="3"/>
  <c r="P55" i="3"/>
  <c r="AN54" i="3"/>
  <c r="AJ30" i="3"/>
  <c r="BH30" i="3" s="1"/>
  <c r="BH29" i="3"/>
  <c r="Q56" i="3"/>
  <c r="AO56" i="3" s="1"/>
  <c r="AO55" i="3"/>
  <c r="AF57" i="3"/>
  <c r="BD57" i="3" s="1"/>
  <c r="AF54" i="3"/>
  <c r="BD53" i="3"/>
  <c r="Z57" i="3"/>
  <c r="AX57" i="3" s="1"/>
  <c r="Z54" i="3"/>
  <c r="AX53" i="3"/>
  <c r="Y30" i="3"/>
  <c r="AW30" i="3" s="1"/>
  <c r="J30" i="3" s="1"/>
  <c r="AW29" i="3"/>
  <c r="R54" i="3"/>
  <c r="R57" i="3"/>
  <c r="AP57" i="3" s="1"/>
  <c r="AP53" i="3"/>
  <c r="L54" i="3"/>
  <c r="A53" i="3"/>
  <c r="AF89" i="3"/>
  <c r="BD88" i="3"/>
  <c r="A83" i="3"/>
  <c r="L84" i="3"/>
  <c r="J29" i="3"/>
  <c r="AH54" i="3"/>
  <c r="AH57" i="3"/>
  <c r="BF57" i="3" s="1"/>
  <c r="BF53" i="3"/>
  <c r="Y55" i="3"/>
  <c r="AW54" i="3"/>
  <c r="P83" i="3"/>
  <c r="AN82" i="3"/>
  <c r="X88" i="3"/>
  <c r="AV87" i="3"/>
  <c r="Z86" i="3"/>
  <c r="AX85" i="3"/>
  <c r="AG66" i="7"/>
  <c r="BJ66" i="7" s="1"/>
  <c r="BJ64" i="7"/>
  <c r="AG65" i="7"/>
  <c r="AH63" i="7"/>
  <c r="BK62" i="7"/>
  <c r="AF64" i="7"/>
  <c r="BI63" i="7"/>
  <c r="AL54" i="9"/>
  <c r="BN53" i="9"/>
  <c r="J52" i="9"/>
  <c r="L50" i="9"/>
  <c r="A49" i="9"/>
  <c r="AI31" i="7"/>
  <c r="BL31" i="7" s="1"/>
  <c r="BL30" i="7"/>
  <c r="BL90" i="7"/>
  <c r="AI91" i="7"/>
  <c r="BL134" i="7"/>
  <c r="AI135" i="7"/>
  <c r="AI53" i="7"/>
  <c r="BL52" i="7"/>
  <c r="AD54" i="9"/>
  <c r="BF53" i="9"/>
  <c r="AE25" i="7"/>
  <c r="BH24" i="7"/>
  <c r="AE130" i="7"/>
  <c r="BH129" i="7"/>
  <c r="AE86" i="7"/>
  <c r="BH85" i="7"/>
  <c r="AE48" i="7"/>
  <c r="BH47" i="7"/>
  <c r="L133" i="7"/>
  <c r="A132" i="7"/>
  <c r="BJ53" i="9"/>
  <c r="AH54" i="9"/>
  <c r="AV54" i="9"/>
  <c r="T55" i="9"/>
  <c r="AV55" i="9" s="1"/>
  <c r="BS54" i="9"/>
  <c r="AQ55" i="9"/>
  <c r="BS55" i="9" s="1"/>
  <c r="BA54" i="9"/>
  <c r="Y55" i="9"/>
  <c r="BA55" i="9" s="1"/>
  <c r="BQ54" i="9"/>
  <c r="AO55" i="9"/>
  <c r="BQ55" i="9" s="1"/>
  <c r="AU54" i="9"/>
  <c r="S55" i="9"/>
  <c r="AU55" i="9" s="1"/>
  <c r="AM54" i="9"/>
  <c r="BO53" i="9"/>
  <c r="W55" i="9"/>
  <c r="AY55" i="9" s="1"/>
  <c r="AY54" i="9"/>
  <c r="AK55" i="9"/>
  <c r="BM55" i="9" s="1"/>
  <c r="BM54" i="9"/>
  <c r="AW53" i="9"/>
  <c r="U54" i="9"/>
  <c r="BR53" i="9"/>
  <c r="AP54" i="9"/>
  <c r="AS54" i="9"/>
  <c r="Q55" i="9"/>
  <c r="AS55" i="9" s="1"/>
  <c r="BB53" i="9"/>
  <c r="Z54" i="9"/>
  <c r="BD54" i="9"/>
  <c r="AB55" i="9"/>
  <c r="BD55" i="9" s="1"/>
  <c r="AC55" i="9"/>
  <c r="BE55" i="9" s="1"/>
  <c r="BE54" i="9"/>
  <c r="BC53" i="9"/>
  <c r="AA54" i="9"/>
  <c r="BH54" i="9"/>
  <c r="AF55" i="9"/>
  <c r="BH55" i="9" s="1"/>
  <c r="AT53" i="9"/>
  <c r="R54" i="9"/>
  <c r="BK53" i="9"/>
  <c r="AI54" i="9"/>
  <c r="Z31" i="9"/>
  <c r="BB31" i="9" s="1"/>
  <c r="BB30" i="9"/>
  <c r="A26" i="9"/>
  <c r="L27" i="9"/>
  <c r="A27" i="9" s="1"/>
  <c r="AN27" i="9"/>
  <c r="BP26" i="9"/>
  <c r="J26" i="9" s="1"/>
  <c r="AP31" i="9"/>
  <c r="BR31" i="9" s="1"/>
  <c r="BR30" i="9"/>
  <c r="L224" i="7"/>
  <c r="A223" i="7"/>
  <c r="Z87" i="3" l="1"/>
  <c r="AX86" i="3"/>
  <c r="AH55" i="3"/>
  <c r="BF54" i="3"/>
  <c r="P56" i="3"/>
  <c r="AN56" i="3" s="1"/>
  <c r="AN55" i="3"/>
  <c r="X89" i="3"/>
  <c r="AV88" i="3"/>
  <c r="AF55" i="3"/>
  <c r="BD54" i="3"/>
  <c r="AG57" i="3"/>
  <c r="BE57" i="3" s="1"/>
  <c r="J57" i="3" s="1"/>
  <c r="AG54" i="3"/>
  <c r="BE53" i="3"/>
  <c r="J53" i="3" s="1"/>
  <c r="P84" i="3"/>
  <c r="AN83" i="3"/>
  <c r="Z55" i="3"/>
  <c r="AX54" i="3"/>
  <c r="AH83" i="3"/>
  <c r="BF82" i="3"/>
  <c r="L85" i="3"/>
  <c r="A84" i="3"/>
  <c r="A54" i="3"/>
  <c r="L55" i="3"/>
  <c r="A55" i="3" s="1"/>
  <c r="R55" i="3"/>
  <c r="AP54" i="3"/>
  <c r="Y56" i="3"/>
  <c r="AW56" i="3" s="1"/>
  <c r="AW55" i="3"/>
  <c r="AF90" i="3"/>
  <c r="BD89" i="3"/>
  <c r="AJ94" i="3"/>
  <c r="BH93" i="3"/>
  <c r="R81" i="3"/>
  <c r="AP80" i="3"/>
  <c r="J80" i="3" s="1"/>
  <c r="AF66" i="7"/>
  <c r="BI66" i="7" s="1"/>
  <c r="BI64" i="7"/>
  <c r="AF65" i="7"/>
  <c r="AH64" i="7"/>
  <c r="BK63" i="7"/>
  <c r="BJ65" i="7"/>
  <c r="AG67" i="7"/>
  <c r="BJ67" i="7" s="1"/>
  <c r="J53" i="9"/>
  <c r="A50" i="9"/>
  <c r="L51" i="9"/>
  <c r="AL55" i="9"/>
  <c r="BN55" i="9" s="1"/>
  <c r="BN54" i="9"/>
  <c r="BL91" i="7"/>
  <c r="AI92" i="7"/>
  <c r="AI54" i="7"/>
  <c r="BL53" i="7"/>
  <c r="BL135" i="7"/>
  <c r="AI136" i="7"/>
  <c r="AD55" i="9"/>
  <c r="BF55" i="9" s="1"/>
  <c r="BF54" i="9"/>
  <c r="AE49" i="7"/>
  <c r="BH48" i="7"/>
  <c r="AE87" i="7"/>
  <c r="BH86" i="7"/>
  <c r="AE131" i="7"/>
  <c r="BH130" i="7"/>
  <c r="L134" i="7"/>
  <c r="A133" i="7"/>
  <c r="AE26" i="7"/>
  <c r="BH25" i="7"/>
  <c r="AT54" i="9"/>
  <c r="R55" i="9"/>
  <c r="AT55" i="9" s="1"/>
  <c r="BB54" i="9"/>
  <c r="Z55" i="9"/>
  <c r="BB55" i="9" s="1"/>
  <c r="BK54" i="9"/>
  <c r="AI55" i="9"/>
  <c r="BK55" i="9" s="1"/>
  <c r="BR54" i="9"/>
  <c r="AP55" i="9"/>
  <c r="BR55" i="9" s="1"/>
  <c r="AM55" i="9"/>
  <c r="BO55" i="9" s="1"/>
  <c r="BO54" i="9"/>
  <c r="U55" i="9"/>
  <c r="AW55" i="9" s="1"/>
  <c r="AW54" i="9"/>
  <c r="BJ54" i="9"/>
  <c r="AH55" i="9"/>
  <c r="BJ55" i="9" s="1"/>
  <c r="BC54" i="9"/>
  <c r="AA55" i="9"/>
  <c r="BC55" i="9" s="1"/>
  <c r="AN28" i="9"/>
  <c r="BP27" i="9"/>
  <c r="J27" i="9" s="1"/>
  <c r="L225" i="7"/>
  <c r="A224" i="7"/>
  <c r="M117" i="7"/>
  <c r="M116" i="7"/>
  <c r="M72" i="7"/>
  <c r="M71" i="7"/>
  <c r="M35" i="7"/>
  <c r="M34" i="7"/>
  <c r="AH84" i="3" l="1"/>
  <c r="BF83" i="3"/>
  <c r="R82" i="3"/>
  <c r="AP81" i="3"/>
  <c r="J81" i="3" s="1"/>
  <c r="R56" i="3"/>
  <c r="AP56" i="3" s="1"/>
  <c r="AP55" i="3"/>
  <c r="AF56" i="3"/>
  <c r="BD56" i="3" s="1"/>
  <c r="BD55" i="3"/>
  <c r="Z56" i="3"/>
  <c r="AX56" i="3" s="1"/>
  <c r="AX55" i="3"/>
  <c r="Z88" i="3"/>
  <c r="AX87" i="3"/>
  <c r="AJ95" i="3"/>
  <c r="BH94" i="3"/>
  <c r="X90" i="3"/>
  <c r="AV89" i="3"/>
  <c r="AF91" i="3"/>
  <c r="BD90" i="3"/>
  <c r="L86" i="3"/>
  <c r="A85" i="3"/>
  <c r="AG55" i="3"/>
  <c r="BE54" i="3"/>
  <c r="J54" i="3" s="1"/>
  <c r="AH56" i="3"/>
  <c r="BF56" i="3" s="1"/>
  <c r="BF55" i="3"/>
  <c r="P85" i="3"/>
  <c r="AN84" i="3"/>
  <c r="AH66" i="7"/>
  <c r="BK66" i="7" s="1"/>
  <c r="AH65" i="7"/>
  <c r="BK64" i="7"/>
  <c r="BI65" i="7"/>
  <c r="AF67" i="7"/>
  <c r="BI67" i="7" s="1"/>
  <c r="J55" i="9"/>
  <c r="J54" i="9"/>
  <c r="L52" i="9"/>
  <c r="A51" i="9"/>
  <c r="BL136" i="7"/>
  <c r="AI137" i="7"/>
  <c r="BL54" i="7"/>
  <c r="AI55" i="7"/>
  <c r="BL92" i="7"/>
  <c r="AI93" i="7"/>
  <c r="AE88" i="7"/>
  <c r="BH87" i="7"/>
  <c r="L135" i="7"/>
  <c r="A134" i="7"/>
  <c r="AE132" i="7"/>
  <c r="BH131" i="7"/>
  <c r="AE27" i="7"/>
  <c r="BH26" i="7"/>
  <c r="AE50" i="7"/>
  <c r="BH49" i="7"/>
  <c r="AN29" i="9"/>
  <c r="BP28" i="9"/>
  <c r="J28" i="9" s="1"/>
  <c r="L226" i="7"/>
  <c r="A225" i="7"/>
  <c r="M21" i="8"/>
  <c r="E21" i="8" s="1"/>
  <c r="M22" i="8"/>
  <c r="E22" i="8" s="1"/>
  <c r="M23" i="8"/>
  <c r="E23" i="8" s="1"/>
  <c r="M24" i="8"/>
  <c r="M25" i="8"/>
  <c r="E25" i="8" s="1"/>
  <c r="M26" i="8"/>
  <c r="E26" i="8" s="1"/>
  <c r="M27" i="8"/>
  <c r="E27" i="8" s="1"/>
  <c r="M28" i="8"/>
  <c r="E28" i="8" s="1"/>
  <c r="O21" i="8"/>
  <c r="O22" i="8"/>
  <c r="O23" i="8"/>
  <c r="O24" i="8"/>
  <c r="O25" i="8"/>
  <c r="O26" i="8"/>
  <c r="O27" i="8"/>
  <c r="O28" i="8"/>
  <c r="M17" i="8"/>
  <c r="M18" i="8"/>
  <c r="E18" i="8" s="1"/>
  <c r="M19" i="8"/>
  <c r="E19" i="8" s="1"/>
  <c r="M20" i="8"/>
  <c r="M16" i="8"/>
  <c r="E116" i="8"/>
  <c r="B116" i="8"/>
  <c r="A116" i="8"/>
  <c r="E115" i="8"/>
  <c r="B115" i="8"/>
  <c r="A115" i="8"/>
  <c r="E114" i="8"/>
  <c r="B114" i="8"/>
  <c r="A114" i="8"/>
  <c r="E113" i="8"/>
  <c r="B113" i="8"/>
  <c r="A113" i="8"/>
  <c r="E112" i="8"/>
  <c r="B112" i="8"/>
  <c r="A112" i="8"/>
  <c r="H111" i="8"/>
  <c r="E111" i="8"/>
  <c r="B111" i="8"/>
  <c r="A111" i="8"/>
  <c r="W110" i="8"/>
  <c r="V110" i="8"/>
  <c r="P110" i="8"/>
  <c r="O110" i="8"/>
  <c r="M110" i="8"/>
  <c r="E110" i="8" s="1"/>
  <c r="H110" i="8"/>
  <c r="B110" i="8"/>
  <c r="A110" i="8"/>
  <c r="AK109" i="8"/>
  <c r="AK110" i="8" s="1"/>
  <c r="AI109" i="8"/>
  <c r="AI110" i="8" s="1"/>
  <c r="AH109" i="8"/>
  <c r="AH110" i="8" s="1"/>
  <c r="AG109" i="8"/>
  <c r="AG110" i="8" s="1"/>
  <c r="AF109" i="8"/>
  <c r="AF110" i="8" s="1"/>
  <c r="AE109" i="8"/>
  <c r="AE110" i="8" s="1"/>
  <c r="AD109" i="8"/>
  <c r="AD110" i="8" s="1"/>
  <c r="AC109" i="8"/>
  <c r="AC110" i="8" s="1"/>
  <c r="AB109" i="8"/>
  <c r="AB110" i="8" s="1"/>
  <c r="AA109" i="8"/>
  <c r="AA110" i="8" s="1"/>
  <c r="Z109" i="8"/>
  <c r="Z110" i="8" s="1"/>
  <c r="Y109" i="8"/>
  <c r="Y110" i="8" s="1"/>
  <c r="X109" i="8"/>
  <c r="X110" i="8" s="1"/>
  <c r="W109" i="8"/>
  <c r="V109" i="8"/>
  <c r="U109" i="8"/>
  <c r="U110" i="8" s="1"/>
  <c r="T109" i="8"/>
  <c r="T110" i="8" s="1"/>
  <c r="S109" i="8"/>
  <c r="S110" i="8" s="1"/>
  <c r="R109" i="8"/>
  <c r="R110" i="8" s="1"/>
  <c r="Q109" i="8"/>
  <c r="Q110" i="8" s="1"/>
  <c r="P109" i="8"/>
  <c r="O109" i="8"/>
  <c r="M109" i="8"/>
  <c r="H109" i="8"/>
  <c r="E109" i="8"/>
  <c r="B109" i="8"/>
  <c r="A109" i="8"/>
  <c r="E99" i="8"/>
  <c r="B99" i="8"/>
  <c r="E98" i="8"/>
  <c r="B98" i="8"/>
  <c r="E97" i="8"/>
  <c r="B97" i="8"/>
  <c r="E96" i="8"/>
  <c r="B96" i="8"/>
  <c r="O95" i="8"/>
  <c r="M95" i="8"/>
  <c r="E95" i="8" s="1"/>
  <c r="B95" i="8"/>
  <c r="O94" i="8"/>
  <c r="M94" i="8"/>
  <c r="E94" i="8" s="1"/>
  <c r="B94" i="8"/>
  <c r="O93" i="8"/>
  <c r="M93" i="8"/>
  <c r="E93" i="8" s="1"/>
  <c r="B93" i="8"/>
  <c r="O92" i="8"/>
  <c r="M92" i="8"/>
  <c r="E92" i="8" s="1"/>
  <c r="B92" i="8"/>
  <c r="O91" i="8"/>
  <c r="M91" i="8"/>
  <c r="E91" i="8" s="1"/>
  <c r="B91" i="8"/>
  <c r="O90" i="8"/>
  <c r="M90" i="8"/>
  <c r="E90" i="8" s="1"/>
  <c r="B90" i="8"/>
  <c r="O89" i="8"/>
  <c r="M89" i="8"/>
  <c r="E89" i="8" s="1"/>
  <c r="B89" i="8"/>
  <c r="O88" i="8"/>
  <c r="M88" i="8"/>
  <c r="E88" i="8" s="1"/>
  <c r="B88" i="8"/>
  <c r="O87" i="8"/>
  <c r="M87" i="8"/>
  <c r="E87" i="8" s="1"/>
  <c r="B87" i="8"/>
  <c r="O86" i="8"/>
  <c r="M86" i="8"/>
  <c r="E86" i="8" s="1"/>
  <c r="B86" i="8"/>
  <c r="O85" i="8"/>
  <c r="M85" i="8"/>
  <c r="E85" i="8"/>
  <c r="B85" i="8"/>
  <c r="O84" i="8"/>
  <c r="M84" i="8"/>
  <c r="E84" i="8" s="1"/>
  <c r="B84" i="8"/>
  <c r="O83" i="8"/>
  <c r="M83" i="8"/>
  <c r="E83" i="8" s="1"/>
  <c r="B83" i="8"/>
  <c r="O82" i="8"/>
  <c r="M82" i="8"/>
  <c r="E82" i="8" s="1"/>
  <c r="B82" i="8"/>
  <c r="O81" i="8"/>
  <c r="M81" i="8"/>
  <c r="E81" i="8" s="1"/>
  <c r="B81" i="8"/>
  <c r="O80" i="8"/>
  <c r="M80" i="8"/>
  <c r="E80" i="8" s="1"/>
  <c r="B80" i="8"/>
  <c r="O79" i="8"/>
  <c r="M79" i="8"/>
  <c r="E79" i="8" s="1"/>
  <c r="H79" i="8"/>
  <c r="B79" i="8"/>
  <c r="O78" i="8"/>
  <c r="M78" i="8"/>
  <c r="E78" i="8" s="1"/>
  <c r="H78" i="8"/>
  <c r="B78" i="8"/>
  <c r="O77" i="8"/>
  <c r="M77" i="8"/>
  <c r="H77" i="8"/>
  <c r="E77" i="8"/>
  <c r="B77" i="8"/>
  <c r="O76" i="8"/>
  <c r="M76" i="8"/>
  <c r="E76" i="8" s="1"/>
  <c r="B76" i="8"/>
  <c r="O75" i="8"/>
  <c r="M75" i="8"/>
  <c r="E75" i="8" s="1"/>
  <c r="B75" i="8"/>
  <c r="O74" i="8"/>
  <c r="M74" i="8"/>
  <c r="E74" i="8" s="1"/>
  <c r="H74" i="8"/>
  <c r="B74" i="8"/>
  <c r="O73" i="8"/>
  <c r="M73" i="8"/>
  <c r="E73" i="8" s="1"/>
  <c r="B73" i="8"/>
  <c r="O72" i="8"/>
  <c r="M72" i="8"/>
  <c r="E72" i="8" s="1"/>
  <c r="H72" i="8"/>
  <c r="B72" i="8"/>
  <c r="O71" i="8"/>
  <c r="M71" i="8"/>
  <c r="E71" i="8" s="1"/>
  <c r="B71" i="8"/>
  <c r="O70" i="8"/>
  <c r="M70" i="8"/>
  <c r="E70" i="8"/>
  <c r="B70" i="8"/>
  <c r="O69" i="8"/>
  <c r="M69" i="8"/>
  <c r="E69" i="8" s="1"/>
  <c r="L69" i="8"/>
  <c r="H69" i="8"/>
  <c r="B69" i="8"/>
  <c r="O68" i="8"/>
  <c r="M68" i="8"/>
  <c r="E68" i="8" s="1"/>
  <c r="L68" i="8"/>
  <c r="H68" i="8"/>
  <c r="B68" i="8"/>
  <c r="A68" i="8"/>
  <c r="AK67" i="8"/>
  <c r="AK68" i="8" s="1"/>
  <c r="AK69" i="8" s="1"/>
  <c r="AK70" i="8" s="1"/>
  <c r="AK71" i="8" s="1"/>
  <c r="AK72" i="8" s="1"/>
  <c r="AK73" i="8" s="1"/>
  <c r="AK74" i="8" s="1"/>
  <c r="AK75" i="8" s="1"/>
  <c r="AK76" i="8" s="1"/>
  <c r="AK77" i="8" s="1"/>
  <c r="AK78" i="8" s="1"/>
  <c r="AK79" i="8" s="1"/>
  <c r="AK80" i="8" s="1"/>
  <c r="AK81" i="8" s="1"/>
  <c r="AK82" i="8" s="1"/>
  <c r="AK83" i="8" s="1"/>
  <c r="AK84" i="8" s="1"/>
  <c r="AK85" i="8" s="1"/>
  <c r="AK86" i="8" s="1"/>
  <c r="AK87" i="8" s="1"/>
  <c r="AK88" i="8" s="1"/>
  <c r="AK89" i="8" s="1"/>
  <c r="AK90" i="8" s="1"/>
  <c r="AK91" i="8" s="1"/>
  <c r="AK92" i="8" s="1"/>
  <c r="AK93" i="8" s="1"/>
  <c r="AK94" i="8" s="1"/>
  <c r="AK95" i="8" s="1"/>
  <c r="AK96" i="8" s="1"/>
  <c r="AK97" i="8" s="1"/>
  <c r="AK98" i="8" s="1"/>
  <c r="AK99" i="8" s="1"/>
  <c r="AI67" i="8"/>
  <c r="AI68" i="8" s="1"/>
  <c r="AI69" i="8" s="1"/>
  <c r="AI70" i="8" s="1"/>
  <c r="AI71" i="8" s="1"/>
  <c r="AI72" i="8" s="1"/>
  <c r="AI73" i="8" s="1"/>
  <c r="AI74" i="8" s="1"/>
  <c r="AI75" i="8" s="1"/>
  <c r="AI76" i="8" s="1"/>
  <c r="AI77" i="8" s="1"/>
  <c r="AI78" i="8" s="1"/>
  <c r="AI79" i="8" s="1"/>
  <c r="AI80" i="8" s="1"/>
  <c r="AI81" i="8" s="1"/>
  <c r="AI82" i="8" s="1"/>
  <c r="AI83" i="8" s="1"/>
  <c r="AI84" i="8" s="1"/>
  <c r="AI85" i="8" s="1"/>
  <c r="AI86" i="8" s="1"/>
  <c r="AI87" i="8" s="1"/>
  <c r="AI88" i="8" s="1"/>
  <c r="AI89" i="8" s="1"/>
  <c r="AI90" i="8" s="1"/>
  <c r="AI91" i="8" s="1"/>
  <c r="AI92" i="8" s="1"/>
  <c r="AI93" i="8" s="1"/>
  <c r="AI94" i="8" s="1"/>
  <c r="AI95" i="8" s="1"/>
  <c r="AI96" i="8" s="1"/>
  <c r="AI97" i="8" s="1"/>
  <c r="AI98" i="8" s="1"/>
  <c r="AI99" i="8" s="1"/>
  <c r="AH67" i="8"/>
  <c r="AH68" i="8" s="1"/>
  <c r="AH69" i="8" s="1"/>
  <c r="AH70" i="8" s="1"/>
  <c r="AH71" i="8" s="1"/>
  <c r="AH72" i="8" s="1"/>
  <c r="AH73" i="8" s="1"/>
  <c r="AH74" i="8" s="1"/>
  <c r="AH75" i="8" s="1"/>
  <c r="AH76" i="8" s="1"/>
  <c r="AH77" i="8" s="1"/>
  <c r="AH78" i="8" s="1"/>
  <c r="AH79" i="8" s="1"/>
  <c r="AH80" i="8" s="1"/>
  <c r="AH81" i="8" s="1"/>
  <c r="AH82" i="8" s="1"/>
  <c r="AH83" i="8" s="1"/>
  <c r="AH84" i="8" s="1"/>
  <c r="AH85" i="8" s="1"/>
  <c r="AH86" i="8" s="1"/>
  <c r="AH87" i="8" s="1"/>
  <c r="AH88" i="8" s="1"/>
  <c r="AH89" i="8" s="1"/>
  <c r="AH90" i="8" s="1"/>
  <c r="AH91" i="8" s="1"/>
  <c r="AH92" i="8" s="1"/>
  <c r="AH93" i="8" s="1"/>
  <c r="AH94" i="8" s="1"/>
  <c r="AH95" i="8" s="1"/>
  <c r="AH96" i="8" s="1"/>
  <c r="AH97" i="8" s="1"/>
  <c r="AH98" i="8" s="1"/>
  <c r="AH99" i="8" s="1"/>
  <c r="AG67" i="8"/>
  <c r="AG68" i="8" s="1"/>
  <c r="AG69" i="8" s="1"/>
  <c r="AG70" i="8" s="1"/>
  <c r="AG71" i="8" s="1"/>
  <c r="AG72" i="8" s="1"/>
  <c r="AG73" i="8" s="1"/>
  <c r="AG74" i="8" s="1"/>
  <c r="AG75" i="8" s="1"/>
  <c r="AG76" i="8" s="1"/>
  <c r="AG77" i="8" s="1"/>
  <c r="AG78" i="8" s="1"/>
  <c r="AG79" i="8" s="1"/>
  <c r="AG80" i="8" s="1"/>
  <c r="AG81" i="8" s="1"/>
  <c r="AG82" i="8" s="1"/>
  <c r="AG83" i="8" s="1"/>
  <c r="AG84" i="8" s="1"/>
  <c r="AG85" i="8" s="1"/>
  <c r="AG86" i="8" s="1"/>
  <c r="AG87" i="8" s="1"/>
  <c r="AG88" i="8" s="1"/>
  <c r="AG89" i="8" s="1"/>
  <c r="AG90" i="8" s="1"/>
  <c r="AG91" i="8" s="1"/>
  <c r="AG92" i="8" s="1"/>
  <c r="AG93" i="8" s="1"/>
  <c r="AG94" i="8" s="1"/>
  <c r="AG95" i="8" s="1"/>
  <c r="AG96" i="8" s="1"/>
  <c r="AG97" i="8" s="1"/>
  <c r="AG98" i="8" s="1"/>
  <c r="AG99" i="8" s="1"/>
  <c r="AF67" i="8"/>
  <c r="AF68" i="8" s="1"/>
  <c r="AF69" i="8" s="1"/>
  <c r="AF70" i="8" s="1"/>
  <c r="AF71" i="8" s="1"/>
  <c r="AF72" i="8" s="1"/>
  <c r="AF73" i="8" s="1"/>
  <c r="AF74" i="8" s="1"/>
  <c r="AF75" i="8" s="1"/>
  <c r="AF76" i="8" s="1"/>
  <c r="AF77" i="8" s="1"/>
  <c r="AF78" i="8" s="1"/>
  <c r="AF79" i="8" s="1"/>
  <c r="AF80" i="8" s="1"/>
  <c r="AF81" i="8" s="1"/>
  <c r="AF82" i="8" s="1"/>
  <c r="AF83" i="8" s="1"/>
  <c r="AF84" i="8" s="1"/>
  <c r="AF85" i="8" s="1"/>
  <c r="AF86" i="8" s="1"/>
  <c r="AF87" i="8" s="1"/>
  <c r="AF88" i="8" s="1"/>
  <c r="AF89" i="8" s="1"/>
  <c r="AF90" i="8" s="1"/>
  <c r="AF91" i="8" s="1"/>
  <c r="AF92" i="8" s="1"/>
  <c r="AF93" i="8" s="1"/>
  <c r="AF94" i="8" s="1"/>
  <c r="AF95" i="8" s="1"/>
  <c r="AF96" i="8" s="1"/>
  <c r="AF97" i="8" s="1"/>
  <c r="AF98" i="8" s="1"/>
  <c r="AF99" i="8" s="1"/>
  <c r="AE67" i="8"/>
  <c r="AE68" i="8" s="1"/>
  <c r="AE69" i="8" s="1"/>
  <c r="AE70" i="8" s="1"/>
  <c r="AE71" i="8" s="1"/>
  <c r="AE72" i="8" s="1"/>
  <c r="AE73" i="8" s="1"/>
  <c r="AE74" i="8" s="1"/>
  <c r="AE75" i="8" s="1"/>
  <c r="AE76" i="8" s="1"/>
  <c r="AE77" i="8" s="1"/>
  <c r="AE78" i="8" s="1"/>
  <c r="AE79" i="8" s="1"/>
  <c r="AE80" i="8" s="1"/>
  <c r="AE81" i="8" s="1"/>
  <c r="AE82" i="8" s="1"/>
  <c r="AE83" i="8" s="1"/>
  <c r="AE84" i="8" s="1"/>
  <c r="AE85" i="8" s="1"/>
  <c r="AE86" i="8" s="1"/>
  <c r="AE87" i="8" s="1"/>
  <c r="AE88" i="8" s="1"/>
  <c r="AE89" i="8" s="1"/>
  <c r="AE90" i="8" s="1"/>
  <c r="AE91" i="8" s="1"/>
  <c r="AE92" i="8" s="1"/>
  <c r="AE93" i="8" s="1"/>
  <c r="AE94" i="8" s="1"/>
  <c r="AE95" i="8" s="1"/>
  <c r="AE96" i="8" s="1"/>
  <c r="AE97" i="8" s="1"/>
  <c r="AE98" i="8" s="1"/>
  <c r="AE99" i="8" s="1"/>
  <c r="AD67" i="8"/>
  <c r="AC67" i="8"/>
  <c r="AC68" i="8" s="1"/>
  <c r="AC69" i="8" s="1"/>
  <c r="AC70" i="8" s="1"/>
  <c r="AC71" i="8" s="1"/>
  <c r="AC72" i="8" s="1"/>
  <c r="AC73" i="8" s="1"/>
  <c r="AC74" i="8" s="1"/>
  <c r="AC75" i="8" s="1"/>
  <c r="AC76" i="8" s="1"/>
  <c r="AC77" i="8" s="1"/>
  <c r="AC78" i="8" s="1"/>
  <c r="AC79" i="8" s="1"/>
  <c r="AC80" i="8" s="1"/>
  <c r="AC81" i="8" s="1"/>
  <c r="AC82" i="8" s="1"/>
  <c r="AC83" i="8" s="1"/>
  <c r="AC84" i="8" s="1"/>
  <c r="AC85" i="8" s="1"/>
  <c r="AC86" i="8" s="1"/>
  <c r="AC87" i="8" s="1"/>
  <c r="AC88" i="8" s="1"/>
  <c r="AC89" i="8" s="1"/>
  <c r="AC90" i="8" s="1"/>
  <c r="AC91" i="8" s="1"/>
  <c r="AC92" i="8" s="1"/>
  <c r="AC93" i="8" s="1"/>
  <c r="AC94" i="8" s="1"/>
  <c r="AC95" i="8" s="1"/>
  <c r="AC96" i="8" s="1"/>
  <c r="AC97" i="8" s="1"/>
  <c r="AC98" i="8" s="1"/>
  <c r="AC99" i="8" s="1"/>
  <c r="AB67" i="8"/>
  <c r="AB68" i="8" s="1"/>
  <c r="AB69" i="8" s="1"/>
  <c r="AB70" i="8" s="1"/>
  <c r="AB71" i="8" s="1"/>
  <c r="AB72" i="8" s="1"/>
  <c r="AB73" i="8" s="1"/>
  <c r="AB74" i="8" s="1"/>
  <c r="AB75" i="8" s="1"/>
  <c r="AB76" i="8" s="1"/>
  <c r="AB77" i="8" s="1"/>
  <c r="AB78" i="8" s="1"/>
  <c r="AB79" i="8" s="1"/>
  <c r="AB80" i="8" s="1"/>
  <c r="AB81" i="8" s="1"/>
  <c r="AB82" i="8" s="1"/>
  <c r="AB83" i="8" s="1"/>
  <c r="AB84" i="8" s="1"/>
  <c r="AB85" i="8" s="1"/>
  <c r="AB86" i="8" s="1"/>
  <c r="AB87" i="8" s="1"/>
  <c r="AB88" i="8" s="1"/>
  <c r="AB89" i="8" s="1"/>
  <c r="AB90" i="8" s="1"/>
  <c r="AB91" i="8" s="1"/>
  <c r="AB92" i="8" s="1"/>
  <c r="AB93" i="8" s="1"/>
  <c r="AB94" i="8" s="1"/>
  <c r="AB95" i="8" s="1"/>
  <c r="AB96" i="8" s="1"/>
  <c r="AB97" i="8" s="1"/>
  <c r="AB98" i="8" s="1"/>
  <c r="AB99" i="8" s="1"/>
  <c r="AA67" i="8"/>
  <c r="AA68" i="8" s="1"/>
  <c r="AA69" i="8" s="1"/>
  <c r="AA70" i="8" s="1"/>
  <c r="AA71" i="8" s="1"/>
  <c r="AA72" i="8" s="1"/>
  <c r="AA73" i="8" s="1"/>
  <c r="AA74" i="8" s="1"/>
  <c r="AA75" i="8" s="1"/>
  <c r="AA76" i="8" s="1"/>
  <c r="AA77" i="8" s="1"/>
  <c r="AA78" i="8" s="1"/>
  <c r="AA79" i="8" s="1"/>
  <c r="AA80" i="8" s="1"/>
  <c r="AA81" i="8" s="1"/>
  <c r="AA82" i="8" s="1"/>
  <c r="AA83" i="8" s="1"/>
  <c r="AA84" i="8" s="1"/>
  <c r="AA85" i="8" s="1"/>
  <c r="AA86" i="8" s="1"/>
  <c r="AA87" i="8" s="1"/>
  <c r="AA88" i="8" s="1"/>
  <c r="AA89" i="8" s="1"/>
  <c r="AA90" i="8" s="1"/>
  <c r="AA91" i="8" s="1"/>
  <c r="AA92" i="8" s="1"/>
  <c r="AA93" i="8" s="1"/>
  <c r="AA94" i="8" s="1"/>
  <c r="AA95" i="8" s="1"/>
  <c r="AA96" i="8" s="1"/>
  <c r="AA97" i="8" s="1"/>
  <c r="AA98" i="8" s="1"/>
  <c r="AA99" i="8" s="1"/>
  <c r="Z67" i="8"/>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Y67" i="8"/>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X67" i="8"/>
  <c r="X68" i="8" s="1"/>
  <c r="X69" i="8" s="1"/>
  <c r="X70" i="8" s="1"/>
  <c r="X71" i="8" s="1"/>
  <c r="X72" i="8" s="1"/>
  <c r="X73" i="8" s="1"/>
  <c r="X74" i="8" s="1"/>
  <c r="X75" i="8" s="1"/>
  <c r="X76" i="8" s="1"/>
  <c r="X77" i="8" s="1"/>
  <c r="X78" i="8" s="1"/>
  <c r="X79" i="8" s="1"/>
  <c r="X80" i="8" s="1"/>
  <c r="X81" i="8" s="1"/>
  <c r="X82" i="8" s="1"/>
  <c r="X83" i="8" s="1"/>
  <c r="X84" i="8" s="1"/>
  <c r="X85" i="8" s="1"/>
  <c r="X86" i="8" s="1"/>
  <c r="X87" i="8" s="1"/>
  <c r="X88" i="8" s="1"/>
  <c r="X89" i="8" s="1"/>
  <c r="X90" i="8" s="1"/>
  <c r="X91" i="8" s="1"/>
  <c r="X92" i="8" s="1"/>
  <c r="X93" i="8" s="1"/>
  <c r="X94" i="8" s="1"/>
  <c r="X95" i="8" s="1"/>
  <c r="X96" i="8" s="1"/>
  <c r="X97" i="8" s="1"/>
  <c r="X98" i="8" s="1"/>
  <c r="X99" i="8" s="1"/>
  <c r="W67" i="8"/>
  <c r="W68" i="8" s="1"/>
  <c r="W69" i="8" s="1"/>
  <c r="W70" i="8" s="1"/>
  <c r="W71" i="8" s="1"/>
  <c r="W72" i="8" s="1"/>
  <c r="W73" i="8" s="1"/>
  <c r="W74" i="8" s="1"/>
  <c r="W75" i="8" s="1"/>
  <c r="W76" i="8" s="1"/>
  <c r="W77" i="8" s="1"/>
  <c r="W78" i="8" s="1"/>
  <c r="W79" i="8" s="1"/>
  <c r="W80" i="8" s="1"/>
  <c r="W81" i="8" s="1"/>
  <c r="W82" i="8" s="1"/>
  <c r="W83" i="8" s="1"/>
  <c r="W84" i="8" s="1"/>
  <c r="W85" i="8" s="1"/>
  <c r="W86" i="8" s="1"/>
  <c r="W87" i="8" s="1"/>
  <c r="W88" i="8" s="1"/>
  <c r="W89" i="8" s="1"/>
  <c r="W90" i="8" s="1"/>
  <c r="W91" i="8" s="1"/>
  <c r="W92" i="8" s="1"/>
  <c r="W93" i="8" s="1"/>
  <c r="W94" i="8" s="1"/>
  <c r="W95" i="8" s="1"/>
  <c r="W96" i="8" s="1"/>
  <c r="W97" i="8" s="1"/>
  <c r="W98" i="8" s="1"/>
  <c r="W99" i="8" s="1"/>
  <c r="V67" i="8"/>
  <c r="U67" i="8"/>
  <c r="U68" i="8" s="1"/>
  <c r="U69" i="8" s="1"/>
  <c r="U70" i="8" s="1"/>
  <c r="U71" i="8" s="1"/>
  <c r="U72" i="8" s="1"/>
  <c r="U73" i="8" s="1"/>
  <c r="U74" i="8" s="1"/>
  <c r="U75" i="8" s="1"/>
  <c r="U76" i="8" s="1"/>
  <c r="U77" i="8" s="1"/>
  <c r="U78" i="8" s="1"/>
  <c r="U79" i="8" s="1"/>
  <c r="U80" i="8" s="1"/>
  <c r="U81" i="8" s="1"/>
  <c r="U82" i="8" s="1"/>
  <c r="U83" i="8" s="1"/>
  <c r="U84" i="8" s="1"/>
  <c r="U85" i="8" s="1"/>
  <c r="U86" i="8" s="1"/>
  <c r="U87" i="8" s="1"/>
  <c r="U88" i="8" s="1"/>
  <c r="U89" i="8" s="1"/>
  <c r="U90" i="8" s="1"/>
  <c r="U91" i="8" s="1"/>
  <c r="U92" i="8" s="1"/>
  <c r="U93" i="8" s="1"/>
  <c r="U94" i="8" s="1"/>
  <c r="U95" i="8" s="1"/>
  <c r="U96" i="8" s="1"/>
  <c r="U97" i="8" s="1"/>
  <c r="U98" i="8" s="1"/>
  <c r="U99" i="8" s="1"/>
  <c r="T67" i="8"/>
  <c r="T68" i="8" s="1"/>
  <c r="T69" i="8" s="1"/>
  <c r="T70" i="8" s="1"/>
  <c r="T71" i="8" s="1"/>
  <c r="T72" i="8" s="1"/>
  <c r="T73" i="8" s="1"/>
  <c r="T74" i="8" s="1"/>
  <c r="T75" i="8" s="1"/>
  <c r="T76" i="8" s="1"/>
  <c r="T77" i="8" s="1"/>
  <c r="T78" i="8" s="1"/>
  <c r="T79" i="8" s="1"/>
  <c r="T80" i="8" s="1"/>
  <c r="T81" i="8" s="1"/>
  <c r="T82" i="8" s="1"/>
  <c r="T83" i="8" s="1"/>
  <c r="T84" i="8" s="1"/>
  <c r="T85" i="8" s="1"/>
  <c r="T86" i="8" s="1"/>
  <c r="T87" i="8" s="1"/>
  <c r="T88" i="8" s="1"/>
  <c r="T89" i="8" s="1"/>
  <c r="T90" i="8" s="1"/>
  <c r="T91" i="8" s="1"/>
  <c r="T92" i="8" s="1"/>
  <c r="T93" i="8" s="1"/>
  <c r="T94" i="8" s="1"/>
  <c r="T95" i="8" s="1"/>
  <c r="T96" i="8" s="1"/>
  <c r="T97" i="8" s="1"/>
  <c r="T98" i="8" s="1"/>
  <c r="T99" i="8" s="1"/>
  <c r="S67" i="8"/>
  <c r="S68" i="8" s="1"/>
  <c r="S69" i="8" s="1"/>
  <c r="S70" i="8" s="1"/>
  <c r="S71" i="8" s="1"/>
  <c r="S72" i="8" s="1"/>
  <c r="S73" i="8" s="1"/>
  <c r="S74" i="8" s="1"/>
  <c r="S75" i="8" s="1"/>
  <c r="S76" i="8" s="1"/>
  <c r="S77" i="8" s="1"/>
  <c r="S78" i="8" s="1"/>
  <c r="S79" i="8" s="1"/>
  <c r="S80" i="8" s="1"/>
  <c r="S81" i="8" s="1"/>
  <c r="R67" i="8"/>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Q67" i="8"/>
  <c r="Q68" i="8" s="1"/>
  <c r="Q69" i="8" s="1"/>
  <c r="Q70" i="8" s="1"/>
  <c r="Q71" i="8" s="1"/>
  <c r="Q72" i="8" s="1"/>
  <c r="Q73" i="8" s="1"/>
  <c r="Q74" i="8" s="1"/>
  <c r="Q75" i="8" s="1"/>
  <c r="Q76" i="8" s="1"/>
  <c r="Q77" i="8" s="1"/>
  <c r="Q78" i="8" s="1"/>
  <c r="Q79" i="8" s="1"/>
  <c r="Q80" i="8" s="1"/>
  <c r="Q81" i="8" s="1"/>
  <c r="Q82" i="8" s="1"/>
  <c r="Q83" i="8" s="1"/>
  <c r="Q84" i="8" s="1"/>
  <c r="Q85" i="8" s="1"/>
  <c r="Q86" i="8" s="1"/>
  <c r="Q87" i="8" s="1"/>
  <c r="Q88" i="8" s="1"/>
  <c r="Q89" i="8" s="1"/>
  <c r="Q90" i="8" s="1"/>
  <c r="Q91" i="8" s="1"/>
  <c r="Q92" i="8" s="1"/>
  <c r="Q93" i="8" s="1"/>
  <c r="Q94" i="8" s="1"/>
  <c r="Q95" i="8" s="1"/>
  <c r="Q96" i="8" s="1"/>
  <c r="Q97" i="8" s="1"/>
  <c r="Q98" i="8" s="1"/>
  <c r="Q99" i="8" s="1"/>
  <c r="P67" i="8"/>
  <c r="P68" i="8" s="1"/>
  <c r="P69" i="8" s="1"/>
  <c r="P70" i="8" s="1"/>
  <c r="P71" i="8" s="1"/>
  <c r="P72" i="8" s="1"/>
  <c r="P73" i="8" s="1"/>
  <c r="P74" i="8" s="1"/>
  <c r="P75" i="8" s="1"/>
  <c r="P76" i="8" s="1"/>
  <c r="P77" i="8" s="1"/>
  <c r="P78" i="8" s="1"/>
  <c r="P79" i="8" s="1"/>
  <c r="P80" i="8" s="1"/>
  <c r="P81" i="8" s="1"/>
  <c r="P82" i="8" s="1"/>
  <c r="P83" i="8" s="1"/>
  <c r="P84" i="8" s="1"/>
  <c r="P85" i="8" s="1"/>
  <c r="P86" i="8" s="1"/>
  <c r="P87" i="8" s="1"/>
  <c r="P88" i="8" s="1"/>
  <c r="P89" i="8" s="1"/>
  <c r="P90" i="8" s="1"/>
  <c r="P91" i="8" s="1"/>
  <c r="P92" i="8" s="1"/>
  <c r="P93" i="8" s="1"/>
  <c r="P94" i="8" s="1"/>
  <c r="P95" i="8" s="1"/>
  <c r="P96" i="8" s="1"/>
  <c r="P97" i="8" s="1"/>
  <c r="P98" i="8" s="1"/>
  <c r="P99" i="8" s="1"/>
  <c r="O67" i="8"/>
  <c r="M67" i="8"/>
  <c r="E67" i="8" s="1"/>
  <c r="H67" i="8"/>
  <c r="B67" i="8"/>
  <c r="A67" i="8"/>
  <c r="M61" i="8"/>
  <c r="M103" i="8" s="1"/>
  <c r="M60" i="8"/>
  <c r="M102" i="8" s="1"/>
  <c r="M57" i="8"/>
  <c r="E57" i="8" s="1"/>
  <c r="B57" i="8"/>
  <c r="A57" i="8"/>
  <c r="M56" i="8"/>
  <c r="E56" i="8" s="1"/>
  <c r="B56" i="8"/>
  <c r="A56" i="8"/>
  <c r="O55" i="8"/>
  <c r="M55" i="8"/>
  <c r="E55" i="8" s="1"/>
  <c r="B55" i="8"/>
  <c r="O54" i="8"/>
  <c r="M54" i="8"/>
  <c r="E54" i="8" s="1"/>
  <c r="H54" i="8"/>
  <c r="B54" i="8"/>
  <c r="O53" i="8"/>
  <c r="M53" i="8"/>
  <c r="E53" i="8" s="1"/>
  <c r="B53" i="8"/>
  <c r="O52" i="8"/>
  <c r="M52" i="8"/>
  <c r="E52" i="8" s="1"/>
  <c r="B52" i="8"/>
  <c r="O51" i="8"/>
  <c r="M51" i="8"/>
  <c r="E51" i="8" s="1"/>
  <c r="H51" i="8"/>
  <c r="B51" i="8"/>
  <c r="O50" i="8"/>
  <c r="M50" i="8"/>
  <c r="E50" i="8" s="1"/>
  <c r="B50" i="8"/>
  <c r="P49" i="8"/>
  <c r="P50" i="8" s="1"/>
  <c r="P51" i="8" s="1"/>
  <c r="P52" i="8" s="1"/>
  <c r="P53" i="8" s="1"/>
  <c r="O49" i="8"/>
  <c r="M49" i="8"/>
  <c r="E49" i="8" s="1"/>
  <c r="B49" i="8"/>
  <c r="O48" i="8"/>
  <c r="M48" i="8"/>
  <c r="E48" i="8"/>
  <c r="B48" i="8"/>
  <c r="O47" i="8"/>
  <c r="M47" i="8"/>
  <c r="E47" i="8" s="1"/>
  <c r="H47" i="8"/>
  <c r="B47" i="8"/>
  <c r="O46" i="8"/>
  <c r="M46" i="8"/>
  <c r="E46" i="8" s="1"/>
  <c r="B46" i="8"/>
  <c r="O45" i="8"/>
  <c r="H45" i="8"/>
  <c r="M45" i="8" s="1"/>
  <c r="E45" i="8" s="1"/>
  <c r="B45" i="8"/>
  <c r="O44" i="8"/>
  <c r="M44" i="8"/>
  <c r="E44" i="8" s="1"/>
  <c r="B44" i="8"/>
  <c r="R43" i="8"/>
  <c r="R44" i="8" s="1"/>
  <c r="R45" i="8" s="1"/>
  <c r="R46" i="8" s="1"/>
  <c r="R47" i="8" s="1"/>
  <c r="R48" i="8" s="1"/>
  <c r="R49" i="8" s="1"/>
  <c r="R50" i="8" s="1"/>
  <c r="R51" i="8" s="1"/>
  <c r="R52" i="8" s="1"/>
  <c r="R53" i="8" s="1"/>
  <c r="P43" i="8"/>
  <c r="P44" i="8" s="1"/>
  <c r="P45" i="8" s="1"/>
  <c r="P46" i="8" s="1"/>
  <c r="P47" i="8" s="1"/>
  <c r="P48" i="8" s="1"/>
  <c r="O43" i="8"/>
  <c r="M43" i="8"/>
  <c r="E43" i="8" s="1"/>
  <c r="B43" i="8"/>
  <c r="AH42" i="8"/>
  <c r="AH43" i="8" s="1"/>
  <c r="AH44" i="8" s="1"/>
  <c r="AH45" i="8" s="1"/>
  <c r="AH46" i="8" s="1"/>
  <c r="AH47" i="8" s="1"/>
  <c r="AH48" i="8" s="1"/>
  <c r="AH49" i="8" s="1"/>
  <c r="AH50" i="8" s="1"/>
  <c r="AH51" i="8" s="1"/>
  <c r="AH52" i="8" s="1"/>
  <c r="AH53" i="8" s="1"/>
  <c r="O42" i="8"/>
  <c r="H42" i="8"/>
  <c r="M42" i="8" s="1"/>
  <c r="E42" i="8" s="1"/>
  <c r="B42" i="8"/>
  <c r="AG41" i="8"/>
  <c r="AG42" i="8" s="1"/>
  <c r="AG43" i="8" s="1"/>
  <c r="AG44" i="8" s="1"/>
  <c r="AG45" i="8" s="1"/>
  <c r="AG46" i="8" s="1"/>
  <c r="AG47" i="8" s="1"/>
  <c r="AG48" i="8" s="1"/>
  <c r="AG49" i="8" s="1"/>
  <c r="AG50" i="8" s="1"/>
  <c r="AG51" i="8" s="1"/>
  <c r="AG52" i="8" s="1"/>
  <c r="AG53" i="8" s="1"/>
  <c r="Y41" i="8"/>
  <c r="Y42" i="8" s="1"/>
  <c r="Y43" i="8" s="1"/>
  <c r="Y44" i="8" s="1"/>
  <c r="Y45" i="8" s="1"/>
  <c r="Y46" i="8" s="1"/>
  <c r="Y47" i="8" s="1"/>
  <c r="Y48" i="8" s="1"/>
  <c r="Y49" i="8" s="1"/>
  <c r="Y50" i="8" s="1"/>
  <c r="Y51" i="8" s="1"/>
  <c r="Y52" i="8" s="1"/>
  <c r="Y53" i="8" s="1"/>
  <c r="Q41" i="8"/>
  <c r="Q42" i="8" s="1"/>
  <c r="Q43" i="8" s="1"/>
  <c r="Q44" i="8" s="1"/>
  <c r="Q45" i="8" s="1"/>
  <c r="Q46" i="8" s="1"/>
  <c r="Q47" i="8" s="1"/>
  <c r="Q48" i="8" s="1"/>
  <c r="Q49" i="8" s="1"/>
  <c r="Q50" i="8" s="1"/>
  <c r="Q51" i="8" s="1"/>
  <c r="Q52" i="8" s="1"/>
  <c r="Q53" i="8" s="1"/>
  <c r="O41" i="8"/>
  <c r="L41" i="8"/>
  <c r="A41" i="8" s="1"/>
  <c r="H41" i="8"/>
  <c r="M41" i="8" s="1"/>
  <c r="E41" i="8" s="1"/>
  <c r="B41" i="8"/>
  <c r="AM40" i="8"/>
  <c r="AM41" i="8" s="1"/>
  <c r="AM42" i="8" s="1"/>
  <c r="AL40" i="8"/>
  <c r="BJ40" i="8" s="1"/>
  <c r="AK40" i="8"/>
  <c r="AK41" i="8" s="1"/>
  <c r="AI40" i="8"/>
  <c r="AI41" i="8" s="1"/>
  <c r="AI42" i="8" s="1"/>
  <c r="AI43" i="8" s="1"/>
  <c r="AI44" i="8" s="1"/>
  <c r="AI45" i="8" s="1"/>
  <c r="AI46" i="8" s="1"/>
  <c r="AI47" i="8" s="1"/>
  <c r="AI48" i="8" s="1"/>
  <c r="AI49" i="8" s="1"/>
  <c r="AI50" i="8" s="1"/>
  <c r="AI51" i="8" s="1"/>
  <c r="AH40" i="8"/>
  <c r="AH41" i="8" s="1"/>
  <c r="AG40" i="8"/>
  <c r="AF40" i="8"/>
  <c r="AF41" i="8" s="1"/>
  <c r="AF42" i="8" s="1"/>
  <c r="AF43" i="8" s="1"/>
  <c r="AF44" i="8" s="1"/>
  <c r="AF45" i="8" s="1"/>
  <c r="AF46" i="8" s="1"/>
  <c r="AF47" i="8" s="1"/>
  <c r="AF48" i="8" s="1"/>
  <c r="AF49" i="8" s="1"/>
  <c r="AF50" i="8" s="1"/>
  <c r="AF51" i="8" s="1"/>
  <c r="AF52" i="8" s="1"/>
  <c r="AF53" i="8" s="1"/>
  <c r="AE40" i="8"/>
  <c r="AD40" i="8"/>
  <c r="AD41" i="8" s="1"/>
  <c r="AD42" i="8" s="1"/>
  <c r="AD43" i="8" s="1"/>
  <c r="AD44" i="8" s="1"/>
  <c r="AD45" i="8" s="1"/>
  <c r="AD46" i="8" s="1"/>
  <c r="AD47" i="8" s="1"/>
  <c r="AD48" i="8" s="1"/>
  <c r="AD49" i="8" s="1"/>
  <c r="AD50" i="8" s="1"/>
  <c r="AD51" i="8" s="1"/>
  <c r="AD52" i="8" s="1"/>
  <c r="AD53" i="8" s="1"/>
  <c r="AD57" i="8" s="1"/>
  <c r="AC40" i="8"/>
  <c r="AC41" i="8" s="1"/>
  <c r="AC42" i="8" s="1"/>
  <c r="AC43" i="8" s="1"/>
  <c r="AC44" i="8" s="1"/>
  <c r="AC45" i="8" s="1"/>
  <c r="AC46" i="8" s="1"/>
  <c r="AB40" i="8"/>
  <c r="AB41" i="8" s="1"/>
  <c r="AB42" i="8" s="1"/>
  <c r="AB43" i="8" s="1"/>
  <c r="AB44" i="8" s="1"/>
  <c r="AB45" i="8" s="1"/>
  <c r="AB46" i="8" s="1"/>
  <c r="AB47" i="8" s="1"/>
  <c r="AB48" i="8" s="1"/>
  <c r="AB49" i="8" s="1"/>
  <c r="AB50" i="8" s="1"/>
  <c r="AB51" i="8" s="1"/>
  <c r="AB52" i="8" s="1"/>
  <c r="AB53" i="8" s="1"/>
  <c r="AA40" i="8"/>
  <c r="AA41" i="8" s="1"/>
  <c r="AA42" i="8" s="1"/>
  <c r="AA43" i="8" s="1"/>
  <c r="AA44" i="8" s="1"/>
  <c r="AA45" i="8" s="1"/>
  <c r="AA46" i="8" s="1"/>
  <c r="AA47" i="8" s="1"/>
  <c r="AA48" i="8" s="1"/>
  <c r="AA49" i="8" s="1"/>
  <c r="AA50" i="8" s="1"/>
  <c r="AA51" i="8" s="1"/>
  <c r="AA52" i="8" s="1"/>
  <c r="AA53" i="8" s="1"/>
  <c r="Z40" i="8"/>
  <c r="Z41" i="8" s="1"/>
  <c r="Z42" i="8" s="1"/>
  <c r="Z43" i="8" s="1"/>
  <c r="Z44" i="8" s="1"/>
  <c r="Z45" i="8" s="1"/>
  <c r="Z46" i="8" s="1"/>
  <c r="Z47" i="8" s="1"/>
  <c r="Z48" i="8" s="1"/>
  <c r="Z49" i="8" s="1"/>
  <c r="Z50" i="8" s="1"/>
  <c r="Z51" i="8" s="1"/>
  <c r="Z52" i="8" s="1"/>
  <c r="Z53" i="8" s="1"/>
  <c r="Y40" i="8"/>
  <c r="X40" i="8"/>
  <c r="X41" i="8" s="1"/>
  <c r="X42" i="8" s="1"/>
  <c r="X43" i="8" s="1"/>
  <c r="X44" i="8" s="1"/>
  <c r="X45" i="8" s="1"/>
  <c r="X46" i="8" s="1"/>
  <c r="X47" i="8" s="1"/>
  <c r="X48" i="8" s="1"/>
  <c r="X49" i="8" s="1"/>
  <c r="X50" i="8" s="1"/>
  <c r="X51" i="8" s="1"/>
  <c r="X52" i="8" s="1"/>
  <c r="X53" i="8" s="1"/>
  <c r="W40" i="8"/>
  <c r="W41" i="8" s="1"/>
  <c r="V40" i="8"/>
  <c r="V41" i="8" s="1"/>
  <c r="U40" i="8"/>
  <c r="U41" i="8" s="1"/>
  <c r="T40" i="8"/>
  <c r="T41" i="8" s="1"/>
  <c r="T42" i="8" s="1"/>
  <c r="T43" i="8" s="1"/>
  <c r="T44" i="8" s="1"/>
  <c r="T45" i="8" s="1"/>
  <c r="T46" i="8" s="1"/>
  <c r="T47" i="8" s="1"/>
  <c r="T48" i="8" s="1"/>
  <c r="T49" i="8" s="1"/>
  <c r="T50" i="8" s="1"/>
  <c r="T51" i="8" s="1"/>
  <c r="T52" i="8" s="1"/>
  <c r="T53" i="8" s="1"/>
  <c r="S40" i="8"/>
  <c r="S41" i="8" s="1"/>
  <c r="S42" i="8" s="1"/>
  <c r="S43" i="8" s="1"/>
  <c r="S44" i="8" s="1"/>
  <c r="S45" i="8" s="1"/>
  <c r="S46" i="8" s="1"/>
  <c r="S47" i="8" s="1"/>
  <c r="R40" i="8"/>
  <c r="R41" i="8" s="1"/>
  <c r="R42" i="8" s="1"/>
  <c r="Q40" i="8"/>
  <c r="P40" i="8"/>
  <c r="P41" i="8" s="1"/>
  <c r="P42" i="8" s="1"/>
  <c r="O40" i="8"/>
  <c r="H40" i="8"/>
  <c r="M40" i="8" s="1"/>
  <c r="E40" i="8" s="1"/>
  <c r="B40" i="8"/>
  <c r="A40" i="8"/>
  <c r="M34" i="8"/>
  <c r="M33" i="8"/>
  <c r="E30" i="8"/>
  <c r="B30" i="8"/>
  <c r="E29" i="8"/>
  <c r="B29" i="8"/>
  <c r="A29" i="8"/>
  <c r="B28" i="8"/>
  <c r="L27" i="8"/>
  <c r="L28" i="8" s="1"/>
  <c r="L29" i="8" s="1"/>
  <c r="L30" i="8" s="1"/>
  <c r="A30" i="8" s="1"/>
  <c r="B27" i="8"/>
  <c r="B26" i="8"/>
  <c r="A26" i="8"/>
  <c r="B25" i="8"/>
  <c r="E24" i="8"/>
  <c r="B24" i="8"/>
  <c r="B23" i="8"/>
  <c r="B22" i="8"/>
  <c r="B21" i="8"/>
  <c r="AG20" i="8"/>
  <c r="AG21" i="8" s="1"/>
  <c r="AG22" i="8" s="1"/>
  <c r="AG23" i="8" s="1"/>
  <c r="AG24" i="8" s="1"/>
  <c r="AG25" i="8" s="1"/>
  <c r="AG26" i="8" s="1"/>
  <c r="AG27" i="8" s="1"/>
  <c r="AG28" i="8" s="1"/>
  <c r="AG29" i="8" s="1"/>
  <c r="AG30" i="8" s="1"/>
  <c r="O20" i="8"/>
  <c r="E20" i="8"/>
  <c r="B20" i="8"/>
  <c r="AI19" i="8"/>
  <c r="AI20" i="8" s="1"/>
  <c r="AI21" i="8" s="1"/>
  <c r="AI22" i="8" s="1"/>
  <c r="AI23" i="8" s="1"/>
  <c r="AI24" i="8" s="1"/>
  <c r="AI25" i="8" s="1"/>
  <c r="AI26" i="8" s="1"/>
  <c r="AI27" i="8" s="1"/>
  <c r="AI28" i="8" s="1"/>
  <c r="AI29" i="8" s="1"/>
  <c r="AI30" i="8" s="1"/>
  <c r="O19" i="8"/>
  <c r="B19" i="8"/>
  <c r="AM18" i="8"/>
  <c r="AM19" i="8" s="1"/>
  <c r="AM20" i="8" s="1"/>
  <c r="AM21" i="8" s="1"/>
  <c r="O18" i="8"/>
  <c r="B18" i="8"/>
  <c r="BD17" i="8"/>
  <c r="AK17" i="8"/>
  <c r="AK18" i="8" s="1"/>
  <c r="BI18" i="8" s="1"/>
  <c r="AI17" i="8"/>
  <c r="AI18" i="8" s="1"/>
  <c r="AH17" i="8"/>
  <c r="AH18" i="8" s="1"/>
  <c r="AH19" i="8" s="1"/>
  <c r="AH20" i="8" s="1"/>
  <c r="AH21" i="8" s="1"/>
  <c r="AH22" i="8" s="1"/>
  <c r="AH23" i="8" s="1"/>
  <c r="AH24" i="8" s="1"/>
  <c r="AH25" i="8" s="1"/>
  <c r="AH26" i="8" s="1"/>
  <c r="AH27" i="8" s="1"/>
  <c r="AH28" i="8" s="1"/>
  <c r="AH29" i="8" s="1"/>
  <c r="AH30" i="8" s="1"/>
  <c r="AG17" i="8"/>
  <c r="AG18" i="8" s="1"/>
  <c r="AG19" i="8" s="1"/>
  <c r="AF17" i="8"/>
  <c r="AF18" i="8" s="1"/>
  <c r="AF19" i="8" s="1"/>
  <c r="AF20" i="8" s="1"/>
  <c r="AF21" i="8" s="1"/>
  <c r="AF22" i="8" s="1"/>
  <c r="AF23" i="8" s="1"/>
  <c r="AF24" i="8" s="1"/>
  <c r="AF25" i="8" s="1"/>
  <c r="AF26" i="8" s="1"/>
  <c r="AF27" i="8" s="1"/>
  <c r="AF28" i="8" s="1"/>
  <c r="AF29" i="8" s="1"/>
  <c r="AF30" i="8" s="1"/>
  <c r="AE17" i="8"/>
  <c r="AE18" i="8" s="1"/>
  <c r="AE19" i="8" s="1"/>
  <c r="AE20" i="8" s="1"/>
  <c r="AE21" i="8" s="1"/>
  <c r="AE22" i="8" s="1"/>
  <c r="AE23" i="8" s="1"/>
  <c r="AE24" i="8" s="1"/>
  <c r="AE25" i="8" s="1"/>
  <c r="AD17" i="8"/>
  <c r="AD18" i="8" s="1"/>
  <c r="AC17" i="8"/>
  <c r="BA17" i="8" s="1"/>
  <c r="AB17" i="8"/>
  <c r="AB18" i="8" s="1"/>
  <c r="AB19" i="8" s="1"/>
  <c r="AB20" i="8" s="1"/>
  <c r="AB21" i="8" s="1"/>
  <c r="AB22" i="8" s="1"/>
  <c r="AB23" i="8" s="1"/>
  <c r="AB24" i="8" s="1"/>
  <c r="AB25" i="8" s="1"/>
  <c r="AB26" i="8" s="1"/>
  <c r="AB27" i="8" s="1"/>
  <c r="AB28" i="8" s="1"/>
  <c r="AB29" i="8" s="1"/>
  <c r="AB30" i="8" s="1"/>
  <c r="AA17" i="8"/>
  <c r="AA18" i="8" s="1"/>
  <c r="AA19" i="8" s="1"/>
  <c r="AA20" i="8" s="1"/>
  <c r="AA21" i="8" s="1"/>
  <c r="Z17" i="8"/>
  <c r="Z18" i="8" s="1"/>
  <c r="Z19" i="8" s="1"/>
  <c r="Z20" i="8" s="1"/>
  <c r="Z21" i="8" s="1"/>
  <c r="Z22" i="8" s="1"/>
  <c r="Z23" i="8" s="1"/>
  <c r="Z24" i="8" s="1"/>
  <c r="Z25" i="8" s="1"/>
  <c r="Z26" i="8" s="1"/>
  <c r="Z27" i="8" s="1"/>
  <c r="Z28" i="8" s="1"/>
  <c r="Z29" i="8" s="1"/>
  <c r="Z30" i="8" s="1"/>
  <c r="Y17" i="8"/>
  <c r="Y18" i="8" s="1"/>
  <c r="Y19" i="8" s="1"/>
  <c r="Y20" i="8" s="1"/>
  <c r="Y21" i="8" s="1"/>
  <c r="X17" i="8"/>
  <c r="X18" i="8" s="1"/>
  <c r="X19" i="8" s="1"/>
  <c r="X20" i="8" s="1"/>
  <c r="X21" i="8" s="1"/>
  <c r="X22" i="8" s="1"/>
  <c r="X23" i="8" s="1"/>
  <c r="X24" i="8" s="1"/>
  <c r="X25" i="8" s="1"/>
  <c r="X26" i="8" s="1"/>
  <c r="X27" i="8" s="1"/>
  <c r="X28" i="8" s="1"/>
  <c r="X29" i="8" s="1"/>
  <c r="X30" i="8" s="1"/>
  <c r="W17" i="8"/>
  <c r="W18" i="8" s="1"/>
  <c r="W19" i="8" s="1"/>
  <c r="V17" i="8"/>
  <c r="V18" i="8" s="1"/>
  <c r="V19" i="8" s="1"/>
  <c r="V20" i="8" s="1"/>
  <c r="U17" i="8"/>
  <c r="U18" i="8" s="1"/>
  <c r="U19" i="8" s="1"/>
  <c r="U20" i="8" s="1"/>
  <c r="T17" i="8"/>
  <c r="T18" i="8" s="1"/>
  <c r="T19" i="8" s="1"/>
  <c r="T20" i="8" s="1"/>
  <c r="T21" i="8" s="1"/>
  <c r="T22" i="8" s="1"/>
  <c r="S17" i="8"/>
  <c r="S18" i="8" s="1"/>
  <c r="S19" i="8" s="1"/>
  <c r="S20" i="8" s="1"/>
  <c r="R17" i="8"/>
  <c r="R18" i="8" s="1"/>
  <c r="R19" i="8" s="1"/>
  <c r="R20" i="8" s="1"/>
  <c r="R21" i="8" s="1"/>
  <c r="R22" i="8" s="1"/>
  <c r="R23" i="8" s="1"/>
  <c r="R24" i="8" s="1"/>
  <c r="R25" i="8" s="1"/>
  <c r="R26" i="8" s="1"/>
  <c r="R27" i="8" s="1"/>
  <c r="R28" i="8" s="1"/>
  <c r="R29" i="8" s="1"/>
  <c r="R30" i="8" s="1"/>
  <c r="Q17" i="8"/>
  <c r="Q18" i="8" s="1"/>
  <c r="Q19" i="8" s="1"/>
  <c r="Q20" i="8" s="1"/>
  <c r="AO20" i="8" s="1"/>
  <c r="P17" i="8"/>
  <c r="P18" i="8" s="1"/>
  <c r="P19" i="8" s="1"/>
  <c r="P20" i="8" s="1"/>
  <c r="P21" i="8" s="1"/>
  <c r="P22" i="8" s="1"/>
  <c r="P23" i="8" s="1"/>
  <c r="P24" i="8" s="1"/>
  <c r="P25" i="8" s="1"/>
  <c r="P26" i="8" s="1"/>
  <c r="P27" i="8" s="1"/>
  <c r="P28" i="8" s="1"/>
  <c r="P29" i="8" s="1"/>
  <c r="P30" i="8" s="1"/>
  <c r="O17" i="8"/>
  <c r="L17" i="8"/>
  <c r="A17" i="8" s="1"/>
  <c r="E17" i="8"/>
  <c r="B17" i="8"/>
  <c r="AS16" i="8"/>
  <c r="AM16" i="8"/>
  <c r="AM17" i="8" s="1"/>
  <c r="AL16" i="8"/>
  <c r="AJ16" i="8"/>
  <c r="O16" i="8"/>
  <c r="E16" i="8"/>
  <c r="B16" i="8"/>
  <c r="A16" i="8"/>
  <c r="AO15" i="8"/>
  <c r="AP15" i="8" s="1"/>
  <c r="AQ15" i="8" s="1"/>
  <c r="AR15" i="8" s="1"/>
  <c r="AS15" i="8" s="1"/>
  <c r="AT15" i="8" s="1"/>
  <c r="AU15" i="8" s="1"/>
  <c r="AV15" i="8" s="1"/>
  <c r="AW15" i="8" s="1"/>
  <c r="AX15" i="8" s="1"/>
  <c r="AY15" i="8" s="1"/>
  <c r="AZ15" i="8" s="1"/>
  <c r="BA15" i="8" s="1"/>
  <c r="BB15" i="8" s="1"/>
  <c r="BC15" i="8" s="1"/>
  <c r="BD15" i="8" s="1"/>
  <c r="BE15" i="8" s="1"/>
  <c r="BF15" i="8" s="1"/>
  <c r="BG15" i="8" s="1"/>
  <c r="BH15" i="8" s="1"/>
  <c r="BI15" i="8" s="1"/>
  <c r="BJ15" i="8" s="1"/>
  <c r="BK15" i="8" s="1"/>
  <c r="J13" i="8"/>
  <c r="I13" i="8"/>
  <c r="H13" i="8"/>
  <c r="G13" i="8"/>
  <c r="F13" i="8"/>
  <c r="E13" i="8"/>
  <c r="D13" i="8"/>
  <c r="C13" i="8"/>
  <c r="B13" i="8"/>
  <c r="AM12" i="8"/>
  <c r="BK20" i="8" s="1"/>
  <c r="AL12" i="8"/>
  <c r="AK12" i="8"/>
  <c r="BI16" i="8" s="1"/>
  <c r="AJ12" i="8"/>
  <c r="AI12" i="8"/>
  <c r="BG43" i="8" s="1"/>
  <c r="AH12" i="8"/>
  <c r="BF16" i="8" s="1"/>
  <c r="AG12" i="8"/>
  <c r="AF12" i="8"/>
  <c r="BD16" i="8" s="1"/>
  <c r="AE12" i="8"/>
  <c r="BC17" i="8" s="1"/>
  <c r="AD12" i="8"/>
  <c r="AC12" i="8"/>
  <c r="AB12" i="8"/>
  <c r="AZ16" i="8" s="1"/>
  <c r="AA12" i="8"/>
  <c r="AY18" i="8" s="1"/>
  <c r="Z12" i="8"/>
  <c r="AX29" i="8" s="1"/>
  <c r="Y12" i="8"/>
  <c r="AW18" i="8" s="1"/>
  <c r="X12" i="8"/>
  <c r="W12" i="8"/>
  <c r="AU17" i="8" s="1"/>
  <c r="V12" i="8"/>
  <c r="AT16" i="8" s="1"/>
  <c r="U12" i="8"/>
  <c r="T12" i="8"/>
  <c r="S12" i="8"/>
  <c r="R12" i="8"/>
  <c r="Q12" i="8"/>
  <c r="P12" i="8"/>
  <c r="Q11" i="8"/>
  <c r="R11" i="8" s="1"/>
  <c r="S11" i="8" s="1"/>
  <c r="T11" i="8" s="1"/>
  <c r="U11" i="8" s="1"/>
  <c r="V11" i="8" s="1"/>
  <c r="W11" i="8" s="1"/>
  <c r="X11" i="8" s="1"/>
  <c r="Y11" i="8" s="1"/>
  <c r="Z11" i="8" s="1"/>
  <c r="AA11" i="8" s="1"/>
  <c r="AB11" i="8" s="1"/>
  <c r="AC11" i="8" s="1"/>
  <c r="AD11" i="8" s="1"/>
  <c r="AE11" i="8" s="1"/>
  <c r="AF11" i="8" s="1"/>
  <c r="AG11" i="8" s="1"/>
  <c r="AH11" i="8" s="1"/>
  <c r="AI11" i="8" s="1"/>
  <c r="AJ11" i="8" s="1"/>
  <c r="AK11" i="8" s="1"/>
  <c r="AL11" i="8" s="1"/>
  <c r="AM11" i="8" s="1"/>
  <c r="M11" i="8"/>
  <c r="C30" i="8" s="1"/>
  <c r="M9" i="8"/>
  <c r="M62" i="8" s="1"/>
  <c r="M104" i="8" s="1"/>
  <c r="AJ96" i="3" l="1"/>
  <c r="BH95" i="3"/>
  <c r="Z89" i="3"/>
  <c r="AX88" i="3"/>
  <c r="R83" i="3"/>
  <c r="AP82" i="3"/>
  <c r="J82" i="3" s="1"/>
  <c r="P86" i="3"/>
  <c r="AN85" i="3"/>
  <c r="AF92" i="3"/>
  <c r="BD91" i="3"/>
  <c r="AG56" i="3"/>
  <c r="BE56" i="3" s="1"/>
  <c r="J56" i="3" s="1"/>
  <c r="BE55" i="3"/>
  <c r="J55" i="3" s="1"/>
  <c r="A86" i="3"/>
  <c r="L87" i="3"/>
  <c r="AH85" i="3"/>
  <c r="BF84" i="3"/>
  <c r="X91" i="3"/>
  <c r="AV90" i="3"/>
  <c r="AR17" i="8"/>
  <c r="AC18" i="8"/>
  <c r="AC19" i="8" s="1"/>
  <c r="AC20" i="8" s="1"/>
  <c r="AC21" i="8" s="1"/>
  <c r="A27" i="8"/>
  <c r="BA67" i="8"/>
  <c r="AU16" i="8"/>
  <c r="AQ20" i="8"/>
  <c r="M37" i="8"/>
  <c r="BB42" i="8"/>
  <c r="AH67" i="7"/>
  <c r="BK67" i="7" s="1"/>
  <c r="BK65" i="7"/>
  <c r="AT19" i="8"/>
  <c r="AR22" i="8"/>
  <c r="T23" i="8"/>
  <c r="T24" i="8" s="1"/>
  <c r="T25" i="8" s="1"/>
  <c r="T26" i="8" s="1"/>
  <c r="T27" i="8" s="1"/>
  <c r="T28" i="8" s="1"/>
  <c r="T29" i="8" s="1"/>
  <c r="T30" i="8" s="1"/>
  <c r="AQ47" i="8"/>
  <c r="S48" i="8"/>
  <c r="S49" i="8" s="1"/>
  <c r="S50" i="8" s="1"/>
  <c r="S51" i="8" s="1"/>
  <c r="S52" i="8" s="1"/>
  <c r="S53" i="8" s="1"/>
  <c r="S57" i="8" s="1"/>
  <c r="AQ57" i="8" s="1"/>
  <c r="AK42" i="8"/>
  <c r="AK43" i="8" s="1"/>
  <c r="AK44" i="8" s="1"/>
  <c r="BI41" i="8"/>
  <c r="U42" i="8"/>
  <c r="U43" i="8" s="1"/>
  <c r="U44" i="8" s="1"/>
  <c r="U45" i="8" s="1"/>
  <c r="U46" i="8" s="1"/>
  <c r="U47" i="8" s="1"/>
  <c r="U48" i="8" s="1"/>
  <c r="U49" i="8" s="1"/>
  <c r="U50" i="8" s="1"/>
  <c r="U51" i="8" s="1"/>
  <c r="AS41" i="8"/>
  <c r="M64" i="8"/>
  <c r="C92" i="8" s="1"/>
  <c r="BA16" i="8"/>
  <c r="AT17" i="8"/>
  <c r="BB16" i="8"/>
  <c r="BA20" i="8"/>
  <c r="BA40" i="8"/>
  <c r="BI71" i="8"/>
  <c r="BK114" i="8"/>
  <c r="AS81" i="8"/>
  <c r="AS19" i="8"/>
  <c r="AV48" i="8"/>
  <c r="BC16" i="8"/>
  <c r="BB17" i="8"/>
  <c r="BC18" i="8"/>
  <c r="BB40" i="8"/>
  <c r="L53" i="9"/>
  <c r="A52" i="9"/>
  <c r="AS17" i="8"/>
  <c r="A28" i="8"/>
  <c r="BI40" i="8"/>
  <c r="AL41" i="8"/>
  <c r="AL42" i="8" s="1"/>
  <c r="AS87" i="8"/>
  <c r="AX92" i="8"/>
  <c r="AQ17" i="8"/>
  <c r="M35" i="8"/>
  <c r="AS68" i="8"/>
  <c r="AI56" i="7"/>
  <c r="BL55" i="7"/>
  <c r="BL93" i="7"/>
  <c r="AI94" i="7"/>
  <c r="BL137" i="7"/>
  <c r="AI138" i="7"/>
  <c r="AE28" i="7"/>
  <c r="BH27" i="7"/>
  <c r="AE133" i="7"/>
  <c r="BH132" i="7"/>
  <c r="L136" i="7"/>
  <c r="A135" i="7"/>
  <c r="AE51" i="7"/>
  <c r="BH50" i="7"/>
  <c r="AE89" i="7"/>
  <c r="BH88" i="7"/>
  <c r="AN30" i="9"/>
  <c r="BP29" i="9"/>
  <c r="J29" i="9" s="1"/>
  <c r="L227" i="7"/>
  <c r="A226" i="7"/>
  <c r="C17" i="8"/>
  <c r="C29" i="8"/>
  <c r="C16" i="8"/>
  <c r="C26" i="8"/>
  <c r="C20" i="8"/>
  <c r="C23" i="8"/>
  <c r="C18" i="8"/>
  <c r="C24" i="8"/>
  <c r="C25" i="8"/>
  <c r="AB57" i="8"/>
  <c r="AB54" i="8"/>
  <c r="AB55" i="8" s="1"/>
  <c r="AB56" i="8" s="1"/>
  <c r="AF54" i="8"/>
  <c r="AF55" i="8" s="1"/>
  <c r="AF56" i="8" s="1"/>
  <c r="BD56" i="8" s="1"/>
  <c r="AF57" i="8"/>
  <c r="BD57" i="8" s="1"/>
  <c r="AC22" i="8"/>
  <c r="AC23" i="8" s="1"/>
  <c r="BA21" i="8"/>
  <c r="W20" i="8"/>
  <c r="W21" i="8" s="1"/>
  <c r="AU19" i="8"/>
  <c r="T57" i="8"/>
  <c r="AR57" i="8" s="1"/>
  <c r="T54" i="8"/>
  <c r="T55" i="8" s="1"/>
  <c r="T56" i="8" s="1"/>
  <c r="AR56" i="8" s="1"/>
  <c r="AR53" i="8"/>
  <c r="P54" i="8"/>
  <c r="P55" i="8" s="1"/>
  <c r="P56" i="8" s="1"/>
  <c r="AN56" i="8" s="1"/>
  <c r="P57" i="8"/>
  <c r="AN57" i="8" s="1"/>
  <c r="Y22" i="8"/>
  <c r="Y23" i="8" s="1"/>
  <c r="Y24" i="8" s="1"/>
  <c r="Y25" i="8" s="1"/>
  <c r="Y26" i="8" s="1"/>
  <c r="Y27" i="8" s="1"/>
  <c r="Y28" i="8" s="1"/>
  <c r="AW21" i="8"/>
  <c r="AE26" i="8"/>
  <c r="BC25" i="8"/>
  <c r="AA22" i="8"/>
  <c r="AA23" i="8" s="1"/>
  <c r="AY21" i="8"/>
  <c r="AM22" i="8"/>
  <c r="AM23" i="8" s="1"/>
  <c r="BK21" i="8"/>
  <c r="BK18" i="8"/>
  <c r="U21" i="8"/>
  <c r="U22" i="8" s="1"/>
  <c r="AS20" i="8"/>
  <c r="BC22" i="8"/>
  <c r="C54" i="8"/>
  <c r="C53" i="8"/>
  <c r="C52" i="8"/>
  <c r="C49" i="8"/>
  <c r="C44" i="8"/>
  <c r="C43" i="8"/>
  <c r="C48" i="8"/>
  <c r="C41" i="8"/>
  <c r="C40" i="8"/>
  <c r="C51" i="8"/>
  <c r="C57" i="8"/>
  <c r="C47" i="8"/>
  <c r="C46" i="8"/>
  <c r="M38" i="8"/>
  <c r="C56" i="8"/>
  <c r="C42" i="8"/>
  <c r="C55" i="8"/>
  <c r="AR30" i="8"/>
  <c r="AO18" i="8"/>
  <c r="AT20" i="8"/>
  <c r="V21" i="8"/>
  <c r="Q21" i="8"/>
  <c r="Q22" i="8" s="1"/>
  <c r="Q23" i="8" s="1"/>
  <c r="BD22" i="8"/>
  <c r="AX28" i="8"/>
  <c r="AH54" i="8"/>
  <c r="AH55" i="8" s="1"/>
  <c r="AH56" i="8" s="1"/>
  <c r="BF56" i="8" s="1"/>
  <c r="AH57" i="8"/>
  <c r="BF57" i="8" s="1"/>
  <c r="AS50" i="8"/>
  <c r="AD54" i="8"/>
  <c r="AD55" i="8" s="1"/>
  <c r="AD56" i="8" s="1"/>
  <c r="BB56" i="8" s="1"/>
  <c r="BC87" i="8"/>
  <c r="AJ109" i="8"/>
  <c r="AJ110" i="8" s="1"/>
  <c r="AJ67" i="8"/>
  <c r="AJ68" i="8" s="1"/>
  <c r="AJ69" i="8" s="1"/>
  <c r="AJ70" i="8" s="1"/>
  <c r="AJ71" i="8" s="1"/>
  <c r="AJ72" i="8" s="1"/>
  <c r="AJ73" i="8" s="1"/>
  <c r="AJ74" i="8" s="1"/>
  <c r="AJ75" i="8" s="1"/>
  <c r="AJ76" i="8" s="1"/>
  <c r="AJ40" i="8"/>
  <c r="AJ41" i="8" s="1"/>
  <c r="AJ17" i="8"/>
  <c r="AJ18" i="8" s="1"/>
  <c r="AJ19" i="8" s="1"/>
  <c r="AK19" i="8"/>
  <c r="BC20" i="8"/>
  <c r="S21" i="8"/>
  <c r="S22" i="8" s="1"/>
  <c r="S23" i="8" s="1"/>
  <c r="BF24" i="8"/>
  <c r="Z54" i="8"/>
  <c r="Z55" i="8" s="1"/>
  <c r="Z56" i="8" s="1"/>
  <c r="Z57" i="8"/>
  <c r="AX57" i="8" s="1"/>
  <c r="Y54" i="8"/>
  <c r="Y55" i="8" s="1"/>
  <c r="Y56" i="8" s="1"/>
  <c r="AW56" i="8" s="1"/>
  <c r="Y57" i="8"/>
  <c r="AM43" i="8"/>
  <c r="AM44" i="8" s="1"/>
  <c r="AM45" i="8" s="1"/>
  <c r="AM46" i="8" s="1"/>
  <c r="AM47" i="8" s="1"/>
  <c r="BK42" i="8"/>
  <c r="L42" i="8"/>
  <c r="BA42" i="8"/>
  <c r="R54" i="8"/>
  <c r="R55" i="8" s="1"/>
  <c r="R56" i="8" s="1"/>
  <c r="AP56" i="8" s="1"/>
  <c r="R57" i="8"/>
  <c r="AP57" i="8" s="1"/>
  <c r="BF41" i="8"/>
  <c r="X54" i="8"/>
  <c r="X55" i="8" s="1"/>
  <c r="X56" i="8" s="1"/>
  <c r="AV56" i="8" s="1"/>
  <c r="X57" i="8"/>
  <c r="AV57" i="8" s="1"/>
  <c r="BD111" i="8"/>
  <c r="BD112" i="8"/>
  <c r="BD99" i="8"/>
  <c r="BD97" i="8"/>
  <c r="BD95" i="8"/>
  <c r="BD91" i="8"/>
  <c r="BD113" i="8"/>
  <c r="BD114" i="8"/>
  <c r="BD98" i="8"/>
  <c r="BD115" i="8"/>
  <c r="BD92" i="8"/>
  <c r="BD88" i="8"/>
  <c r="BD93" i="8"/>
  <c r="BD90" i="8"/>
  <c r="BD89" i="8"/>
  <c r="BD116" i="8"/>
  <c r="BD110" i="8"/>
  <c r="BD96" i="8"/>
  <c r="BD75" i="8"/>
  <c r="BD70" i="8"/>
  <c r="BD109" i="8"/>
  <c r="BD85" i="8"/>
  <c r="BD82" i="8"/>
  <c r="BD81" i="8"/>
  <c r="BD79" i="8"/>
  <c r="BD78" i="8"/>
  <c r="BD77" i="8"/>
  <c r="BD76" i="8"/>
  <c r="BD74" i="8"/>
  <c r="BD72" i="8"/>
  <c r="BD71" i="8"/>
  <c r="BD68" i="8"/>
  <c r="BD87" i="8"/>
  <c r="BD69" i="8"/>
  <c r="BD73" i="8"/>
  <c r="BD80" i="8"/>
  <c r="BD94" i="8"/>
  <c r="BD51" i="8"/>
  <c r="BD48" i="8"/>
  <c r="BD29" i="8"/>
  <c r="BD84" i="8"/>
  <c r="BD47" i="8"/>
  <c r="BD43" i="8"/>
  <c r="BD42" i="8"/>
  <c r="BD52" i="8"/>
  <c r="BD50" i="8"/>
  <c r="BD49" i="8"/>
  <c r="BD46" i="8"/>
  <c r="BD86" i="8"/>
  <c r="BD67" i="8"/>
  <c r="BD45" i="8"/>
  <c r="BD40" i="8"/>
  <c r="BD41" i="8"/>
  <c r="BD24" i="8"/>
  <c r="BD25" i="8"/>
  <c r="BD83" i="8"/>
  <c r="BD44" i="8"/>
  <c r="BD21" i="8"/>
  <c r="BD28" i="8"/>
  <c r="BD27" i="8"/>
  <c r="BD26" i="8"/>
  <c r="BD18" i="8"/>
  <c r="BD23" i="8"/>
  <c r="BD53" i="8"/>
  <c r="BD30" i="8"/>
  <c r="BD20" i="8"/>
  <c r="AG54" i="8"/>
  <c r="AG55" i="8" s="1"/>
  <c r="AG56" i="8" s="1"/>
  <c r="BE56" i="8" s="1"/>
  <c r="AG57" i="8"/>
  <c r="BE57" i="8" s="1"/>
  <c r="BC24" i="8"/>
  <c r="BA18" i="8"/>
  <c r="AI52" i="8"/>
  <c r="AI53" i="8" s="1"/>
  <c r="BG53" i="8" s="1"/>
  <c r="BG51" i="8"/>
  <c r="AN114" i="8"/>
  <c r="AN94" i="8"/>
  <c r="AN115" i="8"/>
  <c r="AN116" i="8"/>
  <c r="AN112" i="8"/>
  <c r="AN88" i="8"/>
  <c r="AN113" i="8"/>
  <c r="AN95" i="8"/>
  <c r="AN87" i="8"/>
  <c r="AN96" i="8"/>
  <c r="AN110" i="8"/>
  <c r="AN111" i="8"/>
  <c r="AN109" i="8"/>
  <c r="AN93" i="8"/>
  <c r="AN92" i="8"/>
  <c r="AN91" i="8"/>
  <c r="AN86" i="8"/>
  <c r="AN81" i="8"/>
  <c r="AN82" i="8"/>
  <c r="AN79" i="8"/>
  <c r="AN78" i="8"/>
  <c r="AN89" i="8"/>
  <c r="AN83" i="8"/>
  <c r="AN84" i="8"/>
  <c r="AN85" i="8"/>
  <c r="AN69" i="8"/>
  <c r="AN77" i="8"/>
  <c r="AN74" i="8"/>
  <c r="AN71" i="8"/>
  <c r="AN98" i="8"/>
  <c r="AN67" i="8"/>
  <c r="AN97" i="8"/>
  <c r="AN73" i="8"/>
  <c r="AN68" i="8"/>
  <c r="AN80" i="8"/>
  <c r="AN46" i="8"/>
  <c r="AN30" i="8"/>
  <c r="AN99" i="8"/>
  <c r="AN45" i="8"/>
  <c r="AN41" i="8"/>
  <c r="AN90" i="8"/>
  <c r="AN76" i="8"/>
  <c r="AN53" i="8"/>
  <c r="AN52" i="8"/>
  <c r="AN48" i="8"/>
  <c r="AN47" i="8"/>
  <c r="AN26" i="8"/>
  <c r="AN50" i="8"/>
  <c r="AN49" i="8"/>
  <c r="AN75" i="8"/>
  <c r="AN25" i="8"/>
  <c r="AN24" i="8"/>
  <c r="AN23" i="8"/>
  <c r="AN22" i="8"/>
  <c r="AN21" i="8"/>
  <c r="AN20" i="8"/>
  <c r="AN19" i="8"/>
  <c r="AN18" i="8"/>
  <c r="AN17" i="8"/>
  <c r="AN70" i="8"/>
  <c r="AN51" i="8"/>
  <c r="AN16" i="8"/>
  <c r="AN27" i="8"/>
  <c r="AN43" i="8"/>
  <c r="AN42" i="8"/>
  <c r="AN29" i="8"/>
  <c r="AN28" i="8"/>
  <c r="AN40" i="8"/>
  <c r="AV114" i="8"/>
  <c r="AV94" i="8"/>
  <c r="AV115" i="8"/>
  <c r="AV93" i="8"/>
  <c r="AV91" i="8"/>
  <c r="AV88" i="8"/>
  <c r="AV111" i="8"/>
  <c r="AV109" i="8"/>
  <c r="AV97" i="8"/>
  <c r="AV87" i="8"/>
  <c r="AV112" i="8"/>
  <c r="AV116" i="8"/>
  <c r="AV89" i="8"/>
  <c r="AV85" i="8"/>
  <c r="AV81" i="8"/>
  <c r="AV96" i="8"/>
  <c r="AV86" i="8"/>
  <c r="AV82" i="8"/>
  <c r="AV83" i="8"/>
  <c r="AV90" i="8"/>
  <c r="AV69" i="8"/>
  <c r="AV75" i="8"/>
  <c r="AV95" i="8"/>
  <c r="AV77" i="8"/>
  <c r="AV74" i="8"/>
  <c r="AV71" i="8"/>
  <c r="AV68" i="8"/>
  <c r="AV110" i="8"/>
  <c r="AV78" i="8"/>
  <c r="AV70" i="8"/>
  <c r="AV76" i="8"/>
  <c r="AV98" i="8"/>
  <c r="AV79" i="8"/>
  <c r="AV99" i="8"/>
  <c r="AV73" i="8"/>
  <c r="AV44" i="8"/>
  <c r="AV30" i="8"/>
  <c r="AV113" i="8"/>
  <c r="AV72" i="8"/>
  <c r="AV46" i="8"/>
  <c r="AV41" i="8"/>
  <c r="AV42" i="8"/>
  <c r="AV28" i="8"/>
  <c r="AV53" i="8"/>
  <c r="AV52" i="8"/>
  <c r="AV51" i="8"/>
  <c r="AV26" i="8"/>
  <c r="AV25" i="8"/>
  <c r="AV24" i="8"/>
  <c r="AV23" i="8"/>
  <c r="AV22" i="8"/>
  <c r="AV21" i="8"/>
  <c r="AV20" i="8"/>
  <c r="AV19" i="8"/>
  <c r="AV18" i="8"/>
  <c r="AV17" i="8"/>
  <c r="AV92" i="8"/>
  <c r="AV67" i="8"/>
  <c r="AV29" i="8"/>
  <c r="AV50" i="8"/>
  <c r="AV45" i="8"/>
  <c r="AV40" i="8"/>
  <c r="AV47" i="8"/>
  <c r="AV84" i="8"/>
  <c r="AV80" i="8"/>
  <c r="AV43" i="8"/>
  <c r="AV49" i="8"/>
  <c r="AV16" i="8"/>
  <c r="AD19" i="8"/>
  <c r="AD20" i="8" s="1"/>
  <c r="BB18" i="8"/>
  <c r="AC47" i="8"/>
  <c r="AC48" i="8" s="1"/>
  <c r="AC49" i="8" s="1"/>
  <c r="AC50" i="8" s="1"/>
  <c r="AC51" i="8" s="1"/>
  <c r="AC52" i="8" s="1"/>
  <c r="AC53" i="8" s="1"/>
  <c r="BA53" i="8" s="1"/>
  <c r="BA46" i="8"/>
  <c r="AN44" i="8"/>
  <c r="S82" i="8"/>
  <c r="S83" i="8" s="1"/>
  <c r="S84" i="8" s="1"/>
  <c r="S85" i="8" s="1"/>
  <c r="S86" i="8" s="1"/>
  <c r="S87" i="8" s="1"/>
  <c r="S88" i="8" s="1"/>
  <c r="S89" i="8" s="1"/>
  <c r="S90" i="8" s="1"/>
  <c r="S91" i="8" s="1"/>
  <c r="S92" i="8" s="1"/>
  <c r="S93" i="8" s="1"/>
  <c r="S94" i="8" s="1"/>
  <c r="S95" i="8" s="1"/>
  <c r="S96" i="8" s="1"/>
  <c r="S97" i="8" s="1"/>
  <c r="S98" i="8" s="1"/>
  <c r="S99" i="8" s="1"/>
  <c r="AQ99" i="8" s="1"/>
  <c r="AQ81" i="8"/>
  <c r="BE78" i="8"/>
  <c r="AO92" i="8"/>
  <c r="AO111" i="8"/>
  <c r="AO109" i="8"/>
  <c r="AO113" i="8"/>
  <c r="AO95" i="8"/>
  <c r="AO97" i="8"/>
  <c r="AO96" i="8"/>
  <c r="AO89" i="8"/>
  <c r="AO94" i="8"/>
  <c r="AO110" i="8"/>
  <c r="AO115" i="8"/>
  <c r="AO98" i="8"/>
  <c r="AO114" i="8"/>
  <c r="AO112" i="8"/>
  <c r="AO76" i="8"/>
  <c r="AO71" i="8"/>
  <c r="AO87" i="8"/>
  <c r="AO83" i="8"/>
  <c r="AO81" i="8"/>
  <c r="AO80" i="8"/>
  <c r="AO84" i="8"/>
  <c r="AO116" i="8"/>
  <c r="AO85" i="8"/>
  <c r="AO78" i="8"/>
  <c r="AO91" i="8"/>
  <c r="AO90" i="8"/>
  <c r="AO86" i="8"/>
  <c r="AO79" i="8"/>
  <c r="AO73" i="8"/>
  <c r="AO70" i="8"/>
  <c r="AO72" i="8"/>
  <c r="AO67" i="8"/>
  <c r="AO53" i="8"/>
  <c r="AO52" i="8"/>
  <c r="AO51" i="8"/>
  <c r="AO77" i="8"/>
  <c r="AO74" i="8"/>
  <c r="AO49" i="8"/>
  <c r="AO43" i="8"/>
  <c r="AO42" i="8"/>
  <c r="AO99" i="8"/>
  <c r="AO82" i="8"/>
  <c r="AO69" i="8"/>
  <c r="AO68" i="8"/>
  <c r="AO48" i="8"/>
  <c r="AO40" i="8"/>
  <c r="AO93" i="8"/>
  <c r="AO47" i="8"/>
  <c r="AO50" i="8"/>
  <c r="AO75" i="8"/>
  <c r="AO46" i="8"/>
  <c r="AO45" i="8"/>
  <c r="AO41" i="8"/>
  <c r="AO16" i="8"/>
  <c r="AO88" i="8"/>
  <c r="AO17" i="8"/>
  <c r="AO19" i="8"/>
  <c r="AO44" i="8"/>
  <c r="AW92" i="8"/>
  <c r="AW114" i="8"/>
  <c r="AW116" i="8"/>
  <c r="AW115" i="8"/>
  <c r="AW110" i="8"/>
  <c r="AW111" i="8"/>
  <c r="AW109" i="8"/>
  <c r="AW112" i="8"/>
  <c r="AW89" i="8"/>
  <c r="AW88" i="8"/>
  <c r="AW90" i="8"/>
  <c r="AW97" i="8"/>
  <c r="AW99" i="8"/>
  <c r="AW94" i="8"/>
  <c r="AW113" i="8"/>
  <c r="AW96" i="8"/>
  <c r="AW87" i="8"/>
  <c r="AW86" i="8"/>
  <c r="AW76" i="8"/>
  <c r="AW71" i="8"/>
  <c r="AW82" i="8"/>
  <c r="AW79" i="8"/>
  <c r="AW78" i="8"/>
  <c r="AW83" i="8"/>
  <c r="AW81" i="8"/>
  <c r="AW91" i="8"/>
  <c r="AW98" i="8"/>
  <c r="AW84" i="8"/>
  <c r="AW80" i="8"/>
  <c r="AW69" i="8"/>
  <c r="AW93" i="8"/>
  <c r="AW85" i="8"/>
  <c r="AW67" i="8"/>
  <c r="AW75" i="8"/>
  <c r="AW74" i="8"/>
  <c r="AW53" i="8"/>
  <c r="AW52" i="8"/>
  <c r="AW51" i="8"/>
  <c r="AW73" i="8"/>
  <c r="AW50" i="8"/>
  <c r="AW43" i="8"/>
  <c r="AW42" i="8"/>
  <c r="AW95" i="8"/>
  <c r="AW72" i="8"/>
  <c r="AW49" i="8"/>
  <c r="AW40" i="8"/>
  <c r="AW44" i="8"/>
  <c r="AW57" i="8"/>
  <c r="AW77" i="8"/>
  <c r="AW70" i="8"/>
  <c r="AW16" i="8"/>
  <c r="AW45" i="8"/>
  <c r="AW20" i="8"/>
  <c r="AW68" i="8"/>
  <c r="AW47" i="8"/>
  <c r="AW41" i="8"/>
  <c r="AW17" i="8"/>
  <c r="AW19" i="8"/>
  <c r="BE114" i="8"/>
  <c r="BE94" i="8"/>
  <c r="BE115" i="8"/>
  <c r="BE113" i="8"/>
  <c r="BE92" i="8"/>
  <c r="BE88" i="8"/>
  <c r="BE116" i="8"/>
  <c r="BE110" i="8"/>
  <c r="BE93" i="8"/>
  <c r="BE91" i="8"/>
  <c r="BE112" i="8"/>
  <c r="BE95" i="8"/>
  <c r="BE87" i="8"/>
  <c r="BE99" i="8"/>
  <c r="BE96" i="8"/>
  <c r="BE98" i="8"/>
  <c r="BE90" i="8"/>
  <c r="BE84" i="8"/>
  <c r="BE81" i="8"/>
  <c r="BE85" i="8"/>
  <c r="BE97" i="8"/>
  <c r="BE89" i="8"/>
  <c r="BE82" i="8"/>
  <c r="BE83" i="8"/>
  <c r="BE80" i="8"/>
  <c r="BE75" i="8"/>
  <c r="BE73" i="8"/>
  <c r="BE70" i="8"/>
  <c r="BE69" i="8"/>
  <c r="BE79" i="8"/>
  <c r="BE111" i="8"/>
  <c r="BE72" i="8"/>
  <c r="BE86" i="8"/>
  <c r="BE77" i="8"/>
  <c r="BE76" i="8"/>
  <c r="BE68" i="8"/>
  <c r="BE30" i="8"/>
  <c r="BE74" i="8"/>
  <c r="BE44" i="8"/>
  <c r="BE41" i="8"/>
  <c r="BE71" i="8"/>
  <c r="BE50" i="8"/>
  <c r="BE47" i="8"/>
  <c r="BE43" i="8"/>
  <c r="BE109" i="8"/>
  <c r="BE49" i="8"/>
  <c r="BE48" i="8"/>
  <c r="BE46" i="8"/>
  <c r="BE29" i="8"/>
  <c r="BE67" i="8"/>
  <c r="BE45" i="8"/>
  <c r="BE40" i="8"/>
  <c r="BE42" i="8"/>
  <c r="BE28" i="8"/>
  <c r="BE25" i="8"/>
  <c r="BE24" i="8"/>
  <c r="BE23" i="8"/>
  <c r="BE22" i="8"/>
  <c r="BE21" i="8"/>
  <c r="BE20" i="8"/>
  <c r="BE19" i="8"/>
  <c r="BE18" i="8"/>
  <c r="BE17" i="8"/>
  <c r="BE16" i="8"/>
  <c r="BE27" i="8"/>
  <c r="BE26" i="8"/>
  <c r="BE53" i="8"/>
  <c r="BE52" i="8"/>
  <c r="BD19" i="8"/>
  <c r="AR25" i="8"/>
  <c r="V42" i="8"/>
  <c r="V43" i="8" s="1"/>
  <c r="AT41" i="8"/>
  <c r="BA45" i="8"/>
  <c r="AW46" i="8"/>
  <c r="AW48" i="8"/>
  <c r="BE51" i="8"/>
  <c r="AN72" i="8"/>
  <c r="BC88" i="8"/>
  <c r="AA54" i="8"/>
  <c r="AA55" i="8" s="1"/>
  <c r="AA56" i="8" s="1"/>
  <c r="AY56" i="8" s="1"/>
  <c r="AA57" i="8"/>
  <c r="AY57" i="8" s="1"/>
  <c r="AP112" i="8"/>
  <c r="AP99" i="8"/>
  <c r="AP97" i="8"/>
  <c r="AP95" i="8"/>
  <c r="AP113" i="8"/>
  <c r="AP110" i="8"/>
  <c r="AP109" i="8"/>
  <c r="AP96" i="8"/>
  <c r="AP89" i="8"/>
  <c r="AP98" i="8"/>
  <c r="AP94" i="8"/>
  <c r="AP84" i="8"/>
  <c r="AP115" i="8"/>
  <c r="AP111" i="8"/>
  <c r="AP93" i="8"/>
  <c r="AP90" i="8"/>
  <c r="AP82" i="8"/>
  <c r="AP77" i="8"/>
  <c r="AP72" i="8"/>
  <c r="AP114" i="8"/>
  <c r="AP92" i="8"/>
  <c r="AP116" i="8"/>
  <c r="AP85" i="8"/>
  <c r="AP88" i="8"/>
  <c r="AP83" i="8"/>
  <c r="AP76" i="8"/>
  <c r="AP81" i="8"/>
  <c r="AP73" i="8"/>
  <c r="AP55" i="8"/>
  <c r="AP54" i="8"/>
  <c r="AP80" i="8"/>
  <c r="AP71" i="8"/>
  <c r="AP50" i="8"/>
  <c r="AP49" i="8"/>
  <c r="AP48" i="8"/>
  <c r="AP47" i="8"/>
  <c r="AP91" i="8"/>
  <c r="AP87" i="8"/>
  <c r="AP52" i="8"/>
  <c r="AP45" i="8"/>
  <c r="AP41" i="8"/>
  <c r="AP86" i="8"/>
  <c r="AP69" i="8"/>
  <c r="AP68" i="8"/>
  <c r="AP51" i="8"/>
  <c r="AP26" i="8"/>
  <c r="AP78" i="8"/>
  <c r="AP67" i="8"/>
  <c r="AP75" i="8"/>
  <c r="AP46" i="8"/>
  <c r="AP25" i="8"/>
  <c r="AP24" i="8"/>
  <c r="AP23" i="8"/>
  <c r="AP22" i="8"/>
  <c r="AP21" i="8"/>
  <c r="AP20" i="8"/>
  <c r="AP19" i="8"/>
  <c r="AP18" i="8"/>
  <c r="AP17" i="8"/>
  <c r="AP44" i="8"/>
  <c r="AP43" i="8"/>
  <c r="AP29" i="8"/>
  <c r="AP79" i="8"/>
  <c r="AP53" i="8"/>
  <c r="AP74" i="8"/>
  <c r="AP70" i="8"/>
  <c r="AP27" i="8"/>
  <c r="AP16" i="8"/>
  <c r="AP28" i="8"/>
  <c r="AP42" i="8"/>
  <c r="AP30" i="8"/>
  <c r="AP40" i="8"/>
  <c r="AX112" i="8"/>
  <c r="AX99" i="8"/>
  <c r="AX97" i="8"/>
  <c r="AX95" i="8"/>
  <c r="AX113" i="8"/>
  <c r="AX110" i="8"/>
  <c r="AX109" i="8"/>
  <c r="AX116" i="8"/>
  <c r="AX115" i="8"/>
  <c r="AX89" i="8"/>
  <c r="AX114" i="8"/>
  <c r="AX98" i="8"/>
  <c r="AX84" i="8"/>
  <c r="AX94" i="8"/>
  <c r="AX82" i="8"/>
  <c r="AX77" i="8"/>
  <c r="AX72" i="8"/>
  <c r="AX96" i="8"/>
  <c r="AX86" i="8"/>
  <c r="AX83" i="8"/>
  <c r="AX81" i="8"/>
  <c r="AX80" i="8"/>
  <c r="AX91" i="8"/>
  <c r="AX88" i="8"/>
  <c r="AX90" i="8"/>
  <c r="AX87" i="8"/>
  <c r="AX74" i="8"/>
  <c r="AX78" i="8"/>
  <c r="AX111" i="8"/>
  <c r="AX76" i="8"/>
  <c r="AX75" i="8"/>
  <c r="AX68" i="8"/>
  <c r="AX55" i="8"/>
  <c r="AX54" i="8"/>
  <c r="AX79" i="8"/>
  <c r="AX93" i="8"/>
  <c r="AX73" i="8"/>
  <c r="AX56" i="8"/>
  <c r="AX50" i="8"/>
  <c r="AX49" i="8"/>
  <c r="AX48" i="8"/>
  <c r="AX47" i="8"/>
  <c r="AX85" i="8"/>
  <c r="AX71" i="8"/>
  <c r="AX53" i="8"/>
  <c r="AX46" i="8"/>
  <c r="AX41" i="8"/>
  <c r="AX70" i="8"/>
  <c r="AX52" i="8"/>
  <c r="AX45" i="8"/>
  <c r="AX26" i="8"/>
  <c r="AX42" i="8"/>
  <c r="AX25" i="8"/>
  <c r="AX24" i="8"/>
  <c r="AX23" i="8"/>
  <c r="AX22" i="8"/>
  <c r="AX21" i="8"/>
  <c r="AX20" i="8"/>
  <c r="AX19" i="8"/>
  <c r="AX18" i="8"/>
  <c r="AX17" i="8"/>
  <c r="AX51" i="8"/>
  <c r="AX40" i="8"/>
  <c r="AX43" i="8"/>
  <c r="AX69" i="8"/>
  <c r="AX16" i="8"/>
  <c r="AX27" i="8"/>
  <c r="AX44" i="8"/>
  <c r="BF92" i="8"/>
  <c r="BF116" i="8"/>
  <c r="BF115" i="8"/>
  <c r="BF110" i="8"/>
  <c r="BF93" i="8"/>
  <c r="BF91" i="8"/>
  <c r="BF89" i="8"/>
  <c r="BF94" i="8"/>
  <c r="BF96" i="8"/>
  <c r="BF113" i="8"/>
  <c r="BF111" i="8"/>
  <c r="BF95" i="8"/>
  <c r="BF109" i="8"/>
  <c r="BF88" i="8"/>
  <c r="BF85" i="8"/>
  <c r="BF76" i="8"/>
  <c r="BF71" i="8"/>
  <c r="BF97" i="8"/>
  <c r="BF98" i="8"/>
  <c r="BF82" i="8"/>
  <c r="BF83" i="8"/>
  <c r="BF81" i="8"/>
  <c r="BF99" i="8"/>
  <c r="BF86" i="8"/>
  <c r="BF72" i="8"/>
  <c r="BF68" i="8"/>
  <c r="BF114" i="8"/>
  <c r="BF73" i="8"/>
  <c r="BF80" i="8"/>
  <c r="BF77" i="8"/>
  <c r="BF112" i="8"/>
  <c r="BF90" i="8"/>
  <c r="BF87" i="8"/>
  <c r="BF84" i="8"/>
  <c r="BF53" i="8"/>
  <c r="BF52" i="8"/>
  <c r="BF51" i="8"/>
  <c r="BF75" i="8"/>
  <c r="BF47" i="8"/>
  <c r="BF43" i="8"/>
  <c r="BF42" i="8"/>
  <c r="BF79" i="8"/>
  <c r="BF74" i="8"/>
  <c r="BF69" i="8"/>
  <c r="BF78" i="8"/>
  <c r="BF67" i="8"/>
  <c r="BF50" i="8"/>
  <c r="BF40" i="8"/>
  <c r="BF49" i="8"/>
  <c r="BF48" i="8"/>
  <c r="BF46" i="8"/>
  <c r="BF45" i="8"/>
  <c r="BF70" i="8"/>
  <c r="BF44" i="8"/>
  <c r="BF27" i="8"/>
  <c r="BF26" i="8"/>
  <c r="BF21" i="8"/>
  <c r="BF30" i="8"/>
  <c r="BF18" i="8"/>
  <c r="BF20" i="8"/>
  <c r="BF28" i="8"/>
  <c r="BF23" i="8"/>
  <c r="BF29" i="8"/>
  <c r="BF22" i="8"/>
  <c r="BF25" i="8"/>
  <c r="BF17" i="8"/>
  <c r="BF19" i="8"/>
  <c r="AR20" i="8"/>
  <c r="AV27" i="8"/>
  <c r="AX30" i="8"/>
  <c r="W42" i="8"/>
  <c r="W43" i="8" s="1"/>
  <c r="W44" i="8" s="1"/>
  <c r="W45" i="8" s="1"/>
  <c r="W46" i="8" s="1"/>
  <c r="AU41" i="8"/>
  <c r="AE41" i="8"/>
  <c r="AE42" i="8" s="1"/>
  <c r="BC40" i="8"/>
  <c r="Q54" i="8"/>
  <c r="Q55" i="8" s="1"/>
  <c r="Q56" i="8" s="1"/>
  <c r="AO56" i="8" s="1"/>
  <c r="Q57" i="8"/>
  <c r="AO57" i="8" s="1"/>
  <c r="C45" i="8"/>
  <c r="C50" i="8"/>
  <c r="AX67" i="8"/>
  <c r="AQ115" i="8"/>
  <c r="AQ116" i="8"/>
  <c r="AQ98" i="8"/>
  <c r="AQ112" i="8"/>
  <c r="AQ114" i="8"/>
  <c r="AQ90" i="8"/>
  <c r="AQ111" i="8"/>
  <c r="AQ78" i="8"/>
  <c r="AQ113" i="8"/>
  <c r="AQ110" i="8"/>
  <c r="AQ109" i="8"/>
  <c r="AQ79" i="8"/>
  <c r="AQ73" i="8"/>
  <c r="AQ70" i="8"/>
  <c r="AQ72" i="8"/>
  <c r="AQ80" i="8"/>
  <c r="AQ67" i="8"/>
  <c r="AQ53" i="8"/>
  <c r="AQ52" i="8"/>
  <c r="AQ51" i="8"/>
  <c r="AQ77" i="8"/>
  <c r="AQ46" i="8"/>
  <c r="AQ45" i="8"/>
  <c r="AQ69" i="8"/>
  <c r="AQ68" i="8"/>
  <c r="AQ40" i="8"/>
  <c r="AQ75" i="8"/>
  <c r="AQ50" i="8"/>
  <c r="AQ48" i="8"/>
  <c r="AQ16" i="8"/>
  <c r="AQ44" i="8"/>
  <c r="AQ43" i="8"/>
  <c r="AQ41" i="8"/>
  <c r="AQ74" i="8"/>
  <c r="AQ71" i="8"/>
  <c r="AQ76" i="8"/>
  <c r="AY115" i="8"/>
  <c r="AY116" i="8"/>
  <c r="AY98" i="8"/>
  <c r="AY96" i="8"/>
  <c r="AY93" i="8"/>
  <c r="AY111" i="8"/>
  <c r="AY112" i="8"/>
  <c r="AY113" i="8"/>
  <c r="AY95" i="8"/>
  <c r="AY90" i="8"/>
  <c r="AY92" i="8"/>
  <c r="AY109" i="8"/>
  <c r="AY97" i="8"/>
  <c r="AY94" i="8"/>
  <c r="AY88" i="8"/>
  <c r="AY114" i="8"/>
  <c r="AY99" i="8"/>
  <c r="AY110" i="8"/>
  <c r="AY78" i="8"/>
  <c r="AY91" i="8"/>
  <c r="AY87" i="8"/>
  <c r="AY84" i="8"/>
  <c r="AY85" i="8"/>
  <c r="AY81" i="8"/>
  <c r="AY77" i="8"/>
  <c r="AY71" i="8"/>
  <c r="AY73" i="8"/>
  <c r="AY70" i="8"/>
  <c r="AY89" i="8"/>
  <c r="AY76" i="8"/>
  <c r="AY75" i="8"/>
  <c r="AY79" i="8"/>
  <c r="AY74" i="8"/>
  <c r="AY69" i="8"/>
  <c r="AY53" i="8"/>
  <c r="AY52" i="8"/>
  <c r="AY51" i="8"/>
  <c r="AY82" i="8"/>
  <c r="AY67" i="8"/>
  <c r="AY46" i="8"/>
  <c r="AY45" i="8"/>
  <c r="AY83" i="8"/>
  <c r="AY86" i="8"/>
  <c r="AY72" i="8"/>
  <c r="AY40" i="8"/>
  <c r="AY55" i="8"/>
  <c r="AY16" i="8"/>
  <c r="AY80" i="8"/>
  <c r="AY68" i="8"/>
  <c r="AY48" i="8"/>
  <c r="AY47" i="8"/>
  <c r="BG112" i="8"/>
  <c r="BG99" i="8"/>
  <c r="BG97" i="8"/>
  <c r="BG95" i="8"/>
  <c r="BG113" i="8"/>
  <c r="BG110" i="8"/>
  <c r="BG109" i="8"/>
  <c r="BG114" i="8"/>
  <c r="BG89" i="8"/>
  <c r="BG111" i="8"/>
  <c r="BG91" i="8"/>
  <c r="BG84" i="8"/>
  <c r="BG116" i="8"/>
  <c r="BG98" i="8"/>
  <c r="BG93" i="8"/>
  <c r="BG92" i="8"/>
  <c r="BG87" i="8"/>
  <c r="BG86" i="8"/>
  <c r="BG82" i="8"/>
  <c r="BG77" i="8"/>
  <c r="BG72" i="8"/>
  <c r="BG79" i="8"/>
  <c r="BG78" i="8"/>
  <c r="BG83" i="8"/>
  <c r="BG81" i="8"/>
  <c r="BG94" i="8"/>
  <c r="BG85" i="8"/>
  <c r="BG75" i="8"/>
  <c r="BG69" i="8"/>
  <c r="BG115" i="8"/>
  <c r="BG80" i="8"/>
  <c r="BG74" i="8"/>
  <c r="BG67" i="8"/>
  <c r="BG71" i="8"/>
  <c r="BG90" i="8"/>
  <c r="BG88" i="8"/>
  <c r="BG70" i="8"/>
  <c r="BG68" i="8"/>
  <c r="BG50" i="8"/>
  <c r="BG49" i="8"/>
  <c r="BG48" i="8"/>
  <c r="BG47" i="8"/>
  <c r="BG76" i="8"/>
  <c r="BG44" i="8"/>
  <c r="BG41" i="8"/>
  <c r="BG46" i="8"/>
  <c r="BG26" i="8"/>
  <c r="BG45" i="8"/>
  <c r="BG40" i="8"/>
  <c r="BG28" i="8"/>
  <c r="BG25" i="8"/>
  <c r="BG24" i="8"/>
  <c r="BG23" i="8"/>
  <c r="BG22" i="8"/>
  <c r="BG21" i="8"/>
  <c r="BG20" i="8"/>
  <c r="BG19" i="8"/>
  <c r="BG18" i="8"/>
  <c r="BG17" i="8"/>
  <c r="BG16" i="8"/>
  <c r="BG42" i="8"/>
  <c r="BG73" i="8"/>
  <c r="AL109" i="8"/>
  <c r="AL110" i="8" s="1"/>
  <c r="BJ110" i="8" s="1"/>
  <c r="AL67" i="8"/>
  <c r="AL68" i="8" s="1"/>
  <c r="AL69" i="8" s="1"/>
  <c r="AL70" i="8" s="1"/>
  <c r="AL71" i="8" s="1"/>
  <c r="AL72" i="8" s="1"/>
  <c r="AL73" i="8" s="1"/>
  <c r="AL74" i="8" s="1"/>
  <c r="AL75" i="8" s="1"/>
  <c r="AL76" i="8" s="1"/>
  <c r="AL77" i="8" s="1"/>
  <c r="AL78" i="8" s="1"/>
  <c r="AL79" i="8" s="1"/>
  <c r="AL80" i="8" s="1"/>
  <c r="AL81" i="8" s="1"/>
  <c r="AL82" i="8" s="1"/>
  <c r="AL83" i="8" s="1"/>
  <c r="AL84" i="8" s="1"/>
  <c r="AL85" i="8" s="1"/>
  <c r="AL86" i="8" s="1"/>
  <c r="AL87" i="8" s="1"/>
  <c r="AL88" i="8" s="1"/>
  <c r="AL89" i="8" s="1"/>
  <c r="AL90" i="8" s="1"/>
  <c r="AL91" i="8" s="1"/>
  <c r="AL92" i="8" s="1"/>
  <c r="AL93" i="8" s="1"/>
  <c r="AL94" i="8" s="1"/>
  <c r="AL95" i="8" s="1"/>
  <c r="AL96" i="8" s="1"/>
  <c r="AL97" i="8" s="1"/>
  <c r="AL98" i="8" s="1"/>
  <c r="AL99" i="8" s="1"/>
  <c r="BJ99" i="8" s="1"/>
  <c r="BH16" i="8"/>
  <c r="AQ18" i="8"/>
  <c r="C21" i="8"/>
  <c r="BC23" i="8"/>
  <c r="C27" i="8"/>
  <c r="C28" i="8"/>
  <c r="BG52" i="8"/>
  <c r="AR68" i="8"/>
  <c r="AS69" i="8"/>
  <c r="BH115" i="8"/>
  <c r="BH116" i="8"/>
  <c r="BH114" i="8"/>
  <c r="BH111" i="8"/>
  <c r="BH109" i="8"/>
  <c r="BH113" i="8"/>
  <c r="BH110" i="8"/>
  <c r="BH72" i="8"/>
  <c r="BH112" i="8"/>
  <c r="BH70" i="8"/>
  <c r="AY19" i="8"/>
  <c r="BG96" i="8"/>
  <c r="B9" i="8"/>
  <c r="AS113" i="8"/>
  <c r="AS110" i="8"/>
  <c r="AS109" i="8"/>
  <c r="AS114" i="8"/>
  <c r="AS94" i="8"/>
  <c r="AS116" i="8"/>
  <c r="AS115" i="8"/>
  <c r="AS90" i="8"/>
  <c r="AS89" i="8"/>
  <c r="AS95" i="8"/>
  <c r="AS92" i="8"/>
  <c r="AS91" i="8"/>
  <c r="AS98" i="8"/>
  <c r="AS93" i="8"/>
  <c r="AS112" i="8"/>
  <c r="AS74" i="8"/>
  <c r="AS85" i="8"/>
  <c r="AS96" i="8"/>
  <c r="AS97" i="8"/>
  <c r="AS88" i="8"/>
  <c r="AS86" i="8"/>
  <c r="AS83" i="8"/>
  <c r="AS82" i="8"/>
  <c r="AS99" i="8"/>
  <c r="AS80" i="8"/>
  <c r="AS77" i="8"/>
  <c r="AS46" i="8"/>
  <c r="AS111" i="8"/>
  <c r="AS78" i="8"/>
  <c r="AS75" i="8"/>
  <c r="AS76" i="8"/>
  <c r="AS73" i="8"/>
  <c r="AS71" i="8"/>
  <c r="AS79" i="8"/>
  <c r="AS72" i="8"/>
  <c r="AS42" i="8"/>
  <c r="AS40" i="8"/>
  <c r="AS84" i="8"/>
  <c r="BA111" i="8"/>
  <c r="BA109" i="8"/>
  <c r="BA113" i="8"/>
  <c r="BA95" i="8"/>
  <c r="BA90" i="8"/>
  <c r="BA97" i="8"/>
  <c r="BA96" i="8"/>
  <c r="BA94" i="8"/>
  <c r="BA110" i="8"/>
  <c r="BA99" i="8"/>
  <c r="BA85" i="8"/>
  <c r="BA114" i="8"/>
  <c r="BA91" i="8"/>
  <c r="BA83" i="8"/>
  <c r="BA79" i="8"/>
  <c r="BA73" i="8"/>
  <c r="BA116" i="8"/>
  <c r="BA88" i="8"/>
  <c r="BA87" i="8"/>
  <c r="BA84" i="8"/>
  <c r="BA98" i="8"/>
  <c r="BA93" i="8"/>
  <c r="BA76" i="8"/>
  <c r="BA78" i="8"/>
  <c r="BA74" i="8"/>
  <c r="BA82" i="8"/>
  <c r="BA47" i="8"/>
  <c r="BA115" i="8"/>
  <c r="BA92" i="8"/>
  <c r="BA72" i="8"/>
  <c r="BA44" i="8"/>
  <c r="BA112" i="8"/>
  <c r="BA86" i="8"/>
  <c r="BA70" i="8"/>
  <c r="BA80" i="8"/>
  <c r="BA75" i="8"/>
  <c r="BA77" i="8"/>
  <c r="BA71" i="8"/>
  <c r="BA68" i="8"/>
  <c r="BA81" i="8"/>
  <c r="BA43" i="8"/>
  <c r="BA41" i="8"/>
  <c r="BA89" i="8"/>
  <c r="BI111" i="8"/>
  <c r="BI116" i="8"/>
  <c r="BI115" i="8"/>
  <c r="BI110" i="8"/>
  <c r="BI109" i="8"/>
  <c r="BI90" i="8"/>
  <c r="BI112" i="8"/>
  <c r="BI113" i="8"/>
  <c r="BI96" i="8"/>
  <c r="BI85" i="8"/>
  <c r="BI95" i="8"/>
  <c r="BI92" i="8"/>
  <c r="BI91" i="8"/>
  <c r="BI98" i="8"/>
  <c r="BI93" i="8"/>
  <c r="BI94" i="8"/>
  <c r="BI83" i="8"/>
  <c r="BI79" i="8"/>
  <c r="BI73" i="8"/>
  <c r="BI89" i="8"/>
  <c r="BI99" i="8"/>
  <c r="BI86" i="8"/>
  <c r="BI87" i="8"/>
  <c r="BI84" i="8"/>
  <c r="BI114" i="8"/>
  <c r="BI97" i="8"/>
  <c r="BI74" i="8"/>
  <c r="BI77" i="8"/>
  <c r="BI80" i="8"/>
  <c r="BI70" i="8"/>
  <c r="BI68" i="8"/>
  <c r="BI88" i="8"/>
  <c r="BI81" i="8"/>
  <c r="BI76" i="8"/>
  <c r="BI75" i="8"/>
  <c r="BI69" i="8"/>
  <c r="BI82" i="8"/>
  <c r="BI67" i="8"/>
  <c r="BI78" i="8"/>
  <c r="BI72" i="8"/>
  <c r="BJ16" i="8"/>
  <c r="AL17" i="8"/>
  <c r="AL18" i="8" s="1"/>
  <c r="BI17" i="8"/>
  <c r="L18" i="8"/>
  <c r="AS18" i="8"/>
  <c r="C19" i="8"/>
  <c r="BA19" i="8"/>
  <c r="BK19" i="8"/>
  <c r="AR21" i="8"/>
  <c r="BC21" i="8"/>
  <c r="BG29" i="8"/>
  <c r="BG30" i="8"/>
  <c r="AT40" i="8"/>
  <c r="BK40" i="8"/>
  <c r="AQ42" i="8"/>
  <c r="BB44" i="8"/>
  <c r="BA69" i="8"/>
  <c r="BC83" i="8"/>
  <c r="AR111" i="8"/>
  <c r="AR113" i="8"/>
  <c r="AR114" i="8"/>
  <c r="AR99" i="8"/>
  <c r="AR98" i="8"/>
  <c r="AR90" i="8"/>
  <c r="AR116" i="8"/>
  <c r="AR93" i="8"/>
  <c r="AR91" i="8"/>
  <c r="AR85" i="8"/>
  <c r="AR87" i="8"/>
  <c r="AR86" i="8"/>
  <c r="AR95" i="8"/>
  <c r="AR92" i="8"/>
  <c r="AR109" i="8"/>
  <c r="AR97" i="8"/>
  <c r="AR88" i="8"/>
  <c r="AR83" i="8"/>
  <c r="AR79" i="8"/>
  <c r="AR73" i="8"/>
  <c r="AR89" i="8"/>
  <c r="AR115" i="8"/>
  <c r="AR96" i="8"/>
  <c r="AR76" i="8"/>
  <c r="AR84" i="8"/>
  <c r="AR81" i="8"/>
  <c r="AR75" i="8"/>
  <c r="AR72" i="8"/>
  <c r="AR80" i="8"/>
  <c r="AR110" i="8"/>
  <c r="AR71" i="8"/>
  <c r="AR50" i="8"/>
  <c r="AR49" i="8"/>
  <c r="AR48" i="8"/>
  <c r="AR47" i="8"/>
  <c r="AR77" i="8"/>
  <c r="AR82" i="8"/>
  <c r="AR70" i="8"/>
  <c r="AR44" i="8"/>
  <c r="AR112" i="8"/>
  <c r="AR94" i="8"/>
  <c r="AR67" i="8"/>
  <c r="AR54" i="8"/>
  <c r="AR28" i="8"/>
  <c r="AR69" i="8"/>
  <c r="AR46" i="8"/>
  <c r="AR45" i="8"/>
  <c r="AR43" i="8"/>
  <c r="AR41" i="8"/>
  <c r="AR74" i="8"/>
  <c r="AR78" i="8"/>
  <c r="AR40" i="8"/>
  <c r="AY44" i="8"/>
  <c r="AY49" i="8"/>
  <c r="AT116" i="8"/>
  <c r="AT98" i="8"/>
  <c r="AT96" i="8"/>
  <c r="AT113" i="8"/>
  <c r="AT115" i="8"/>
  <c r="AT110" i="8"/>
  <c r="AT92" i="8"/>
  <c r="AT91" i="8"/>
  <c r="AT109" i="8"/>
  <c r="AT86" i="8"/>
  <c r="AT93" i="8"/>
  <c r="AT112" i="8"/>
  <c r="AT114" i="8"/>
  <c r="AT97" i="8"/>
  <c r="AT99" i="8"/>
  <c r="AT94" i="8"/>
  <c r="AT80" i="8"/>
  <c r="AT88" i="8"/>
  <c r="AT82" i="8"/>
  <c r="AT81" i="8"/>
  <c r="AT79" i="8"/>
  <c r="AT78" i="8"/>
  <c r="AT77" i="8"/>
  <c r="AT76" i="8"/>
  <c r="AT75" i="8"/>
  <c r="AT74" i="8"/>
  <c r="AT72" i="8"/>
  <c r="AT71" i="8"/>
  <c r="AT70" i="8"/>
  <c r="AT67" i="8"/>
  <c r="AT84" i="8"/>
  <c r="AT87" i="8"/>
  <c r="AT69" i="8"/>
  <c r="AT83" i="8"/>
  <c r="AT89" i="8"/>
  <c r="AT111" i="8"/>
  <c r="AT68" i="8"/>
  <c r="AT85" i="8"/>
  <c r="AT73" i="8"/>
  <c r="AT95" i="8"/>
  <c r="AT90" i="8"/>
  <c r="BB113" i="8"/>
  <c r="BB110" i="8"/>
  <c r="BB109" i="8"/>
  <c r="BB114" i="8"/>
  <c r="BB94" i="8"/>
  <c r="BB112" i="8"/>
  <c r="BB97" i="8"/>
  <c r="BB96" i="8"/>
  <c r="BB99" i="8"/>
  <c r="BB98" i="8"/>
  <c r="BB111" i="8"/>
  <c r="BB87" i="8"/>
  <c r="BB86" i="8"/>
  <c r="BB85" i="8"/>
  <c r="BB116" i="8"/>
  <c r="BB115" i="8"/>
  <c r="BB95" i="8"/>
  <c r="BB93" i="8"/>
  <c r="BB92" i="8"/>
  <c r="BB74" i="8"/>
  <c r="BB84" i="8"/>
  <c r="BB90" i="8"/>
  <c r="BB89" i="8"/>
  <c r="BB91" i="8"/>
  <c r="BB78" i="8"/>
  <c r="BB70" i="8"/>
  <c r="BB79" i="8"/>
  <c r="BB82" i="8"/>
  <c r="BB67" i="8"/>
  <c r="BB46" i="8"/>
  <c r="BB45" i="8"/>
  <c r="BB73" i="8"/>
  <c r="BB72" i="8"/>
  <c r="BB52" i="8"/>
  <c r="BB49" i="8"/>
  <c r="BB80" i="8"/>
  <c r="BB76" i="8"/>
  <c r="BB75" i="8"/>
  <c r="BB68" i="8"/>
  <c r="BB51" i="8"/>
  <c r="BB48" i="8"/>
  <c r="BB57" i="8"/>
  <c r="BB77" i="8"/>
  <c r="BB71" i="8"/>
  <c r="BB53" i="8"/>
  <c r="BB81" i="8"/>
  <c r="BB47" i="8"/>
  <c r="BB43" i="8"/>
  <c r="BB41" i="8"/>
  <c r="BB50" i="8"/>
  <c r="BB83" i="8"/>
  <c r="BJ113" i="8"/>
  <c r="BJ114" i="8"/>
  <c r="BJ116" i="8"/>
  <c r="BJ115" i="8"/>
  <c r="BJ112" i="8"/>
  <c r="BJ95" i="8"/>
  <c r="BJ97" i="8"/>
  <c r="BJ93" i="8"/>
  <c r="BJ111" i="8"/>
  <c r="BJ86" i="8"/>
  <c r="BJ87" i="8"/>
  <c r="BJ84" i="8"/>
  <c r="BJ92" i="8"/>
  <c r="BJ83" i="8"/>
  <c r="BJ70" i="8"/>
  <c r="BJ75" i="8"/>
  <c r="BJ78" i="8"/>
  <c r="BJ67" i="8"/>
  <c r="BJ79" i="8"/>
  <c r="BK16" i="8"/>
  <c r="AY17" i="8"/>
  <c r="BJ17" i="8"/>
  <c r="AT18" i="8"/>
  <c r="AQ19" i="8"/>
  <c r="C22" i="8"/>
  <c r="BK22" i="8"/>
  <c r="AR24" i="8"/>
  <c r="AY41" i="8"/>
  <c r="AR42" i="8"/>
  <c r="AR51" i="8"/>
  <c r="AR52" i="8"/>
  <c r="AS67" i="8"/>
  <c r="BB69" i="8"/>
  <c r="BJ73" i="8"/>
  <c r="AM109" i="8"/>
  <c r="AM110" i="8" s="1"/>
  <c r="BK110" i="8" s="1"/>
  <c r="AM67" i="8"/>
  <c r="AM68" i="8" s="1"/>
  <c r="AM69" i="8" s="1"/>
  <c r="AM70" i="8" s="1"/>
  <c r="AM71" i="8" s="1"/>
  <c r="AR18" i="8"/>
  <c r="M12" i="8"/>
  <c r="AU111" i="8"/>
  <c r="AU112" i="8"/>
  <c r="AU99" i="8"/>
  <c r="AU97" i="8"/>
  <c r="AU95" i="8"/>
  <c r="AU91" i="8"/>
  <c r="AU114" i="8"/>
  <c r="AU116" i="8"/>
  <c r="AU110" i="8"/>
  <c r="AU92" i="8"/>
  <c r="AU93" i="8"/>
  <c r="AU88" i="8"/>
  <c r="AU96" i="8"/>
  <c r="AU98" i="8"/>
  <c r="AU109" i="8"/>
  <c r="AU84" i="8"/>
  <c r="AU75" i="8"/>
  <c r="AU70" i="8"/>
  <c r="AU115" i="8"/>
  <c r="AU86" i="8"/>
  <c r="AU82" i="8"/>
  <c r="AU81" i="8"/>
  <c r="AU87" i="8"/>
  <c r="AU83" i="8"/>
  <c r="AU80" i="8"/>
  <c r="AU73" i="8"/>
  <c r="AU68" i="8"/>
  <c r="AU90" i="8"/>
  <c r="AU89" i="8"/>
  <c r="AU72" i="8"/>
  <c r="AU94" i="8"/>
  <c r="AU77" i="8"/>
  <c r="AU78" i="8"/>
  <c r="AU76" i="8"/>
  <c r="AU74" i="8"/>
  <c r="AU69" i="8"/>
  <c r="AU85" i="8"/>
  <c r="AU67" i="8"/>
  <c r="AU71" i="8"/>
  <c r="AU79" i="8"/>
  <c r="AU40" i="8"/>
  <c r="AU113" i="8"/>
  <c r="BC116" i="8"/>
  <c r="BC98" i="8"/>
  <c r="BC96" i="8"/>
  <c r="BC112" i="8"/>
  <c r="BC99" i="8"/>
  <c r="BC94" i="8"/>
  <c r="BC114" i="8"/>
  <c r="BC115" i="8"/>
  <c r="BC86" i="8"/>
  <c r="BC89" i="8"/>
  <c r="BC91" i="8"/>
  <c r="BC111" i="8"/>
  <c r="BC80" i="8"/>
  <c r="BC90" i="8"/>
  <c r="BC109" i="8"/>
  <c r="BC97" i="8"/>
  <c r="BC93" i="8"/>
  <c r="BC85" i="8"/>
  <c r="BC67" i="8"/>
  <c r="BC95" i="8"/>
  <c r="BC76" i="8"/>
  <c r="BC73" i="8"/>
  <c r="BC110" i="8"/>
  <c r="BC92" i="8"/>
  <c r="BC75" i="8"/>
  <c r="BC72" i="8"/>
  <c r="BC79" i="8"/>
  <c r="BC81" i="8"/>
  <c r="BC71" i="8"/>
  <c r="BC70" i="8"/>
  <c r="BC113" i="8"/>
  <c r="BC82" i="8"/>
  <c r="BC68" i="8"/>
  <c r="BC84" i="8"/>
  <c r="BC69" i="8"/>
  <c r="BC77" i="8"/>
  <c r="BC74" i="8"/>
  <c r="BK116" i="8"/>
  <c r="BK111" i="8"/>
  <c r="BK113" i="8"/>
  <c r="BK115" i="8"/>
  <c r="BK112" i="8"/>
  <c r="BK67" i="8"/>
  <c r="BK69" i="8"/>
  <c r="BK41" i="8"/>
  <c r="AR16" i="8"/>
  <c r="BK17" i="8"/>
  <c r="AU18" i="8"/>
  <c r="AR19" i="8"/>
  <c r="BC19" i="8"/>
  <c r="AY20" i="8"/>
  <c r="AR27" i="8"/>
  <c r="BG27" i="8"/>
  <c r="AY42" i="8"/>
  <c r="AY43" i="8"/>
  <c r="AY50" i="8"/>
  <c r="AS70" i="8"/>
  <c r="BC78" i="8"/>
  <c r="BB88" i="8"/>
  <c r="M106" i="8"/>
  <c r="C93" i="8"/>
  <c r="C94" i="8"/>
  <c r="C98" i="8"/>
  <c r="C95" i="8"/>
  <c r="C97" i="8"/>
  <c r="C77" i="8"/>
  <c r="C86" i="8"/>
  <c r="C83" i="8"/>
  <c r="C82" i="8"/>
  <c r="C81" i="8"/>
  <c r="C87" i="8"/>
  <c r="C88" i="8"/>
  <c r="C79" i="8"/>
  <c r="C80" i="8"/>
  <c r="C70" i="8"/>
  <c r="L70" i="8"/>
  <c r="A69" i="8"/>
  <c r="E113" i="7"/>
  <c r="B113" i="7"/>
  <c r="E109" i="7"/>
  <c r="B109" i="7"/>
  <c r="E108" i="7"/>
  <c r="B108" i="7"/>
  <c r="E107" i="7"/>
  <c r="B107" i="7"/>
  <c r="X92" i="3" l="1"/>
  <c r="AV91" i="3"/>
  <c r="AF93" i="3"/>
  <c r="BD92" i="3"/>
  <c r="Z90" i="3"/>
  <c r="AX89" i="3"/>
  <c r="AJ97" i="3"/>
  <c r="BH96" i="3"/>
  <c r="AH86" i="3"/>
  <c r="BF85" i="3"/>
  <c r="P87" i="3"/>
  <c r="AN86" i="3"/>
  <c r="R84" i="3"/>
  <c r="AP83" i="3"/>
  <c r="J83" i="3" s="1"/>
  <c r="L88" i="3"/>
  <c r="A87" i="3"/>
  <c r="AR29" i="8"/>
  <c r="BA48" i="8"/>
  <c r="C75" i="8"/>
  <c r="C84" i="8"/>
  <c r="C85" i="8"/>
  <c r="C99" i="8"/>
  <c r="BJ82" i="8"/>
  <c r="BJ98" i="8"/>
  <c r="BH17" i="8"/>
  <c r="BH73" i="8"/>
  <c r="BH69" i="8"/>
  <c r="AR23" i="8"/>
  <c r="BD54" i="8"/>
  <c r="BD55" i="8"/>
  <c r="BK46" i="8"/>
  <c r="C78" i="8"/>
  <c r="AR26" i="8"/>
  <c r="AO55" i="8"/>
  <c r="C71" i="8"/>
  <c r="C96" i="8"/>
  <c r="C91" i="8"/>
  <c r="BK44" i="8"/>
  <c r="AT42" i="8"/>
  <c r="C73" i="8"/>
  <c r="C74" i="8"/>
  <c r="C89" i="8"/>
  <c r="C90" i="8"/>
  <c r="AR55" i="8"/>
  <c r="C67" i="8"/>
  <c r="C76" i="8"/>
  <c r="C72" i="8"/>
  <c r="BH18" i="8"/>
  <c r="BK109" i="8"/>
  <c r="BC41" i="8"/>
  <c r="BJ90" i="8"/>
  <c r="AQ82" i="8"/>
  <c r="U52" i="8"/>
  <c r="AS51" i="8"/>
  <c r="AK45" i="8"/>
  <c r="BI45" i="8" s="1"/>
  <c r="BI44" i="8"/>
  <c r="AS48" i="8"/>
  <c r="BA22" i="8"/>
  <c r="BJ69" i="8"/>
  <c r="J69" i="8" s="1"/>
  <c r="BJ76" i="8"/>
  <c r="BJ71" i="8"/>
  <c r="BJ74" i="8"/>
  <c r="BA52" i="8"/>
  <c r="AS49" i="8"/>
  <c r="AQ86" i="8"/>
  <c r="AQ85" i="8"/>
  <c r="AQ97" i="8"/>
  <c r="AO22" i="8"/>
  <c r="BI43" i="8"/>
  <c r="BJ41" i="8"/>
  <c r="J41" i="8" s="1"/>
  <c r="AQ87" i="8"/>
  <c r="BJ91" i="8"/>
  <c r="BJ85" i="8"/>
  <c r="BJ80" i="8"/>
  <c r="BJ89" i="8"/>
  <c r="AS44" i="8"/>
  <c r="AQ91" i="8"/>
  <c r="AQ89" i="8"/>
  <c r="BF55" i="8"/>
  <c r="AN54" i="8"/>
  <c r="AS43" i="8"/>
  <c r="AQ94" i="8"/>
  <c r="BK43" i="8"/>
  <c r="AS21" i="8"/>
  <c r="BJ72" i="8"/>
  <c r="BJ77" i="8"/>
  <c r="BJ96" i="8"/>
  <c r="AS47" i="8"/>
  <c r="AQ83" i="8"/>
  <c r="AQ93" i="8"/>
  <c r="AN55" i="8"/>
  <c r="S54" i="8"/>
  <c r="S55" i="8" s="1"/>
  <c r="S56" i="8" s="1"/>
  <c r="AQ56" i="8" s="1"/>
  <c r="M65" i="8"/>
  <c r="C68" i="8"/>
  <c r="C69" i="8"/>
  <c r="AQ88" i="8"/>
  <c r="AU44" i="8"/>
  <c r="AQ92" i="8"/>
  <c r="BK45" i="8"/>
  <c r="BJ68" i="8"/>
  <c r="BJ81" i="8"/>
  <c r="BJ88" i="8"/>
  <c r="BJ94" i="8"/>
  <c r="BI42" i="8"/>
  <c r="AS45" i="8"/>
  <c r="AQ49" i="8"/>
  <c r="AQ84" i="8"/>
  <c r="AQ95" i="8"/>
  <c r="AQ96" i="8"/>
  <c r="L54" i="9"/>
  <c r="A54" i="9" s="1"/>
  <c r="A53" i="9"/>
  <c r="AI95" i="7"/>
  <c r="BL94" i="7"/>
  <c r="AI139" i="7"/>
  <c r="BL138" i="7"/>
  <c r="BL56" i="7"/>
  <c r="AI57" i="7"/>
  <c r="AI58" i="7" s="1"/>
  <c r="AE52" i="7"/>
  <c r="BH51" i="7"/>
  <c r="L137" i="7"/>
  <c r="A136" i="7"/>
  <c r="AE134" i="7"/>
  <c r="BH133" i="7"/>
  <c r="AE90" i="7"/>
  <c r="BH89" i="7"/>
  <c r="AE29" i="7"/>
  <c r="BH28" i="7"/>
  <c r="AN31" i="9"/>
  <c r="BP31" i="9" s="1"/>
  <c r="J31" i="9" s="1"/>
  <c r="BP30" i="9"/>
  <c r="J30" i="9" s="1"/>
  <c r="L228" i="7"/>
  <c r="A227" i="7"/>
  <c r="J116" i="8"/>
  <c r="Y29" i="8"/>
  <c r="AW28" i="8"/>
  <c r="AE43" i="8"/>
  <c r="BC42" i="8"/>
  <c r="AW54" i="8"/>
  <c r="AC57" i="8"/>
  <c r="BA57" i="8" s="1"/>
  <c r="AC54" i="8"/>
  <c r="AV54" i="8"/>
  <c r="J110" i="8"/>
  <c r="J115" i="8"/>
  <c r="AJ77" i="8"/>
  <c r="BH76" i="8"/>
  <c r="AM24" i="8"/>
  <c r="BK23" i="8"/>
  <c r="D27" i="8"/>
  <c r="D30" i="8"/>
  <c r="D26" i="8"/>
  <c r="D25" i="8"/>
  <c r="D24" i="8"/>
  <c r="D23" i="8"/>
  <c r="D22" i="8"/>
  <c r="D21" i="8"/>
  <c r="D20" i="8"/>
  <c r="D19" i="8"/>
  <c r="D18" i="8"/>
  <c r="D17" i="8"/>
  <c r="D29" i="8"/>
  <c r="D16" i="8"/>
  <c r="D28" i="8"/>
  <c r="AY22" i="8"/>
  <c r="BH71" i="8"/>
  <c r="AW24" i="8"/>
  <c r="AW26" i="8"/>
  <c r="AV55" i="8"/>
  <c r="J16" i="8"/>
  <c r="AL43" i="8"/>
  <c r="BJ42" i="8"/>
  <c r="BB54" i="8"/>
  <c r="AC24" i="8"/>
  <c r="BA23" i="8"/>
  <c r="AJ42" i="8"/>
  <c r="BH41" i="8"/>
  <c r="BH40" i="8"/>
  <c r="J40" i="8"/>
  <c r="AQ22" i="8"/>
  <c r="BK70" i="8"/>
  <c r="J70" i="8" s="1"/>
  <c r="AU43" i="8"/>
  <c r="BA51" i="8"/>
  <c r="BA49" i="8"/>
  <c r="BH74" i="8"/>
  <c r="AW55" i="8"/>
  <c r="AO54" i="8"/>
  <c r="J17" i="8"/>
  <c r="J113" i="8"/>
  <c r="AI57" i="8"/>
  <c r="BG57" i="8" s="1"/>
  <c r="AI54" i="8"/>
  <c r="BK68" i="8"/>
  <c r="Q24" i="8"/>
  <c r="AO23" i="8"/>
  <c r="J111" i="8"/>
  <c r="W22" i="8"/>
  <c r="AU21" i="8"/>
  <c r="L71" i="8"/>
  <c r="A70" i="8"/>
  <c r="AD21" i="8"/>
  <c r="BB20" i="8"/>
  <c r="J114" i="8"/>
  <c r="AW22" i="8"/>
  <c r="AW23" i="8"/>
  <c r="L43" i="8"/>
  <c r="A42" i="8"/>
  <c r="S24" i="8"/>
  <c r="AQ23" i="8"/>
  <c r="AA24" i="8"/>
  <c r="AY23" i="8"/>
  <c r="BB19" i="8"/>
  <c r="AL19" i="8"/>
  <c r="BJ18" i="8"/>
  <c r="J18" i="8" s="1"/>
  <c r="BJ109" i="8"/>
  <c r="J109" i="8" s="1"/>
  <c r="BB55" i="8"/>
  <c r="AU45" i="8"/>
  <c r="AU20" i="8"/>
  <c r="BA50" i="8"/>
  <c r="BH67" i="8"/>
  <c r="J67" i="8" s="1"/>
  <c r="AY54" i="8"/>
  <c r="V44" i="8"/>
  <c r="AT43" i="8"/>
  <c r="BE54" i="8"/>
  <c r="AW25" i="8"/>
  <c r="AO21" i="8"/>
  <c r="AM48" i="8"/>
  <c r="BK47" i="8"/>
  <c r="AK20" i="8"/>
  <c r="BI19" i="8"/>
  <c r="AT21" i="8"/>
  <c r="V22" i="8"/>
  <c r="D56" i="8"/>
  <c r="D55" i="8"/>
  <c r="D57" i="8"/>
  <c r="D51" i="8"/>
  <c r="D50" i="8"/>
  <c r="D49" i="8"/>
  <c r="D48" i="8"/>
  <c r="D52" i="8"/>
  <c r="D42" i="8"/>
  <c r="D45" i="8"/>
  <c r="D54" i="8"/>
  <c r="D44" i="8"/>
  <c r="D53" i="8"/>
  <c r="D47" i="8"/>
  <c r="D46" i="8"/>
  <c r="D41" i="8"/>
  <c r="D40" i="8"/>
  <c r="D43" i="8"/>
  <c r="U23" i="8"/>
  <c r="AS22" i="8"/>
  <c r="AE27" i="8"/>
  <c r="BC26" i="8"/>
  <c r="C114" i="8"/>
  <c r="C115" i="8"/>
  <c r="C116" i="8"/>
  <c r="C110" i="8"/>
  <c r="C113" i="8"/>
  <c r="M107" i="8"/>
  <c r="C112" i="8"/>
  <c r="C111" i="8"/>
  <c r="C109" i="8"/>
  <c r="L19" i="8"/>
  <c r="A18" i="8"/>
  <c r="W47" i="8"/>
  <c r="AU46" i="8"/>
  <c r="AW27" i="8"/>
  <c r="AU42" i="8"/>
  <c r="AM72" i="8"/>
  <c r="BK71" i="8"/>
  <c r="AQ21" i="8"/>
  <c r="BH68" i="8"/>
  <c r="BH75" i="8"/>
  <c r="BF54" i="8"/>
  <c r="BE55" i="8"/>
  <c r="J112" i="8"/>
  <c r="AJ20" i="8"/>
  <c r="BH19" i="8"/>
  <c r="L18" i="7"/>
  <c r="O56" i="7"/>
  <c r="M56" i="7"/>
  <c r="R85" i="3" l="1"/>
  <c r="AP84" i="3"/>
  <c r="J84" i="3" s="1"/>
  <c r="Z91" i="3"/>
  <c r="AX90" i="3"/>
  <c r="AJ98" i="3"/>
  <c r="BH97" i="3"/>
  <c r="P88" i="3"/>
  <c r="AN87" i="3"/>
  <c r="A88" i="3"/>
  <c r="L89" i="3"/>
  <c r="AF94" i="3"/>
  <c r="BD93" i="3"/>
  <c r="AH87" i="3"/>
  <c r="BF86" i="3"/>
  <c r="X93" i="3"/>
  <c r="AV92" i="3"/>
  <c r="AK46" i="8"/>
  <c r="AK47" i="8" s="1"/>
  <c r="J71" i="8"/>
  <c r="AI59" i="7"/>
  <c r="BL58" i="7"/>
  <c r="AQ55" i="8"/>
  <c r="AQ54" i="8"/>
  <c r="J68" i="8"/>
  <c r="D71" i="8"/>
  <c r="D98" i="8"/>
  <c r="D88" i="8"/>
  <c r="D84" i="8"/>
  <c r="D81" i="8"/>
  <c r="D73" i="8"/>
  <c r="D77" i="8"/>
  <c r="D74" i="8"/>
  <c r="D96" i="8"/>
  <c r="D86" i="8"/>
  <c r="D80" i="8"/>
  <c r="D79" i="8"/>
  <c r="D97" i="8"/>
  <c r="D94" i="8"/>
  <c r="D83" i="8"/>
  <c r="D70" i="8"/>
  <c r="D72" i="8"/>
  <c r="D68" i="8"/>
  <c r="D92" i="8"/>
  <c r="D69" i="8"/>
  <c r="D90" i="8"/>
  <c r="D82" i="8"/>
  <c r="D87" i="8"/>
  <c r="D95" i="8"/>
  <c r="D93" i="8"/>
  <c r="D78" i="8"/>
  <c r="D76" i="8"/>
  <c r="D67" i="8"/>
  <c r="D75" i="8"/>
  <c r="D89" i="8"/>
  <c r="D99" i="8"/>
  <c r="D85" i="8"/>
  <c r="D91" i="8"/>
  <c r="U53" i="8"/>
  <c r="AS52" i="8"/>
  <c r="AI96" i="7"/>
  <c r="BL95" i="7"/>
  <c r="AI68" i="7"/>
  <c r="BL68" i="7" s="1"/>
  <c r="BL57" i="7"/>
  <c r="AI140" i="7"/>
  <c r="BL139" i="7"/>
  <c r="AE91" i="7"/>
  <c r="BH90" i="7"/>
  <c r="AE135" i="7"/>
  <c r="BH134" i="7"/>
  <c r="L138" i="7"/>
  <c r="A137" i="7"/>
  <c r="AE30" i="7"/>
  <c r="BH29" i="7"/>
  <c r="AE53" i="7"/>
  <c r="BH52" i="7"/>
  <c r="L19" i="7"/>
  <c r="L20" i="7" s="1"/>
  <c r="L21" i="7" s="1"/>
  <c r="L22" i="7" s="1"/>
  <c r="L23" i="7" s="1"/>
  <c r="L24" i="7" s="1"/>
  <c r="L25" i="7" s="1"/>
  <c r="L26" i="7" s="1"/>
  <c r="L27" i="7" s="1"/>
  <c r="L229" i="7"/>
  <c r="A228" i="7"/>
  <c r="L29" i="7"/>
  <c r="L30" i="7" s="1"/>
  <c r="L31" i="7" s="1"/>
  <c r="AJ78" i="8"/>
  <c r="BH77" i="8"/>
  <c r="AK21" i="8"/>
  <c r="BI20" i="8"/>
  <c r="W23" i="8"/>
  <c r="AU22" i="8"/>
  <c r="D113" i="8"/>
  <c r="D114" i="8"/>
  <c r="D111" i="8"/>
  <c r="D110" i="8"/>
  <c r="D109" i="8"/>
  <c r="D116" i="8"/>
  <c r="D115" i="8"/>
  <c r="D112" i="8"/>
  <c r="A71" i="8"/>
  <c r="L72" i="8"/>
  <c r="AJ43" i="8"/>
  <c r="BH42" i="8"/>
  <c r="J42" i="8" s="1"/>
  <c r="AJ21" i="8"/>
  <c r="BH20" i="8"/>
  <c r="W48" i="8"/>
  <c r="AU47" i="8"/>
  <c r="U24" i="8"/>
  <c r="AS23" i="8"/>
  <c r="V45" i="8"/>
  <c r="AT44" i="8"/>
  <c r="S25" i="8"/>
  <c r="AQ24" i="8"/>
  <c r="Q25" i="8"/>
  <c r="AO24" i="8"/>
  <c r="Y30" i="8"/>
  <c r="AW30" i="8" s="1"/>
  <c r="AW29" i="8"/>
  <c r="AC25" i="8"/>
  <c r="BA24" i="8"/>
  <c r="L20" i="8"/>
  <c r="A19" i="8"/>
  <c r="A43" i="8"/>
  <c r="L44" i="8"/>
  <c r="AC55" i="8"/>
  <c r="BA54" i="8"/>
  <c r="AM73" i="8"/>
  <c r="BK72" i="8"/>
  <c r="J72" i="8" s="1"/>
  <c r="AI55" i="8"/>
  <c r="BG54" i="8"/>
  <c r="AT22" i="8"/>
  <c r="V23" i="8"/>
  <c r="AM49" i="8"/>
  <c r="BK48" i="8"/>
  <c r="BJ19" i="8"/>
  <c r="J19" i="8" s="1"/>
  <c r="AL20" i="8"/>
  <c r="AL44" i="8"/>
  <c r="BJ43" i="8"/>
  <c r="AD22" i="8"/>
  <c r="BB21" i="8"/>
  <c r="AM25" i="8"/>
  <c r="BK24" i="8"/>
  <c r="AE28" i="8"/>
  <c r="BC27" i="8"/>
  <c r="AA25" i="8"/>
  <c r="AY24" i="8"/>
  <c r="BI46" i="8"/>
  <c r="AE44" i="8"/>
  <c r="BC43" i="8"/>
  <c r="O54" i="7"/>
  <c r="O53" i="7"/>
  <c r="O52" i="7"/>
  <c r="O51" i="7"/>
  <c r="O50" i="7"/>
  <c r="O49" i="7"/>
  <c r="B49" i="7"/>
  <c r="M49" i="7"/>
  <c r="E49" i="7" s="1"/>
  <c r="M53" i="7"/>
  <c r="AH88" i="3" l="1"/>
  <c r="BF87" i="3"/>
  <c r="L90" i="3"/>
  <c r="A89" i="3"/>
  <c r="Z92" i="3"/>
  <c r="AX91" i="3"/>
  <c r="X94" i="3"/>
  <c r="AV93" i="3"/>
  <c r="P89" i="3"/>
  <c r="AN88" i="3"/>
  <c r="AJ99" i="3"/>
  <c r="BH99" i="3" s="1"/>
  <c r="BH98" i="3"/>
  <c r="AF95" i="3"/>
  <c r="BD94" i="3"/>
  <c r="AP85" i="3"/>
  <c r="J85" i="3" s="1"/>
  <c r="R86" i="3"/>
  <c r="AI60" i="7"/>
  <c r="BL59" i="7"/>
  <c r="AS53" i="8"/>
  <c r="U54" i="8"/>
  <c r="U57" i="8"/>
  <c r="AS57" i="8" s="1"/>
  <c r="AI97" i="7"/>
  <c r="BL96" i="7"/>
  <c r="AI141" i="7"/>
  <c r="BL140" i="7"/>
  <c r="AE31" i="7"/>
  <c r="BH31" i="7" s="1"/>
  <c r="BH30" i="7"/>
  <c r="L139" i="7"/>
  <c r="A138" i="7"/>
  <c r="AE136" i="7"/>
  <c r="BH135" i="7"/>
  <c r="AE54" i="7"/>
  <c r="BH53" i="7"/>
  <c r="AE92" i="7"/>
  <c r="BH91" i="7"/>
  <c r="L230" i="7"/>
  <c r="A229" i="7"/>
  <c r="BJ20" i="8"/>
  <c r="J20" i="8" s="1"/>
  <c r="AL21" i="8"/>
  <c r="A20" i="8"/>
  <c r="W24" i="8"/>
  <c r="AU23" i="8"/>
  <c r="AE29" i="8"/>
  <c r="BC28" i="8"/>
  <c r="AM74" i="8"/>
  <c r="BK73" i="8"/>
  <c r="J73" i="8" s="1"/>
  <c r="BA25" i="8"/>
  <c r="AC26" i="8"/>
  <c r="V46" i="8"/>
  <c r="AT45" i="8"/>
  <c r="AJ44" i="8"/>
  <c r="BH43" i="8"/>
  <c r="J43" i="8" s="1"/>
  <c r="AK22" i="8"/>
  <c r="BI21" i="8"/>
  <c r="AA26" i="8"/>
  <c r="AY25" i="8"/>
  <c r="AL45" i="8"/>
  <c r="BJ44" i="8"/>
  <c r="S26" i="8"/>
  <c r="AQ25" i="8"/>
  <c r="AE45" i="8"/>
  <c r="BC44" i="8"/>
  <c r="AM26" i="8"/>
  <c r="BK25" i="8"/>
  <c r="AM50" i="8"/>
  <c r="BK49" i="8"/>
  <c r="L73" i="8"/>
  <c r="A72" i="8"/>
  <c r="V24" i="8"/>
  <c r="AT23" i="8"/>
  <c r="AC56" i="8"/>
  <c r="BA56" i="8" s="1"/>
  <c r="BA55" i="8"/>
  <c r="AS24" i="8"/>
  <c r="U25" i="8"/>
  <c r="AJ79" i="8"/>
  <c r="BH78" i="8"/>
  <c r="AK48" i="8"/>
  <c r="BI47" i="8"/>
  <c r="BB22" i="8"/>
  <c r="AD23" i="8"/>
  <c r="L45" i="8"/>
  <c r="A44" i="8"/>
  <c r="AI56" i="8"/>
  <c r="BG56" i="8" s="1"/>
  <c r="BG55" i="8"/>
  <c r="AJ22" i="8"/>
  <c r="BH21" i="8"/>
  <c r="Q26" i="8"/>
  <c r="AO25" i="8"/>
  <c r="W49" i="8"/>
  <c r="AU48" i="8"/>
  <c r="M12" i="7"/>
  <c r="M48" i="7"/>
  <c r="E48" i="7" s="1"/>
  <c r="M50" i="7"/>
  <c r="E50" i="7" s="1"/>
  <c r="M51" i="7"/>
  <c r="E51" i="7" s="1"/>
  <c r="M52" i="7"/>
  <c r="E53" i="7"/>
  <c r="M54" i="7"/>
  <c r="E54" i="7" s="1"/>
  <c r="M55" i="7"/>
  <c r="E55" i="7" s="1"/>
  <c r="M47" i="7"/>
  <c r="E47" i="7" s="1"/>
  <c r="B42" i="7"/>
  <c r="B43" i="7"/>
  <c r="B44" i="7"/>
  <c r="B45" i="7"/>
  <c r="B46" i="7"/>
  <c r="B47" i="7"/>
  <c r="B48" i="7"/>
  <c r="B50" i="7"/>
  <c r="B51" i="7"/>
  <c r="B52" i="7"/>
  <c r="B53" i="7"/>
  <c r="B54" i="7"/>
  <c r="B55" i="7"/>
  <c r="B56" i="7"/>
  <c r="B57" i="7"/>
  <c r="B68" i="7"/>
  <c r="B41" i="7"/>
  <c r="B18" i="7"/>
  <c r="B19" i="7"/>
  <c r="B20" i="7"/>
  <c r="B21" i="7"/>
  <c r="B22" i="7"/>
  <c r="B23" i="7"/>
  <c r="B24" i="7"/>
  <c r="B25" i="7"/>
  <c r="B26" i="7"/>
  <c r="B27" i="7"/>
  <c r="B28" i="7"/>
  <c r="B29" i="7"/>
  <c r="B30" i="7"/>
  <c r="B31" i="7"/>
  <c r="B17" i="7"/>
  <c r="E57" i="7"/>
  <c r="E56" i="7"/>
  <c r="O55" i="7"/>
  <c r="H55" i="7"/>
  <c r="H52" i="7"/>
  <c r="E44" i="7"/>
  <c r="E45" i="7"/>
  <c r="M68" i="7"/>
  <c r="E68" i="7" s="1"/>
  <c r="Q42" i="7"/>
  <c r="T42" i="7"/>
  <c r="U42" i="7"/>
  <c r="U43" i="7" s="1"/>
  <c r="U44" i="7" s="1"/>
  <c r="U45" i="7" s="1"/>
  <c r="U46" i="7" s="1"/>
  <c r="U47" i="7" s="1"/>
  <c r="U48" i="7" s="1"/>
  <c r="W42" i="7"/>
  <c r="W43" i="7" s="1"/>
  <c r="W44" i="7" s="1"/>
  <c r="W45" i="7" s="1"/>
  <c r="W46" i="7" s="1"/>
  <c r="W47" i="7" s="1"/>
  <c r="W48" i="7" s="1"/>
  <c r="X42" i="7"/>
  <c r="X43" i="7" s="1"/>
  <c r="X44" i="7" s="1"/>
  <c r="X45" i="7" s="1"/>
  <c r="X46" i="7" s="1"/>
  <c r="X47" i="7" s="1"/>
  <c r="X48" i="7" s="1"/>
  <c r="Y42" i="7"/>
  <c r="Y43" i="7" s="1"/>
  <c r="Y44" i="7" s="1"/>
  <c r="Y45" i="7" s="1"/>
  <c r="Y46" i="7" s="1"/>
  <c r="Y47" i="7" s="1"/>
  <c r="Y48" i="7" s="1"/>
  <c r="Z42" i="7"/>
  <c r="Z43" i="7" s="1"/>
  <c r="Z44" i="7" s="1"/>
  <c r="Z45" i="7" s="1"/>
  <c r="Z46" i="7" s="1"/>
  <c r="Z47" i="7" s="1"/>
  <c r="Z48" i="7" s="1"/>
  <c r="AA42" i="7"/>
  <c r="AA43" i="7" s="1"/>
  <c r="AA44" i="7" s="1"/>
  <c r="AA45" i="7" s="1"/>
  <c r="AA46" i="7" s="1"/>
  <c r="AA47" i="7" s="1"/>
  <c r="AA48" i="7" s="1"/>
  <c r="AB42" i="7"/>
  <c r="AB43" i="7" s="1"/>
  <c r="AB44" i="7" s="1"/>
  <c r="AB45" i="7" s="1"/>
  <c r="AB46" i="7" s="1"/>
  <c r="AB47" i="7" s="1"/>
  <c r="AB48" i="7" s="1"/>
  <c r="AC42" i="7"/>
  <c r="AC43" i="7" s="1"/>
  <c r="AC44" i="7" s="1"/>
  <c r="AC45" i="7" s="1"/>
  <c r="AC46" i="7" s="1"/>
  <c r="AC47" i="7" s="1"/>
  <c r="AC48" i="7" s="1"/>
  <c r="AD42" i="7"/>
  <c r="AD43" i="7" s="1"/>
  <c r="AD44" i="7" s="1"/>
  <c r="AJ42" i="7"/>
  <c r="AJ43" i="7" s="1"/>
  <c r="AJ44" i="7" s="1"/>
  <c r="AJ45" i="7" s="1"/>
  <c r="AJ46" i="7" s="1"/>
  <c r="AJ47" i="7" s="1"/>
  <c r="AJ48" i="7" s="1"/>
  <c r="AL42" i="7"/>
  <c r="AL43" i="7" s="1"/>
  <c r="AL44" i="7" s="1"/>
  <c r="AL45" i="7" s="1"/>
  <c r="AL46" i="7" s="1"/>
  <c r="AL47" i="7" s="1"/>
  <c r="AL48" i="7" s="1"/>
  <c r="AM42" i="7"/>
  <c r="AM43" i="7" s="1"/>
  <c r="AM44" i="7" s="1"/>
  <c r="AM45" i="7" s="1"/>
  <c r="AM46" i="7" s="1"/>
  <c r="AM47" i="7" s="1"/>
  <c r="AM48" i="7" s="1"/>
  <c r="AN42" i="7"/>
  <c r="AN43" i="7" s="1"/>
  <c r="AN44" i="7" s="1"/>
  <c r="AN45" i="7" s="1"/>
  <c r="AN46" i="7" s="1"/>
  <c r="AN47" i="7" s="1"/>
  <c r="AN48" i="7" s="1"/>
  <c r="P42" i="7"/>
  <c r="P43" i="7" s="1"/>
  <c r="P44" i="7" s="1"/>
  <c r="P45" i="7" s="1"/>
  <c r="P46" i="7" s="1"/>
  <c r="P47" i="7" s="1"/>
  <c r="P48" i="7" s="1"/>
  <c r="O48" i="7"/>
  <c r="H48" i="7"/>
  <c r="O47" i="7"/>
  <c r="O46" i="7"/>
  <c r="H46" i="7"/>
  <c r="E46" i="7" s="1"/>
  <c r="O45" i="7"/>
  <c r="O44" i="7"/>
  <c r="O43" i="7"/>
  <c r="H43" i="7"/>
  <c r="E43" i="7" s="1"/>
  <c r="O42" i="7"/>
  <c r="L42" i="7"/>
  <c r="L43" i="7" s="1"/>
  <c r="L44" i="7" s="1"/>
  <c r="L45" i="7" s="1"/>
  <c r="L46" i="7" s="1"/>
  <c r="L47" i="7" s="1"/>
  <c r="L48" i="7" s="1"/>
  <c r="H42" i="7"/>
  <c r="E42" i="7" s="1"/>
  <c r="O41" i="7"/>
  <c r="H41" i="7"/>
  <c r="E41" i="7" s="1"/>
  <c r="A41" i="7"/>
  <c r="X95" i="3" l="1"/>
  <c r="AV94" i="3"/>
  <c r="AF96" i="3"/>
  <c r="BD95" i="3"/>
  <c r="Z93" i="3"/>
  <c r="AX92" i="3"/>
  <c r="L91" i="3"/>
  <c r="A90" i="3"/>
  <c r="R87" i="3"/>
  <c r="AP86" i="3"/>
  <c r="J86" i="3" s="1"/>
  <c r="P90" i="3"/>
  <c r="AN89" i="3"/>
  <c r="AH89" i="3"/>
  <c r="BF88" i="3"/>
  <c r="BL60" i="7"/>
  <c r="AI61" i="7"/>
  <c r="U55" i="8"/>
  <c r="AS54" i="8"/>
  <c r="AI98" i="7"/>
  <c r="BL97" i="7"/>
  <c r="BL141" i="7"/>
  <c r="AI142" i="7"/>
  <c r="AE55" i="7"/>
  <c r="BH54" i="7"/>
  <c r="AE137" i="7"/>
  <c r="BH136" i="7"/>
  <c r="L140" i="7"/>
  <c r="A139" i="7"/>
  <c r="AE93" i="7"/>
  <c r="BH92" i="7"/>
  <c r="L231" i="7"/>
  <c r="A230" i="7"/>
  <c r="Q27" i="8"/>
  <c r="AO26" i="8"/>
  <c r="BB23" i="8"/>
  <c r="AD24" i="8"/>
  <c r="AM51" i="8"/>
  <c r="BK50" i="8"/>
  <c r="AL46" i="8"/>
  <c r="BJ45" i="8"/>
  <c r="V47" i="8"/>
  <c r="AT46" i="8"/>
  <c r="W25" i="8"/>
  <c r="AU24" i="8"/>
  <c r="AJ23" i="8"/>
  <c r="BH22" i="8"/>
  <c r="AM27" i="8"/>
  <c r="BK26" i="8"/>
  <c r="AC27" i="8"/>
  <c r="BA26" i="8"/>
  <c r="L46" i="8"/>
  <c r="A45" i="8"/>
  <c r="S27" i="8"/>
  <c r="AQ26" i="8"/>
  <c r="U26" i="8"/>
  <c r="AS25" i="8"/>
  <c r="L74" i="8"/>
  <c r="A73" i="8"/>
  <c r="AJ45" i="8"/>
  <c r="BH44" i="8"/>
  <c r="J44" i="8" s="1"/>
  <c r="AE30" i="8"/>
  <c r="BC30" i="8" s="1"/>
  <c r="BC29" i="8"/>
  <c r="AK49" i="8"/>
  <c r="BI48" i="8"/>
  <c r="V25" i="8"/>
  <c r="AT24" i="8"/>
  <c r="AA27" i="8"/>
  <c r="AY26" i="8"/>
  <c r="L22" i="8"/>
  <c r="A21" i="8"/>
  <c r="AE46" i="8"/>
  <c r="BC45" i="8"/>
  <c r="AL22" i="8"/>
  <c r="BJ21" i="8"/>
  <c r="J21" i="8" s="1"/>
  <c r="W50" i="8"/>
  <c r="AU49" i="8"/>
  <c r="AJ80" i="8"/>
  <c r="BH79" i="8"/>
  <c r="AK23" i="8"/>
  <c r="BI22" i="8"/>
  <c r="AM75" i="8"/>
  <c r="BK74" i="8"/>
  <c r="J74" i="8" s="1"/>
  <c r="M38" i="7"/>
  <c r="AA49" i="7"/>
  <c r="AA50" i="7" s="1"/>
  <c r="AA51" i="7" s="1"/>
  <c r="AA52" i="7" s="1"/>
  <c r="AA53" i="7" s="1"/>
  <c r="AA54" i="7" s="1"/>
  <c r="AJ49" i="7"/>
  <c r="AJ50" i="7" s="1"/>
  <c r="AJ51" i="7" s="1"/>
  <c r="AJ52" i="7" s="1"/>
  <c r="AJ53" i="7" s="1"/>
  <c r="AJ54" i="7" s="1"/>
  <c r="W49" i="7"/>
  <c r="W50" i="7" s="1"/>
  <c r="W51" i="7" s="1"/>
  <c r="W52" i="7" s="1"/>
  <c r="W53" i="7" s="1"/>
  <c r="W54" i="7" s="1"/>
  <c r="L49" i="7"/>
  <c r="A49" i="7" s="1"/>
  <c r="P49" i="7"/>
  <c r="P50" i="7" s="1"/>
  <c r="P51" i="7" s="1"/>
  <c r="P52" i="7" s="1"/>
  <c r="P53" i="7" s="1"/>
  <c r="P54" i="7" s="1"/>
  <c r="AC49" i="7"/>
  <c r="AC50" i="7" s="1"/>
  <c r="AC51" i="7" s="1"/>
  <c r="AC52" i="7" s="1"/>
  <c r="AC53" i="7" s="1"/>
  <c r="AC54" i="7" s="1"/>
  <c r="U49" i="7"/>
  <c r="U50" i="7" s="1"/>
  <c r="U51" i="7" s="1"/>
  <c r="U52" i="7" s="1"/>
  <c r="U53" i="7" s="1"/>
  <c r="U54" i="7" s="1"/>
  <c r="AB49" i="7"/>
  <c r="AB50" i="7" s="1"/>
  <c r="AB51" i="7" s="1"/>
  <c r="AB52" i="7" s="1"/>
  <c r="AB53" i="7" s="1"/>
  <c r="AB54" i="7" s="1"/>
  <c r="AN49" i="7"/>
  <c r="AN50" i="7" s="1"/>
  <c r="AN51" i="7" s="1"/>
  <c r="AN52" i="7" s="1"/>
  <c r="AN53" i="7" s="1"/>
  <c r="AN54" i="7" s="1"/>
  <c r="Z49" i="7"/>
  <c r="Z50" i="7" s="1"/>
  <c r="Z51" i="7" s="1"/>
  <c r="Z52" i="7" s="1"/>
  <c r="Z53" i="7" s="1"/>
  <c r="Z54" i="7" s="1"/>
  <c r="Y49" i="7"/>
  <c r="Y50" i="7" s="1"/>
  <c r="Y51" i="7" s="1"/>
  <c r="Y52" i="7" s="1"/>
  <c r="Y53" i="7" s="1"/>
  <c r="Y54" i="7" s="1"/>
  <c r="AL49" i="7"/>
  <c r="AL50" i="7" s="1"/>
  <c r="AL51" i="7" s="1"/>
  <c r="AL52" i="7" s="1"/>
  <c r="AL53" i="7" s="1"/>
  <c r="AL54" i="7" s="1"/>
  <c r="AM49" i="7"/>
  <c r="AM50" i="7" s="1"/>
  <c r="AM51" i="7" s="1"/>
  <c r="AM52" i="7" s="1"/>
  <c r="AM53" i="7" s="1"/>
  <c r="AM54" i="7" s="1"/>
  <c r="X49" i="7"/>
  <c r="X50" i="7" s="1"/>
  <c r="X51" i="7" s="1"/>
  <c r="X52" i="7" s="1"/>
  <c r="X53" i="7" s="1"/>
  <c r="X54" i="7" s="1"/>
  <c r="Q43" i="7"/>
  <c r="Q44" i="7" s="1"/>
  <c r="Q45" i="7" s="1"/>
  <c r="Q46" i="7" s="1"/>
  <c r="Q47" i="7" s="1"/>
  <c r="Q48" i="7" s="1"/>
  <c r="E52" i="7"/>
  <c r="V42" i="7"/>
  <c r="T43" i="7"/>
  <c r="T44" i="7" s="1"/>
  <c r="T45" i="7" s="1"/>
  <c r="T46" i="7" s="1"/>
  <c r="T47" i="7" s="1"/>
  <c r="T48" i="7" s="1"/>
  <c r="AD45" i="7"/>
  <c r="AP42" i="7"/>
  <c r="AP43" i="7" s="1"/>
  <c r="AP44" i="7" s="1"/>
  <c r="AP45" i="7" s="1"/>
  <c r="AP46" i="7" s="1"/>
  <c r="AP47" i="7" s="1"/>
  <c r="AP48" i="7" s="1"/>
  <c r="R42" i="7"/>
  <c r="R43" i="7" s="1"/>
  <c r="R44" i="7" s="1"/>
  <c r="R45" i="7" s="1"/>
  <c r="R46" i="7" s="1"/>
  <c r="R47" i="7" s="1"/>
  <c r="R48" i="7" s="1"/>
  <c r="S42" i="7"/>
  <c r="S43" i="7" s="1"/>
  <c r="S44" i="7" s="1"/>
  <c r="S45" i="7" s="1"/>
  <c r="S46" i="7" s="1"/>
  <c r="S47" i="7" s="1"/>
  <c r="S48" i="7" s="1"/>
  <c r="AK42" i="7"/>
  <c r="AK43" i="7" s="1"/>
  <c r="AK44" i="7" s="1"/>
  <c r="AK45" i="7" s="1"/>
  <c r="AK46" i="7" s="1"/>
  <c r="AK47" i="7" s="1"/>
  <c r="AK48" i="7" s="1"/>
  <c r="A42" i="7"/>
  <c r="AD18" i="7"/>
  <c r="AD19" i="7" s="1"/>
  <c r="AD20" i="7" s="1"/>
  <c r="AD21" i="7" s="1"/>
  <c r="AD22" i="7" s="1"/>
  <c r="AD23" i="7" s="1"/>
  <c r="AD24" i="7" s="1"/>
  <c r="AD25" i="7" s="1"/>
  <c r="AD26" i="7" s="1"/>
  <c r="AD27" i="7" s="1"/>
  <c r="AD28" i="7" s="1"/>
  <c r="AD29" i="7" s="1"/>
  <c r="AD30" i="7" s="1"/>
  <c r="AD31" i="7" s="1"/>
  <c r="V18" i="7"/>
  <c r="V19" i="7" s="1"/>
  <c r="V20" i="7" s="1"/>
  <c r="V21" i="7" s="1"/>
  <c r="V22" i="7" s="1"/>
  <c r="V23" i="7" s="1"/>
  <c r="V24" i="7" s="1"/>
  <c r="V25" i="7" s="1"/>
  <c r="V26" i="7" s="1"/>
  <c r="V27" i="7" s="1"/>
  <c r="V28" i="7" s="1"/>
  <c r="V29" i="7" s="1"/>
  <c r="V30" i="7" s="1"/>
  <c r="V31" i="7" s="1"/>
  <c r="A91" i="3" l="1"/>
  <c r="L92" i="3"/>
  <c r="AH90" i="3"/>
  <c r="BF89" i="3"/>
  <c r="Z94" i="3"/>
  <c r="AX93" i="3"/>
  <c r="P91" i="3"/>
  <c r="AN90" i="3"/>
  <c r="AF97" i="3"/>
  <c r="BD96" i="3"/>
  <c r="R88" i="3"/>
  <c r="AP87" i="3"/>
  <c r="J87" i="3" s="1"/>
  <c r="X96" i="3"/>
  <c r="AV95" i="3"/>
  <c r="C61" i="7"/>
  <c r="C59" i="7"/>
  <c r="C63" i="7"/>
  <c r="C60" i="7"/>
  <c r="C58" i="7"/>
  <c r="C65" i="7"/>
  <c r="C62" i="7"/>
  <c r="C66" i="7"/>
  <c r="C64" i="7"/>
  <c r="C67" i="7"/>
  <c r="BL61" i="7"/>
  <c r="AI62" i="7"/>
  <c r="U56" i="8"/>
  <c r="AS56" i="8" s="1"/>
  <c r="AS55" i="8"/>
  <c r="AI99" i="7"/>
  <c r="BL98" i="7"/>
  <c r="AI143" i="7"/>
  <c r="BL142" i="7"/>
  <c r="AE94" i="7"/>
  <c r="BH93" i="7"/>
  <c r="AE138" i="7"/>
  <c r="BH137" i="7"/>
  <c r="L141" i="7"/>
  <c r="A140" i="7"/>
  <c r="AE56" i="7"/>
  <c r="BH55" i="7"/>
  <c r="L232" i="7"/>
  <c r="A231" i="7"/>
  <c r="C49" i="7"/>
  <c r="AJ81" i="8"/>
  <c r="BH80" i="8"/>
  <c r="L23" i="8"/>
  <c r="A22" i="8"/>
  <c r="U27" i="8"/>
  <c r="AS26" i="8"/>
  <c r="AT47" i="8"/>
  <c r="V48" i="8"/>
  <c r="W51" i="8"/>
  <c r="AU50" i="8"/>
  <c r="AM28" i="8"/>
  <c r="BK27" i="8"/>
  <c r="Q28" i="8"/>
  <c r="AO27" i="8"/>
  <c r="AK50" i="8"/>
  <c r="BI49" i="8"/>
  <c r="AD25" i="8"/>
  <c r="BB24" i="8"/>
  <c r="AA28" i="8"/>
  <c r="AY27" i="8"/>
  <c r="AL47" i="8"/>
  <c r="BJ46" i="8"/>
  <c r="L75" i="8"/>
  <c r="A74" i="8"/>
  <c r="W26" i="8"/>
  <c r="AU25" i="8"/>
  <c r="AC28" i="8"/>
  <c r="BA27" i="8"/>
  <c r="AM76" i="8"/>
  <c r="BK75" i="8"/>
  <c r="J75" i="8" s="1"/>
  <c r="AL23" i="8"/>
  <c r="BJ22" i="8"/>
  <c r="J22" i="8" s="1"/>
  <c r="AT25" i="8"/>
  <c r="V26" i="8"/>
  <c r="AJ46" i="8"/>
  <c r="BH45" i="8"/>
  <c r="J45" i="8" s="1"/>
  <c r="S28" i="8"/>
  <c r="AQ27" i="8"/>
  <c r="AJ24" i="8"/>
  <c r="BH23" i="8"/>
  <c r="BI23" i="8"/>
  <c r="AK24" i="8"/>
  <c r="AE47" i="8"/>
  <c r="BC46" i="8"/>
  <c r="L47" i="8"/>
  <c r="A46" i="8"/>
  <c r="AM52" i="8"/>
  <c r="BK51" i="8"/>
  <c r="M39" i="7"/>
  <c r="C54" i="7"/>
  <c r="C43" i="7"/>
  <c r="C51" i="7"/>
  <c r="C44" i="7"/>
  <c r="C42" i="7"/>
  <c r="C41" i="7"/>
  <c r="C55" i="7"/>
  <c r="C46" i="7"/>
  <c r="C48" i="7"/>
  <c r="C56" i="7"/>
  <c r="C50" i="7"/>
  <c r="C57" i="7"/>
  <c r="C45" i="7"/>
  <c r="C52" i="7"/>
  <c r="C53" i="7"/>
  <c r="C68" i="7"/>
  <c r="C47" i="7"/>
  <c r="AB55" i="7"/>
  <c r="AB56" i="7" s="1"/>
  <c r="AB57" i="7" s="1"/>
  <c r="X55" i="7"/>
  <c r="X56" i="7" s="1"/>
  <c r="X57" i="7" s="1"/>
  <c r="AC55" i="7"/>
  <c r="AC56" i="7" s="1"/>
  <c r="AC57" i="7" s="1"/>
  <c r="AM55" i="7"/>
  <c r="AM56" i="7" s="1"/>
  <c r="AM57" i="7" s="1"/>
  <c r="P55" i="7"/>
  <c r="P56" i="7" s="1"/>
  <c r="P57" i="7" s="1"/>
  <c r="U55" i="7"/>
  <c r="U56" i="7" s="1"/>
  <c r="U57" i="7" s="1"/>
  <c r="AL55" i="7"/>
  <c r="AL56" i="7" s="1"/>
  <c r="AL57" i="7" s="1"/>
  <c r="Y55" i="7"/>
  <c r="Y56" i="7" s="1"/>
  <c r="Y57" i="7" s="1"/>
  <c r="W55" i="7"/>
  <c r="W56" i="7" s="1"/>
  <c r="W57" i="7" s="1"/>
  <c r="Z55" i="7"/>
  <c r="Z56" i="7" s="1"/>
  <c r="Z57" i="7" s="1"/>
  <c r="AJ55" i="7"/>
  <c r="AJ56" i="7" s="1"/>
  <c r="AJ57" i="7" s="1"/>
  <c r="AN55" i="7"/>
  <c r="AN56" i="7" s="1"/>
  <c r="AN57" i="7" s="1"/>
  <c r="AA55" i="7"/>
  <c r="AA56" i="7" s="1"/>
  <c r="AA57" i="7" s="1"/>
  <c r="S49" i="7"/>
  <c r="S50" i="7" s="1"/>
  <c r="S51" i="7" s="1"/>
  <c r="S52" i="7" s="1"/>
  <c r="S53" i="7" s="1"/>
  <c r="S54" i="7" s="1"/>
  <c r="L50" i="7"/>
  <c r="AP49" i="7"/>
  <c r="AP50" i="7" s="1"/>
  <c r="AP51" i="7" s="1"/>
  <c r="AP52" i="7" s="1"/>
  <c r="AP53" i="7" s="1"/>
  <c r="AP54" i="7" s="1"/>
  <c r="R49" i="7"/>
  <c r="R50" i="7" s="1"/>
  <c r="R51" i="7" s="1"/>
  <c r="R52" i="7" s="1"/>
  <c r="R53" i="7" s="1"/>
  <c r="R54" i="7" s="1"/>
  <c r="R55" i="7" s="1"/>
  <c r="Q49" i="7"/>
  <c r="Q50" i="7" s="1"/>
  <c r="Q51" i="7" s="1"/>
  <c r="Q52" i="7" s="1"/>
  <c r="Q53" i="7" s="1"/>
  <c r="Q54" i="7" s="1"/>
  <c r="AK49" i="7"/>
  <c r="AK50" i="7" s="1"/>
  <c r="AK51" i="7" s="1"/>
  <c r="AK52" i="7" s="1"/>
  <c r="AK53" i="7" s="1"/>
  <c r="AK54" i="7" s="1"/>
  <c r="T49" i="7"/>
  <c r="T50" i="7" s="1"/>
  <c r="T51" i="7" s="1"/>
  <c r="T52" i="7" s="1"/>
  <c r="T53" i="7" s="1"/>
  <c r="T54" i="7" s="1"/>
  <c r="V43" i="7"/>
  <c r="V44" i="7" s="1"/>
  <c r="V45" i="7" s="1"/>
  <c r="V46" i="7" s="1"/>
  <c r="V47" i="7" s="1"/>
  <c r="V48" i="7" s="1"/>
  <c r="V49" i="7" s="1"/>
  <c r="AD46" i="7"/>
  <c r="A43" i="7"/>
  <c r="L79" i="7"/>
  <c r="R89" i="3" l="1"/>
  <c r="AP88" i="3"/>
  <c r="J88" i="3" s="1"/>
  <c r="P92" i="3"/>
  <c r="AN91" i="3"/>
  <c r="X97" i="3"/>
  <c r="AV96" i="3"/>
  <c r="Z95" i="3"/>
  <c r="AX94" i="3"/>
  <c r="AH91" i="3"/>
  <c r="BF90" i="3"/>
  <c r="AF98" i="3"/>
  <c r="BD97" i="3"/>
  <c r="A92" i="3"/>
  <c r="L93" i="3"/>
  <c r="D66" i="7"/>
  <c r="D65" i="7"/>
  <c r="D63" i="7"/>
  <c r="D61" i="7"/>
  <c r="D59" i="7"/>
  <c r="D58" i="7"/>
  <c r="D64" i="7"/>
  <c r="D62" i="7"/>
  <c r="D60" i="7"/>
  <c r="D67" i="7"/>
  <c r="BL62" i="7"/>
  <c r="AI63" i="7"/>
  <c r="AJ68" i="7"/>
  <c r="AJ58" i="7"/>
  <c r="AB68" i="7"/>
  <c r="AB58" i="7"/>
  <c r="AN68" i="7"/>
  <c r="AN58" i="7"/>
  <c r="Z68" i="7"/>
  <c r="Z58" i="7"/>
  <c r="W68" i="7"/>
  <c r="W58" i="7"/>
  <c r="Y68" i="7"/>
  <c r="Y58" i="7"/>
  <c r="P68" i="7"/>
  <c r="P58" i="7"/>
  <c r="AC68" i="7"/>
  <c r="AC58" i="7"/>
  <c r="X68" i="7"/>
  <c r="X58" i="7"/>
  <c r="AL68" i="7"/>
  <c r="AL58" i="7"/>
  <c r="AA68" i="7"/>
  <c r="AA58" i="7"/>
  <c r="AM68" i="7"/>
  <c r="AM58" i="7"/>
  <c r="U68" i="7"/>
  <c r="U58" i="7"/>
  <c r="AI144" i="7"/>
  <c r="BL143" i="7"/>
  <c r="AI100" i="7"/>
  <c r="BL99" i="7"/>
  <c r="AE57" i="7"/>
  <c r="AE58" i="7" s="1"/>
  <c r="BH56" i="7"/>
  <c r="L142" i="7"/>
  <c r="A141" i="7"/>
  <c r="AE139" i="7"/>
  <c r="BH138" i="7"/>
  <c r="AE95" i="7"/>
  <c r="BH94" i="7"/>
  <c r="L51" i="7"/>
  <c r="L52" i="7" s="1"/>
  <c r="L53" i="7" s="1"/>
  <c r="L54" i="7" s="1"/>
  <c r="L55" i="7" s="1"/>
  <c r="L56" i="7" s="1"/>
  <c r="L57" i="7" s="1"/>
  <c r="L58" i="7" s="1"/>
  <c r="L233" i="7"/>
  <c r="A232" i="7"/>
  <c r="D49" i="7"/>
  <c r="W52" i="8"/>
  <c r="AU51" i="8"/>
  <c r="AM53" i="8"/>
  <c r="BK52" i="8"/>
  <c r="AL24" i="8"/>
  <c r="BJ23" i="8"/>
  <c r="J23" i="8" s="1"/>
  <c r="AK51" i="8"/>
  <c r="BI50" i="8"/>
  <c r="L48" i="8"/>
  <c r="A47" i="8"/>
  <c r="AM77" i="8"/>
  <c r="BK76" i="8"/>
  <c r="J76" i="8" s="1"/>
  <c r="Q29" i="8"/>
  <c r="AO28" i="8"/>
  <c r="AE48" i="8"/>
  <c r="BC47" i="8"/>
  <c r="AJ47" i="8"/>
  <c r="BH46" i="8"/>
  <c r="J46" i="8" s="1"/>
  <c r="AC29" i="8"/>
  <c r="BA28" i="8"/>
  <c r="AA29" i="8"/>
  <c r="AY28" i="8"/>
  <c r="U28" i="8"/>
  <c r="AS27" i="8"/>
  <c r="L24" i="8"/>
  <c r="A23" i="8"/>
  <c r="AJ25" i="8"/>
  <c r="BH24" i="8"/>
  <c r="A75" i="8"/>
  <c r="L76" i="8"/>
  <c r="V49" i="8"/>
  <c r="AT48" i="8"/>
  <c r="S29" i="8"/>
  <c r="AQ28" i="8"/>
  <c r="AL48" i="8"/>
  <c r="BJ47" i="8"/>
  <c r="AJ82" i="8"/>
  <c r="BH81" i="8"/>
  <c r="BI24" i="8"/>
  <c r="AK25" i="8"/>
  <c r="V27" i="8"/>
  <c r="AT26" i="8"/>
  <c r="AM29" i="8"/>
  <c r="BK28" i="8"/>
  <c r="W27" i="8"/>
  <c r="AU26" i="8"/>
  <c r="AD26" i="8"/>
  <c r="BB25" i="8"/>
  <c r="L80" i="7"/>
  <c r="L81" i="7" s="1"/>
  <c r="L82" i="7" s="1"/>
  <c r="L83" i="7" s="1"/>
  <c r="L84" i="7" s="1"/>
  <c r="L85" i="7" s="1"/>
  <c r="L86" i="7" s="1"/>
  <c r="L87" i="7" s="1"/>
  <c r="L88" i="7" s="1"/>
  <c r="L89" i="7" s="1"/>
  <c r="L90" i="7" s="1"/>
  <c r="L91" i="7" s="1"/>
  <c r="L92" i="7" s="1"/>
  <c r="L93" i="7" s="1"/>
  <c r="L94" i="7" s="1"/>
  <c r="L95" i="7" s="1"/>
  <c r="L96" i="7" s="1"/>
  <c r="L97" i="7" s="1"/>
  <c r="L98" i="7" s="1"/>
  <c r="L99" i="7" s="1"/>
  <c r="L100" i="7" s="1"/>
  <c r="L101" i="7" s="1"/>
  <c r="L102" i="7" s="1"/>
  <c r="L103" i="7" s="1"/>
  <c r="L104" i="7" s="1"/>
  <c r="L105" i="7" s="1"/>
  <c r="L106" i="7" s="1"/>
  <c r="L107" i="7" s="1"/>
  <c r="D44" i="7"/>
  <c r="D46" i="7"/>
  <c r="D55" i="7"/>
  <c r="D42" i="7"/>
  <c r="D53" i="7"/>
  <c r="D50" i="7"/>
  <c r="D52" i="7"/>
  <c r="D45" i="7"/>
  <c r="D47" i="7"/>
  <c r="D57" i="7"/>
  <c r="D41" i="7"/>
  <c r="D68" i="7"/>
  <c r="D43" i="7"/>
  <c r="D54" i="7"/>
  <c r="D56" i="7"/>
  <c r="D48" i="7"/>
  <c r="D51" i="7"/>
  <c r="AP55" i="7"/>
  <c r="AP56" i="7" s="1"/>
  <c r="AP57" i="7" s="1"/>
  <c r="Q55" i="7"/>
  <c r="Q56" i="7" s="1"/>
  <c r="Q57" i="7" s="1"/>
  <c r="S55" i="7"/>
  <c r="S56" i="7" s="1"/>
  <c r="S57" i="7" s="1"/>
  <c r="T55" i="7"/>
  <c r="T56" i="7" s="1"/>
  <c r="T57" i="7" s="1"/>
  <c r="AK55" i="7"/>
  <c r="AK56" i="7" s="1"/>
  <c r="AK57" i="7" s="1"/>
  <c r="R56" i="7"/>
  <c r="R57" i="7" s="1"/>
  <c r="AD47" i="7"/>
  <c r="A44" i="7"/>
  <c r="AB13" i="7"/>
  <c r="AT16" i="7"/>
  <c r="AU16" i="7" s="1"/>
  <c r="AV16" i="7" s="1"/>
  <c r="AW16" i="7" s="1"/>
  <c r="AX16" i="7" s="1"/>
  <c r="AY16" i="7" s="1"/>
  <c r="AZ16" i="7" s="1"/>
  <c r="BA16" i="7" s="1"/>
  <c r="BB16" i="7" s="1"/>
  <c r="BC16" i="7" s="1"/>
  <c r="BD16" i="7" s="1"/>
  <c r="BE16" i="7" s="1"/>
  <c r="BF16" i="7" s="1"/>
  <c r="Q12" i="7"/>
  <c r="R12" i="7" s="1"/>
  <c r="S12" i="7" s="1"/>
  <c r="T12" i="7" s="1"/>
  <c r="U12" i="7" s="1"/>
  <c r="V12" i="7" s="1"/>
  <c r="W12" i="7" s="1"/>
  <c r="X12" i="7" s="1"/>
  <c r="Y12" i="7" s="1"/>
  <c r="Z12" i="7" s="1"/>
  <c r="AA12" i="7" s="1"/>
  <c r="AB12" i="7" s="1"/>
  <c r="AC12" i="7" s="1"/>
  <c r="AD12" i="7" s="1"/>
  <c r="AB18" i="7"/>
  <c r="AB19" i="7" s="1"/>
  <c r="AB20" i="7" s="1"/>
  <c r="AB21" i="7" s="1"/>
  <c r="AB22" i="7" s="1"/>
  <c r="AB23" i="7" s="1"/>
  <c r="AB24" i="7" s="1"/>
  <c r="AB25" i="7" s="1"/>
  <c r="AB26" i="7" s="1"/>
  <c r="AB27" i="7" s="1"/>
  <c r="AB28" i="7" s="1"/>
  <c r="AB29" i="7" s="1"/>
  <c r="AB30" i="7" s="1"/>
  <c r="AB31" i="7" s="1"/>
  <c r="AB79" i="7"/>
  <c r="AB80" i="7" s="1"/>
  <c r="AB81" i="7" s="1"/>
  <c r="AB82" i="7" s="1"/>
  <c r="AB83" i="7" s="1"/>
  <c r="AB84" i="7" s="1"/>
  <c r="AB85" i="7" s="1"/>
  <c r="AB86" i="7" s="1"/>
  <c r="AB87" i="7" s="1"/>
  <c r="AB88" i="7" s="1"/>
  <c r="AB89" i="7" s="1"/>
  <c r="AB90" i="7" s="1"/>
  <c r="AB91" i="7" s="1"/>
  <c r="AB92" i="7" s="1"/>
  <c r="AB93" i="7" s="1"/>
  <c r="AB94" i="7" s="1"/>
  <c r="AB95" i="7" s="1"/>
  <c r="AB96" i="7" s="1"/>
  <c r="AB97" i="7" s="1"/>
  <c r="AB98" i="7" s="1"/>
  <c r="AB99" i="7" s="1"/>
  <c r="AB100" i="7" s="1"/>
  <c r="AB101" i="7" s="1"/>
  <c r="AB102" i="7" s="1"/>
  <c r="AB103" i="7" s="1"/>
  <c r="AB104" i="7" s="1"/>
  <c r="AB105" i="7" s="1"/>
  <c r="AB106" i="7" s="1"/>
  <c r="AB107" i="7" s="1"/>
  <c r="AB108" i="7" s="1"/>
  <c r="AB109" i="7" s="1"/>
  <c r="AB124" i="7"/>
  <c r="AB125" i="7" s="1"/>
  <c r="AB126" i="7" s="1"/>
  <c r="AB127" i="7" s="1"/>
  <c r="AB128" i="7" s="1"/>
  <c r="AB129" i="7" s="1"/>
  <c r="AB130" i="7" s="1"/>
  <c r="AB131" i="7" s="1"/>
  <c r="AB132" i="7" s="1"/>
  <c r="AB133" i="7" s="1"/>
  <c r="AB134" i="7" s="1"/>
  <c r="AB135" i="7" s="1"/>
  <c r="AB136" i="7" s="1"/>
  <c r="AB137" i="7" s="1"/>
  <c r="AB138" i="7" s="1"/>
  <c r="AB139" i="7" s="1"/>
  <c r="AB140" i="7" s="1"/>
  <c r="AB141" i="7" s="1"/>
  <c r="AB142" i="7" s="1"/>
  <c r="AB143" i="7" s="1"/>
  <c r="AB144" i="7" s="1"/>
  <c r="AB145" i="7" s="1"/>
  <c r="AB146" i="7" s="1"/>
  <c r="AB147" i="7" s="1"/>
  <c r="AB148" i="7" s="1"/>
  <c r="AB149" i="7" s="1"/>
  <c r="AB150" i="7" s="1"/>
  <c r="AB151" i="7" s="1"/>
  <c r="AB152" i="7" s="1"/>
  <c r="AB153" i="7" s="1"/>
  <c r="AB154" i="7" s="1"/>
  <c r="AB155" i="7" s="1"/>
  <c r="AB156" i="7" s="1"/>
  <c r="AB157" i="7" s="1"/>
  <c r="AB158" i="7" s="1"/>
  <c r="AB159" i="7" s="1"/>
  <c r="AB160" i="7" s="1"/>
  <c r="AB161" i="7" s="1"/>
  <c r="AB162" i="7" s="1"/>
  <c r="AB163" i="7" s="1"/>
  <c r="AB164" i="7" s="1"/>
  <c r="AB165" i="7" s="1"/>
  <c r="AB166" i="7" s="1"/>
  <c r="AB167" i="7" s="1"/>
  <c r="AB168" i="7" s="1"/>
  <c r="AB169" i="7" s="1"/>
  <c r="AB170" i="7" s="1"/>
  <c r="AB171" i="7" s="1"/>
  <c r="AB172" i="7" s="1"/>
  <c r="AB173" i="7" s="1"/>
  <c r="AB174" i="7" s="1"/>
  <c r="AB175" i="7" s="1"/>
  <c r="AB176" i="7" s="1"/>
  <c r="AB177" i="7" s="1"/>
  <c r="AB178" i="7" s="1"/>
  <c r="AB179" i="7" s="1"/>
  <c r="AB180" i="7" s="1"/>
  <c r="AB181" i="7" s="1"/>
  <c r="AB182" i="7" s="1"/>
  <c r="AB183" i="7" s="1"/>
  <c r="AB184" i="7" s="1"/>
  <c r="AB185" i="7" s="1"/>
  <c r="AB186" i="7" s="1"/>
  <c r="AB187" i="7" s="1"/>
  <c r="AB188" i="7" s="1"/>
  <c r="AB189" i="7" s="1"/>
  <c r="AB190" i="7" s="1"/>
  <c r="AB191" i="7" s="1"/>
  <c r="AB192" i="7" s="1"/>
  <c r="AB193" i="7" s="1"/>
  <c r="AB194" i="7" s="1"/>
  <c r="AB195" i="7" s="1"/>
  <c r="AB196" i="7" s="1"/>
  <c r="AB197" i="7" s="1"/>
  <c r="AB198" i="7" s="1"/>
  <c r="AB199" i="7" s="1"/>
  <c r="AB200" i="7" s="1"/>
  <c r="AB201" i="7" s="1"/>
  <c r="AB202" i="7" s="1"/>
  <c r="AB203" i="7" s="1"/>
  <c r="AB204" i="7" s="1"/>
  <c r="AB205" i="7" s="1"/>
  <c r="AB206" i="7" s="1"/>
  <c r="AB207" i="7" s="1"/>
  <c r="AB208" i="7" s="1"/>
  <c r="AB209" i="7" s="1"/>
  <c r="AB210" i="7" s="1"/>
  <c r="AB211" i="7" s="1"/>
  <c r="AB212" i="7" s="1"/>
  <c r="AB213" i="7" s="1"/>
  <c r="AB214" i="7" s="1"/>
  <c r="AB215" i="7" s="1"/>
  <c r="AB216" i="7" s="1"/>
  <c r="AB217" i="7" s="1"/>
  <c r="AB218" i="7" s="1"/>
  <c r="AB219" i="7" s="1"/>
  <c r="AB220" i="7" s="1"/>
  <c r="AB221" i="7" s="1"/>
  <c r="AB222" i="7" s="1"/>
  <c r="AB223" i="7" s="1"/>
  <c r="AB224" i="7" s="1"/>
  <c r="AB225" i="7" s="1"/>
  <c r="AB226" i="7" s="1"/>
  <c r="AB227" i="7" s="1"/>
  <c r="AB228" i="7" s="1"/>
  <c r="AB229" i="7" s="1"/>
  <c r="AB230" i="7" s="1"/>
  <c r="AB231" i="7" s="1"/>
  <c r="AB232" i="7" s="1"/>
  <c r="AB233" i="7" s="1"/>
  <c r="AB234" i="7" s="1"/>
  <c r="AB235" i="7" s="1"/>
  <c r="AB236" i="7" s="1"/>
  <c r="AB237" i="7" s="1"/>
  <c r="AB238" i="7" s="1"/>
  <c r="AB239" i="7" s="1"/>
  <c r="AB240" i="7" s="1"/>
  <c r="AB241" i="7" s="1"/>
  <c r="AB242" i="7" s="1"/>
  <c r="AB243" i="7" s="1"/>
  <c r="AB244" i="7" s="1"/>
  <c r="AB245" i="7" s="1"/>
  <c r="AB246" i="7" s="1"/>
  <c r="AB247" i="7" s="1"/>
  <c r="AB248" i="7" s="1"/>
  <c r="AB249" i="7" s="1"/>
  <c r="AB250" i="7" s="1"/>
  <c r="AB251" i="7" s="1"/>
  <c r="AB252" i="7" s="1"/>
  <c r="AB253" i="7" s="1"/>
  <c r="AB254" i="7" s="1"/>
  <c r="AB255" i="7" s="1"/>
  <c r="AB256" i="7" s="1"/>
  <c r="AB257" i="7" s="1"/>
  <c r="AB258" i="7" s="1"/>
  <c r="AB259" i="7" s="1"/>
  <c r="AB260" i="7" s="1"/>
  <c r="Z96" i="3" l="1"/>
  <c r="AX95" i="3"/>
  <c r="X98" i="3"/>
  <c r="AV97" i="3"/>
  <c r="AF99" i="3"/>
  <c r="BD99" i="3" s="1"/>
  <c r="BD98" i="3"/>
  <c r="P93" i="3"/>
  <c r="AN92" i="3"/>
  <c r="A93" i="3"/>
  <c r="L94" i="3"/>
  <c r="AH92" i="3"/>
  <c r="BF91" i="3"/>
  <c r="R90" i="3"/>
  <c r="AP89" i="3"/>
  <c r="J89" i="3" s="1"/>
  <c r="BH58" i="7"/>
  <c r="AE59" i="7"/>
  <c r="AB113" i="7"/>
  <c r="AB110" i="7"/>
  <c r="BL63" i="7"/>
  <c r="AI64" i="7"/>
  <c r="T68" i="7"/>
  <c r="T58" i="7"/>
  <c r="Z59" i="7"/>
  <c r="L59" i="7"/>
  <c r="A58" i="7"/>
  <c r="Q68" i="7"/>
  <c r="Q58" i="7"/>
  <c r="AA59" i="7"/>
  <c r="P59" i="7"/>
  <c r="AN59" i="7"/>
  <c r="AC59" i="7"/>
  <c r="S68" i="7"/>
  <c r="S58" i="7"/>
  <c r="AP68" i="7"/>
  <c r="AP58" i="7"/>
  <c r="AL59" i="7"/>
  <c r="Y59" i="7"/>
  <c r="BE58" i="7"/>
  <c r="AB59" i="7"/>
  <c r="R68" i="7"/>
  <c r="R58" i="7"/>
  <c r="U59" i="7"/>
  <c r="X59" i="7"/>
  <c r="AZ58" i="7"/>
  <c r="W59" i="7"/>
  <c r="AJ59" i="7"/>
  <c r="AM59" i="7"/>
  <c r="AK68" i="7"/>
  <c r="AK58" i="7"/>
  <c r="AI101" i="7"/>
  <c r="BL100" i="7"/>
  <c r="AI145" i="7"/>
  <c r="BL144" i="7"/>
  <c r="BE259" i="7"/>
  <c r="BE260" i="7"/>
  <c r="BE219" i="7"/>
  <c r="BE218" i="7"/>
  <c r="BE217" i="7"/>
  <c r="BE216" i="7"/>
  <c r="BE215" i="7"/>
  <c r="BE214" i="7"/>
  <c r="BE257" i="7"/>
  <c r="BE244" i="7"/>
  <c r="BE241" i="7"/>
  <c r="BE238" i="7"/>
  <c r="BE236" i="7"/>
  <c r="BE223" i="7"/>
  <c r="BE221" i="7"/>
  <c r="BE248" i="7"/>
  <c r="BE231" i="7"/>
  <c r="BE247" i="7"/>
  <c r="BE240" i="7"/>
  <c r="BE255" i="7"/>
  <c r="BE245" i="7"/>
  <c r="BE232" i="7"/>
  <c r="BE213" i="7"/>
  <c r="BE209" i="7"/>
  <c r="BE205" i="7"/>
  <c r="BE201" i="7"/>
  <c r="BE197" i="7"/>
  <c r="BE193" i="7"/>
  <c r="BE189" i="7"/>
  <c r="BE185" i="7"/>
  <c r="BE181" i="7"/>
  <c r="BE177" i="7"/>
  <c r="BE173" i="7"/>
  <c r="BE169" i="7"/>
  <c r="BE165" i="7"/>
  <c r="BE251" i="7"/>
  <c r="BE230" i="7"/>
  <c r="BE212" i="7"/>
  <c r="BE210" i="7"/>
  <c r="BE195" i="7"/>
  <c r="BE256" i="7"/>
  <c r="BE208" i="7"/>
  <c r="BE206" i="7"/>
  <c r="BE191" i="7"/>
  <c r="BE253" i="7"/>
  <c r="BE249" i="7"/>
  <c r="BE246" i="7"/>
  <c r="BE242" i="7"/>
  <c r="BE233" i="7"/>
  <c r="BE211" i="7"/>
  <c r="BE196" i="7"/>
  <c r="BE194" i="7"/>
  <c r="BE179" i="7"/>
  <c r="BE164" i="7"/>
  <c r="BE234" i="7"/>
  <c r="BE187" i="7"/>
  <c r="BE186" i="7"/>
  <c r="BE180" i="7"/>
  <c r="BE174" i="7"/>
  <c r="BE171" i="7"/>
  <c r="BE254" i="7"/>
  <c r="BE252" i="7"/>
  <c r="BE235" i="7"/>
  <c r="BE198" i="7"/>
  <c r="BE182" i="7"/>
  <c r="BE239" i="7"/>
  <c r="BE226" i="7"/>
  <c r="BE222" i="7"/>
  <c r="BE204" i="7"/>
  <c r="BE190" i="7"/>
  <c r="BE151" i="7"/>
  <c r="BE149" i="7"/>
  <c r="BE250" i="7"/>
  <c r="BE228" i="7"/>
  <c r="BE176" i="7"/>
  <c r="BE172" i="7"/>
  <c r="BE170" i="7"/>
  <c r="BE168" i="7"/>
  <c r="BE167" i="7"/>
  <c r="BE166" i="7"/>
  <c r="BE160" i="7"/>
  <c r="BE158" i="7"/>
  <c r="BE203" i="7"/>
  <c r="BE188" i="7"/>
  <c r="BE183" i="7"/>
  <c r="BE159" i="7"/>
  <c r="BE152" i="7"/>
  <c r="BE135" i="7"/>
  <c r="BE133" i="7"/>
  <c r="BE108" i="7"/>
  <c r="BE106" i="7"/>
  <c r="BE91" i="7"/>
  <c r="BE89" i="7"/>
  <c r="BE57" i="7"/>
  <c r="BE55" i="7"/>
  <c r="BE258" i="7"/>
  <c r="BE243" i="7"/>
  <c r="BE225" i="7"/>
  <c r="BE220" i="7"/>
  <c r="BE157" i="7"/>
  <c r="BE150" i="7"/>
  <c r="BE127" i="7"/>
  <c r="BE125" i="7"/>
  <c r="BE100" i="7"/>
  <c r="BE98" i="7"/>
  <c r="BE83" i="7"/>
  <c r="BE81" i="7"/>
  <c r="BE229" i="7"/>
  <c r="BE162" i="7"/>
  <c r="BE126" i="7"/>
  <c r="BE107" i="7"/>
  <c r="BE87" i="7"/>
  <c r="BE41" i="7"/>
  <c r="BE30" i="7"/>
  <c r="BE24" i="7"/>
  <c r="BE20" i="7"/>
  <c r="BE138" i="7"/>
  <c r="BE93" i="7"/>
  <c r="BE86" i="7"/>
  <c r="BE80" i="7"/>
  <c r="BE28" i="7"/>
  <c r="BE224" i="7"/>
  <c r="BE202" i="7"/>
  <c r="BE200" i="7"/>
  <c r="BE139" i="7"/>
  <c r="BE132" i="7"/>
  <c r="BE79" i="7"/>
  <c r="BE184" i="7"/>
  <c r="BE154" i="7"/>
  <c r="BE153" i="7"/>
  <c r="BE145" i="7"/>
  <c r="BE113" i="7"/>
  <c r="BE109" i="7"/>
  <c r="BE103" i="7"/>
  <c r="BE96" i="7"/>
  <c r="BE48" i="7"/>
  <c r="BE163" i="7"/>
  <c r="BE146" i="7"/>
  <c r="BE137" i="7"/>
  <c r="BE130" i="7"/>
  <c r="BE123" i="7"/>
  <c r="BE56" i="7"/>
  <c r="BE50" i="7"/>
  <c r="BE29" i="7"/>
  <c r="BE27" i="7"/>
  <c r="BE97" i="7"/>
  <c r="BE90" i="7"/>
  <c r="BE51" i="7"/>
  <c r="BE42" i="7"/>
  <c r="BE31" i="7"/>
  <c r="BE26" i="7"/>
  <c r="BE25" i="7"/>
  <c r="BE131" i="7"/>
  <c r="BE105" i="7"/>
  <c r="BE94" i="7"/>
  <c r="BE52" i="7"/>
  <c r="BE43" i="7"/>
  <c r="BE147" i="7"/>
  <c r="BE144" i="7"/>
  <c r="BE68" i="7"/>
  <c r="BE45" i="7"/>
  <c r="BE23" i="7"/>
  <c r="BE128" i="7"/>
  <c r="BE102" i="7"/>
  <c r="BE84" i="7"/>
  <c r="BE155" i="7"/>
  <c r="BE141" i="7"/>
  <c r="BE134" i="7"/>
  <c r="BE104" i="7"/>
  <c r="BE101" i="7"/>
  <c r="BE46" i="7"/>
  <c r="BE44" i="7"/>
  <c r="BE124" i="7"/>
  <c r="BE237" i="7"/>
  <c r="BE227" i="7"/>
  <c r="BE156" i="7"/>
  <c r="BE142" i="7"/>
  <c r="BE53" i="7"/>
  <c r="BE192" i="7"/>
  <c r="BE178" i="7"/>
  <c r="BE99" i="7"/>
  <c r="BE95" i="7"/>
  <c r="BE92" i="7"/>
  <c r="BE88" i="7"/>
  <c r="BE85" i="7"/>
  <c r="BE54" i="7"/>
  <c r="BE175" i="7"/>
  <c r="BE136" i="7"/>
  <c r="BE129" i="7"/>
  <c r="BE78" i="7"/>
  <c r="BE49" i="7"/>
  <c r="BE19" i="7"/>
  <c r="BE207" i="7"/>
  <c r="BE199" i="7"/>
  <c r="BE161" i="7"/>
  <c r="BE148" i="7"/>
  <c r="BE143" i="7"/>
  <c r="BE140" i="7"/>
  <c r="BE82" i="7"/>
  <c r="BE18" i="7"/>
  <c r="BE17" i="7"/>
  <c r="BE21" i="7"/>
  <c r="BE22" i="7"/>
  <c r="BE47" i="7"/>
  <c r="AE96" i="7"/>
  <c r="BH95" i="7"/>
  <c r="L143" i="7"/>
  <c r="A142" i="7"/>
  <c r="AE140" i="7"/>
  <c r="BH139" i="7"/>
  <c r="AE68" i="7"/>
  <c r="BH68" i="7" s="1"/>
  <c r="BH57" i="7"/>
  <c r="L234" i="7"/>
  <c r="A233" i="7"/>
  <c r="AE12" i="7"/>
  <c r="AM30" i="8"/>
  <c r="BK30" i="8" s="1"/>
  <c r="BK29" i="8"/>
  <c r="AL49" i="8"/>
  <c r="BJ48" i="8"/>
  <c r="AJ26" i="8"/>
  <c r="BH25" i="8"/>
  <c r="AC30" i="8"/>
  <c r="BA30" i="8" s="1"/>
  <c r="BA29" i="8"/>
  <c r="AL25" i="8"/>
  <c r="BJ24" i="8"/>
  <c r="AD27" i="8"/>
  <c r="BB26" i="8"/>
  <c r="AK26" i="8"/>
  <c r="BI25" i="8"/>
  <c r="L25" i="8"/>
  <c r="A25" i="8" s="1"/>
  <c r="A24" i="8"/>
  <c r="AJ48" i="8"/>
  <c r="BH47" i="8"/>
  <c r="J47" i="8" s="1"/>
  <c r="AM57" i="8"/>
  <c r="BK57" i="8" s="1"/>
  <c r="AM54" i="8"/>
  <c r="BK53" i="8"/>
  <c r="L49" i="8"/>
  <c r="A48" i="8"/>
  <c r="W28" i="8"/>
  <c r="AU27" i="8"/>
  <c r="V50" i="8"/>
  <c r="AT49" i="8"/>
  <c r="U29" i="8"/>
  <c r="AS28" i="8"/>
  <c r="AE49" i="8"/>
  <c r="BC48" i="8"/>
  <c r="W53" i="8"/>
  <c r="AU52" i="8"/>
  <c r="J24" i="8"/>
  <c r="AM78" i="8"/>
  <c r="BK77" i="8"/>
  <c r="J77" i="8" s="1"/>
  <c r="S30" i="8"/>
  <c r="AQ30" i="8" s="1"/>
  <c r="AQ29" i="8"/>
  <c r="A76" i="8"/>
  <c r="L77" i="8"/>
  <c r="V28" i="8"/>
  <c r="AT27" i="8"/>
  <c r="AJ83" i="8"/>
  <c r="BH82" i="8"/>
  <c r="AA30" i="8"/>
  <c r="AY30" i="8" s="1"/>
  <c r="AY29" i="8"/>
  <c r="Q30" i="8"/>
  <c r="AO30" i="8" s="1"/>
  <c r="AO29" i="8"/>
  <c r="AK52" i="8"/>
  <c r="BI51" i="8"/>
  <c r="L108" i="7"/>
  <c r="A107" i="7"/>
  <c r="A55" i="7"/>
  <c r="AD48" i="7"/>
  <c r="AD49" i="7" s="1"/>
  <c r="V50" i="7"/>
  <c r="A45" i="7"/>
  <c r="BG16" i="7"/>
  <c r="BH16" i="7" s="1"/>
  <c r="AP124" i="7"/>
  <c r="AP125" i="7" s="1"/>
  <c r="AP126" i="7" s="1"/>
  <c r="AP127" i="7" s="1"/>
  <c r="AP128" i="7" s="1"/>
  <c r="AP129" i="7" s="1"/>
  <c r="AP130" i="7" s="1"/>
  <c r="AP131" i="7" s="1"/>
  <c r="AP132" i="7" s="1"/>
  <c r="AP133" i="7" s="1"/>
  <c r="AP134" i="7" s="1"/>
  <c r="AP135" i="7" s="1"/>
  <c r="AP136" i="7" s="1"/>
  <c r="AP137" i="7" s="1"/>
  <c r="AP138" i="7" s="1"/>
  <c r="AP139" i="7" s="1"/>
  <c r="AP140" i="7" s="1"/>
  <c r="AP141" i="7" s="1"/>
  <c r="AP142" i="7" s="1"/>
  <c r="AP143" i="7" s="1"/>
  <c r="AP144" i="7" s="1"/>
  <c r="AP145" i="7" s="1"/>
  <c r="AN124" i="7"/>
  <c r="AN125" i="7" s="1"/>
  <c r="AN126" i="7" s="1"/>
  <c r="AN127" i="7" s="1"/>
  <c r="AN128" i="7" s="1"/>
  <c r="AN129" i="7" s="1"/>
  <c r="AN130" i="7" s="1"/>
  <c r="AN131" i="7" s="1"/>
  <c r="AN132" i="7" s="1"/>
  <c r="AN133" i="7" s="1"/>
  <c r="AN134" i="7" s="1"/>
  <c r="AN135" i="7" s="1"/>
  <c r="AN136" i="7" s="1"/>
  <c r="AN137" i="7" s="1"/>
  <c r="AN138" i="7" s="1"/>
  <c r="AN139" i="7" s="1"/>
  <c r="AN140" i="7" s="1"/>
  <c r="AN141" i="7" s="1"/>
  <c r="AN142" i="7" s="1"/>
  <c r="AN143" i="7" s="1"/>
  <c r="AN144" i="7" s="1"/>
  <c r="AN145" i="7" s="1"/>
  <c r="AN146" i="7" s="1"/>
  <c r="AN147" i="7" s="1"/>
  <c r="AN148" i="7" s="1"/>
  <c r="AN149" i="7" s="1"/>
  <c r="AN150" i="7" s="1"/>
  <c r="AN151" i="7" s="1"/>
  <c r="AN152" i="7" s="1"/>
  <c r="AN153" i="7" s="1"/>
  <c r="AN154" i="7" s="1"/>
  <c r="AN155" i="7" s="1"/>
  <c r="AN156" i="7" s="1"/>
  <c r="AN157" i="7" s="1"/>
  <c r="AN158" i="7" s="1"/>
  <c r="AN159" i="7" s="1"/>
  <c r="AN160" i="7" s="1"/>
  <c r="AN161" i="7" s="1"/>
  <c r="AN162" i="7" s="1"/>
  <c r="AN163" i="7" s="1"/>
  <c r="AN164" i="7" s="1"/>
  <c r="AN165" i="7" s="1"/>
  <c r="AN166" i="7" s="1"/>
  <c r="AN167" i="7" s="1"/>
  <c r="AN168" i="7" s="1"/>
  <c r="AN169" i="7" s="1"/>
  <c r="AN170" i="7" s="1"/>
  <c r="AN171" i="7" s="1"/>
  <c r="AN172" i="7" s="1"/>
  <c r="AN173" i="7" s="1"/>
  <c r="AN174" i="7" s="1"/>
  <c r="AN175" i="7" s="1"/>
  <c r="AN176" i="7" s="1"/>
  <c r="AN177" i="7" s="1"/>
  <c r="AN178" i="7" s="1"/>
  <c r="AN179" i="7" s="1"/>
  <c r="AN180" i="7" s="1"/>
  <c r="AN181" i="7" s="1"/>
  <c r="AN182" i="7" s="1"/>
  <c r="AN183" i="7" s="1"/>
  <c r="AN184" i="7" s="1"/>
  <c r="AN185" i="7" s="1"/>
  <c r="AN186" i="7" s="1"/>
  <c r="AN187" i="7" s="1"/>
  <c r="AN188" i="7" s="1"/>
  <c r="AN189" i="7" s="1"/>
  <c r="AN190" i="7" s="1"/>
  <c r="AN191" i="7" s="1"/>
  <c r="AN192" i="7" s="1"/>
  <c r="AN193" i="7" s="1"/>
  <c r="AN194" i="7" s="1"/>
  <c r="AN195" i="7" s="1"/>
  <c r="AN196" i="7" s="1"/>
  <c r="AN197" i="7" s="1"/>
  <c r="AN198" i="7" s="1"/>
  <c r="AN199" i="7" s="1"/>
  <c r="AN200" i="7" s="1"/>
  <c r="AN201" i="7" s="1"/>
  <c r="AN202" i="7" s="1"/>
  <c r="AN203" i="7" s="1"/>
  <c r="AN204" i="7" s="1"/>
  <c r="AN205" i="7" s="1"/>
  <c r="AN206" i="7" s="1"/>
  <c r="AN207" i="7" s="1"/>
  <c r="AN208" i="7" s="1"/>
  <c r="AN209" i="7" s="1"/>
  <c r="AN210" i="7" s="1"/>
  <c r="AN211" i="7" s="1"/>
  <c r="AN212" i="7" s="1"/>
  <c r="AN213" i="7" s="1"/>
  <c r="AN214" i="7" s="1"/>
  <c r="AN215" i="7" s="1"/>
  <c r="AN216" i="7" s="1"/>
  <c r="AN217" i="7" s="1"/>
  <c r="AN218" i="7" s="1"/>
  <c r="AN219" i="7" s="1"/>
  <c r="AN220" i="7" s="1"/>
  <c r="AN221" i="7" s="1"/>
  <c r="AN222" i="7" s="1"/>
  <c r="AN223" i="7" s="1"/>
  <c r="AN224" i="7" s="1"/>
  <c r="AN225" i="7" s="1"/>
  <c r="AN226" i="7" s="1"/>
  <c r="AN227" i="7" s="1"/>
  <c r="AN228" i="7" s="1"/>
  <c r="AN229" i="7" s="1"/>
  <c r="AN230" i="7" s="1"/>
  <c r="AN231" i="7" s="1"/>
  <c r="AN232" i="7" s="1"/>
  <c r="AN233" i="7" s="1"/>
  <c r="AN234" i="7" s="1"/>
  <c r="AN235" i="7" s="1"/>
  <c r="AN236" i="7" s="1"/>
  <c r="AN237" i="7" s="1"/>
  <c r="AN238" i="7" s="1"/>
  <c r="AN239" i="7" s="1"/>
  <c r="AN240" i="7" s="1"/>
  <c r="AN241" i="7" s="1"/>
  <c r="AN242" i="7" s="1"/>
  <c r="AN243" i="7" s="1"/>
  <c r="AN244" i="7" s="1"/>
  <c r="AN245" i="7" s="1"/>
  <c r="AN246" i="7" s="1"/>
  <c r="AN247" i="7" s="1"/>
  <c r="AN248" i="7" s="1"/>
  <c r="AN249" i="7" s="1"/>
  <c r="AN250" i="7" s="1"/>
  <c r="AN251" i="7" s="1"/>
  <c r="AN252" i="7" s="1"/>
  <c r="AN253" i="7" s="1"/>
  <c r="AN254" i="7" s="1"/>
  <c r="AN255" i="7" s="1"/>
  <c r="AN256" i="7" s="1"/>
  <c r="AN257" i="7" s="1"/>
  <c r="AN258" i="7" s="1"/>
  <c r="AN259" i="7" s="1"/>
  <c r="AN260" i="7" s="1"/>
  <c r="AM124" i="7"/>
  <c r="AM125" i="7" s="1"/>
  <c r="AM126" i="7" s="1"/>
  <c r="AM127" i="7" s="1"/>
  <c r="AM128" i="7" s="1"/>
  <c r="AM129" i="7" s="1"/>
  <c r="AM130" i="7" s="1"/>
  <c r="AM131" i="7" s="1"/>
  <c r="AM132" i="7" s="1"/>
  <c r="AM133" i="7" s="1"/>
  <c r="AM134" i="7" s="1"/>
  <c r="AM135" i="7" s="1"/>
  <c r="AM136" i="7" s="1"/>
  <c r="AM137" i="7" s="1"/>
  <c r="AM138" i="7" s="1"/>
  <c r="AM139" i="7" s="1"/>
  <c r="AM140" i="7" s="1"/>
  <c r="AM141" i="7" s="1"/>
  <c r="AM142" i="7" s="1"/>
  <c r="AM143" i="7" s="1"/>
  <c r="AM144" i="7" s="1"/>
  <c r="AM145" i="7" s="1"/>
  <c r="AM146" i="7" s="1"/>
  <c r="AM147" i="7" s="1"/>
  <c r="AM148" i="7" s="1"/>
  <c r="AM149" i="7" s="1"/>
  <c r="AM150" i="7" s="1"/>
  <c r="AM151" i="7" s="1"/>
  <c r="AM152" i="7" s="1"/>
  <c r="AM153" i="7" s="1"/>
  <c r="AM154" i="7" s="1"/>
  <c r="AM155" i="7" s="1"/>
  <c r="AM156" i="7" s="1"/>
  <c r="AM157" i="7" s="1"/>
  <c r="AM158" i="7" s="1"/>
  <c r="AM159" i="7" s="1"/>
  <c r="AM160" i="7" s="1"/>
  <c r="AM161" i="7" s="1"/>
  <c r="AM162" i="7" s="1"/>
  <c r="AM163" i="7" s="1"/>
  <c r="AM164" i="7" s="1"/>
  <c r="AM165" i="7" s="1"/>
  <c r="AM166" i="7" s="1"/>
  <c r="AM167" i="7" s="1"/>
  <c r="AM168" i="7" s="1"/>
  <c r="AM169" i="7" s="1"/>
  <c r="AM170" i="7" s="1"/>
  <c r="AM171" i="7" s="1"/>
  <c r="AM172" i="7" s="1"/>
  <c r="AM173" i="7" s="1"/>
  <c r="AM174" i="7" s="1"/>
  <c r="AM175" i="7" s="1"/>
  <c r="AM176" i="7" s="1"/>
  <c r="AM177" i="7" s="1"/>
  <c r="AM178" i="7" s="1"/>
  <c r="AM179" i="7" s="1"/>
  <c r="AM180" i="7" s="1"/>
  <c r="AM181" i="7" s="1"/>
  <c r="AM182" i="7" s="1"/>
  <c r="AM183" i="7" s="1"/>
  <c r="AM184" i="7" s="1"/>
  <c r="AM185" i="7" s="1"/>
  <c r="AM186" i="7" s="1"/>
  <c r="AM187" i="7" s="1"/>
  <c r="AM188" i="7" s="1"/>
  <c r="AM189" i="7" s="1"/>
  <c r="AM190" i="7" s="1"/>
  <c r="AM191" i="7" s="1"/>
  <c r="AM192" i="7" s="1"/>
  <c r="AM193" i="7" s="1"/>
  <c r="AM194" i="7" s="1"/>
  <c r="AM195" i="7" s="1"/>
  <c r="AM196" i="7" s="1"/>
  <c r="AM197" i="7" s="1"/>
  <c r="AM198" i="7" s="1"/>
  <c r="AM199" i="7" s="1"/>
  <c r="AM200" i="7" s="1"/>
  <c r="AM201" i="7" s="1"/>
  <c r="AM202" i="7" s="1"/>
  <c r="AM203" i="7" s="1"/>
  <c r="AM204" i="7" s="1"/>
  <c r="AM205" i="7" s="1"/>
  <c r="AM206" i="7" s="1"/>
  <c r="AM207" i="7" s="1"/>
  <c r="AM208" i="7" s="1"/>
  <c r="AM209" i="7" s="1"/>
  <c r="AM210" i="7" s="1"/>
  <c r="AM211" i="7" s="1"/>
  <c r="AM212" i="7" s="1"/>
  <c r="AM213" i="7" s="1"/>
  <c r="AM214" i="7" s="1"/>
  <c r="AM215" i="7" s="1"/>
  <c r="AM216" i="7" s="1"/>
  <c r="AM217" i="7" s="1"/>
  <c r="AM218" i="7" s="1"/>
  <c r="AM219" i="7" s="1"/>
  <c r="AM220" i="7" s="1"/>
  <c r="AM221" i="7" s="1"/>
  <c r="AM222" i="7" s="1"/>
  <c r="AM223" i="7" s="1"/>
  <c r="AM224" i="7" s="1"/>
  <c r="AM225" i="7" s="1"/>
  <c r="AM226" i="7" s="1"/>
  <c r="AM227" i="7" s="1"/>
  <c r="AM228" i="7" s="1"/>
  <c r="AM229" i="7" s="1"/>
  <c r="AM230" i="7" s="1"/>
  <c r="AM231" i="7" s="1"/>
  <c r="AM232" i="7" s="1"/>
  <c r="AM233" i="7" s="1"/>
  <c r="AM234" i="7" s="1"/>
  <c r="AM235" i="7" s="1"/>
  <c r="AM236" i="7" s="1"/>
  <c r="AM237" i="7" s="1"/>
  <c r="AM238" i="7" s="1"/>
  <c r="AM239" i="7" s="1"/>
  <c r="AM240" i="7" s="1"/>
  <c r="AM241" i="7" s="1"/>
  <c r="AM242" i="7" s="1"/>
  <c r="AM243" i="7" s="1"/>
  <c r="AM244" i="7" s="1"/>
  <c r="AM245" i="7" s="1"/>
  <c r="AM246" i="7" s="1"/>
  <c r="AM247" i="7" s="1"/>
  <c r="AM248" i="7" s="1"/>
  <c r="AM249" i="7" s="1"/>
  <c r="AM250" i="7" s="1"/>
  <c r="AM251" i="7" s="1"/>
  <c r="AM252" i="7" s="1"/>
  <c r="AM253" i="7" s="1"/>
  <c r="AM254" i="7" s="1"/>
  <c r="AM255" i="7" s="1"/>
  <c r="AM256" i="7" s="1"/>
  <c r="AM257" i="7" s="1"/>
  <c r="AM258" i="7" s="1"/>
  <c r="AM259" i="7" s="1"/>
  <c r="AM260" i="7" s="1"/>
  <c r="AL124" i="7"/>
  <c r="AL125" i="7" s="1"/>
  <c r="AL126" i="7" s="1"/>
  <c r="AL127" i="7" s="1"/>
  <c r="AL128" i="7" s="1"/>
  <c r="AL129" i="7" s="1"/>
  <c r="AL130" i="7" s="1"/>
  <c r="AL131" i="7" s="1"/>
  <c r="AL132" i="7" s="1"/>
  <c r="AL133" i="7" s="1"/>
  <c r="AL134" i="7" s="1"/>
  <c r="AL135" i="7" s="1"/>
  <c r="AL136" i="7" s="1"/>
  <c r="AL137" i="7" s="1"/>
  <c r="AL138" i="7" s="1"/>
  <c r="AL139" i="7" s="1"/>
  <c r="AL140" i="7" s="1"/>
  <c r="AL141" i="7" s="1"/>
  <c r="AL142" i="7" s="1"/>
  <c r="AL143" i="7" s="1"/>
  <c r="AL144" i="7" s="1"/>
  <c r="AL145" i="7" s="1"/>
  <c r="AL146" i="7" s="1"/>
  <c r="AL147" i="7" s="1"/>
  <c r="AL148" i="7" s="1"/>
  <c r="AL149" i="7" s="1"/>
  <c r="AL150" i="7" s="1"/>
  <c r="AL151" i="7" s="1"/>
  <c r="AL152" i="7" s="1"/>
  <c r="AL153" i="7" s="1"/>
  <c r="AL154" i="7" s="1"/>
  <c r="AL155" i="7" s="1"/>
  <c r="AL156" i="7" s="1"/>
  <c r="AL157" i="7" s="1"/>
  <c r="AL158" i="7" s="1"/>
  <c r="AL159" i="7" s="1"/>
  <c r="AL160" i="7" s="1"/>
  <c r="AL161" i="7" s="1"/>
  <c r="AL162" i="7" s="1"/>
  <c r="AL163" i="7" s="1"/>
  <c r="AL164" i="7" s="1"/>
  <c r="AL165" i="7" s="1"/>
  <c r="AL166" i="7" s="1"/>
  <c r="AL167" i="7" s="1"/>
  <c r="AL168" i="7" s="1"/>
  <c r="AL169" i="7" s="1"/>
  <c r="AL170" i="7" s="1"/>
  <c r="AL171" i="7" s="1"/>
  <c r="AL172" i="7" s="1"/>
  <c r="AL173" i="7" s="1"/>
  <c r="AL174" i="7" s="1"/>
  <c r="AL175" i="7" s="1"/>
  <c r="AL176" i="7" s="1"/>
  <c r="AL177" i="7" s="1"/>
  <c r="AL178" i="7" s="1"/>
  <c r="AL179" i="7" s="1"/>
  <c r="AL180" i="7" s="1"/>
  <c r="AL181" i="7" s="1"/>
  <c r="AL182" i="7" s="1"/>
  <c r="AL183" i="7" s="1"/>
  <c r="AL184" i="7" s="1"/>
  <c r="AL185" i="7" s="1"/>
  <c r="AL186" i="7" s="1"/>
  <c r="AL187" i="7" s="1"/>
  <c r="AL188" i="7" s="1"/>
  <c r="AL189" i="7" s="1"/>
  <c r="AL190" i="7" s="1"/>
  <c r="AL191" i="7" s="1"/>
  <c r="AL192" i="7" s="1"/>
  <c r="AL193" i="7" s="1"/>
  <c r="AL194" i="7" s="1"/>
  <c r="AL195" i="7" s="1"/>
  <c r="AL196" i="7" s="1"/>
  <c r="AL197" i="7" s="1"/>
  <c r="AL198" i="7" s="1"/>
  <c r="AL199" i="7" s="1"/>
  <c r="AL200" i="7" s="1"/>
  <c r="AL201" i="7" s="1"/>
  <c r="AL202" i="7" s="1"/>
  <c r="AL203" i="7" s="1"/>
  <c r="AL204" i="7" s="1"/>
  <c r="AL205" i="7" s="1"/>
  <c r="AL206" i="7" s="1"/>
  <c r="AL207" i="7" s="1"/>
  <c r="AL208" i="7" s="1"/>
  <c r="AL209" i="7" s="1"/>
  <c r="AL210" i="7" s="1"/>
  <c r="AL211" i="7" s="1"/>
  <c r="AL212" i="7" s="1"/>
  <c r="AL213" i="7" s="1"/>
  <c r="AL214" i="7" s="1"/>
  <c r="AL215" i="7" s="1"/>
  <c r="AL216" i="7" s="1"/>
  <c r="AL217" i="7" s="1"/>
  <c r="AL218" i="7" s="1"/>
  <c r="AL219" i="7" s="1"/>
  <c r="AL220" i="7" s="1"/>
  <c r="AL221" i="7" s="1"/>
  <c r="AL222" i="7" s="1"/>
  <c r="AL223" i="7" s="1"/>
  <c r="AL224" i="7" s="1"/>
  <c r="AL225" i="7" s="1"/>
  <c r="AL226" i="7" s="1"/>
  <c r="AL227" i="7" s="1"/>
  <c r="AL228" i="7" s="1"/>
  <c r="AL229" i="7" s="1"/>
  <c r="AL230" i="7" s="1"/>
  <c r="AL231" i="7" s="1"/>
  <c r="AL232" i="7" s="1"/>
  <c r="AL233" i="7" s="1"/>
  <c r="AL234" i="7" s="1"/>
  <c r="AL235" i="7" s="1"/>
  <c r="AL236" i="7" s="1"/>
  <c r="AL237" i="7" s="1"/>
  <c r="AL238" i="7" s="1"/>
  <c r="AL239" i="7" s="1"/>
  <c r="AL240" i="7" s="1"/>
  <c r="AL241" i="7" s="1"/>
  <c r="AL242" i="7" s="1"/>
  <c r="AL243" i="7" s="1"/>
  <c r="AL244" i="7" s="1"/>
  <c r="AL245" i="7" s="1"/>
  <c r="AL246" i="7" s="1"/>
  <c r="AL247" i="7" s="1"/>
  <c r="AL248" i="7" s="1"/>
  <c r="AL249" i="7" s="1"/>
  <c r="AL250" i="7" s="1"/>
  <c r="AL251" i="7" s="1"/>
  <c r="AL252" i="7" s="1"/>
  <c r="AL253" i="7" s="1"/>
  <c r="AL254" i="7" s="1"/>
  <c r="AL255" i="7" s="1"/>
  <c r="AL256" i="7" s="1"/>
  <c r="AL257" i="7" s="1"/>
  <c r="AL258" i="7" s="1"/>
  <c r="AL259" i="7" s="1"/>
  <c r="AL260" i="7" s="1"/>
  <c r="AK124" i="7"/>
  <c r="AK125" i="7" s="1"/>
  <c r="AK126" i="7" s="1"/>
  <c r="AK127" i="7" s="1"/>
  <c r="AK128" i="7" s="1"/>
  <c r="AK129" i="7" s="1"/>
  <c r="AK130" i="7" s="1"/>
  <c r="AK131" i="7" s="1"/>
  <c r="AK132" i="7" s="1"/>
  <c r="AK133" i="7" s="1"/>
  <c r="AK134" i="7" s="1"/>
  <c r="AK135" i="7" s="1"/>
  <c r="AK136" i="7" s="1"/>
  <c r="AK137" i="7" s="1"/>
  <c r="AK138" i="7" s="1"/>
  <c r="AK139" i="7" s="1"/>
  <c r="AK140" i="7" s="1"/>
  <c r="AK141" i="7" s="1"/>
  <c r="AK142" i="7" s="1"/>
  <c r="AK143" i="7" s="1"/>
  <c r="AK144" i="7" s="1"/>
  <c r="AK145" i="7" s="1"/>
  <c r="AK146" i="7" s="1"/>
  <c r="AK147" i="7" s="1"/>
  <c r="AK148" i="7" s="1"/>
  <c r="AK149" i="7" s="1"/>
  <c r="AK150" i="7" s="1"/>
  <c r="AK151" i="7" s="1"/>
  <c r="AK152" i="7" s="1"/>
  <c r="AK153" i="7" s="1"/>
  <c r="AK154" i="7" s="1"/>
  <c r="AK155" i="7" s="1"/>
  <c r="AK156" i="7" s="1"/>
  <c r="AK157" i="7" s="1"/>
  <c r="AK158" i="7" s="1"/>
  <c r="AK159" i="7" s="1"/>
  <c r="AK160" i="7" s="1"/>
  <c r="AK161" i="7" s="1"/>
  <c r="AK162" i="7" s="1"/>
  <c r="AK163" i="7" s="1"/>
  <c r="AK164" i="7" s="1"/>
  <c r="AK165" i="7" s="1"/>
  <c r="AK166" i="7" s="1"/>
  <c r="AK167" i="7" s="1"/>
  <c r="AK168" i="7" s="1"/>
  <c r="AK169" i="7" s="1"/>
  <c r="AK170" i="7" s="1"/>
  <c r="AK171" i="7" s="1"/>
  <c r="AK172" i="7" s="1"/>
  <c r="AK173" i="7" s="1"/>
  <c r="AK174" i="7" s="1"/>
  <c r="AK175" i="7" s="1"/>
  <c r="AK176" i="7" s="1"/>
  <c r="AK177" i="7" s="1"/>
  <c r="AK178" i="7" s="1"/>
  <c r="AK179" i="7" s="1"/>
  <c r="AK180" i="7" s="1"/>
  <c r="AK181" i="7" s="1"/>
  <c r="AK182" i="7" s="1"/>
  <c r="AK183" i="7" s="1"/>
  <c r="AK184" i="7" s="1"/>
  <c r="AK185" i="7" s="1"/>
  <c r="AK186" i="7" s="1"/>
  <c r="AK187" i="7" s="1"/>
  <c r="AK188" i="7" s="1"/>
  <c r="AK189" i="7" s="1"/>
  <c r="AK190" i="7" s="1"/>
  <c r="AK191" i="7" s="1"/>
  <c r="AK192" i="7" s="1"/>
  <c r="AK193" i="7" s="1"/>
  <c r="AK194" i="7" s="1"/>
  <c r="AK195" i="7" s="1"/>
  <c r="AK196" i="7" s="1"/>
  <c r="AK197" i="7" s="1"/>
  <c r="AK198" i="7" s="1"/>
  <c r="AK199" i="7" s="1"/>
  <c r="AK200" i="7" s="1"/>
  <c r="AK201" i="7" s="1"/>
  <c r="AK202" i="7" s="1"/>
  <c r="AK203" i="7" s="1"/>
  <c r="AK204" i="7" s="1"/>
  <c r="AK205" i="7" s="1"/>
  <c r="AK206" i="7" s="1"/>
  <c r="AK207" i="7" s="1"/>
  <c r="AK208" i="7" s="1"/>
  <c r="AK209" i="7" s="1"/>
  <c r="AK210" i="7" s="1"/>
  <c r="AK211" i="7" s="1"/>
  <c r="AK212" i="7" s="1"/>
  <c r="AK213" i="7" s="1"/>
  <c r="AK214" i="7" s="1"/>
  <c r="AK215" i="7" s="1"/>
  <c r="AK216" i="7" s="1"/>
  <c r="AK217" i="7" s="1"/>
  <c r="AK218" i="7" s="1"/>
  <c r="AK219" i="7" s="1"/>
  <c r="AK220" i="7" s="1"/>
  <c r="AK221" i="7" s="1"/>
  <c r="AK222" i="7" s="1"/>
  <c r="AK223" i="7" s="1"/>
  <c r="AK224" i="7" s="1"/>
  <c r="AK225" i="7" s="1"/>
  <c r="AK226" i="7" s="1"/>
  <c r="AK227" i="7" s="1"/>
  <c r="AK228" i="7" s="1"/>
  <c r="AK229" i="7" s="1"/>
  <c r="AK230" i="7" s="1"/>
  <c r="AK231" i="7" s="1"/>
  <c r="AK232" i="7" s="1"/>
  <c r="AK233" i="7" s="1"/>
  <c r="AK234" i="7" s="1"/>
  <c r="AK235" i="7" s="1"/>
  <c r="AK236" i="7" s="1"/>
  <c r="AK237" i="7" s="1"/>
  <c r="AK238" i="7" s="1"/>
  <c r="AK239" i="7" s="1"/>
  <c r="AK240" i="7" s="1"/>
  <c r="AK241" i="7" s="1"/>
  <c r="AK242" i="7" s="1"/>
  <c r="AK243" i="7" s="1"/>
  <c r="AK244" i="7" s="1"/>
  <c r="AK245" i="7" s="1"/>
  <c r="AK246" i="7" s="1"/>
  <c r="AK247" i="7" s="1"/>
  <c r="AK248" i="7" s="1"/>
  <c r="AK249" i="7" s="1"/>
  <c r="AK250" i="7" s="1"/>
  <c r="AK251" i="7" s="1"/>
  <c r="AK252" i="7" s="1"/>
  <c r="AK253" i="7" s="1"/>
  <c r="AK254" i="7" s="1"/>
  <c r="AK255" i="7" s="1"/>
  <c r="AK256" i="7" s="1"/>
  <c r="AK257" i="7" s="1"/>
  <c r="AK258" i="7" s="1"/>
  <c r="AK259" i="7" s="1"/>
  <c r="AK260" i="7" s="1"/>
  <c r="AJ124" i="7"/>
  <c r="AJ125" i="7" s="1"/>
  <c r="AJ126" i="7" s="1"/>
  <c r="AJ127" i="7" s="1"/>
  <c r="AJ128" i="7" s="1"/>
  <c r="AJ129" i="7" s="1"/>
  <c r="AJ130" i="7" s="1"/>
  <c r="AJ131" i="7" s="1"/>
  <c r="AJ132" i="7" s="1"/>
  <c r="AJ133" i="7" s="1"/>
  <c r="AJ134" i="7" s="1"/>
  <c r="AJ135" i="7" s="1"/>
  <c r="AJ136" i="7" s="1"/>
  <c r="AJ137" i="7" s="1"/>
  <c r="AJ138" i="7" s="1"/>
  <c r="AJ139" i="7" s="1"/>
  <c r="AJ140" i="7" s="1"/>
  <c r="AJ141" i="7" s="1"/>
  <c r="AJ142" i="7" s="1"/>
  <c r="AJ143" i="7" s="1"/>
  <c r="AJ144" i="7" s="1"/>
  <c r="AJ145" i="7" s="1"/>
  <c r="AJ146" i="7" s="1"/>
  <c r="AJ147" i="7" s="1"/>
  <c r="AJ148" i="7" s="1"/>
  <c r="AJ149" i="7" s="1"/>
  <c r="AJ150" i="7" s="1"/>
  <c r="AJ151" i="7" s="1"/>
  <c r="AJ152" i="7" s="1"/>
  <c r="AJ153" i="7" s="1"/>
  <c r="AJ154" i="7" s="1"/>
  <c r="AJ155" i="7" s="1"/>
  <c r="AJ156" i="7" s="1"/>
  <c r="AJ157" i="7" s="1"/>
  <c r="AJ158" i="7" s="1"/>
  <c r="AJ159" i="7" s="1"/>
  <c r="AJ160" i="7" s="1"/>
  <c r="AJ161" i="7" s="1"/>
  <c r="AJ162" i="7" s="1"/>
  <c r="AJ163" i="7" s="1"/>
  <c r="AJ164" i="7" s="1"/>
  <c r="AJ165" i="7" s="1"/>
  <c r="AJ166" i="7" s="1"/>
  <c r="AJ167" i="7" s="1"/>
  <c r="AJ168" i="7" s="1"/>
  <c r="AJ169" i="7" s="1"/>
  <c r="AJ170" i="7" s="1"/>
  <c r="AJ171" i="7" s="1"/>
  <c r="AJ172" i="7" s="1"/>
  <c r="AJ173" i="7" s="1"/>
  <c r="AJ174" i="7" s="1"/>
  <c r="AJ175" i="7" s="1"/>
  <c r="AJ176" i="7" s="1"/>
  <c r="AJ177" i="7" s="1"/>
  <c r="AJ178" i="7" s="1"/>
  <c r="AJ179" i="7" s="1"/>
  <c r="AJ180" i="7" s="1"/>
  <c r="AJ181" i="7" s="1"/>
  <c r="AJ182" i="7" s="1"/>
  <c r="AJ183" i="7" s="1"/>
  <c r="AJ184" i="7" s="1"/>
  <c r="AJ185" i="7" s="1"/>
  <c r="AJ186" i="7" s="1"/>
  <c r="AJ187" i="7" s="1"/>
  <c r="AJ188" i="7" s="1"/>
  <c r="AJ189" i="7" s="1"/>
  <c r="AJ190" i="7" s="1"/>
  <c r="AJ191" i="7" s="1"/>
  <c r="AJ192" i="7" s="1"/>
  <c r="AJ193" i="7" s="1"/>
  <c r="AJ194" i="7" s="1"/>
  <c r="AJ195" i="7" s="1"/>
  <c r="AJ196" i="7" s="1"/>
  <c r="AJ197" i="7" s="1"/>
  <c r="AJ198" i="7" s="1"/>
  <c r="AJ199" i="7" s="1"/>
  <c r="AJ200" i="7" s="1"/>
  <c r="AJ201" i="7" s="1"/>
  <c r="AJ202" i="7" s="1"/>
  <c r="AJ203" i="7" s="1"/>
  <c r="AJ204" i="7" s="1"/>
  <c r="AJ205" i="7" s="1"/>
  <c r="AJ206" i="7" s="1"/>
  <c r="AJ207" i="7" s="1"/>
  <c r="AJ208" i="7" s="1"/>
  <c r="AJ209" i="7" s="1"/>
  <c r="AJ210" i="7" s="1"/>
  <c r="AJ211" i="7" s="1"/>
  <c r="AJ212" i="7" s="1"/>
  <c r="AJ213" i="7" s="1"/>
  <c r="AJ214" i="7" s="1"/>
  <c r="AJ215" i="7" s="1"/>
  <c r="AJ216" i="7" s="1"/>
  <c r="AJ217" i="7" s="1"/>
  <c r="AJ218" i="7" s="1"/>
  <c r="AJ219" i="7" s="1"/>
  <c r="AJ220" i="7" s="1"/>
  <c r="AJ221" i="7" s="1"/>
  <c r="AJ222" i="7" s="1"/>
  <c r="AJ223" i="7" s="1"/>
  <c r="AJ224" i="7" s="1"/>
  <c r="AJ225" i="7" s="1"/>
  <c r="AJ226" i="7" s="1"/>
  <c r="AJ227" i="7" s="1"/>
  <c r="AJ228" i="7" s="1"/>
  <c r="AJ229" i="7" s="1"/>
  <c r="AJ230" i="7" s="1"/>
  <c r="AJ231" i="7" s="1"/>
  <c r="AJ232" i="7" s="1"/>
  <c r="AJ233" i="7" s="1"/>
  <c r="AJ234" i="7" s="1"/>
  <c r="AJ235" i="7" s="1"/>
  <c r="AJ236" i="7" s="1"/>
  <c r="AJ237" i="7" s="1"/>
  <c r="AJ238" i="7" s="1"/>
  <c r="AJ239" i="7" s="1"/>
  <c r="AJ240" i="7" s="1"/>
  <c r="AJ241" i="7" s="1"/>
  <c r="AJ242" i="7" s="1"/>
  <c r="AJ243" i="7" s="1"/>
  <c r="AJ244" i="7" s="1"/>
  <c r="AJ245" i="7" s="1"/>
  <c r="AJ246" i="7" s="1"/>
  <c r="AJ247" i="7" s="1"/>
  <c r="AJ248" i="7" s="1"/>
  <c r="AJ249" i="7" s="1"/>
  <c r="AJ250" i="7" s="1"/>
  <c r="AJ251" i="7" s="1"/>
  <c r="AJ252" i="7" s="1"/>
  <c r="AJ253" i="7" s="1"/>
  <c r="AJ254" i="7" s="1"/>
  <c r="AJ255" i="7" s="1"/>
  <c r="AJ256" i="7" s="1"/>
  <c r="AJ257" i="7" s="1"/>
  <c r="AJ258" i="7" s="1"/>
  <c r="AJ259" i="7" s="1"/>
  <c r="AJ260" i="7" s="1"/>
  <c r="AD124" i="7"/>
  <c r="AD125" i="7" s="1"/>
  <c r="AD126" i="7" s="1"/>
  <c r="AD127" i="7" s="1"/>
  <c r="AD128" i="7" s="1"/>
  <c r="AD129" i="7" s="1"/>
  <c r="AD130" i="7" s="1"/>
  <c r="AD131" i="7" s="1"/>
  <c r="AD132" i="7" s="1"/>
  <c r="AD133" i="7" s="1"/>
  <c r="AD134" i="7" s="1"/>
  <c r="AD135" i="7" s="1"/>
  <c r="AD136" i="7" s="1"/>
  <c r="AD137" i="7" s="1"/>
  <c r="AD138" i="7" s="1"/>
  <c r="AD139" i="7" s="1"/>
  <c r="AD140" i="7" s="1"/>
  <c r="AD141" i="7" s="1"/>
  <c r="AD142" i="7" s="1"/>
  <c r="AD143" i="7" s="1"/>
  <c r="AD144" i="7" s="1"/>
  <c r="AD145" i="7" s="1"/>
  <c r="AD146" i="7" s="1"/>
  <c r="AD147" i="7" s="1"/>
  <c r="AD148" i="7" s="1"/>
  <c r="AD149" i="7" s="1"/>
  <c r="AD150" i="7" s="1"/>
  <c r="AD151" i="7" s="1"/>
  <c r="AD152" i="7" s="1"/>
  <c r="AD153" i="7" s="1"/>
  <c r="AD154" i="7" s="1"/>
  <c r="AD155" i="7" s="1"/>
  <c r="AD156" i="7" s="1"/>
  <c r="AD157" i="7" s="1"/>
  <c r="AD158" i="7" s="1"/>
  <c r="AD159" i="7" s="1"/>
  <c r="AD160" i="7" s="1"/>
  <c r="AD161" i="7" s="1"/>
  <c r="AD162" i="7" s="1"/>
  <c r="AD163" i="7" s="1"/>
  <c r="AD164" i="7" s="1"/>
  <c r="AD165" i="7" s="1"/>
  <c r="AD166" i="7" s="1"/>
  <c r="AD167" i="7" s="1"/>
  <c r="AD168" i="7" s="1"/>
  <c r="AD169" i="7" s="1"/>
  <c r="AD170" i="7" s="1"/>
  <c r="AD171" i="7" s="1"/>
  <c r="AD172" i="7" s="1"/>
  <c r="AD173" i="7" s="1"/>
  <c r="AD174" i="7" s="1"/>
  <c r="AD175" i="7" s="1"/>
  <c r="AD176" i="7" s="1"/>
  <c r="AD177" i="7" s="1"/>
  <c r="AD178" i="7" s="1"/>
  <c r="AD179" i="7" s="1"/>
  <c r="AD180" i="7" s="1"/>
  <c r="AD181" i="7" s="1"/>
  <c r="AD182" i="7" s="1"/>
  <c r="AD183" i="7" s="1"/>
  <c r="AD184" i="7" s="1"/>
  <c r="AD185" i="7" s="1"/>
  <c r="AD186" i="7" s="1"/>
  <c r="AD187" i="7" s="1"/>
  <c r="AD188" i="7" s="1"/>
  <c r="AD189" i="7" s="1"/>
  <c r="AD190" i="7" s="1"/>
  <c r="AD191" i="7" s="1"/>
  <c r="AD192" i="7" s="1"/>
  <c r="AD193" i="7" s="1"/>
  <c r="AD194" i="7" s="1"/>
  <c r="AD195" i="7" s="1"/>
  <c r="AD196" i="7" s="1"/>
  <c r="AD197" i="7" s="1"/>
  <c r="AD198" i="7" s="1"/>
  <c r="AD199" i="7" s="1"/>
  <c r="AD200" i="7" s="1"/>
  <c r="AD201" i="7" s="1"/>
  <c r="AD202" i="7" s="1"/>
  <c r="AD203" i="7" s="1"/>
  <c r="AD204" i="7" s="1"/>
  <c r="AD205" i="7" s="1"/>
  <c r="AD206" i="7" s="1"/>
  <c r="AD207" i="7" s="1"/>
  <c r="AD208" i="7" s="1"/>
  <c r="AD209" i="7" s="1"/>
  <c r="AD210" i="7" s="1"/>
  <c r="AD211" i="7" s="1"/>
  <c r="AD212" i="7" s="1"/>
  <c r="AD213" i="7" s="1"/>
  <c r="AD214" i="7" s="1"/>
  <c r="AD215" i="7" s="1"/>
  <c r="AD216" i="7" s="1"/>
  <c r="AD217" i="7" s="1"/>
  <c r="AD218" i="7" s="1"/>
  <c r="AD219" i="7" s="1"/>
  <c r="AD220" i="7" s="1"/>
  <c r="AD221" i="7" s="1"/>
  <c r="AD222" i="7" s="1"/>
  <c r="AD223" i="7" s="1"/>
  <c r="AD224" i="7" s="1"/>
  <c r="AD225" i="7" s="1"/>
  <c r="AD226" i="7" s="1"/>
  <c r="AD227" i="7" s="1"/>
  <c r="AD228" i="7" s="1"/>
  <c r="AD229" i="7" s="1"/>
  <c r="AD230" i="7" s="1"/>
  <c r="AD231" i="7" s="1"/>
  <c r="AD232" i="7" s="1"/>
  <c r="AD233" i="7" s="1"/>
  <c r="AD234" i="7" s="1"/>
  <c r="AD235" i="7" s="1"/>
  <c r="AD236" i="7" s="1"/>
  <c r="AD237" i="7" s="1"/>
  <c r="AD238" i="7" s="1"/>
  <c r="AD239" i="7" s="1"/>
  <c r="AD240" i="7" s="1"/>
  <c r="AD241" i="7" s="1"/>
  <c r="AD242" i="7" s="1"/>
  <c r="AD243" i="7" s="1"/>
  <c r="AD244" i="7" s="1"/>
  <c r="AD245" i="7" s="1"/>
  <c r="AD246" i="7" s="1"/>
  <c r="AD247" i="7" s="1"/>
  <c r="AD248" i="7" s="1"/>
  <c r="AD249" i="7" s="1"/>
  <c r="AD250" i="7" s="1"/>
  <c r="AD251" i="7" s="1"/>
  <c r="AD252" i="7" s="1"/>
  <c r="AD253" i="7" s="1"/>
  <c r="AD254" i="7" s="1"/>
  <c r="AD255" i="7" s="1"/>
  <c r="AD256" i="7" s="1"/>
  <c r="AD257" i="7" s="1"/>
  <c r="AD258" i="7" s="1"/>
  <c r="AD259" i="7" s="1"/>
  <c r="AD260" i="7" s="1"/>
  <c r="AC124" i="7"/>
  <c r="AC125" i="7" s="1"/>
  <c r="AC126" i="7" s="1"/>
  <c r="AC127" i="7" s="1"/>
  <c r="AC128" i="7" s="1"/>
  <c r="AC129" i="7" s="1"/>
  <c r="AC130" i="7" s="1"/>
  <c r="AC131" i="7" s="1"/>
  <c r="AC132" i="7" s="1"/>
  <c r="AC133" i="7" s="1"/>
  <c r="AC134" i="7" s="1"/>
  <c r="AC135" i="7" s="1"/>
  <c r="AC136" i="7" s="1"/>
  <c r="AC137" i="7" s="1"/>
  <c r="AC138" i="7" s="1"/>
  <c r="AC139" i="7" s="1"/>
  <c r="AC140" i="7" s="1"/>
  <c r="AC141" i="7" s="1"/>
  <c r="AC142" i="7" s="1"/>
  <c r="AC143" i="7" s="1"/>
  <c r="AC144" i="7" s="1"/>
  <c r="AC145" i="7" s="1"/>
  <c r="AC146" i="7" s="1"/>
  <c r="AC147" i="7" s="1"/>
  <c r="AC148" i="7" s="1"/>
  <c r="AC149" i="7" s="1"/>
  <c r="AC150" i="7" s="1"/>
  <c r="AC151" i="7" s="1"/>
  <c r="AC152" i="7" s="1"/>
  <c r="AC153" i="7" s="1"/>
  <c r="AC154" i="7" s="1"/>
  <c r="AC155" i="7" s="1"/>
  <c r="AC156" i="7" s="1"/>
  <c r="AC157" i="7" s="1"/>
  <c r="AC158" i="7" s="1"/>
  <c r="AC159" i="7" s="1"/>
  <c r="AC160" i="7" s="1"/>
  <c r="AC161" i="7" s="1"/>
  <c r="AC162" i="7" s="1"/>
  <c r="AC163" i="7" s="1"/>
  <c r="AC164" i="7" s="1"/>
  <c r="AC165" i="7" s="1"/>
  <c r="AC166" i="7" s="1"/>
  <c r="AC167" i="7" s="1"/>
  <c r="AC168" i="7" s="1"/>
  <c r="AC169" i="7" s="1"/>
  <c r="AC170" i="7" s="1"/>
  <c r="AC171" i="7" s="1"/>
  <c r="AC172" i="7" s="1"/>
  <c r="AC173" i="7" s="1"/>
  <c r="AC174" i="7" s="1"/>
  <c r="AC175" i="7" s="1"/>
  <c r="AC176" i="7" s="1"/>
  <c r="AC177" i="7" s="1"/>
  <c r="AC178" i="7" s="1"/>
  <c r="AC179" i="7" s="1"/>
  <c r="AC180" i="7" s="1"/>
  <c r="AC181" i="7" s="1"/>
  <c r="AC182" i="7" s="1"/>
  <c r="AC183" i="7" s="1"/>
  <c r="AC184" i="7" s="1"/>
  <c r="AC185" i="7" s="1"/>
  <c r="AC186" i="7" s="1"/>
  <c r="AC187" i="7" s="1"/>
  <c r="AC188" i="7" s="1"/>
  <c r="AC189" i="7" s="1"/>
  <c r="AC190" i="7" s="1"/>
  <c r="AC191" i="7" s="1"/>
  <c r="AC192" i="7" s="1"/>
  <c r="AC193" i="7" s="1"/>
  <c r="AC194" i="7" s="1"/>
  <c r="AC195" i="7" s="1"/>
  <c r="AC196" i="7" s="1"/>
  <c r="AC197" i="7" s="1"/>
  <c r="AC198" i="7" s="1"/>
  <c r="AC199" i="7" s="1"/>
  <c r="AC200" i="7" s="1"/>
  <c r="AC201" i="7" s="1"/>
  <c r="AC202" i="7" s="1"/>
  <c r="AC203" i="7" s="1"/>
  <c r="AC204" i="7" s="1"/>
  <c r="AC205" i="7" s="1"/>
  <c r="AC206" i="7" s="1"/>
  <c r="AC207" i="7" s="1"/>
  <c r="AC208" i="7" s="1"/>
  <c r="AC209" i="7" s="1"/>
  <c r="AC210" i="7" s="1"/>
  <c r="AC211" i="7" s="1"/>
  <c r="AC212" i="7" s="1"/>
  <c r="AC213" i="7" s="1"/>
  <c r="AC214" i="7" s="1"/>
  <c r="AC215" i="7" s="1"/>
  <c r="AC216" i="7" s="1"/>
  <c r="AC217" i="7" s="1"/>
  <c r="AC218" i="7" s="1"/>
  <c r="AC219" i="7" s="1"/>
  <c r="AC220" i="7" s="1"/>
  <c r="AC221" i="7" s="1"/>
  <c r="AC222" i="7" s="1"/>
  <c r="AC223" i="7" s="1"/>
  <c r="AC224" i="7" s="1"/>
  <c r="AC225" i="7" s="1"/>
  <c r="AC226" i="7" s="1"/>
  <c r="AC227" i="7" s="1"/>
  <c r="AC228" i="7" s="1"/>
  <c r="AC229" i="7" s="1"/>
  <c r="AC230" i="7" s="1"/>
  <c r="AC231" i="7" s="1"/>
  <c r="AC232" i="7" s="1"/>
  <c r="AC233" i="7" s="1"/>
  <c r="AC234" i="7" s="1"/>
  <c r="AC235" i="7" s="1"/>
  <c r="AC236" i="7" s="1"/>
  <c r="AC237" i="7" s="1"/>
  <c r="AC238" i="7" s="1"/>
  <c r="AC239" i="7" s="1"/>
  <c r="AC240" i="7" s="1"/>
  <c r="AC241" i="7" s="1"/>
  <c r="AC242" i="7" s="1"/>
  <c r="AC243" i="7" s="1"/>
  <c r="AC244" i="7" s="1"/>
  <c r="AC245" i="7" s="1"/>
  <c r="AC246" i="7" s="1"/>
  <c r="AC247" i="7" s="1"/>
  <c r="AC248" i="7" s="1"/>
  <c r="AC249" i="7" s="1"/>
  <c r="AC250" i="7" s="1"/>
  <c r="AC251" i="7" s="1"/>
  <c r="AC252" i="7" s="1"/>
  <c r="AC253" i="7" s="1"/>
  <c r="AC254" i="7" s="1"/>
  <c r="AC255" i="7" s="1"/>
  <c r="AC256" i="7" s="1"/>
  <c r="AC257" i="7" s="1"/>
  <c r="AC258" i="7" s="1"/>
  <c r="AC259" i="7" s="1"/>
  <c r="AC260" i="7" s="1"/>
  <c r="AA124" i="7"/>
  <c r="AA125" i="7" s="1"/>
  <c r="Z124" i="7"/>
  <c r="Z125" i="7" s="1"/>
  <c r="Y124" i="7"/>
  <c r="Y125" i="7" s="1"/>
  <c r="X124" i="7"/>
  <c r="X125" i="7" s="1"/>
  <c r="W124" i="7"/>
  <c r="W125" i="7" s="1"/>
  <c r="V124" i="7"/>
  <c r="V125" i="7" s="1"/>
  <c r="U124" i="7"/>
  <c r="U125" i="7" s="1"/>
  <c r="T124" i="7"/>
  <c r="T125" i="7" s="1"/>
  <c r="Q124" i="7"/>
  <c r="Q125" i="7" s="1"/>
  <c r="R124" i="7"/>
  <c r="R125" i="7" s="1"/>
  <c r="S124" i="7"/>
  <c r="S125" i="7" s="1"/>
  <c r="P124" i="7"/>
  <c r="P125" i="7" s="1"/>
  <c r="AP79" i="7"/>
  <c r="AP80" i="7" s="1"/>
  <c r="AP81" i="7" s="1"/>
  <c r="AP82" i="7" s="1"/>
  <c r="AP83" i="7" s="1"/>
  <c r="AP84" i="7" s="1"/>
  <c r="AP85" i="7" s="1"/>
  <c r="AP86" i="7" s="1"/>
  <c r="AP87" i="7" s="1"/>
  <c r="AP88" i="7" s="1"/>
  <c r="AP89" i="7" s="1"/>
  <c r="AP90" i="7" s="1"/>
  <c r="AP91" i="7" s="1"/>
  <c r="AP92" i="7" s="1"/>
  <c r="AP93" i="7" s="1"/>
  <c r="AP94" i="7" s="1"/>
  <c r="AP95" i="7" s="1"/>
  <c r="AP96" i="7" s="1"/>
  <c r="AP97" i="7" s="1"/>
  <c r="AP98" i="7" s="1"/>
  <c r="AP99" i="7" s="1"/>
  <c r="AP100" i="7" s="1"/>
  <c r="AP101" i="7" s="1"/>
  <c r="AP102" i="7" s="1"/>
  <c r="AP103" i="7" s="1"/>
  <c r="AP104" i="7" s="1"/>
  <c r="AP105" i="7" s="1"/>
  <c r="AP106" i="7" s="1"/>
  <c r="AP107" i="7" s="1"/>
  <c r="AP108" i="7" s="1"/>
  <c r="AP109" i="7" s="1"/>
  <c r="AP110" i="7" s="1"/>
  <c r="AN79" i="7"/>
  <c r="AN80" i="7" s="1"/>
  <c r="AN81" i="7" s="1"/>
  <c r="AN82" i="7" s="1"/>
  <c r="AN83" i="7" s="1"/>
  <c r="AN84" i="7" s="1"/>
  <c r="AN85" i="7" s="1"/>
  <c r="AN86" i="7" s="1"/>
  <c r="AN87" i="7" s="1"/>
  <c r="AN88" i="7" s="1"/>
  <c r="AN89" i="7" s="1"/>
  <c r="AN90" i="7" s="1"/>
  <c r="AN91" i="7" s="1"/>
  <c r="AN92" i="7" s="1"/>
  <c r="AN93" i="7" s="1"/>
  <c r="AN94" i="7" s="1"/>
  <c r="AN95" i="7" s="1"/>
  <c r="AN96" i="7" s="1"/>
  <c r="AN97" i="7" s="1"/>
  <c r="AN98" i="7" s="1"/>
  <c r="AN99" i="7" s="1"/>
  <c r="AN100" i="7" s="1"/>
  <c r="AN101" i="7" s="1"/>
  <c r="AN102" i="7" s="1"/>
  <c r="AN103" i="7" s="1"/>
  <c r="AN104" i="7" s="1"/>
  <c r="AN105" i="7" s="1"/>
  <c r="AN106" i="7" s="1"/>
  <c r="AN107" i="7" s="1"/>
  <c r="AN108" i="7" s="1"/>
  <c r="AM79" i="7"/>
  <c r="AM80" i="7" s="1"/>
  <c r="AM81" i="7" s="1"/>
  <c r="AM82" i="7" s="1"/>
  <c r="AM83" i="7" s="1"/>
  <c r="AM84" i="7" s="1"/>
  <c r="AM85" i="7" s="1"/>
  <c r="AM86" i="7" s="1"/>
  <c r="AM87" i="7" s="1"/>
  <c r="AM88" i="7" s="1"/>
  <c r="AM89" i="7" s="1"/>
  <c r="AM90" i="7" s="1"/>
  <c r="AM91" i="7" s="1"/>
  <c r="AM92" i="7" s="1"/>
  <c r="AM93" i="7" s="1"/>
  <c r="AM94" i="7" s="1"/>
  <c r="AM95" i="7" s="1"/>
  <c r="AM96" i="7" s="1"/>
  <c r="AM97" i="7" s="1"/>
  <c r="AM98" i="7" s="1"/>
  <c r="AM99" i="7" s="1"/>
  <c r="AM100" i="7" s="1"/>
  <c r="AM101" i="7" s="1"/>
  <c r="AM102" i="7" s="1"/>
  <c r="AM103" i="7" s="1"/>
  <c r="AM104" i="7" s="1"/>
  <c r="AM105" i="7" s="1"/>
  <c r="AM106" i="7" s="1"/>
  <c r="AM107" i="7" s="1"/>
  <c r="AM108" i="7" s="1"/>
  <c r="AM109" i="7" s="1"/>
  <c r="AL79" i="7"/>
  <c r="AL80" i="7" s="1"/>
  <c r="AL81" i="7" s="1"/>
  <c r="AL82" i="7" s="1"/>
  <c r="AL83" i="7" s="1"/>
  <c r="AL84" i="7" s="1"/>
  <c r="AL85" i="7" s="1"/>
  <c r="AL86" i="7" s="1"/>
  <c r="AL87" i="7" s="1"/>
  <c r="AL88" i="7" s="1"/>
  <c r="AL89" i="7" s="1"/>
  <c r="AL90" i="7" s="1"/>
  <c r="AL91" i="7" s="1"/>
  <c r="AL92" i="7" s="1"/>
  <c r="AL93" i="7" s="1"/>
  <c r="AL94" i="7" s="1"/>
  <c r="AL95" i="7" s="1"/>
  <c r="AL96" i="7" s="1"/>
  <c r="AL97" i="7" s="1"/>
  <c r="AL98" i="7" s="1"/>
  <c r="AL99" i="7" s="1"/>
  <c r="AL100" i="7" s="1"/>
  <c r="AL101" i="7" s="1"/>
  <c r="AL102" i="7" s="1"/>
  <c r="AL103" i="7" s="1"/>
  <c r="AL104" i="7" s="1"/>
  <c r="AL105" i="7" s="1"/>
  <c r="AL106" i="7" s="1"/>
  <c r="AL107" i="7" s="1"/>
  <c r="AK79" i="7"/>
  <c r="AK80" i="7" s="1"/>
  <c r="AK81" i="7" s="1"/>
  <c r="AK82" i="7" s="1"/>
  <c r="AK83" i="7" s="1"/>
  <c r="AK84" i="7" s="1"/>
  <c r="AK85" i="7" s="1"/>
  <c r="AK86" i="7" s="1"/>
  <c r="AK87" i="7" s="1"/>
  <c r="AK88" i="7" s="1"/>
  <c r="AK89" i="7" s="1"/>
  <c r="AK90" i="7" s="1"/>
  <c r="AK91" i="7" s="1"/>
  <c r="AK92" i="7" s="1"/>
  <c r="AK93" i="7" s="1"/>
  <c r="AK94" i="7" s="1"/>
  <c r="AK95" i="7" s="1"/>
  <c r="AK96" i="7" s="1"/>
  <c r="AK97" i="7" s="1"/>
  <c r="AK98" i="7" s="1"/>
  <c r="AK99" i="7" s="1"/>
  <c r="AK100" i="7" s="1"/>
  <c r="AK101" i="7" s="1"/>
  <c r="AK102" i="7" s="1"/>
  <c r="AK103" i="7" s="1"/>
  <c r="AK104" i="7" s="1"/>
  <c r="AK105" i="7" s="1"/>
  <c r="AK106" i="7" s="1"/>
  <c r="AK107" i="7" s="1"/>
  <c r="AK108" i="7" s="1"/>
  <c r="AJ79" i="7"/>
  <c r="AJ80" i="7" s="1"/>
  <c r="AJ81" i="7" s="1"/>
  <c r="AJ82" i="7" s="1"/>
  <c r="AJ83" i="7" s="1"/>
  <c r="AJ84" i="7" s="1"/>
  <c r="AJ85" i="7" s="1"/>
  <c r="AJ86" i="7" s="1"/>
  <c r="AJ87" i="7" s="1"/>
  <c r="AJ88" i="7" s="1"/>
  <c r="AJ89" i="7" s="1"/>
  <c r="AJ90" i="7" s="1"/>
  <c r="AJ91" i="7" s="1"/>
  <c r="AJ92" i="7" s="1"/>
  <c r="AJ93" i="7" s="1"/>
  <c r="AJ94" i="7" s="1"/>
  <c r="AJ95" i="7" s="1"/>
  <c r="AJ96" i="7" s="1"/>
  <c r="AJ97" i="7" s="1"/>
  <c r="AJ98" i="7" s="1"/>
  <c r="AJ99" i="7" s="1"/>
  <c r="AJ100" i="7" s="1"/>
  <c r="AJ101" i="7" s="1"/>
  <c r="AJ102" i="7" s="1"/>
  <c r="AJ103" i="7" s="1"/>
  <c r="AJ104" i="7" s="1"/>
  <c r="AJ105" i="7" s="1"/>
  <c r="AJ106" i="7" s="1"/>
  <c r="AJ107" i="7" s="1"/>
  <c r="AJ108" i="7" s="1"/>
  <c r="AJ109" i="7" s="1"/>
  <c r="AC79" i="7"/>
  <c r="AC80" i="7" s="1"/>
  <c r="AC81" i="7" s="1"/>
  <c r="AC82" i="7" s="1"/>
  <c r="AC83" i="7" s="1"/>
  <c r="AC84" i="7" s="1"/>
  <c r="AC85" i="7" s="1"/>
  <c r="AC86" i="7" s="1"/>
  <c r="AC87" i="7" s="1"/>
  <c r="AC88" i="7" s="1"/>
  <c r="AC89" i="7" s="1"/>
  <c r="AC90" i="7" s="1"/>
  <c r="AC91" i="7" s="1"/>
  <c r="AC92" i="7" s="1"/>
  <c r="AC93" i="7" s="1"/>
  <c r="AC94" i="7" s="1"/>
  <c r="AC95" i="7" s="1"/>
  <c r="AC96" i="7" s="1"/>
  <c r="AC97" i="7" s="1"/>
  <c r="AC98" i="7" s="1"/>
  <c r="AC99" i="7" s="1"/>
  <c r="AC100" i="7" s="1"/>
  <c r="AC101" i="7" s="1"/>
  <c r="AC102" i="7" s="1"/>
  <c r="AC103" i="7" s="1"/>
  <c r="AC104" i="7" s="1"/>
  <c r="AC105" i="7" s="1"/>
  <c r="AC106" i="7" s="1"/>
  <c r="AC107" i="7" s="1"/>
  <c r="AC108" i="7" s="1"/>
  <c r="AC109" i="7" s="1"/>
  <c r="AA79" i="7"/>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Z79" i="7"/>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Y79" i="7"/>
  <c r="Y80" i="7" s="1"/>
  <c r="Y81" i="7" s="1"/>
  <c r="Y82" i="7" s="1"/>
  <c r="Y83" i="7" s="1"/>
  <c r="Y84" i="7" s="1"/>
  <c r="Y85" i="7" s="1"/>
  <c r="Y86" i="7" s="1"/>
  <c r="Y87" i="7" s="1"/>
  <c r="Y88" i="7" s="1"/>
  <c r="Y89" i="7" s="1"/>
  <c r="Y90" i="7" s="1"/>
  <c r="Y91" i="7" s="1"/>
  <c r="Y92" i="7" s="1"/>
  <c r="Y93" i="7" s="1"/>
  <c r="Y94" i="7" s="1"/>
  <c r="Y95" i="7" s="1"/>
  <c r="Y96" i="7" s="1"/>
  <c r="Y97" i="7" s="1"/>
  <c r="Y98" i="7" s="1"/>
  <c r="Y99" i="7" s="1"/>
  <c r="Y100" i="7" s="1"/>
  <c r="Y101" i="7" s="1"/>
  <c r="Y102" i="7" s="1"/>
  <c r="Y103" i="7" s="1"/>
  <c r="Y104" i="7" s="1"/>
  <c r="Y105" i="7" s="1"/>
  <c r="Y106" i="7" s="1"/>
  <c r="Y107" i="7" s="1"/>
  <c r="Y108" i="7" s="1"/>
  <c r="Y109" i="7" s="1"/>
  <c r="X79" i="7"/>
  <c r="X80" i="7" s="1"/>
  <c r="X81" i="7" s="1"/>
  <c r="X82" i="7" s="1"/>
  <c r="X83" i="7" s="1"/>
  <c r="X84" i="7" s="1"/>
  <c r="X85" i="7" s="1"/>
  <c r="X86" i="7" s="1"/>
  <c r="X87" i="7" s="1"/>
  <c r="X88" i="7" s="1"/>
  <c r="X89" i="7" s="1"/>
  <c r="X90" i="7" s="1"/>
  <c r="X91" i="7" s="1"/>
  <c r="X92" i="7" s="1"/>
  <c r="X93" i="7" s="1"/>
  <c r="X94" i="7" s="1"/>
  <c r="X95" i="7" s="1"/>
  <c r="X96" i="7" s="1"/>
  <c r="X97" i="7" s="1"/>
  <c r="X98" i="7" s="1"/>
  <c r="X99" i="7" s="1"/>
  <c r="X100" i="7" s="1"/>
  <c r="X101" i="7" s="1"/>
  <c r="X102" i="7" s="1"/>
  <c r="X103" i="7" s="1"/>
  <c r="X104" i="7" s="1"/>
  <c r="X105" i="7" s="1"/>
  <c r="X106" i="7" s="1"/>
  <c r="X107" i="7" s="1"/>
  <c r="W79" i="7"/>
  <c r="W80" i="7" s="1"/>
  <c r="W81" i="7" s="1"/>
  <c r="W82" i="7" s="1"/>
  <c r="W83" i="7" s="1"/>
  <c r="W84" i="7" s="1"/>
  <c r="W85" i="7" s="1"/>
  <c r="W86" i="7" s="1"/>
  <c r="W87" i="7" s="1"/>
  <c r="W88" i="7" s="1"/>
  <c r="W89" i="7" s="1"/>
  <c r="W90" i="7" s="1"/>
  <c r="W91" i="7" s="1"/>
  <c r="W92" i="7" s="1"/>
  <c r="W93" i="7" s="1"/>
  <c r="W94" i="7" s="1"/>
  <c r="W95" i="7" s="1"/>
  <c r="W96" i="7" s="1"/>
  <c r="W97" i="7" s="1"/>
  <c r="W98" i="7" s="1"/>
  <c r="W99" i="7" s="1"/>
  <c r="W100" i="7" s="1"/>
  <c r="W101" i="7" s="1"/>
  <c r="W102" i="7" s="1"/>
  <c r="W103" i="7" s="1"/>
  <c r="W104" i="7" s="1"/>
  <c r="W105" i="7" s="1"/>
  <c r="W106" i="7" s="1"/>
  <c r="W107" i="7" s="1"/>
  <c r="W108" i="7" s="1"/>
  <c r="U79" i="7"/>
  <c r="U80" i="7" s="1"/>
  <c r="U81" i="7" s="1"/>
  <c r="U82" i="7" s="1"/>
  <c r="U83" i="7" s="1"/>
  <c r="U84" i="7" s="1"/>
  <c r="U85" i="7" s="1"/>
  <c r="U86" i="7" s="1"/>
  <c r="U87" i="7" s="1"/>
  <c r="U88" i="7" s="1"/>
  <c r="U89" i="7" s="1"/>
  <c r="U90" i="7" s="1"/>
  <c r="U91" i="7" s="1"/>
  <c r="U92" i="7" s="1"/>
  <c r="U93" i="7" s="1"/>
  <c r="U94" i="7" s="1"/>
  <c r="U95" i="7" s="1"/>
  <c r="U96" i="7" s="1"/>
  <c r="U97" i="7" s="1"/>
  <c r="U98" i="7" s="1"/>
  <c r="U99" i="7" s="1"/>
  <c r="U100" i="7" s="1"/>
  <c r="U101" i="7" s="1"/>
  <c r="U102" i="7" s="1"/>
  <c r="U103" i="7" s="1"/>
  <c r="U104" i="7" s="1"/>
  <c r="U105" i="7" s="1"/>
  <c r="U106" i="7" s="1"/>
  <c r="U107" i="7" s="1"/>
  <c r="U108" i="7" s="1"/>
  <c r="U109" i="7" s="1"/>
  <c r="T79" i="7"/>
  <c r="T80" i="7" s="1"/>
  <c r="T81" i="7" s="1"/>
  <c r="T82" i="7" s="1"/>
  <c r="T83" i="7" s="1"/>
  <c r="T84" i="7" s="1"/>
  <c r="T85" i="7" s="1"/>
  <c r="T86" i="7" s="1"/>
  <c r="T87" i="7" s="1"/>
  <c r="T88" i="7" s="1"/>
  <c r="T89" i="7" s="1"/>
  <c r="T90" i="7" s="1"/>
  <c r="T91" i="7" s="1"/>
  <c r="T92" i="7" s="1"/>
  <c r="T93" i="7" s="1"/>
  <c r="T94" i="7" s="1"/>
  <c r="T95" i="7" s="1"/>
  <c r="T96" i="7" s="1"/>
  <c r="T97" i="7" s="1"/>
  <c r="T98" i="7" s="1"/>
  <c r="T99" i="7" s="1"/>
  <c r="T100" i="7" s="1"/>
  <c r="T101" i="7" s="1"/>
  <c r="T102" i="7" s="1"/>
  <c r="T103" i="7" s="1"/>
  <c r="T104" i="7" s="1"/>
  <c r="T105" i="7" s="1"/>
  <c r="T106" i="7" s="1"/>
  <c r="T107" i="7" s="1"/>
  <c r="T108" i="7" s="1"/>
  <c r="T109" i="7" s="1"/>
  <c r="S79" i="7"/>
  <c r="S80" i="7" s="1"/>
  <c r="S81" i="7" s="1"/>
  <c r="S82" i="7" s="1"/>
  <c r="S83" i="7" s="1"/>
  <c r="S84" i="7" s="1"/>
  <c r="S85" i="7" s="1"/>
  <c r="S86" i="7" s="1"/>
  <c r="S87" i="7" s="1"/>
  <c r="S88" i="7" s="1"/>
  <c r="S89" i="7" s="1"/>
  <c r="S90" i="7" s="1"/>
  <c r="S91" i="7" s="1"/>
  <c r="S92" i="7" s="1"/>
  <c r="S93" i="7" s="1"/>
  <c r="S94" i="7" s="1"/>
  <c r="S95" i="7" s="1"/>
  <c r="S96" i="7" s="1"/>
  <c r="S97" i="7" s="1"/>
  <c r="S98" i="7" s="1"/>
  <c r="S99" i="7" s="1"/>
  <c r="S100" i="7" s="1"/>
  <c r="S101" i="7" s="1"/>
  <c r="S102" i="7" s="1"/>
  <c r="S103" i="7" s="1"/>
  <c r="S104" i="7" s="1"/>
  <c r="S105" i="7" s="1"/>
  <c r="S106" i="7" s="1"/>
  <c r="S107" i="7" s="1"/>
  <c r="S108" i="7" s="1"/>
  <c r="S109" i="7" s="1"/>
  <c r="R79" i="7"/>
  <c r="R80" i="7" s="1"/>
  <c r="R81" i="7" s="1"/>
  <c r="R82" i="7" s="1"/>
  <c r="R83" i="7" s="1"/>
  <c r="R84" i="7" s="1"/>
  <c r="R85" i="7" s="1"/>
  <c r="R86" i="7" s="1"/>
  <c r="R87" i="7" s="1"/>
  <c r="R88" i="7" s="1"/>
  <c r="R89" i="7" s="1"/>
  <c r="R90" i="7" s="1"/>
  <c r="R91" i="7" s="1"/>
  <c r="R92" i="7" s="1"/>
  <c r="R93" i="7" s="1"/>
  <c r="R94" i="7" s="1"/>
  <c r="R95" i="7" s="1"/>
  <c r="R96" i="7" s="1"/>
  <c r="R97" i="7" s="1"/>
  <c r="R98" i="7" s="1"/>
  <c r="R99" i="7" s="1"/>
  <c r="R100" i="7" s="1"/>
  <c r="R101" i="7" s="1"/>
  <c r="R102" i="7" s="1"/>
  <c r="R103" i="7" s="1"/>
  <c r="R104" i="7" s="1"/>
  <c r="R105" i="7" s="1"/>
  <c r="R106" i="7" s="1"/>
  <c r="R107" i="7" s="1"/>
  <c r="R108" i="7" s="1"/>
  <c r="R109" i="7" s="1"/>
  <c r="Q79" i="7"/>
  <c r="Q80" i="7" s="1"/>
  <c r="Q81" i="7" s="1"/>
  <c r="Q82" i="7" s="1"/>
  <c r="Q83" i="7" s="1"/>
  <c r="Q84" i="7" s="1"/>
  <c r="Q85" i="7" s="1"/>
  <c r="Q86" i="7" s="1"/>
  <c r="Q87" i="7" s="1"/>
  <c r="Q88" i="7" s="1"/>
  <c r="Q89" i="7" s="1"/>
  <c r="Q90" i="7" s="1"/>
  <c r="Q91" i="7" s="1"/>
  <c r="Q92" i="7" s="1"/>
  <c r="Q93" i="7" s="1"/>
  <c r="Q94" i="7" s="1"/>
  <c r="Q95" i="7" s="1"/>
  <c r="Q96" i="7" s="1"/>
  <c r="Q97" i="7" s="1"/>
  <c r="Q98" i="7" s="1"/>
  <c r="Q99" i="7" s="1"/>
  <c r="Q100" i="7" s="1"/>
  <c r="Q101" i="7" s="1"/>
  <c r="Q102" i="7" s="1"/>
  <c r="Q103" i="7" s="1"/>
  <c r="Q104" i="7" s="1"/>
  <c r="Q105" i="7" s="1"/>
  <c r="Q106" i="7" s="1"/>
  <c r="Q107" i="7" s="1"/>
  <c r="Q108" i="7" s="1"/>
  <c r="P79" i="7"/>
  <c r="P80" i="7" s="1"/>
  <c r="P81" i="7" s="1"/>
  <c r="P82" i="7" s="1"/>
  <c r="P83" i="7" s="1"/>
  <c r="P84" i="7" s="1"/>
  <c r="P85" i="7" s="1"/>
  <c r="P86" i="7" s="1"/>
  <c r="P87" i="7" s="1"/>
  <c r="P88" i="7" s="1"/>
  <c r="P89" i="7" s="1"/>
  <c r="P90" i="7" s="1"/>
  <c r="P91" i="7" s="1"/>
  <c r="P92" i="7" s="1"/>
  <c r="P93" i="7" s="1"/>
  <c r="P94" i="7" s="1"/>
  <c r="P95" i="7" s="1"/>
  <c r="P96" i="7" s="1"/>
  <c r="P97" i="7" s="1"/>
  <c r="P98" i="7" s="1"/>
  <c r="P99" i="7" s="1"/>
  <c r="P100" i="7" s="1"/>
  <c r="P101" i="7" s="1"/>
  <c r="P102" i="7" s="1"/>
  <c r="P103" i="7" s="1"/>
  <c r="P104" i="7" s="1"/>
  <c r="P105" i="7" s="1"/>
  <c r="P106" i="7" s="1"/>
  <c r="P107" i="7" s="1"/>
  <c r="P108" i="7" s="1"/>
  <c r="P109" i="7" s="1"/>
  <c r="A94" i="7"/>
  <c r="B94" i="7"/>
  <c r="A95" i="7"/>
  <c r="B95" i="7"/>
  <c r="A96" i="7"/>
  <c r="B96" i="7"/>
  <c r="A97" i="7"/>
  <c r="B97" i="7"/>
  <c r="A98" i="7"/>
  <c r="B98" i="7"/>
  <c r="A99" i="7"/>
  <c r="B99" i="7"/>
  <c r="A100" i="7"/>
  <c r="B100" i="7"/>
  <c r="A101" i="7"/>
  <c r="B101" i="7"/>
  <c r="A102" i="7"/>
  <c r="B102" i="7"/>
  <c r="A103" i="7"/>
  <c r="B103" i="7"/>
  <c r="A104" i="7"/>
  <c r="B104" i="7"/>
  <c r="A105" i="7"/>
  <c r="A106" i="7"/>
  <c r="B106" i="7"/>
  <c r="O101" i="7"/>
  <c r="M101" i="7"/>
  <c r="E101" i="7" s="1"/>
  <c r="O100" i="7"/>
  <c r="M100" i="7"/>
  <c r="E100" i="7" s="1"/>
  <c r="O99" i="7"/>
  <c r="M99" i="7"/>
  <c r="E99" i="7" s="1"/>
  <c r="O98" i="7"/>
  <c r="M98" i="7"/>
  <c r="E98" i="7" s="1"/>
  <c r="O97" i="7"/>
  <c r="M97" i="7"/>
  <c r="E97" i="7" s="1"/>
  <c r="O96" i="7"/>
  <c r="M96" i="7"/>
  <c r="E96" i="7" s="1"/>
  <c r="O95" i="7"/>
  <c r="M95" i="7"/>
  <c r="E95" i="7" s="1"/>
  <c r="O94" i="7"/>
  <c r="M94" i="7"/>
  <c r="E94" i="7" s="1"/>
  <c r="AK13" i="7"/>
  <c r="AL13" i="7"/>
  <c r="BO58" i="7" s="1"/>
  <c r="AM13" i="7"/>
  <c r="BP58" i="7" s="1"/>
  <c r="AN13" i="7"/>
  <c r="BQ58" i="7" s="1"/>
  <c r="AO13" i="7"/>
  <c r="AP13" i="7"/>
  <c r="AQ13" i="7"/>
  <c r="AR13" i="7"/>
  <c r="AJ13" i="7"/>
  <c r="BM58" i="7" s="1"/>
  <c r="Q13" i="7"/>
  <c r="R13" i="7"/>
  <c r="S13" i="7"/>
  <c r="T13" i="7"/>
  <c r="U13" i="7"/>
  <c r="AX58" i="7" s="1"/>
  <c r="V13" i="7"/>
  <c r="W13" i="7"/>
  <c r="X13" i="7"/>
  <c r="BA58" i="7" s="1"/>
  <c r="Y13" i="7"/>
  <c r="BB58" i="7" s="1"/>
  <c r="Z13" i="7"/>
  <c r="BC58" i="7" s="1"/>
  <c r="AA13" i="7"/>
  <c r="BD58" i="7" s="1"/>
  <c r="AC13" i="7"/>
  <c r="BF58" i="7" s="1"/>
  <c r="AD13" i="7"/>
  <c r="P13" i="7"/>
  <c r="AS58" i="7" s="1"/>
  <c r="AP18" i="7"/>
  <c r="AP19" i="7" s="1"/>
  <c r="AP20" i="7" s="1"/>
  <c r="AP21" i="7" s="1"/>
  <c r="AP22" i="7" s="1"/>
  <c r="AP23" i="7" s="1"/>
  <c r="AP24" i="7" s="1"/>
  <c r="AP25" i="7" s="1"/>
  <c r="AP26" i="7" s="1"/>
  <c r="AP27" i="7" s="1"/>
  <c r="AP28" i="7" s="1"/>
  <c r="AP29" i="7" s="1"/>
  <c r="AP30" i="7" s="1"/>
  <c r="AP31" i="7" s="1"/>
  <c r="AL18" i="7"/>
  <c r="AL19" i="7" s="1"/>
  <c r="AL20" i="7" s="1"/>
  <c r="AL21" i="7" s="1"/>
  <c r="AL22" i="7" s="1"/>
  <c r="AL23" i="7" s="1"/>
  <c r="AL24" i="7" s="1"/>
  <c r="AL25" i="7" s="1"/>
  <c r="AL26" i="7" s="1"/>
  <c r="AL27" i="7" s="1"/>
  <c r="AL28" i="7" s="1"/>
  <c r="AL29" i="7" s="1"/>
  <c r="AL30" i="7" s="1"/>
  <c r="AL31" i="7" s="1"/>
  <c r="AM18" i="7"/>
  <c r="AM19" i="7" s="1"/>
  <c r="AM20" i="7" s="1"/>
  <c r="AM21" i="7" s="1"/>
  <c r="AM22" i="7" s="1"/>
  <c r="AM23" i="7" s="1"/>
  <c r="AM24" i="7" s="1"/>
  <c r="AM25" i="7" s="1"/>
  <c r="AM26" i="7" s="1"/>
  <c r="AM27" i="7" s="1"/>
  <c r="AM28" i="7" s="1"/>
  <c r="AM29" i="7" s="1"/>
  <c r="AM30" i="7" s="1"/>
  <c r="AM31" i="7" s="1"/>
  <c r="AK18" i="7"/>
  <c r="AK19" i="7" s="1"/>
  <c r="AK20" i="7" s="1"/>
  <c r="AK21" i="7" s="1"/>
  <c r="AK22" i="7" s="1"/>
  <c r="AK23" i="7" s="1"/>
  <c r="AK24" i="7" s="1"/>
  <c r="AK25" i="7" s="1"/>
  <c r="AK26" i="7" s="1"/>
  <c r="AK27" i="7" s="1"/>
  <c r="AK28" i="7" s="1"/>
  <c r="AK29" i="7" s="1"/>
  <c r="AK30" i="7" s="1"/>
  <c r="AK31" i="7" s="1"/>
  <c r="AO17" i="7"/>
  <c r="AQ17" i="7"/>
  <c r="AR17" i="7"/>
  <c r="AN18" i="7"/>
  <c r="AN19" i="7" s="1"/>
  <c r="AN20" i="7" s="1"/>
  <c r="AN21" i="7" s="1"/>
  <c r="AN22" i="7" s="1"/>
  <c r="AN23" i="7" s="1"/>
  <c r="AN24" i="7" s="1"/>
  <c r="AN25" i="7" s="1"/>
  <c r="AN26" i="7" s="1"/>
  <c r="AN27" i="7" s="1"/>
  <c r="AN28" i="7" s="1"/>
  <c r="AN29" i="7" s="1"/>
  <c r="AN30" i="7" s="1"/>
  <c r="AN31" i="7" s="1"/>
  <c r="W18" i="7"/>
  <c r="W19" i="7" s="1"/>
  <c r="W20" i="7" s="1"/>
  <c r="W21" i="7" s="1"/>
  <c r="W22" i="7" s="1"/>
  <c r="W23" i="7" s="1"/>
  <c r="W24" i="7" s="1"/>
  <c r="W25" i="7" s="1"/>
  <c r="W26" i="7" s="1"/>
  <c r="W27" i="7" s="1"/>
  <c r="W28" i="7" s="1"/>
  <c r="W29" i="7" s="1"/>
  <c r="W30" i="7" s="1"/>
  <c r="W31" i="7" s="1"/>
  <c r="Q18" i="7"/>
  <c r="Q19" i="7" s="1"/>
  <c r="Q20" i="7" s="1"/>
  <c r="Q21" i="7" s="1"/>
  <c r="Q22" i="7" s="1"/>
  <c r="Q23" i="7" s="1"/>
  <c r="Q24" i="7" s="1"/>
  <c r="Q25" i="7" s="1"/>
  <c r="Q26" i="7" s="1"/>
  <c r="Q27" i="7" s="1"/>
  <c r="Q28" i="7" s="1"/>
  <c r="Q29" i="7" s="1"/>
  <c r="Q30" i="7" s="1"/>
  <c r="Q31" i="7" s="1"/>
  <c r="R18" i="7"/>
  <c r="R19" i="7" s="1"/>
  <c r="R20" i="7" s="1"/>
  <c r="R21" i="7" s="1"/>
  <c r="R22" i="7" s="1"/>
  <c r="R23" i="7" s="1"/>
  <c r="R24" i="7" s="1"/>
  <c r="R25" i="7" s="1"/>
  <c r="R26" i="7" s="1"/>
  <c r="R27" i="7" s="1"/>
  <c r="R28" i="7" s="1"/>
  <c r="R29" i="7" s="1"/>
  <c r="R30" i="7" s="1"/>
  <c r="R31" i="7" s="1"/>
  <c r="S18" i="7"/>
  <c r="S19" i="7" s="1"/>
  <c r="S20" i="7" s="1"/>
  <c r="S21" i="7" s="1"/>
  <c r="S22" i="7" s="1"/>
  <c r="S23" i="7" s="1"/>
  <c r="S24" i="7" s="1"/>
  <c r="S25" i="7" s="1"/>
  <c r="S26" i="7" s="1"/>
  <c r="S27" i="7" s="1"/>
  <c r="S28" i="7" s="1"/>
  <c r="S29" i="7" s="1"/>
  <c r="S30" i="7" s="1"/>
  <c r="S31" i="7" s="1"/>
  <c r="T18" i="7"/>
  <c r="T19" i="7" s="1"/>
  <c r="T20" i="7" s="1"/>
  <c r="T21" i="7" s="1"/>
  <c r="T22" i="7" s="1"/>
  <c r="T23" i="7" s="1"/>
  <c r="T24" i="7" s="1"/>
  <c r="T25" i="7" s="1"/>
  <c r="T26" i="7" s="1"/>
  <c r="T27" i="7" s="1"/>
  <c r="T28" i="7" s="1"/>
  <c r="T29" i="7" s="1"/>
  <c r="T30" i="7" s="1"/>
  <c r="T31" i="7" s="1"/>
  <c r="P18" i="7"/>
  <c r="P19" i="7" s="1"/>
  <c r="P20" i="7" s="1"/>
  <c r="P21" i="7" s="1"/>
  <c r="P22" i="7" s="1"/>
  <c r="P23" i="7" s="1"/>
  <c r="P24" i="7" s="1"/>
  <c r="P25" i="7" s="1"/>
  <c r="P26" i="7" s="1"/>
  <c r="P27" i="7" s="1"/>
  <c r="P28" i="7" s="1"/>
  <c r="P29" i="7" s="1"/>
  <c r="P30" i="7" s="1"/>
  <c r="P31" i="7" s="1"/>
  <c r="P94" i="3" l="1"/>
  <c r="AN93" i="3"/>
  <c r="R91" i="3"/>
  <c r="AP90" i="3"/>
  <c r="J90" i="3" s="1"/>
  <c r="AH93" i="3"/>
  <c r="BF92" i="3"/>
  <c r="A94" i="3"/>
  <c r="L95" i="3"/>
  <c r="X99" i="3"/>
  <c r="AV99" i="3" s="1"/>
  <c r="AV98" i="3"/>
  <c r="Z97" i="3"/>
  <c r="AX96" i="3"/>
  <c r="BG110" i="7"/>
  <c r="BG111" i="7"/>
  <c r="BG112" i="7"/>
  <c r="AE60" i="7"/>
  <c r="BH59" i="7"/>
  <c r="AY110" i="7"/>
  <c r="AY111" i="7"/>
  <c r="AY112" i="7"/>
  <c r="AM113" i="7"/>
  <c r="AM110" i="7"/>
  <c r="P113" i="7"/>
  <c r="AS113" i="7" s="1"/>
  <c r="P110" i="7"/>
  <c r="Y113" i="7"/>
  <c r="BB113" i="7" s="1"/>
  <c r="Y110" i="7"/>
  <c r="AP111" i="7"/>
  <c r="BS110" i="7"/>
  <c r="S113" i="7"/>
  <c r="S110" i="7"/>
  <c r="AC113" i="7"/>
  <c r="BF113" i="7" s="1"/>
  <c r="AC110" i="7"/>
  <c r="T113" i="7"/>
  <c r="T110" i="7"/>
  <c r="AJ113" i="7"/>
  <c r="BM113" i="7" s="1"/>
  <c r="AJ110" i="7"/>
  <c r="BE110" i="7"/>
  <c r="AB111" i="7"/>
  <c r="R113" i="7"/>
  <c r="AU113" i="7" s="1"/>
  <c r="R110" i="7"/>
  <c r="AA113" i="7"/>
  <c r="BD113" i="7" s="1"/>
  <c r="AA110" i="7"/>
  <c r="U113" i="7"/>
  <c r="AX113" i="7" s="1"/>
  <c r="U110" i="7"/>
  <c r="AI66" i="7"/>
  <c r="BL66" i="7" s="1"/>
  <c r="AI65" i="7"/>
  <c r="BL64" i="7"/>
  <c r="BF59" i="7"/>
  <c r="AC60" i="7"/>
  <c r="BB59" i="7"/>
  <c r="Y60" i="7"/>
  <c r="AM60" i="7"/>
  <c r="BP59" i="7"/>
  <c r="AN60" i="7"/>
  <c r="BQ59" i="7"/>
  <c r="AK59" i="7"/>
  <c r="BN58" i="7"/>
  <c r="Q59" i="7"/>
  <c r="AT58" i="7"/>
  <c r="P60" i="7"/>
  <c r="AS59" i="7"/>
  <c r="BC59" i="7"/>
  <c r="Z60" i="7"/>
  <c r="X60" i="7"/>
  <c r="BA59" i="7"/>
  <c r="AX59" i="7"/>
  <c r="U60" i="7"/>
  <c r="L60" i="7"/>
  <c r="A59" i="7"/>
  <c r="BM59" i="7"/>
  <c r="AJ60" i="7"/>
  <c r="R59" i="7"/>
  <c r="AU58" i="7"/>
  <c r="AP59" i="7"/>
  <c r="BS58" i="7"/>
  <c r="W60" i="7"/>
  <c r="AZ59" i="7"/>
  <c r="BE59" i="7"/>
  <c r="AB60" i="7"/>
  <c r="AV58" i="7"/>
  <c r="S59" i="7"/>
  <c r="AA60" i="7"/>
  <c r="BD59" i="7"/>
  <c r="AW58" i="7"/>
  <c r="T59" i="7"/>
  <c r="BO59" i="7"/>
  <c r="AL60" i="7"/>
  <c r="AI146" i="7"/>
  <c r="BL145" i="7"/>
  <c r="AI102" i="7"/>
  <c r="BL101" i="7"/>
  <c r="BT17" i="7"/>
  <c r="BG257" i="7"/>
  <c r="BG253" i="7"/>
  <c r="BG252" i="7"/>
  <c r="BG251" i="7"/>
  <c r="BG250" i="7"/>
  <c r="BG249" i="7"/>
  <c r="BG248" i="7"/>
  <c r="BG247" i="7"/>
  <c r="BG246" i="7"/>
  <c r="BG245" i="7"/>
  <c r="BG244" i="7"/>
  <c r="BG243" i="7"/>
  <c r="BG242" i="7"/>
  <c r="BG241" i="7"/>
  <c r="BG240" i="7"/>
  <c r="BG239" i="7"/>
  <c r="BG238" i="7"/>
  <c r="BG237" i="7"/>
  <c r="BG236" i="7"/>
  <c r="BG235" i="7"/>
  <c r="BG234" i="7"/>
  <c r="BG233" i="7"/>
  <c r="BG232" i="7"/>
  <c r="BG231" i="7"/>
  <c r="BG230" i="7"/>
  <c r="BG229" i="7"/>
  <c r="BG228" i="7"/>
  <c r="BG227" i="7"/>
  <c r="BG226" i="7"/>
  <c r="BG225" i="7"/>
  <c r="BG224" i="7"/>
  <c r="BG223" i="7"/>
  <c r="BG222" i="7"/>
  <c r="BG221" i="7"/>
  <c r="BG220" i="7"/>
  <c r="BG255" i="7"/>
  <c r="BG258" i="7"/>
  <c r="BG260" i="7"/>
  <c r="BG219" i="7"/>
  <c r="BG215" i="7"/>
  <c r="BG256" i="7"/>
  <c r="BG259" i="7"/>
  <c r="BG218" i="7"/>
  <c r="BG216" i="7"/>
  <c r="BG210" i="7"/>
  <c r="BG206" i="7"/>
  <c r="BG202" i="7"/>
  <c r="BG198" i="7"/>
  <c r="BG194" i="7"/>
  <c r="BG190" i="7"/>
  <c r="BG186" i="7"/>
  <c r="BG182" i="7"/>
  <c r="BG178" i="7"/>
  <c r="BG174" i="7"/>
  <c r="BG170" i="7"/>
  <c r="BG166" i="7"/>
  <c r="BG204" i="7"/>
  <c r="BG189" i="7"/>
  <c r="BG187" i="7"/>
  <c r="BG200" i="7"/>
  <c r="BG185" i="7"/>
  <c r="BG183" i="7"/>
  <c r="BG254" i="7"/>
  <c r="BG205" i="7"/>
  <c r="BG203" i="7"/>
  <c r="BG188" i="7"/>
  <c r="BG173" i="7"/>
  <c r="BG171" i="7"/>
  <c r="BG213" i="7"/>
  <c r="BG212" i="7"/>
  <c r="BG184" i="7"/>
  <c r="BG201" i="7"/>
  <c r="BG181" i="7"/>
  <c r="BG175" i="7"/>
  <c r="BG172" i="7"/>
  <c r="BG169" i="7"/>
  <c r="BG197" i="7"/>
  <c r="BG180" i="7"/>
  <c r="BG179" i="7"/>
  <c r="BG176" i="7"/>
  <c r="BG167" i="7"/>
  <c r="BG160" i="7"/>
  <c r="BG158" i="7"/>
  <c r="BG145" i="7"/>
  <c r="BG143" i="7"/>
  <c r="BG191" i="7"/>
  <c r="BG162" i="7"/>
  <c r="BG152" i="7"/>
  <c r="BG150" i="7"/>
  <c r="BG214" i="7"/>
  <c r="BG199" i="7"/>
  <c r="BG168" i="7"/>
  <c r="BG164" i="7"/>
  <c r="BG151" i="7"/>
  <c r="BG129" i="7"/>
  <c r="BG127" i="7"/>
  <c r="BG100" i="7"/>
  <c r="BG98" i="7"/>
  <c r="BG85" i="7"/>
  <c r="BG83" i="7"/>
  <c r="BG49" i="7"/>
  <c r="BG47" i="7"/>
  <c r="BG208" i="7"/>
  <c r="BG177" i="7"/>
  <c r="BG165" i="7"/>
  <c r="BG156" i="7"/>
  <c r="BG142" i="7"/>
  <c r="BG136" i="7"/>
  <c r="BG134" i="7"/>
  <c r="BG109" i="7"/>
  <c r="BG107" i="7"/>
  <c r="BG92" i="7"/>
  <c r="BG90" i="7"/>
  <c r="BG195" i="7"/>
  <c r="BG157" i="7"/>
  <c r="BG138" i="7"/>
  <c r="BG125" i="7"/>
  <c r="BG106" i="7"/>
  <c r="BG99" i="7"/>
  <c r="BG93" i="7"/>
  <c r="BG79" i="7"/>
  <c r="BG25" i="7"/>
  <c r="BG21" i="7"/>
  <c r="BG17" i="7"/>
  <c r="BG131" i="7"/>
  <c r="BG130" i="7"/>
  <c r="BG105" i="7"/>
  <c r="BG78" i="7"/>
  <c r="BG46" i="7"/>
  <c r="BG44" i="7"/>
  <c r="BG124" i="7"/>
  <c r="BG211" i="7"/>
  <c r="BG196" i="7"/>
  <c r="BG161" i="7"/>
  <c r="BG155" i="7"/>
  <c r="BG148" i="7"/>
  <c r="BG147" i="7"/>
  <c r="BG146" i="7"/>
  <c r="BG144" i="7"/>
  <c r="BG141" i="7"/>
  <c r="BG102" i="7"/>
  <c r="BG95" i="7"/>
  <c r="BG89" i="7"/>
  <c r="BG88" i="7"/>
  <c r="BG45" i="7"/>
  <c r="BG43" i="7"/>
  <c r="BG104" i="7"/>
  <c r="BG97" i="7"/>
  <c r="BG42" i="7"/>
  <c r="BG41" i="7"/>
  <c r="BG101" i="7"/>
  <c r="BG94" i="7"/>
  <c r="BG24" i="7"/>
  <c r="BG209" i="7"/>
  <c r="BG149" i="7"/>
  <c r="BG91" i="7"/>
  <c r="BG87" i="7"/>
  <c r="BG84" i="7"/>
  <c r="BG80" i="7"/>
  <c r="BG23" i="7"/>
  <c r="BG22" i="7"/>
  <c r="BG217" i="7"/>
  <c r="BG193" i="7"/>
  <c r="BG135" i="7"/>
  <c r="BG128" i="7"/>
  <c r="BG132" i="7"/>
  <c r="BG81" i="7"/>
  <c r="BG153" i="7"/>
  <c r="BG108" i="7"/>
  <c r="BG192" i="7"/>
  <c r="BG154" i="7"/>
  <c r="BG139" i="7"/>
  <c r="BG113" i="7"/>
  <c r="BG103" i="7"/>
  <c r="BG19" i="7"/>
  <c r="BG18" i="7"/>
  <c r="BG207" i="7"/>
  <c r="BG159" i="7"/>
  <c r="BG140" i="7"/>
  <c r="BG126" i="7"/>
  <c r="BG96" i="7"/>
  <c r="BG82" i="7"/>
  <c r="BG163" i="7"/>
  <c r="BG137" i="7"/>
  <c r="BG133" i="7"/>
  <c r="BG123" i="7"/>
  <c r="BG86" i="7"/>
  <c r="BG31" i="7"/>
  <c r="BG30" i="7"/>
  <c r="BG29" i="7"/>
  <c r="BG28" i="7"/>
  <c r="BG27" i="7"/>
  <c r="BG26" i="7"/>
  <c r="BG48" i="7"/>
  <c r="BG20" i="7"/>
  <c r="BS145" i="7"/>
  <c r="BS144" i="7"/>
  <c r="BS143" i="7"/>
  <c r="BS142" i="7"/>
  <c r="BS141" i="7"/>
  <c r="BS140" i="7"/>
  <c r="BS139" i="7"/>
  <c r="BS138" i="7"/>
  <c r="BS137" i="7"/>
  <c r="BS136" i="7"/>
  <c r="BS135" i="7"/>
  <c r="BS134" i="7"/>
  <c r="BS133" i="7"/>
  <c r="BS132" i="7"/>
  <c r="BS131" i="7"/>
  <c r="BS130" i="7"/>
  <c r="BS129" i="7"/>
  <c r="BS128" i="7"/>
  <c r="BS127" i="7"/>
  <c r="BS126" i="7"/>
  <c r="BS125" i="7"/>
  <c r="BS124" i="7"/>
  <c r="BS123" i="7"/>
  <c r="BS109" i="7"/>
  <c r="BS108" i="7"/>
  <c r="BS107" i="7"/>
  <c r="BS106" i="7"/>
  <c r="BS105" i="7"/>
  <c r="BS104" i="7"/>
  <c r="BS103" i="7"/>
  <c r="BS102" i="7"/>
  <c r="BS101" i="7"/>
  <c r="BS100" i="7"/>
  <c r="BS99" i="7"/>
  <c r="BS98" i="7"/>
  <c r="BS97" i="7"/>
  <c r="BS96" i="7"/>
  <c r="BS95" i="7"/>
  <c r="BS94" i="7"/>
  <c r="BS93" i="7"/>
  <c r="BS92" i="7"/>
  <c r="BS91" i="7"/>
  <c r="BS90" i="7"/>
  <c r="BS89" i="7"/>
  <c r="BS88" i="7"/>
  <c r="BS87" i="7"/>
  <c r="BS86" i="7"/>
  <c r="BS85" i="7"/>
  <c r="BS84" i="7"/>
  <c r="BS83" i="7"/>
  <c r="BS82" i="7"/>
  <c r="BS81" i="7"/>
  <c r="BS80" i="7"/>
  <c r="BS79" i="7"/>
  <c r="BS78" i="7"/>
  <c r="BS68" i="7"/>
  <c r="BS57" i="7"/>
  <c r="BS56" i="7"/>
  <c r="BS55" i="7"/>
  <c r="BS54" i="7"/>
  <c r="BS53" i="7"/>
  <c r="BS52" i="7"/>
  <c r="BS51" i="7"/>
  <c r="BS50" i="7"/>
  <c r="BS49" i="7"/>
  <c r="BS48" i="7"/>
  <c r="BS47" i="7"/>
  <c r="BS46" i="7"/>
  <c r="BS45" i="7"/>
  <c r="BS44" i="7"/>
  <c r="BS43" i="7"/>
  <c r="BS42" i="7"/>
  <c r="BS41" i="7"/>
  <c r="BS31" i="7"/>
  <c r="BS30" i="7"/>
  <c r="BS29" i="7"/>
  <c r="BS28" i="7"/>
  <c r="BS27" i="7"/>
  <c r="BS26" i="7"/>
  <c r="BS22" i="7"/>
  <c r="BS18" i="7"/>
  <c r="BS17" i="7"/>
  <c r="BS24" i="7"/>
  <c r="BS25" i="7"/>
  <c r="BS23" i="7"/>
  <c r="BS21" i="7"/>
  <c r="BS20" i="7"/>
  <c r="BS19" i="7"/>
  <c r="BF258" i="7"/>
  <c r="BF254" i="7"/>
  <c r="BF252" i="7"/>
  <c r="BF248" i="7"/>
  <c r="BF244" i="7"/>
  <c r="BF240" i="7"/>
  <c r="BF236" i="7"/>
  <c r="BF232" i="7"/>
  <c r="BF228" i="7"/>
  <c r="BF224" i="7"/>
  <c r="BF220" i="7"/>
  <c r="BF250" i="7"/>
  <c r="BF246" i="7"/>
  <c r="BF242" i="7"/>
  <c r="BF255" i="7"/>
  <c r="BF247" i="7"/>
  <c r="BF234" i="7"/>
  <c r="BF257" i="7"/>
  <c r="BF241" i="7"/>
  <c r="BF253" i="7"/>
  <c r="BF233" i="7"/>
  <c r="BF230" i="7"/>
  <c r="BF251" i="7"/>
  <c r="BF238" i="7"/>
  <c r="BF235" i="7"/>
  <c r="BF229" i="7"/>
  <c r="BF226" i="7"/>
  <c r="BF260" i="7"/>
  <c r="BF256" i="7"/>
  <c r="BF208" i="7"/>
  <c r="BF206" i="7"/>
  <c r="BF193" i="7"/>
  <c r="BF191" i="7"/>
  <c r="BF237" i="7"/>
  <c r="BF219" i="7"/>
  <c r="BF216" i="7"/>
  <c r="BF204" i="7"/>
  <c r="BF202" i="7"/>
  <c r="BF189" i="7"/>
  <c r="BF187" i="7"/>
  <c r="BF239" i="7"/>
  <c r="BF227" i="7"/>
  <c r="BF222" i="7"/>
  <c r="BF218" i="7"/>
  <c r="BF215" i="7"/>
  <c r="BF209" i="7"/>
  <c r="BF207" i="7"/>
  <c r="BF192" i="7"/>
  <c r="BF190" i="7"/>
  <c r="BF177" i="7"/>
  <c r="BF175" i="7"/>
  <c r="BF161" i="7"/>
  <c r="BF157" i="7"/>
  <c r="BF153" i="7"/>
  <c r="BF149" i="7"/>
  <c r="BF145" i="7"/>
  <c r="BF141" i="7"/>
  <c r="BF137" i="7"/>
  <c r="BF133" i="7"/>
  <c r="BF129" i="7"/>
  <c r="BF125" i="7"/>
  <c r="BF109" i="7"/>
  <c r="BF105" i="7"/>
  <c r="BF101" i="7"/>
  <c r="BF97" i="7"/>
  <c r="BF93" i="7"/>
  <c r="BF89" i="7"/>
  <c r="BF85" i="7"/>
  <c r="BF81" i="7"/>
  <c r="BF68" i="7"/>
  <c r="BF54" i="7"/>
  <c r="BF50" i="7"/>
  <c r="BF46" i="7"/>
  <c r="BF42" i="7"/>
  <c r="BF223" i="7"/>
  <c r="BF211" i="7"/>
  <c r="BF210" i="7"/>
  <c r="BF188" i="7"/>
  <c r="BF185" i="7"/>
  <c r="BF168" i="7"/>
  <c r="BF165" i="7"/>
  <c r="BF243" i="7"/>
  <c r="BF231" i="7"/>
  <c r="BF221" i="7"/>
  <c r="BF200" i="7"/>
  <c r="BF199" i="7"/>
  <c r="BF197" i="7"/>
  <c r="BF178" i="7"/>
  <c r="BF259" i="7"/>
  <c r="BF217" i="7"/>
  <c r="BF147" i="7"/>
  <c r="BF212" i="7"/>
  <c r="BF205" i="7"/>
  <c r="BF198" i="7"/>
  <c r="BF182" i="7"/>
  <c r="BF164" i="7"/>
  <c r="BF163" i="7"/>
  <c r="BF156" i="7"/>
  <c r="BF154" i="7"/>
  <c r="BF201" i="7"/>
  <c r="BF180" i="7"/>
  <c r="BF176" i="7"/>
  <c r="BF172" i="7"/>
  <c r="BF158" i="7"/>
  <c r="BF146" i="7"/>
  <c r="BF143" i="7"/>
  <c r="BF131" i="7"/>
  <c r="BF104" i="7"/>
  <c r="BF102" i="7"/>
  <c r="BF87" i="7"/>
  <c r="BF53" i="7"/>
  <c r="BF51" i="7"/>
  <c r="BF195" i="7"/>
  <c r="BF184" i="7"/>
  <c r="BF181" i="7"/>
  <c r="BF173" i="7"/>
  <c r="BF169" i="7"/>
  <c r="BF140" i="7"/>
  <c r="BF138" i="7"/>
  <c r="BF123" i="7"/>
  <c r="BF96" i="7"/>
  <c r="BF94" i="7"/>
  <c r="BF79" i="7"/>
  <c r="BF174" i="7"/>
  <c r="BF167" i="7"/>
  <c r="BF150" i="7"/>
  <c r="BF139" i="7"/>
  <c r="BF132" i="7"/>
  <c r="BF100" i="7"/>
  <c r="BF86" i="7"/>
  <c r="BF80" i="7"/>
  <c r="BF99" i="7"/>
  <c r="BF49" i="7"/>
  <c r="BF17" i="7"/>
  <c r="BF245" i="7"/>
  <c r="BF183" i="7"/>
  <c r="BF106" i="7"/>
  <c r="BF92" i="7"/>
  <c r="BF55" i="7"/>
  <c r="BF52" i="7"/>
  <c r="BF142" i="7"/>
  <c r="BF135" i="7"/>
  <c r="BF134" i="7"/>
  <c r="BF128" i="7"/>
  <c r="BF82" i="7"/>
  <c r="BF57" i="7"/>
  <c r="BF155" i="7"/>
  <c r="BF90" i="7"/>
  <c r="BF83" i="7"/>
  <c r="BF44" i="7"/>
  <c r="BF43" i="7"/>
  <c r="BF41" i="7"/>
  <c r="BF213" i="7"/>
  <c r="BF179" i="7"/>
  <c r="BF144" i="7"/>
  <c r="BF124" i="7"/>
  <c r="BF108" i="7"/>
  <c r="BF98" i="7"/>
  <c r="BF45" i="7"/>
  <c r="BF170" i="7"/>
  <c r="BF162" i="7"/>
  <c r="BF160" i="7"/>
  <c r="BF91" i="7"/>
  <c r="BF84" i="7"/>
  <c r="BF47" i="7"/>
  <c r="BF95" i="7"/>
  <c r="BF214" i="7"/>
  <c r="BF194" i="7"/>
  <c r="BF186" i="7"/>
  <c r="BF171" i="7"/>
  <c r="BF151" i="7"/>
  <c r="BF127" i="7"/>
  <c r="BF249" i="7"/>
  <c r="BF88" i="7"/>
  <c r="BF196" i="7"/>
  <c r="BF152" i="7"/>
  <c r="BF136" i="7"/>
  <c r="BF78" i="7"/>
  <c r="BF48" i="7"/>
  <c r="BF225" i="7"/>
  <c r="BF148" i="7"/>
  <c r="BF103" i="7"/>
  <c r="BF203" i="7"/>
  <c r="BF166" i="7"/>
  <c r="BF159" i="7"/>
  <c r="BF130" i="7"/>
  <c r="BF126" i="7"/>
  <c r="BF107" i="7"/>
  <c r="BF56" i="7"/>
  <c r="BR17" i="7"/>
  <c r="AE97" i="7"/>
  <c r="BH96" i="7"/>
  <c r="BU17" i="7"/>
  <c r="BQ256" i="7"/>
  <c r="BQ255" i="7"/>
  <c r="BQ252" i="7"/>
  <c r="BQ248" i="7"/>
  <c r="BQ244" i="7"/>
  <c r="BQ240" i="7"/>
  <c r="BQ236" i="7"/>
  <c r="BQ232" i="7"/>
  <c r="BQ228" i="7"/>
  <c r="BQ224" i="7"/>
  <c r="BQ220" i="7"/>
  <c r="BQ258" i="7"/>
  <c r="BQ250" i="7"/>
  <c r="BQ246" i="7"/>
  <c r="BQ242" i="7"/>
  <c r="BQ238" i="7"/>
  <c r="BQ251" i="7"/>
  <c r="BQ223" i="7"/>
  <c r="BQ221" i="7"/>
  <c r="BQ215" i="7"/>
  <c r="BQ254" i="7"/>
  <c r="BQ243" i="7"/>
  <c r="BQ237" i="7"/>
  <c r="BQ234" i="7"/>
  <c r="BQ249" i="7"/>
  <c r="BQ231" i="7"/>
  <c r="BQ225" i="7"/>
  <c r="BQ253" i="7"/>
  <c r="BQ227" i="7"/>
  <c r="BQ210" i="7"/>
  <c r="BQ206" i="7"/>
  <c r="BQ202" i="7"/>
  <c r="BQ198" i="7"/>
  <c r="BQ194" i="7"/>
  <c r="BQ190" i="7"/>
  <c r="BQ186" i="7"/>
  <c r="BQ182" i="7"/>
  <c r="BQ178" i="7"/>
  <c r="BQ174" i="7"/>
  <c r="BQ170" i="7"/>
  <c r="BQ166" i="7"/>
  <c r="BQ233" i="7"/>
  <c r="BQ217" i="7"/>
  <c r="BQ214" i="7"/>
  <c r="BQ208" i="7"/>
  <c r="BQ193" i="7"/>
  <c r="BQ191" i="7"/>
  <c r="BQ239" i="7"/>
  <c r="BQ204" i="7"/>
  <c r="BQ189" i="7"/>
  <c r="BQ187" i="7"/>
  <c r="BQ260" i="7"/>
  <c r="BQ230" i="7"/>
  <c r="BQ209" i="7"/>
  <c r="BQ207" i="7"/>
  <c r="BQ192" i="7"/>
  <c r="BQ177" i="7"/>
  <c r="BQ175" i="7"/>
  <c r="BQ203" i="7"/>
  <c r="BQ201" i="7"/>
  <c r="BQ180" i="7"/>
  <c r="BQ171" i="7"/>
  <c r="BQ247" i="7"/>
  <c r="BQ245" i="7"/>
  <c r="BQ219" i="7"/>
  <c r="BQ213" i="7"/>
  <c r="BQ212" i="7"/>
  <c r="BQ183" i="7"/>
  <c r="BQ164" i="7"/>
  <c r="BQ241" i="7"/>
  <c r="BQ195" i="7"/>
  <c r="BQ188" i="7"/>
  <c r="BQ184" i="7"/>
  <c r="BQ149" i="7"/>
  <c r="BQ147" i="7"/>
  <c r="BQ235" i="7"/>
  <c r="BQ196" i="7"/>
  <c r="BQ156" i="7"/>
  <c r="BQ154" i="7"/>
  <c r="BQ160" i="7"/>
  <c r="BQ133" i="7"/>
  <c r="BQ131" i="7"/>
  <c r="BQ104" i="7"/>
  <c r="BQ102" i="7"/>
  <c r="BQ89" i="7"/>
  <c r="BQ87" i="7"/>
  <c r="BQ53" i="7"/>
  <c r="BQ51" i="7"/>
  <c r="BQ222" i="7"/>
  <c r="BQ211" i="7"/>
  <c r="BQ185" i="7"/>
  <c r="BQ179" i="7"/>
  <c r="BQ167" i="7"/>
  <c r="BQ163" i="7"/>
  <c r="BQ158" i="7"/>
  <c r="BQ140" i="7"/>
  <c r="BQ138" i="7"/>
  <c r="BQ125" i="7"/>
  <c r="BQ123" i="7"/>
  <c r="BQ96" i="7"/>
  <c r="BQ94" i="7"/>
  <c r="BQ81" i="7"/>
  <c r="BQ79" i="7"/>
  <c r="BQ257" i="7"/>
  <c r="BQ168" i="7"/>
  <c r="BQ153" i="7"/>
  <c r="BQ146" i="7"/>
  <c r="BQ145" i="7"/>
  <c r="BQ143" i="7"/>
  <c r="BQ142" i="7"/>
  <c r="BQ127" i="7"/>
  <c r="BQ95" i="7"/>
  <c r="BQ88" i="7"/>
  <c r="BQ50" i="7"/>
  <c r="BQ28" i="7"/>
  <c r="BQ25" i="7"/>
  <c r="BQ21" i="7"/>
  <c r="BQ17" i="7"/>
  <c r="BQ144" i="7"/>
  <c r="BQ126" i="7"/>
  <c r="BQ107" i="7"/>
  <c r="BQ101" i="7"/>
  <c r="BQ197" i="7"/>
  <c r="BQ141" i="7"/>
  <c r="BQ108" i="7"/>
  <c r="BQ226" i="7"/>
  <c r="BQ151" i="7"/>
  <c r="BQ137" i="7"/>
  <c r="BQ136" i="7"/>
  <c r="BQ91" i="7"/>
  <c r="BQ90" i="7"/>
  <c r="BQ84" i="7"/>
  <c r="BQ68" i="7"/>
  <c r="BQ54" i="7"/>
  <c r="BQ48" i="7"/>
  <c r="BQ165" i="7"/>
  <c r="BQ139" i="7"/>
  <c r="BQ135" i="7"/>
  <c r="BQ132" i="7"/>
  <c r="BQ128" i="7"/>
  <c r="BQ19" i="7"/>
  <c r="BQ18" i="7"/>
  <c r="BQ106" i="7"/>
  <c r="BQ99" i="7"/>
  <c r="BQ55" i="7"/>
  <c r="BQ49" i="7"/>
  <c r="BQ229" i="7"/>
  <c r="BQ152" i="7"/>
  <c r="BQ150" i="7"/>
  <c r="BQ129" i="7"/>
  <c r="BQ103" i="7"/>
  <c r="BQ85" i="7"/>
  <c r="BQ27" i="7"/>
  <c r="BQ26" i="7"/>
  <c r="BQ200" i="7"/>
  <c r="BQ148" i="7"/>
  <c r="BQ100" i="7"/>
  <c r="BQ86" i="7"/>
  <c r="BQ30" i="7"/>
  <c r="BQ29" i="7"/>
  <c r="BQ93" i="7"/>
  <c r="BQ218" i="7"/>
  <c r="BQ205" i="7"/>
  <c r="BQ176" i="7"/>
  <c r="BQ173" i="7"/>
  <c r="BQ162" i="7"/>
  <c r="BQ92" i="7"/>
  <c r="BQ78" i="7"/>
  <c r="BQ82" i="7"/>
  <c r="BQ56" i="7"/>
  <c r="BQ31" i="7"/>
  <c r="BQ216" i="7"/>
  <c r="BQ181" i="7"/>
  <c r="BQ172" i="7"/>
  <c r="BQ161" i="7"/>
  <c r="BQ159" i="7"/>
  <c r="BQ130" i="7"/>
  <c r="BQ259" i="7"/>
  <c r="BQ199" i="7"/>
  <c r="BQ169" i="7"/>
  <c r="BQ157" i="7"/>
  <c r="BQ155" i="7"/>
  <c r="BQ134" i="7"/>
  <c r="BQ97" i="7"/>
  <c r="BQ83" i="7"/>
  <c r="BQ52" i="7"/>
  <c r="BQ45" i="7"/>
  <c r="BQ23" i="7"/>
  <c r="BQ22" i="7"/>
  <c r="BQ80" i="7"/>
  <c r="BQ57" i="7"/>
  <c r="BQ46" i="7"/>
  <c r="BQ124" i="7"/>
  <c r="BQ105" i="7"/>
  <c r="BQ98" i="7"/>
  <c r="BQ47" i="7"/>
  <c r="BQ20" i="7"/>
  <c r="BQ42" i="7"/>
  <c r="BQ44" i="7"/>
  <c r="BQ41" i="7"/>
  <c r="BQ24" i="7"/>
  <c r="BQ43" i="7"/>
  <c r="BO258" i="7"/>
  <c r="BO260" i="7"/>
  <c r="BO257" i="7"/>
  <c r="BO256" i="7"/>
  <c r="BO248" i="7"/>
  <c r="BO245" i="7"/>
  <c r="BO227" i="7"/>
  <c r="BO225" i="7"/>
  <c r="BO218" i="7"/>
  <c r="BO214" i="7"/>
  <c r="BO250" i="7"/>
  <c r="BO259" i="7"/>
  <c r="BO254" i="7"/>
  <c r="BO243" i="7"/>
  <c r="BO237" i="7"/>
  <c r="BO234" i="7"/>
  <c r="BO228" i="7"/>
  <c r="BO247" i="7"/>
  <c r="BO240" i="7"/>
  <c r="BO233" i="7"/>
  <c r="BO230" i="7"/>
  <c r="BO224" i="7"/>
  <c r="BO221" i="7"/>
  <c r="BO213" i="7"/>
  <c r="BO209" i="7"/>
  <c r="BO205" i="7"/>
  <c r="BO201" i="7"/>
  <c r="BO197" i="7"/>
  <c r="BO193" i="7"/>
  <c r="BO189" i="7"/>
  <c r="BO185" i="7"/>
  <c r="BO181" i="7"/>
  <c r="BO177" i="7"/>
  <c r="BO173" i="7"/>
  <c r="BO169" i="7"/>
  <c r="BO165" i="7"/>
  <c r="BO249" i="7"/>
  <c r="BO242" i="7"/>
  <c r="BO226" i="7"/>
  <c r="BO222" i="7"/>
  <c r="BO199" i="7"/>
  <c r="BO253" i="7"/>
  <c r="BO246" i="7"/>
  <c r="BO212" i="7"/>
  <c r="BO210" i="7"/>
  <c r="BO195" i="7"/>
  <c r="BO255" i="7"/>
  <c r="BO236" i="7"/>
  <c r="BO235" i="7"/>
  <c r="BO229" i="7"/>
  <c r="BO219" i="7"/>
  <c r="BO216" i="7"/>
  <c r="BO200" i="7"/>
  <c r="BO198" i="7"/>
  <c r="BO183" i="7"/>
  <c r="BO168" i="7"/>
  <c r="BO166" i="7"/>
  <c r="BO215" i="7"/>
  <c r="BO172" i="7"/>
  <c r="BO163" i="7"/>
  <c r="BO161" i="7"/>
  <c r="BO211" i="7"/>
  <c r="BO187" i="7"/>
  <c r="BO186" i="7"/>
  <c r="BO179" i="7"/>
  <c r="BO162" i="7"/>
  <c r="BO202" i="7"/>
  <c r="BO155" i="7"/>
  <c r="BO153" i="7"/>
  <c r="BO192" i="7"/>
  <c r="BO147" i="7"/>
  <c r="BO251" i="7"/>
  <c r="BO239" i="7"/>
  <c r="BO232" i="7"/>
  <c r="BO220" i="7"/>
  <c r="BO208" i="7"/>
  <c r="BO206" i="7"/>
  <c r="BO184" i="7"/>
  <c r="BO154" i="7"/>
  <c r="BO148" i="7"/>
  <c r="BO141" i="7"/>
  <c r="BO139" i="7"/>
  <c r="BO137" i="7"/>
  <c r="BO124" i="7"/>
  <c r="BO95" i="7"/>
  <c r="BO93" i="7"/>
  <c r="BO80" i="7"/>
  <c r="BO78" i="7"/>
  <c r="BO238" i="7"/>
  <c r="BO131" i="7"/>
  <c r="BO129" i="7"/>
  <c r="BO104" i="7"/>
  <c r="BO102" i="7"/>
  <c r="BO87" i="7"/>
  <c r="BO85" i="7"/>
  <c r="BO252" i="7"/>
  <c r="BO207" i="7"/>
  <c r="BO170" i="7"/>
  <c r="BO160" i="7"/>
  <c r="BO135" i="7"/>
  <c r="BO103" i="7"/>
  <c r="BO96" i="7"/>
  <c r="BO89" i="7"/>
  <c r="BO57" i="7"/>
  <c r="BO45" i="7"/>
  <c r="BO43" i="7"/>
  <c r="BO24" i="7"/>
  <c r="BO20" i="7"/>
  <c r="BO146" i="7"/>
  <c r="BO143" i="7"/>
  <c r="BO134" i="7"/>
  <c r="BO128" i="7"/>
  <c r="BO82" i="7"/>
  <c r="BO56" i="7"/>
  <c r="BO53" i="7"/>
  <c r="BO50" i="7"/>
  <c r="BO47" i="7"/>
  <c r="BO41" i="7"/>
  <c r="BO217" i="7"/>
  <c r="BO175" i="7"/>
  <c r="BO145" i="7"/>
  <c r="BO127" i="7"/>
  <c r="BO81" i="7"/>
  <c r="BO30" i="7"/>
  <c r="BO241" i="7"/>
  <c r="BO203" i="7"/>
  <c r="BO176" i="7"/>
  <c r="BO167" i="7"/>
  <c r="BO158" i="7"/>
  <c r="BO157" i="7"/>
  <c r="BO150" i="7"/>
  <c r="BO105" i="7"/>
  <c r="BO99" i="7"/>
  <c r="BO98" i="7"/>
  <c r="BO92" i="7"/>
  <c r="BO31" i="7"/>
  <c r="BO29" i="7"/>
  <c r="BO223" i="7"/>
  <c r="BO190" i="7"/>
  <c r="BO149" i="7"/>
  <c r="BO91" i="7"/>
  <c r="BO68" i="7"/>
  <c r="BO125" i="7"/>
  <c r="BO88" i="7"/>
  <c r="BO84" i="7"/>
  <c r="BO54" i="7"/>
  <c r="BO19" i="7"/>
  <c r="BO156" i="7"/>
  <c r="BO132" i="7"/>
  <c r="BO106" i="7"/>
  <c r="BO55" i="7"/>
  <c r="BO48" i="7"/>
  <c r="BO17" i="7"/>
  <c r="BO204" i="7"/>
  <c r="BO196" i="7"/>
  <c r="BO164" i="7"/>
  <c r="BO152" i="7"/>
  <c r="BO140" i="7"/>
  <c r="BO133" i="7"/>
  <c r="BO49" i="7"/>
  <c r="BO27" i="7"/>
  <c r="BO107" i="7"/>
  <c r="BO182" i="7"/>
  <c r="BO142" i="7"/>
  <c r="BO18" i="7"/>
  <c r="BO136" i="7"/>
  <c r="BO28" i="7"/>
  <c r="BO188" i="7"/>
  <c r="BO178" i="7"/>
  <c r="BO126" i="7"/>
  <c r="BO100" i="7"/>
  <c r="BO159" i="7"/>
  <c r="BO130" i="7"/>
  <c r="BO123" i="7"/>
  <c r="BO86" i="7"/>
  <c r="BO79" i="7"/>
  <c r="BO51" i="7"/>
  <c r="BO42" i="7"/>
  <c r="BO244" i="7"/>
  <c r="BO191" i="7"/>
  <c r="BO180" i="7"/>
  <c r="BO101" i="7"/>
  <c r="BO97" i="7"/>
  <c r="BO94" i="7"/>
  <c r="BO90" i="7"/>
  <c r="BO83" i="7"/>
  <c r="BO44" i="7"/>
  <c r="BO23" i="7"/>
  <c r="BO231" i="7"/>
  <c r="BO194" i="7"/>
  <c r="BO174" i="7"/>
  <c r="BO171" i="7"/>
  <c r="BO151" i="7"/>
  <c r="BO144" i="7"/>
  <c r="BO138" i="7"/>
  <c r="BO52" i="7"/>
  <c r="BO46" i="7"/>
  <c r="BO22" i="7"/>
  <c r="BO21" i="7"/>
  <c r="BO26" i="7"/>
  <c r="BO25" i="7"/>
  <c r="L144" i="7"/>
  <c r="A143" i="7"/>
  <c r="BP257" i="7"/>
  <c r="BP253" i="7"/>
  <c r="BP252" i="7"/>
  <c r="BP251" i="7"/>
  <c r="BP250" i="7"/>
  <c r="BP249" i="7"/>
  <c r="BP248" i="7"/>
  <c r="BP247" i="7"/>
  <c r="BP246" i="7"/>
  <c r="BP245" i="7"/>
  <c r="BP244" i="7"/>
  <c r="BP243" i="7"/>
  <c r="BP242" i="7"/>
  <c r="BP241" i="7"/>
  <c r="BP240" i="7"/>
  <c r="BP239" i="7"/>
  <c r="BP238" i="7"/>
  <c r="BP237" i="7"/>
  <c r="BP236" i="7"/>
  <c r="BP235" i="7"/>
  <c r="BP234" i="7"/>
  <c r="BP233" i="7"/>
  <c r="BP232" i="7"/>
  <c r="BP231" i="7"/>
  <c r="BP230" i="7"/>
  <c r="BP229" i="7"/>
  <c r="BP228" i="7"/>
  <c r="BP227" i="7"/>
  <c r="BP226" i="7"/>
  <c r="BP225" i="7"/>
  <c r="BP224" i="7"/>
  <c r="BP223" i="7"/>
  <c r="BP222" i="7"/>
  <c r="BP221" i="7"/>
  <c r="BP220" i="7"/>
  <c r="BP219" i="7"/>
  <c r="BP254" i="7"/>
  <c r="BP259" i="7"/>
  <c r="BP258" i="7"/>
  <c r="BP212" i="7"/>
  <c r="BP210" i="7"/>
  <c r="BP197" i="7"/>
  <c r="BP195" i="7"/>
  <c r="BP217" i="7"/>
  <c r="BP214" i="7"/>
  <c r="BP208" i="7"/>
  <c r="BP206" i="7"/>
  <c r="BP193" i="7"/>
  <c r="BP191" i="7"/>
  <c r="BP213" i="7"/>
  <c r="BP211" i="7"/>
  <c r="BP196" i="7"/>
  <c r="BP194" i="7"/>
  <c r="BP181" i="7"/>
  <c r="BP179" i="7"/>
  <c r="BP164" i="7"/>
  <c r="BP161" i="7"/>
  <c r="BP157" i="7"/>
  <c r="BP153" i="7"/>
  <c r="BP149" i="7"/>
  <c r="BP145" i="7"/>
  <c r="BP141" i="7"/>
  <c r="BP137" i="7"/>
  <c r="BP133" i="7"/>
  <c r="BP129" i="7"/>
  <c r="BP125" i="7"/>
  <c r="BP109" i="7"/>
  <c r="BP105" i="7"/>
  <c r="BP101" i="7"/>
  <c r="BP97" i="7"/>
  <c r="BP93" i="7"/>
  <c r="BP89" i="7"/>
  <c r="BP85" i="7"/>
  <c r="BP81" i="7"/>
  <c r="BP68" i="7"/>
  <c r="BP54" i="7"/>
  <c r="BP50" i="7"/>
  <c r="BP46" i="7"/>
  <c r="BP42" i="7"/>
  <c r="BP29" i="7"/>
  <c r="BP216" i="7"/>
  <c r="BP202" i="7"/>
  <c r="BP200" i="7"/>
  <c r="BP199" i="7"/>
  <c r="BP190" i="7"/>
  <c r="BP189" i="7"/>
  <c r="BP188" i="7"/>
  <c r="BP184" i="7"/>
  <c r="BP176" i="7"/>
  <c r="BP173" i="7"/>
  <c r="BP170" i="7"/>
  <c r="BP167" i="7"/>
  <c r="BP218" i="7"/>
  <c r="BP209" i="7"/>
  <c r="BP151" i="7"/>
  <c r="BP255" i="7"/>
  <c r="BP203" i="7"/>
  <c r="BP185" i="7"/>
  <c r="BP160" i="7"/>
  <c r="BP158" i="7"/>
  <c r="BP204" i="7"/>
  <c r="BP178" i="7"/>
  <c r="BP174" i="7"/>
  <c r="BP147" i="7"/>
  <c r="BP144" i="7"/>
  <c r="BP135" i="7"/>
  <c r="BP108" i="7"/>
  <c r="BP106" i="7"/>
  <c r="BP91" i="7"/>
  <c r="BP57" i="7"/>
  <c r="BP55" i="7"/>
  <c r="BP187" i="7"/>
  <c r="BP182" i="7"/>
  <c r="BP175" i="7"/>
  <c r="BP171" i="7"/>
  <c r="BP162" i="7"/>
  <c r="BP159" i="7"/>
  <c r="BP152" i="7"/>
  <c r="BP146" i="7"/>
  <c r="BP143" i="7"/>
  <c r="BP127" i="7"/>
  <c r="BP100" i="7"/>
  <c r="BP98" i="7"/>
  <c r="BP83" i="7"/>
  <c r="BP192" i="7"/>
  <c r="BP177" i="7"/>
  <c r="BP134" i="7"/>
  <c r="BP128" i="7"/>
  <c r="BP102" i="7"/>
  <c r="BP82" i="7"/>
  <c r="BP56" i="7"/>
  <c r="BP53" i="7"/>
  <c r="BP47" i="7"/>
  <c r="BP41" i="7"/>
  <c r="BP30" i="7"/>
  <c r="BP142" i="7"/>
  <c r="BP140" i="7"/>
  <c r="BP94" i="7"/>
  <c r="BP25" i="7"/>
  <c r="BP21" i="7"/>
  <c r="BP17" i="7"/>
  <c r="BP168" i="7"/>
  <c r="BP154" i="7"/>
  <c r="BP95" i="7"/>
  <c r="BP88" i="7"/>
  <c r="BP28" i="7"/>
  <c r="BP198" i="7"/>
  <c r="BP169" i="7"/>
  <c r="BP130" i="7"/>
  <c r="BP124" i="7"/>
  <c r="BP123" i="7"/>
  <c r="BP78" i="7"/>
  <c r="BP51" i="7"/>
  <c r="BP27" i="7"/>
  <c r="BP23" i="7"/>
  <c r="BP19" i="7"/>
  <c r="BP186" i="7"/>
  <c r="BP84" i="7"/>
  <c r="BP20" i="7"/>
  <c r="BP48" i="7"/>
  <c r="BP18" i="7"/>
  <c r="BP205" i="7"/>
  <c r="BP201" i="7"/>
  <c r="BP136" i="7"/>
  <c r="BP99" i="7"/>
  <c r="BP92" i="7"/>
  <c r="BP49" i="7"/>
  <c r="BP150" i="7"/>
  <c r="BP126" i="7"/>
  <c r="BP113" i="7"/>
  <c r="BP107" i="7"/>
  <c r="BP103" i="7"/>
  <c r="BP96" i="7"/>
  <c r="BP26" i="7"/>
  <c r="BP86" i="7"/>
  <c r="BP79" i="7"/>
  <c r="BP165" i="7"/>
  <c r="BP156" i="7"/>
  <c r="BP139" i="7"/>
  <c r="BP132" i="7"/>
  <c r="BP260" i="7"/>
  <c r="BP148" i="7"/>
  <c r="BP207" i="7"/>
  <c r="BP180" i="7"/>
  <c r="BP172" i="7"/>
  <c r="BP166" i="7"/>
  <c r="BP104" i="7"/>
  <c r="BP90" i="7"/>
  <c r="BP44" i="7"/>
  <c r="BP43" i="7"/>
  <c r="BP24" i="7"/>
  <c r="BP256" i="7"/>
  <c r="BP215" i="7"/>
  <c r="BP163" i="7"/>
  <c r="BP155" i="7"/>
  <c r="BP138" i="7"/>
  <c r="BP87" i="7"/>
  <c r="BP52" i="7"/>
  <c r="BP45" i="7"/>
  <c r="BP22" i="7"/>
  <c r="BP183" i="7"/>
  <c r="BP131" i="7"/>
  <c r="BP80" i="7"/>
  <c r="BP31" i="7"/>
  <c r="BM260" i="7"/>
  <c r="BM259" i="7"/>
  <c r="BM255" i="7"/>
  <c r="BM254" i="7"/>
  <c r="BM252" i="7"/>
  <c r="BM239" i="7"/>
  <c r="BM233" i="7"/>
  <c r="BM231" i="7"/>
  <c r="BM213" i="7"/>
  <c r="BM212" i="7"/>
  <c r="BM211" i="7"/>
  <c r="BM210" i="7"/>
  <c r="BM209" i="7"/>
  <c r="BM208" i="7"/>
  <c r="BM207" i="7"/>
  <c r="BM206" i="7"/>
  <c r="BM205" i="7"/>
  <c r="BM204" i="7"/>
  <c r="BM203" i="7"/>
  <c r="BM202" i="7"/>
  <c r="BM201" i="7"/>
  <c r="BM200" i="7"/>
  <c r="BM199" i="7"/>
  <c r="BM198" i="7"/>
  <c r="BM197" i="7"/>
  <c r="BM196" i="7"/>
  <c r="BM195" i="7"/>
  <c r="BM194" i="7"/>
  <c r="BM193" i="7"/>
  <c r="BM192" i="7"/>
  <c r="BM191" i="7"/>
  <c r="BM190" i="7"/>
  <c r="BM189" i="7"/>
  <c r="BM188" i="7"/>
  <c r="BM187" i="7"/>
  <c r="BM186" i="7"/>
  <c r="BM185" i="7"/>
  <c r="BM184" i="7"/>
  <c r="BM183" i="7"/>
  <c r="BM182" i="7"/>
  <c r="BM181" i="7"/>
  <c r="BM180" i="7"/>
  <c r="BM179" i="7"/>
  <c r="BM178" i="7"/>
  <c r="BM177" i="7"/>
  <c r="BM176" i="7"/>
  <c r="BM175" i="7"/>
  <c r="BM174" i="7"/>
  <c r="BM173" i="7"/>
  <c r="BM172" i="7"/>
  <c r="BM171" i="7"/>
  <c r="BM170" i="7"/>
  <c r="BM169" i="7"/>
  <c r="BM168" i="7"/>
  <c r="BM167" i="7"/>
  <c r="BM166" i="7"/>
  <c r="BM165" i="7"/>
  <c r="BM164" i="7"/>
  <c r="BM251" i="7"/>
  <c r="BM238" i="7"/>
  <c r="BM235" i="7"/>
  <c r="BM232" i="7"/>
  <c r="BM229" i="7"/>
  <c r="BM244" i="7"/>
  <c r="BM226" i="7"/>
  <c r="BM248" i="7"/>
  <c r="BM241" i="7"/>
  <c r="BM222" i="7"/>
  <c r="BM217" i="7"/>
  <c r="BM215" i="7"/>
  <c r="BM257" i="7"/>
  <c r="BM245" i="7"/>
  <c r="BM249" i="7"/>
  <c r="BM242" i="7"/>
  <c r="BM227" i="7"/>
  <c r="BM247" i="7"/>
  <c r="BM220" i="7"/>
  <c r="BM225" i="7"/>
  <c r="BM218" i="7"/>
  <c r="BM256" i="7"/>
  <c r="BM162" i="7"/>
  <c r="BM146" i="7"/>
  <c r="BM144" i="7"/>
  <c r="BM258" i="7"/>
  <c r="BM223" i="7"/>
  <c r="BM221" i="7"/>
  <c r="BM216" i="7"/>
  <c r="BM155" i="7"/>
  <c r="BM153" i="7"/>
  <c r="BM243" i="7"/>
  <c r="BM130" i="7"/>
  <c r="BM128" i="7"/>
  <c r="BM103" i="7"/>
  <c r="BM101" i="7"/>
  <c r="BM86" i="7"/>
  <c r="BM84" i="7"/>
  <c r="BM52" i="7"/>
  <c r="BM50" i="7"/>
  <c r="BM250" i="7"/>
  <c r="BM246" i="7"/>
  <c r="BM228" i="7"/>
  <c r="BM161" i="7"/>
  <c r="BM160" i="7"/>
  <c r="BM154" i="7"/>
  <c r="BM147" i="7"/>
  <c r="BM141" i="7"/>
  <c r="BM139" i="7"/>
  <c r="BM137" i="7"/>
  <c r="BM108" i="7"/>
  <c r="BM95" i="7"/>
  <c r="BM93" i="7"/>
  <c r="BM78" i="7"/>
  <c r="BM57" i="7"/>
  <c r="BM224" i="7"/>
  <c r="BM159" i="7"/>
  <c r="BM152" i="7"/>
  <c r="BM136" i="7"/>
  <c r="BM129" i="7"/>
  <c r="BM123" i="7"/>
  <c r="BM97" i="7"/>
  <c r="BM68" i="7"/>
  <c r="BM54" i="7"/>
  <c r="BM51" i="7"/>
  <c r="BM48" i="7"/>
  <c r="BM135" i="7"/>
  <c r="BM96" i="7"/>
  <c r="BM90" i="7"/>
  <c r="BM89" i="7"/>
  <c r="BM83" i="7"/>
  <c r="BM45" i="7"/>
  <c r="BM163" i="7"/>
  <c r="BM236" i="7"/>
  <c r="BM230" i="7"/>
  <c r="BM156" i="7"/>
  <c r="BM149" i="7"/>
  <c r="BM132" i="7"/>
  <c r="BM125" i="7"/>
  <c r="BM107" i="7"/>
  <c r="BM106" i="7"/>
  <c r="BM55" i="7"/>
  <c r="BM49" i="7"/>
  <c r="BM46" i="7"/>
  <c r="BM253" i="7"/>
  <c r="BM151" i="7"/>
  <c r="BM138" i="7"/>
  <c r="BM131" i="7"/>
  <c r="BM124" i="7"/>
  <c r="BM94" i="7"/>
  <c r="BM87" i="7"/>
  <c r="BM80" i="7"/>
  <c r="BM53" i="7"/>
  <c r="BM109" i="7"/>
  <c r="BM105" i="7"/>
  <c r="BM102" i="7"/>
  <c r="BM91" i="7"/>
  <c r="BM47" i="7"/>
  <c r="BM158" i="7"/>
  <c r="BM142" i="7"/>
  <c r="BM88" i="7"/>
  <c r="BM81" i="7"/>
  <c r="BM237" i="7"/>
  <c r="BM145" i="7"/>
  <c r="BM99" i="7"/>
  <c r="BM92" i="7"/>
  <c r="BM85" i="7"/>
  <c r="BM82" i="7"/>
  <c r="BM240" i="7"/>
  <c r="BM98" i="7"/>
  <c r="BM140" i="7"/>
  <c r="BM133" i="7"/>
  <c r="BM234" i="7"/>
  <c r="BM150" i="7"/>
  <c r="BM148" i="7"/>
  <c r="BM143" i="7"/>
  <c r="BM126" i="7"/>
  <c r="BM100" i="7"/>
  <c r="BM56" i="7"/>
  <c r="BM41" i="7"/>
  <c r="BM219" i="7"/>
  <c r="BM157" i="7"/>
  <c r="BM104" i="7"/>
  <c r="BM79" i="7"/>
  <c r="BM43" i="7"/>
  <c r="BM42" i="7"/>
  <c r="BM214" i="7"/>
  <c r="BM134" i="7"/>
  <c r="BM127" i="7"/>
  <c r="BM44" i="7"/>
  <c r="BM17" i="7"/>
  <c r="BN259" i="7"/>
  <c r="BN251" i="7"/>
  <c r="BN247" i="7"/>
  <c r="BN243" i="7"/>
  <c r="BN239" i="7"/>
  <c r="BN235" i="7"/>
  <c r="BN231" i="7"/>
  <c r="BN227" i="7"/>
  <c r="BN223" i="7"/>
  <c r="BN219" i="7"/>
  <c r="BN218" i="7"/>
  <c r="BN217" i="7"/>
  <c r="BN216" i="7"/>
  <c r="BN215" i="7"/>
  <c r="BN214" i="7"/>
  <c r="BN256" i="7"/>
  <c r="BN253" i="7"/>
  <c r="BN249" i="7"/>
  <c r="BN245" i="7"/>
  <c r="BN241" i="7"/>
  <c r="BN242" i="7"/>
  <c r="BN229" i="7"/>
  <c r="BN255" i="7"/>
  <c r="BN244" i="7"/>
  <c r="BN226" i="7"/>
  <c r="BN250" i="7"/>
  <c r="BN257" i="7"/>
  <c r="BN236" i="7"/>
  <c r="BN252" i="7"/>
  <c r="BN238" i="7"/>
  <c r="BN232" i="7"/>
  <c r="BN203" i="7"/>
  <c r="BN201" i="7"/>
  <c r="BN188" i="7"/>
  <c r="BN186" i="7"/>
  <c r="BN258" i="7"/>
  <c r="BN233" i="7"/>
  <c r="BN222" i="7"/>
  <c r="BN221" i="7"/>
  <c r="BN199" i="7"/>
  <c r="BN197" i="7"/>
  <c r="BN184" i="7"/>
  <c r="BN182" i="7"/>
  <c r="BN240" i="7"/>
  <c r="BN204" i="7"/>
  <c r="BN202" i="7"/>
  <c r="BN187" i="7"/>
  <c r="BN185" i="7"/>
  <c r="BN172" i="7"/>
  <c r="BN170" i="7"/>
  <c r="BN160" i="7"/>
  <c r="BN156" i="7"/>
  <c r="BN152" i="7"/>
  <c r="BN148" i="7"/>
  <c r="BN144" i="7"/>
  <c r="BN140" i="7"/>
  <c r="BN136" i="7"/>
  <c r="BN132" i="7"/>
  <c r="BN128" i="7"/>
  <c r="BN124" i="7"/>
  <c r="BN108" i="7"/>
  <c r="BN104" i="7"/>
  <c r="BN100" i="7"/>
  <c r="BN96" i="7"/>
  <c r="BN92" i="7"/>
  <c r="BN88" i="7"/>
  <c r="BN84" i="7"/>
  <c r="BN80" i="7"/>
  <c r="BN57" i="7"/>
  <c r="BN53" i="7"/>
  <c r="BN49" i="7"/>
  <c r="BN45" i="7"/>
  <c r="BN41" i="7"/>
  <c r="BN28" i="7"/>
  <c r="BN246" i="7"/>
  <c r="BN224" i="7"/>
  <c r="BN198" i="7"/>
  <c r="BN196" i="7"/>
  <c r="BN181" i="7"/>
  <c r="BN178" i="7"/>
  <c r="BN175" i="7"/>
  <c r="BN169" i="7"/>
  <c r="BN166" i="7"/>
  <c r="BN260" i="7"/>
  <c r="BN210" i="7"/>
  <c r="BN209" i="7"/>
  <c r="BN208" i="7"/>
  <c r="BN207" i="7"/>
  <c r="BN228" i="7"/>
  <c r="BN205" i="7"/>
  <c r="BN191" i="7"/>
  <c r="BN183" i="7"/>
  <c r="BN161" i="7"/>
  <c r="BN159" i="7"/>
  <c r="BN157" i="7"/>
  <c r="BN142" i="7"/>
  <c r="BN230" i="7"/>
  <c r="BN225" i="7"/>
  <c r="BN206" i="7"/>
  <c r="BN151" i="7"/>
  <c r="BN149" i="7"/>
  <c r="BN195" i="7"/>
  <c r="BN193" i="7"/>
  <c r="BN165" i="7"/>
  <c r="BN155" i="7"/>
  <c r="BN126" i="7"/>
  <c r="BN99" i="7"/>
  <c r="BN97" i="7"/>
  <c r="BN82" i="7"/>
  <c r="BN48" i="7"/>
  <c r="BN46" i="7"/>
  <c r="BN254" i="7"/>
  <c r="BN213" i="7"/>
  <c r="BN200" i="7"/>
  <c r="BN174" i="7"/>
  <c r="BN153" i="7"/>
  <c r="BN135" i="7"/>
  <c r="BN133" i="7"/>
  <c r="BN106" i="7"/>
  <c r="BN91" i="7"/>
  <c r="BN89" i="7"/>
  <c r="BN190" i="7"/>
  <c r="BN163" i="7"/>
  <c r="BN90" i="7"/>
  <c r="BN83" i="7"/>
  <c r="BN192" i="7"/>
  <c r="BN102" i="7"/>
  <c r="BN43" i="7"/>
  <c r="BN24" i="7"/>
  <c r="BN20" i="7"/>
  <c r="BN212" i="7"/>
  <c r="BN177" i="7"/>
  <c r="BN103" i="7"/>
  <c r="BN248" i="7"/>
  <c r="BN162" i="7"/>
  <c r="BN138" i="7"/>
  <c r="BN131" i="7"/>
  <c r="BN86" i="7"/>
  <c r="BN85" i="7"/>
  <c r="BN79" i="7"/>
  <c r="BN52" i="7"/>
  <c r="BN44" i="7"/>
  <c r="BN42" i="7"/>
  <c r="BN26" i="7"/>
  <c r="BN22" i="7"/>
  <c r="BN18" i="7"/>
  <c r="BN234" i="7"/>
  <c r="BN194" i="7"/>
  <c r="BN171" i="7"/>
  <c r="BN168" i="7"/>
  <c r="BN147" i="7"/>
  <c r="BN105" i="7"/>
  <c r="BN98" i="7"/>
  <c r="BN47" i="7"/>
  <c r="BN21" i="7"/>
  <c r="BN95" i="7"/>
  <c r="BN81" i="7"/>
  <c r="BN68" i="7"/>
  <c r="BN237" i="7"/>
  <c r="BN176" i="7"/>
  <c r="BN173" i="7"/>
  <c r="BN154" i="7"/>
  <c r="BN139" i="7"/>
  <c r="BN125" i="7"/>
  <c r="BN54" i="7"/>
  <c r="BN19" i="7"/>
  <c r="BN129" i="7"/>
  <c r="BN78" i="7"/>
  <c r="BN55" i="7"/>
  <c r="BN17" i="7"/>
  <c r="BN164" i="7"/>
  <c r="BN56" i="7"/>
  <c r="BN50" i="7"/>
  <c r="BN189" i="7"/>
  <c r="BN179" i="7"/>
  <c r="BN158" i="7"/>
  <c r="BN145" i="7"/>
  <c r="BN167" i="7"/>
  <c r="BN150" i="7"/>
  <c r="BN143" i="7"/>
  <c r="BN220" i="7"/>
  <c r="BN211" i="7"/>
  <c r="BN146" i="7"/>
  <c r="BN137" i="7"/>
  <c r="BN107" i="7"/>
  <c r="BN93" i="7"/>
  <c r="BN31" i="7"/>
  <c r="BN25" i="7"/>
  <c r="BN141" i="7"/>
  <c r="BN134" i="7"/>
  <c r="BN130" i="7"/>
  <c r="BN127" i="7"/>
  <c r="BN123" i="7"/>
  <c r="BN51" i="7"/>
  <c r="BN180" i="7"/>
  <c r="BN101" i="7"/>
  <c r="BN94" i="7"/>
  <c r="BN87" i="7"/>
  <c r="BN23" i="7"/>
  <c r="BN27" i="7"/>
  <c r="BN30" i="7"/>
  <c r="BN29" i="7"/>
  <c r="AE141" i="7"/>
  <c r="BH140" i="7"/>
  <c r="BI16" i="7"/>
  <c r="BJ16" i="7" s="1"/>
  <c r="BK16" i="7" s="1"/>
  <c r="BL16" i="7" s="1"/>
  <c r="BM16" i="7" s="1"/>
  <c r="BN16" i="7" s="1"/>
  <c r="BO16" i="7" s="1"/>
  <c r="BP16" i="7" s="1"/>
  <c r="BQ16" i="7" s="1"/>
  <c r="BR16" i="7" s="1"/>
  <c r="BS16" i="7" s="1"/>
  <c r="BT16" i="7" s="1"/>
  <c r="BU16" i="7" s="1"/>
  <c r="AO123" i="7"/>
  <c r="AO124" i="7" s="1"/>
  <c r="AO125" i="7" s="1"/>
  <c r="AO126" i="7" s="1"/>
  <c r="AO78" i="7"/>
  <c r="AO79" i="7" s="1"/>
  <c r="AO80" i="7" s="1"/>
  <c r="AO81" i="7" s="1"/>
  <c r="AO41" i="7"/>
  <c r="BR41" i="7" s="1"/>
  <c r="AR123" i="7"/>
  <c r="AR124" i="7" s="1"/>
  <c r="AR78" i="7"/>
  <c r="AR79" i="7" s="1"/>
  <c r="AR80" i="7" s="1"/>
  <c r="AR41" i="7"/>
  <c r="AR42" i="7" s="1"/>
  <c r="AR43" i="7" s="1"/>
  <c r="AQ123" i="7"/>
  <c r="BT123" i="7" s="1"/>
  <c r="AQ78" i="7"/>
  <c r="BT78" i="7" s="1"/>
  <c r="AQ41" i="7"/>
  <c r="BT41" i="7" s="1"/>
  <c r="L235" i="7"/>
  <c r="A234" i="7"/>
  <c r="AF12" i="7"/>
  <c r="AG12" i="7" s="1"/>
  <c r="AH12" i="7" s="1"/>
  <c r="AZ125" i="7"/>
  <c r="W126" i="7"/>
  <c r="AU125" i="7"/>
  <c r="R126" i="7"/>
  <c r="BC125" i="7"/>
  <c r="Z126" i="7"/>
  <c r="S126" i="7"/>
  <c r="AV125" i="7"/>
  <c r="BB125" i="7"/>
  <c r="Y126" i="7"/>
  <c r="BD125" i="7"/>
  <c r="AA126" i="7"/>
  <c r="T126" i="7"/>
  <c r="AW125" i="7"/>
  <c r="BA125" i="7"/>
  <c r="X126" i="7"/>
  <c r="AY125" i="7"/>
  <c r="V126" i="7"/>
  <c r="U126" i="7"/>
  <c r="AX125" i="7"/>
  <c r="AS125" i="7"/>
  <c r="P126" i="7"/>
  <c r="AT125" i="7"/>
  <c r="Q126" i="7"/>
  <c r="AP146" i="7"/>
  <c r="BS146" i="7" s="1"/>
  <c r="BB50" i="7"/>
  <c r="AX45" i="7"/>
  <c r="BB47" i="7"/>
  <c r="AW113" i="7"/>
  <c r="AJ84" i="8"/>
  <c r="BH83" i="8"/>
  <c r="AM79" i="8"/>
  <c r="BK78" i="8"/>
  <c r="J78" i="8" s="1"/>
  <c r="AK27" i="8"/>
  <c r="BI26" i="8"/>
  <c r="V29" i="8"/>
  <c r="AT28" i="8"/>
  <c r="AD28" i="8"/>
  <c r="BB27" i="8"/>
  <c r="AE50" i="8"/>
  <c r="BC49" i="8"/>
  <c r="V51" i="8"/>
  <c r="AT50" i="8"/>
  <c r="AM55" i="8"/>
  <c r="BK54" i="8"/>
  <c r="A77" i="8"/>
  <c r="L78" i="8"/>
  <c r="W54" i="8"/>
  <c r="W57" i="8"/>
  <c r="AU57" i="8" s="1"/>
  <c r="AU53" i="8"/>
  <c r="AL26" i="8"/>
  <c r="BJ25" i="8"/>
  <c r="J25" i="8" s="1"/>
  <c r="A49" i="8"/>
  <c r="L50" i="8"/>
  <c r="AJ27" i="8"/>
  <c r="BH26" i="8"/>
  <c r="AK53" i="8"/>
  <c r="BI52" i="8"/>
  <c r="AL50" i="8"/>
  <c r="BJ49" i="8"/>
  <c r="W29" i="8"/>
  <c r="AU28" i="8"/>
  <c r="AJ49" i="8"/>
  <c r="BH48" i="8"/>
  <c r="J48" i="8" s="1"/>
  <c r="U30" i="8"/>
  <c r="AS30" i="8" s="1"/>
  <c r="AS29" i="8"/>
  <c r="BC108" i="7"/>
  <c r="Z109" i="7"/>
  <c r="BC49" i="7"/>
  <c r="BC107" i="7"/>
  <c r="AV113" i="7"/>
  <c r="AT49" i="7"/>
  <c r="AT107" i="7"/>
  <c r="BB57" i="7"/>
  <c r="AS49" i="7"/>
  <c r="AS107" i="7"/>
  <c r="AS108" i="7"/>
  <c r="AS109" i="7"/>
  <c r="AY49" i="7"/>
  <c r="AY108" i="7"/>
  <c r="AY107" i="7"/>
  <c r="AY113" i="7"/>
  <c r="AY109" i="7"/>
  <c r="AZ108" i="7"/>
  <c r="W109" i="7"/>
  <c r="AK109" i="7"/>
  <c r="AV57" i="7"/>
  <c r="BB49" i="7"/>
  <c r="BB107" i="7"/>
  <c r="BB108" i="7"/>
  <c r="BB109" i="7"/>
  <c r="AZ49" i="7"/>
  <c r="AZ107" i="7"/>
  <c r="AX49" i="7"/>
  <c r="AX107" i="7"/>
  <c r="AX108" i="7"/>
  <c r="AX109" i="7"/>
  <c r="BA107" i="7"/>
  <c r="X108" i="7"/>
  <c r="X109" i="7" s="1"/>
  <c r="AL108" i="7"/>
  <c r="AL109" i="7" s="1"/>
  <c r="BD108" i="7"/>
  <c r="BD107" i="7"/>
  <c r="BD109" i="7"/>
  <c r="AV108" i="7"/>
  <c r="AV107" i="7"/>
  <c r="AV109" i="7"/>
  <c r="AN109" i="7"/>
  <c r="AU49" i="7"/>
  <c r="AU107" i="7"/>
  <c r="AU109" i="7"/>
  <c r="AU108" i="7"/>
  <c r="AP113" i="7"/>
  <c r="BS113" i="7" s="1"/>
  <c r="AU56" i="7"/>
  <c r="AW49" i="7"/>
  <c r="AW108" i="7"/>
  <c r="AW107" i="7"/>
  <c r="AW109" i="7"/>
  <c r="AT108" i="7"/>
  <c r="Q109" i="7"/>
  <c r="A108" i="7"/>
  <c r="L109" i="7"/>
  <c r="L110" i="7" s="1"/>
  <c r="AS45" i="7"/>
  <c r="BD46" i="7"/>
  <c r="BD49" i="7"/>
  <c r="BC46" i="7"/>
  <c r="A57" i="7"/>
  <c r="A56" i="7"/>
  <c r="AV44" i="7"/>
  <c r="AV49" i="7"/>
  <c r="BA57" i="7"/>
  <c r="BA49" i="7"/>
  <c r="AQ18" i="7"/>
  <c r="AQ19" i="7" s="1"/>
  <c r="AQ20" i="7" s="1"/>
  <c r="AQ21" i="7" s="1"/>
  <c r="AQ22" i="7" s="1"/>
  <c r="AQ23" i="7" s="1"/>
  <c r="AQ24" i="7" s="1"/>
  <c r="AQ25" i="7" s="1"/>
  <c r="AQ26" i="7" s="1"/>
  <c r="AQ27" i="7" s="1"/>
  <c r="AQ28" i="7" s="1"/>
  <c r="AQ29" i="7" s="1"/>
  <c r="AQ30" i="7" s="1"/>
  <c r="AQ31" i="7" s="1"/>
  <c r="BT31" i="7" s="1"/>
  <c r="AW42" i="7"/>
  <c r="AW41" i="7"/>
  <c r="AW43" i="7"/>
  <c r="AW55" i="7"/>
  <c r="AW44" i="7"/>
  <c r="BC41" i="7"/>
  <c r="BC42" i="7"/>
  <c r="BC43" i="7"/>
  <c r="BC44" i="7"/>
  <c r="BC55" i="7"/>
  <c r="BC56" i="7"/>
  <c r="BC45" i="7"/>
  <c r="AU41" i="7"/>
  <c r="AU42" i="7"/>
  <c r="AU55" i="7"/>
  <c r="AU43" i="7"/>
  <c r="AU57" i="7"/>
  <c r="BD57" i="7"/>
  <c r="BB44" i="7"/>
  <c r="BB41" i="7"/>
  <c r="BB42" i="7"/>
  <c r="BB43" i="7"/>
  <c r="BB45" i="7"/>
  <c r="BB55" i="7"/>
  <c r="BB46" i="7"/>
  <c r="BB56" i="7"/>
  <c r="AT41" i="7"/>
  <c r="AT42" i="7"/>
  <c r="AT55" i="7"/>
  <c r="AT43" i="7"/>
  <c r="AT44" i="7"/>
  <c r="AT56" i="7"/>
  <c r="AU44" i="7"/>
  <c r="AZ42" i="7"/>
  <c r="AZ41" i="7"/>
  <c r="AZ56" i="7"/>
  <c r="AZ55" i="7"/>
  <c r="AZ43" i="7"/>
  <c r="AZ57" i="7"/>
  <c r="AZ44" i="7"/>
  <c r="AZ45" i="7"/>
  <c r="AW56" i="7"/>
  <c r="BC57" i="7"/>
  <c r="AT57" i="7"/>
  <c r="AS41" i="7"/>
  <c r="AS42" i="7"/>
  <c r="AS43" i="7"/>
  <c r="AS55" i="7"/>
  <c r="AS44" i="7"/>
  <c r="AS56" i="7"/>
  <c r="AY23" i="7"/>
  <c r="AY45" i="7"/>
  <c r="AY46" i="7"/>
  <c r="AY41" i="7"/>
  <c r="AY43" i="7"/>
  <c r="AY44" i="7"/>
  <c r="AY42" i="7"/>
  <c r="AY47" i="7"/>
  <c r="AY48" i="7"/>
  <c r="AT45" i="7"/>
  <c r="AW45" i="7"/>
  <c r="AW57" i="7"/>
  <c r="AS57" i="7"/>
  <c r="AO18" i="7"/>
  <c r="AO19" i="7" s="1"/>
  <c r="AO20" i="7" s="1"/>
  <c r="AO21" i="7" s="1"/>
  <c r="AO22" i="7" s="1"/>
  <c r="AO23" i="7" s="1"/>
  <c r="AO24" i="7" s="1"/>
  <c r="AO25" i="7" s="1"/>
  <c r="AO26" i="7" s="1"/>
  <c r="AO27" i="7" s="1"/>
  <c r="AO28" i="7" s="1"/>
  <c r="AO29" i="7" s="1"/>
  <c r="AO30" i="7" s="1"/>
  <c r="AO31" i="7" s="1"/>
  <c r="BR31" i="7" s="1"/>
  <c r="BD41" i="7"/>
  <c r="BD43" i="7"/>
  <c r="BD42" i="7"/>
  <c r="BD55" i="7"/>
  <c r="BD44" i="7"/>
  <c r="BD45" i="7"/>
  <c r="BD56" i="7"/>
  <c r="AV41" i="7"/>
  <c r="AV42" i="7"/>
  <c r="AV55" i="7"/>
  <c r="AV43" i="7"/>
  <c r="BA41" i="7"/>
  <c r="BA42" i="7"/>
  <c r="BA55" i="7"/>
  <c r="BA43" i="7"/>
  <c r="BA44" i="7"/>
  <c r="BA56" i="7"/>
  <c r="AR18" i="7"/>
  <c r="AX41" i="7"/>
  <c r="AX42" i="7"/>
  <c r="AX55" i="7"/>
  <c r="AX43" i="7"/>
  <c r="AX56" i="7"/>
  <c r="AX44" i="7"/>
  <c r="BA45" i="7"/>
  <c r="AV56" i="7"/>
  <c r="AX57" i="7"/>
  <c r="V51" i="7"/>
  <c r="AY50" i="7"/>
  <c r="BB54" i="7"/>
  <c r="BB53" i="7"/>
  <c r="BD50" i="7"/>
  <c r="BC50" i="7"/>
  <c r="AW46" i="7"/>
  <c r="AV45" i="7"/>
  <c r="AU45" i="7"/>
  <c r="BC47" i="7"/>
  <c r="BB48" i="7"/>
  <c r="BB52" i="7"/>
  <c r="BA46" i="7"/>
  <c r="BD47" i="7"/>
  <c r="AS46" i="7"/>
  <c r="AT46" i="7"/>
  <c r="A46" i="7"/>
  <c r="AZ46" i="7"/>
  <c r="AX46" i="7"/>
  <c r="AY28" i="7"/>
  <c r="AT123" i="7"/>
  <c r="AU18" i="7"/>
  <c r="AS30" i="7"/>
  <c r="AW123" i="7"/>
  <c r="AY17" i="7"/>
  <c r="AV79" i="7"/>
  <c r="BD17" i="7"/>
  <c r="BD123" i="7"/>
  <c r="AW22" i="7"/>
  <c r="AT124" i="7"/>
  <c r="AY31" i="7"/>
  <c r="BD124" i="7"/>
  <c r="BD80" i="7"/>
  <c r="AV124" i="7"/>
  <c r="AS31" i="7"/>
  <c r="AZ29" i="7"/>
  <c r="AV17" i="7"/>
  <c r="AV123" i="7"/>
  <c r="AV20" i="7"/>
  <c r="BD81" i="7"/>
  <c r="AW84" i="7"/>
  <c r="AW94" i="7"/>
  <c r="AS83" i="7"/>
  <c r="AS82" i="7"/>
  <c r="AU123" i="7"/>
  <c r="BB124" i="7"/>
  <c r="AT18" i="7"/>
  <c r="BA17" i="7"/>
  <c r="AW19" i="7"/>
  <c r="AT78" i="7"/>
  <c r="BC123" i="7"/>
  <c r="BC124" i="7"/>
  <c r="AS18" i="7"/>
  <c r="AY26" i="7"/>
  <c r="AU78" i="7"/>
  <c r="BA79" i="7"/>
  <c r="AW24" i="7"/>
  <c r="AT80" i="7"/>
  <c r="AT82" i="7"/>
  <c r="BC78" i="7"/>
  <c r="BB79" i="7"/>
  <c r="AT31" i="7"/>
  <c r="AS21" i="7"/>
  <c r="AW27" i="7"/>
  <c r="BC79" i="7"/>
  <c r="BC81" i="7"/>
  <c r="BB86" i="7"/>
  <c r="AX94" i="7"/>
  <c r="BA83" i="7"/>
  <c r="AT89" i="7"/>
  <c r="AZ94" i="7"/>
  <c r="BA81" i="7"/>
  <c r="AU29" i="7"/>
  <c r="AX17" i="7"/>
  <c r="AZ79" i="7"/>
  <c r="AX81" i="7"/>
  <c r="AW31" i="7"/>
  <c r="AW81" i="7"/>
  <c r="AW79" i="7"/>
  <c r="AW30" i="7"/>
  <c r="AW83" i="7"/>
  <c r="AW78" i="7"/>
  <c r="AW18" i="7"/>
  <c r="AW124" i="7"/>
  <c r="AW80" i="7"/>
  <c r="AW29" i="7"/>
  <c r="AZ30" i="7"/>
  <c r="AZ23" i="7"/>
  <c r="AZ26" i="7"/>
  <c r="AZ28" i="7"/>
  <c r="AW82" i="7"/>
  <c r="AZ17" i="7"/>
  <c r="AW20" i="7"/>
  <c r="AT21" i="7"/>
  <c r="AZ31" i="7"/>
  <c r="AY78" i="7"/>
  <c r="AX91" i="7"/>
  <c r="AS123" i="7"/>
  <c r="AY29" i="7"/>
  <c r="AW21" i="7"/>
  <c r="AZ88" i="7"/>
  <c r="BB123" i="7"/>
  <c r="BB17" i="7"/>
  <c r="AT85" i="7"/>
  <c r="AT26" i="7"/>
  <c r="AT87" i="7"/>
  <c r="AT28" i="7"/>
  <c r="AT23" i="7"/>
  <c r="AT86" i="7"/>
  <c r="AT81" i="7"/>
  <c r="AT19" i="7"/>
  <c r="AT17" i="7"/>
  <c r="AT88" i="7"/>
  <c r="AT79" i="7"/>
  <c r="AT83" i="7"/>
  <c r="AZ18" i="7"/>
  <c r="AS19" i="7"/>
  <c r="AY21" i="7"/>
  <c r="BA78" i="7"/>
  <c r="AT84" i="7"/>
  <c r="AX86" i="7"/>
  <c r="AZ123" i="7"/>
  <c r="AZ89" i="7"/>
  <c r="AZ81" i="7"/>
  <c r="AZ91" i="7"/>
  <c r="AZ83" i="7"/>
  <c r="AZ20" i="7"/>
  <c r="AZ124" i="7"/>
  <c r="AZ90" i="7"/>
  <c r="AZ85" i="7"/>
  <c r="AZ27" i="7"/>
  <c r="AZ22" i="7"/>
  <c r="AZ24" i="7"/>
  <c r="AZ92" i="7"/>
  <c r="AZ80" i="7"/>
  <c r="AZ87" i="7"/>
  <c r="AZ82" i="7"/>
  <c r="AX88" i="7"/>
  <c r="AX80" i="7"/>
  <c r="AX78" i="7"/>
  <c r="AX123" i="7"/>
  <c r="AX90" i="7"/>
  <c r="AX82" i="7"/>
  <c r="AX92" i="7"/>
  <c r="AX124" i="7"/>
  <c r="AX85" i="7"/>
  <c r="AT29" i="7"/>
  <c r="AZ19" i="7"/>
  <c r="AZ25" i="7"/>
  <c r="AZ84" i="7"/>
  <c r="AX93" i="7"/>
  <c r="AZ93" i="7"/>
  <c r="AY18" i="7"/>
  <c r="AY20" i="7"/>
  <c r="AT22" i="7"/>
  <c r="AZ78" i="7"/>
  <c r="AX89" i="7"/>
  <c r="BA124" i="7"/>
  <c r="BA82" i="7"/>
  <c r="BA80" i="7"/>
  <c r="BA123" i="7"/>
  <c r="AS17" i="7"/>
  <c r="AV19" i="7"/>
  <c r="AZ21" i="7"/>
  <c r="AS24" i="7"/>
  <c r="AS25" i="7"/>
  <c r="BB78" i="7"/>
  <c r="AS79" i="7"/>
  <c r="AZ86" i="7"/>
  <c r="AX87" i="7"/>
  <c r="AT24" i="7"/>
  <c r="AT25" i="7"/>
  <c r="AT27" i="7"/>
  <c r="AS124" i="7"/>
  <c r="AS27" i="7"/>
  <c r="AS22" i="7"/>
  <c r="AS26" i="7"/>
  <c r="AS23" i="7"/>
  <c r="AS20" i="7"/>
  <c r="AS81" i="7"/>
  <c r="AS28" i="7"/>
  <c r="AY24" i="7"/>
  <c r="AY25" i="7"/>
  <c r="AY30" i="7"/>
  <c r="AY27" i="7"/>
  <c r="AY22" i="7"/>
  <c r="AY123" i="7"/>
  <c r="AW17" i="7"/>
  <c r="AS29" i="7"/>
  <c r="AY19" i="7"/>
  <c r="AT30" i="7"/>
  <c r="AT20" i="7"/>
  <c r="AW23" i="7"/>
  <c r="AW25" i="7"/>
  <c r="AW26" i="7"/>
  <c r="AW28" i="7"/>
  <c r="AS78" i="7"/>
  <c r="AX79" i="7"/>
  <c r="AS80" i="7"/>
  <c r="AX83" i="7"/>
  <c r="AX84" i="7"/>
  <c r="BD78" i="7"/>
  <c r="AV30" i="7"/>
  <c r="BD79" i="7"/>
  <c r="AV78" i="7"/>
  <c r="AV18" i="7"/>
  <c r="AU17" i="7"/>
  <c r="BC17" i="7"/>
  <c r="AV29" i="7"/>
  <c r="M10" i="7"/>
  <c r="AH94" i="3" l="1"/>
  <c r="BF93" i="3"/>
  <c r="Z98" i="3"/>
  <c r="AX97" i="3"/>
  <c r="R92" i="3"/>
  <c r="AP91" i="3"/>
  <c r="J91" i="3" s="1"/>
  <c r="L96" i="3"/>
  <c r="A95" i="3"/>
  <c r="P95" i="3"/>
  <c r="AN94" i="3"/>
  <c r="AE61" i="7"/>
  <c r="BH60" i="7"/>
  <c r="BR18" i="7"/>
  <c r="AP112" i="7"/>
  <c r="BS111" i="7"/>
  <c r="AL113" i="7"/>
  <c r="BO113" i="7" s="1"/>
  <c r="AL110" i="7"/>
  <c r="AK113" i="7"/>
  <c r="BN113" i="7" s="1"/>
  <c r="AK110" i="7"/>
  <c r="BD110" i="7"/>
  <c r="AA111" i="7"/>
  <c r="AW110" i="7"/>
  <c r="T111" i="7"/>
  <c r="BB110" i="7"/>
  <c r="Y111" i="7"/>
  <c r="AN113" i="7"/>
  <c r="BQ113" i="7" s="1"/>
  <c r="AN110" i="7"/>
  <c r="X113" i="7"/>
  <c r="BA113" i="7" s="1"/>
  <c r="X110" i="7"/>
  <c r="W113" i="7"/>
  <c r="AZ113" i="7" s="1"/>
  <c r="W110" i="7"/>
  <c r="U111" i="7"/>
  <c r="AX110" i="7"/>
  <c r="L111" i="7"/>
  <c r="A110" i="7"/>
  <c r="Z113" i="7"/>
  <c r="BC113" i="7" s="1"/>
  <c r="Z110" i="7"/>
  <c r="R111" i="7"/>
  <c r="AU110" i="7"/>
  <c r="AC111" i="7"/>
  <c r="BF110" i="7"/>
  <c r="AS110" i="7"/>
  <c r="P111" i="7"/>
  <c r="BM110" i="7"/>
  <c r="AJ111" i="7"/>
  <c r="BE111" i="7"/>
  <c r="AB112" i="7"/>
  <c r="AV110" i="7"/>
  <c r="S111" i="7"/>
  <c r="AM111" i="7"/>
  <c r="BP110" i="7"/>
  <c r="Q113" i="7"/>
  <c r="AT113" i="7" s="1"/>
  <c r="Q110" i="7"/>
  <c r="AI67" i="7"/>
  <c r="BL67" i="7" s="1"/>
  <c r="BL65" i="7"/>
  <c r="AM61" i="7"/>
  <c r="BP60" i="7"/>
  <c r="BD60" i="7"/>
  <c r="AA61" i="7"/>
  <c r="AP60" i="7"/>
  <c r="BS59" i="7"/>
  <c r="BB60" i="7"/>
  <c r="Y61" i="7"/>
  <c r="A60" i="7"/>
  <c r="L61" i="7"/>
  <c r="S60" i="7"/>
  <c r="AV59" i="7"/>
  <c r="AT59" i="7"/>
  <c r="Q60" i="7"/>
  <c r="AW59" i="7"/>
  <c r="T60" i="7"/>
  <c r="AS60" i="7"/>
  <c r="P61" i="7"/>
  <c r="R60" i="7"/>
  <c r="AU59" i="7"/>
  <c r="X61" i="7"/>
  <c r="BA60" i="7"/>
  <c r="AC61" i="7"/>
  <c r="BF60" i="7"/>
  <c r="AN61" i="7"/>
  <c r="BQ60" i="7"/>
  <c r="W61" i="7"/>
  <c r="AZ60" i="7"/>
  <c r="AX60" i="7"/>
  <c r="U61" i="7"/>
  <c r="BO60" i="7"/>
  <c r="AL61" i="7"/>
  <c r="AB61" i="7"/>
  <c r="BE60" i="7"/>
  <c r="AJ61" i="7"/>
  <c r="BM60" i="7"/>
  <c r="BC60" i="7"/>
  <c r="Z61" i="7"/>
  <c r="BN59" i="7"/>
  <c r="AK60" i="7"/>
  <c r="J17" i="7"/>
  <c r="BR123" i="7"/>
  <c r="AI103" i="7"/>
  <c r="BL102" i="7"/>
  <c r="AI147" i="7"/>
  <c r="BL146" i="7"/>
  <c r="BR19" i="7"/>
  <c r="BR25" i="7"/>
  <c r="BN109" i="7"/>
  <c r="BT20" i="7"/>
  <c r="BR30" i="7"/>
  <c r="BR29" i="7"/>
  <c r="BR20" i="7"/>
  <c r="BT21" i="7"/>
  <c r="AI12" i="7"/>
  <c r="AJ12" i="7" s="1"/>
  <c r="AK12" i="7" s="1"/>
  <c r="AL12" i="7" s="1"/>
  <c r="AM12" i="7" s="1"/>
  <c r="AN12" i="7" s="1"/>
  <c r="AO12" i="7" s="1"/>
  <c r="AP12" i="7" s="1"/>
  <c r="AQ12" i="7" s="1"/>
  <c r="AR12" i="7" s="1"/>
  <c r="BR21" i="7"/>
  <c r="BT19" i="7"/>
  <c r="BR23" i="7"/>
  <c r="BT22" i="7"/>
  <c r="AO127" i="7"/>
  <c r="BR126" i="7"/>
  <c r="AO42" i="7"/>
  <c r="AO43" i="7" s="1"/>
  <c r="AO44" i="7" s="1"/>
  <c r="AO45" i="7" s="1"/>
  <c r="AO46" i="7" s="1"/>
  <c r="AQ42" i="7"/>
  <c r="BO109" i="7"/>
  <c r="AQ79" i="7"/>
  <c r="AQ80" i="7" s="1"/>
  <c r="BU79" i="7"/>
  <c r="BR79" i="7"/>
  <c r="BR80" i="7"/>
  <c r="BR78" i="7"/>
  <c r="AQ124" i="7"/>
  <c r="AR125" i="7"/>
  <c r="BU124" i="7"/>
  <c r="AR19" i="7"/>
  <c r="BU18" i="7"/>
  <c r="AO82" i="7"/>
  <c r="BR81" i="7"/>
  <c r="BQ109" i="7"/>
  <c r="AR44" i="7"/>
  <c r="BU44" i="7" s="1"/>
  <c r="BU43" i="7"/>
  <c r="AE142" i="7"/>
  <c r="BH141" i="7"/>
  <c r="BU123" i="7"/>
  <c r="J123" i="7" s="1"/>
  <c r="AR81" i="7"/>
  <c r="BU80" i="7"/>
  <c r="BU41" i="7"/>
  <c r="J41" i="7" s="1"/>
  <c r="BU78" i="7"/>
  <c r="BU42" i="7"/>
  <c r="BT28" i="7"/>
  <c r="BT23" i="7"/>
  <c r="BR124" i="7"/>
  <c r="BR125" i="7"/>
  <c r="BR24" i="7"/>
  <c r="BR22" i="7"/>
  <c r="BT29" i="7"/>
  <c r="BT24" i="7"/>
  <c r="L145" i="7"/>
  <c r="A144" i="7"/>
  <c r="BR28" i="7"/>
  <c r="BR26" i="7"/>
  <c r="BT30" i="7"/>
  <c r="BT27" i="7"/>
  <c r="BT25" i="7"/>
  <c r="BO108" i="7"/>
  <c r="AE98" i="7"/>
  <c r="BH97" i="7"/>
  <c r="BR27" i="7"/>
  <c r="BT18" i="7"/>
  <c r="BT26" i="7"/>
  <c r="L236" i="7"/>
  <c r="A235" i="7"/>
  <c r="BA126" i="7"/>
  <c r="X127" i="7"/>
  <c r="S127" i="7"/>
  <c r="AV126" i="7"/>
  <c r="BC126" i="7"/>
  <c r="Z127" i="7"/>
  <c r="BD126" i="7"/>
  <c r="AA127" i="7"/>
  <c r="AU126" i="7"/>
  <c r="R127" i="7"/>
  <c r="AW126" i="7"/>
  <c r="T127" i="7"/>
  <c r="Y127" i="7"/>
  <c r="BB126" i="7"/>
  <c r="AZ126" i="7"/>
  <c r="W127" i="7"/>
  <c r="AY126" i="7"/>
  <c r="V127" i="7"/>
  <c r="U127" i="7"/>
  <c r="AX126" i="7"/>
  <c r="P127" i="7"/>
  <c r="AS126" i="7"/>
  <c r="AT126" i="7"/>
  <c r="Q127" i="7"/>
  <c r="AP147" i="7"/>
  <c r="BS147" i="7" s="1"/>
  <c r="BC109" i="7"/>
  <c r="B9" i="7"/>
  <c r="M118" i="7"/>
  <c r="M36" i="7"/>
  <c r="M73" i="7"/>
  <c r="BA108" i="7"/>
  <c r="AZ109" i="7"/>
  <c r="AJ28" i="8"/>
  <c r="BH27" i="8"/>
  <c r="W55" i="8"/>
  <c r="AU54" i="8"/>
  <c r="AK28" i="8"/>
  <c r="BI27" i="8"/>
  <c r="AE51" i="8"/>
  <c r="BC50" i="8"/>
  <c r="AJ85" i="8"/>
  <c r="BH84" i="8"/>
  <c r="AL27" i="8"/>
  <c r="BJ26" i="8"/>
  <c r="J26" i="8" s="1"/>
  <c r="AM56" i="8"/>
  <c r="BK56" i="8" s="1"/>
  <c r="BK55" i="8"/>
  <c r="V30" i="8"/>
  <c r="AT30" i="8" s="1"/>
  <c r="AT29" i="8"/>
  <c r="L51" i="8"/>
  <c r="A50" i="8"/>
  <c r="AM80" i="8"/>
  <c r="BK79" i="8"/>
  <c r="J79" i="8" s="1"/>
  <c r="AL51" i="8"/>
  <c r="BJ50" i="8"/>
  <c r="AD29" i="8"/>
  <c r="BB28" i="8"/>
  <c r="AK57" i="8"/>
  <c r="BI57" i="8" s="1"/>
  <c r="AK54" i="8"/>
  <c r="BI53" i="8"/>
  <c r="W30" i="8"/>
  <c r="AU30" i="8" s="1"/>
  <c r="AU29" i="8"/>
  <c r="A78" i="8"/>
  <c r="L79" i="8"/>
  <c r="AJ50" i="8"/>
  <c r="BH49" i="8"/>
  <c r="J49" i="8" s="1"/>
  <c r="V52" i="8"/>
  <c r="AT51" i="8"/>
  <c r="A109" i="7"/>
  <c r="A113" i="7"/>
  <c r="BA109" i="7"/>
  <c r="AT109" i="7"/>
  <c r="V52" i="7"/>
  <c r="AY51" i="7"/>
  <c r="AD50" i="7"/>
  <c r="BG50" i="7" s="1"/>
  <c r="AT50" i="7"/>
  <c r="AZ50" i="7"/>
  <c r="AW50" i="7"/>
  <c r="AS50" i="7"/>
  <c r="BA50" i="7"/>
  <c r="A50" i="7"/>
  <c r="BC53" i="7"/>
  <c r="BC54" i="7"/>
  <c r="BD53" i="7"/>
  <c r="BD54" i="7"/>
  <c r="AX50" i="7"/>
  <c r="AV46" i="7"/>
  <c r="AU46" i="7"/>
  <c r="AW47" i="7"/>
  <c r="AS47" i="7"/>
  <c r="A47" i="7"/>
  <c r="BA47" i="7"/>
  <c r="AX47" i="7"/>
  <c r="AZ47" i="7"/>
  <c r="AT47" i="7"/>
  <c r="BB51" i="7"/>
  <c r="BB68" i="7"/>
  <c r="BD48" i="7"/>
  <c r="BD52" i="7"/>
  <c r="BC48" i="7"/>
  <c r="BC52" i="7"/>
  <c r="BB90" i="7"/>
  <c r="AU19" i="7"/>
  <c r="BB85" i="7"/>
  <c r="BB84" i="7"/>
  <c r="BB83" i="7"/>
  <c r="AV22" i="7"/>
  <c r="BB82" i="7"/>
  <c r="AV21" i="7"/>
  <c r="BC83" i="7"/>
  <c r="AW92" i="7"/>
  <c r="BB81" i="7"/>
  <c r="AW91" i="7"/>
  <c r="AW88" i="7"/>
  <c r="AW87" i="7"/>
  <c r="AW93" i="7"/>
  <c r="AW85" i="7"/>
  <c r="BB80" i="7"/>
  <c r="AV81" i="7"/>
  <c r="AW90" i="7"/>
  <c r="BC80" i="7"/>
  <c r="BD82" i="7"/>
  <c r="AV80" i="7"/>
  <c r="AW86" i="7"/>
  <c r="AW89" i="7"/>
  <c r="AV23" i="7"/>
  <c r="BB89" i="7"/>
  <c r="BA85" i="7"/>
  <c r="BB87" i="7"/>
  <c r="AT90" i="7"/>
  <c r="AX95" i="7"/>
  <c r="BA84" i="7"/>
  <c r="AZ95" i="7"/>
  <c r="AU30" i="7"/>
  <c r="B79" i="7"/>
  <c r="B80" i="7"/>
  <c r="B81" i="7"/>
  <c r="B82" i="7"/>
  <c r="B83" i="7"/>
  <c r="B84" i="7"/>
  <c r="B85" i="7"/>
  <c r="B86" i="7"/>
  <c r="B87" i="7"/>
  <c r="B88" i="7"/>
  <c r="B89" i="7"/>
  <c r="B90" i="7"/>
  <c r="B91" i="7"/>
  <c r="B92" i="7"/>
  <c r="B93" i="7"/>
  <c r="B78" i="7"/>
  <c r="Z99" i="3" l="1"/>
  <c r="AX99" i="3" s="1"/>
  <c r="AX98" i="3"/>
  <c r="P96" i="3"/>
  <c r="AN95" i="3"/>
  <c r="L97" i="3"/>
  <c r="A96" i="3"/>
  <c r="R93" i="3"/>
  <c r="AP92" i="3"/>
  <c r="J92" i="3" s="1"/>
  <c r="AH95" i="3"/>
  <c r="BF94" i="3"/>
  <c r="BR42" i="7"/>
  <c r="BH61" i="7"/>
  <c r="AE62" i="7"/>
  <c r="Z111" i="7"/>
  <c r="BC110" i="7"/>
  <c r="AS111" i="7"/>
  <c r="P112" i="7"/>
  <c r="BQ110" i="7"/>
  <c r="AN111" i="7"/>
  <c r="AK111" i="7"/>
  <c r="BN110" i="7"/>
  <c r="BP111" i="7"/>
  <c r="AM112" i="7"/>
  <c r="L112" i="7"/>
  <c r="A111" i="7"/>
  <c r="AT110" i="7"/>
  <c r="Q111" i="7"/>
  <c r="BM111" i="7"/>
  <c r="AJ112" i="7"/>
  <c r="AA112" i="7"/>
  <c r="BD111" i="7"/>
  <c r="S112" i="7"/>
  <c r="AV111" i="7"/>
  <c r="BB111" i="7"/>
  <c r="Y112" i="7"/>
  <c r="BF111" i="7"/>
  <c r="AC112" i="7"/>
  <c r="BE112" i="7"/>
  <c r="W111" i="7"/>
  <c r="AZ110" i="7"/>
  <c r="AW111" i="7"/>
  <c r="T112" i="7"/>
  <c r="BA110" i="7"/>
  <c r="X111" i="7"/>
  <c r="AL111" i="7"/>
  <c r="BO110" i="7"/>
  <c r="AX111" i="7"/>
  <c r="U112" i="7"/>
  <c r="R112" i="7"/>
  <c r="AU111" i="7"/>
  <c r="BS112" i="7"/>
  <c r="BR43" i="7"/>
  <c r="BF61" i="7"/>
  <c r="AC62" i="7"/>
  <c r="BC61" i="7"/>
  <c r="Z62" i="7"/>
  <c r="AX61" i="7"/>
  <c r="U62" i="7"/>
  <c r="AT60" i="7"/>
  <c r="Q61" i="7"/>
  <c r="J78" i="7"/>
  <c r="X62" i="7"/>
  <c r="BA61" i="7"/>
  <c r="BS60" i="7"/>
  <c r="AP61" i="7"/>
  <c r="BD61" i="7"/>
  <c r="AA62" i="7"/>
  <c r="AJ62" i="7"/>
  <c r="BM61" i="7"/>
  <c r="AZ61" i="7"/>
  <c r="W62" i="7"/>
  <c r="AU60" i="7"/>
  <c r="R61" i="7"/>
  <c r="AV60" i="7"/>
  <c r="S61" i="7"/>
  <c r="P62" i="7"/>
  <c r="AS61" i="7"/>
  <c r="L62" i="7"/>
  <c r="A61" i="7"/>
  <c r="AB62" i="7"/>
  <c r="BE61" i="7"/>
  <c r="AN62" i="7"/>
  <c r="BQ61" i="7"/>
  <c r="BP61" i="7"/>
  <c r="AM62" i="7"/>
  <c r="AR45" i="7"/>
  <c r="BU45" i="7" s="1"/>
  <c r="BN60" i="7"/>
  <c r="AK61" i="7"/>
  <c r="BO61" i="7"/>
  <c r="AL62" i="7"/>
  <c r="T61" i="7"/>
  <c r="AW60" i="7"/>
  <c r="Y62" i="7"/>
  <c r="BB61" i="7"/>
  <c r="AI104" i="7"/>
  <c r="BL103" i="7"/>
  <c r="AI148" i="7"/>
  <c r="BL147" i="7"/>
  <c r="BR45" i="7"/>
  <c r="BR44" i="7"/>
  <c r="BT79" i="7"/>
  <c r="AQ43" i="7"/>
  <c r="BT42" i="7"/>
  <c r="J42" i="7" s="1"/>
  <c r="AO47" i="7"/>
  <c r="BR46" i="7"/>
  <c r="AO128" i="7"/>
  <c r="BR127" i="7"/>
  <c r="AR20" i="7"/>
  <c r="BU19" i="7"/>
  <c r="AQ125" i="7"/>
  <c r="BT124" i="7"/>
  <c r="AE99" i="7"/>
  <c r="BH98" i="7"/>
  <c r="AE143" i="7"/>
  <c r="BH142" i="7"/>
  <c r="AQ81" i="7"/>
  <c r="BT80" i="7"/>
  <c r="AO83" i="7"/>
  <c r="BR82" i="7"/>
  <c r="AR126" i="7"/>
  <c r="BU125" i="7"/>
  <c r="L146" i="7"/>
  <c r="A145" i="7"/>
  <c r="AR82" i="7"/>
  <c r="BU81" i="7"/>
  <c r="L237" i="7"/>
  <c r="A236" i="7"/>
  <c r="AA128" i="7"/>
  <c r="BD127" i="7"/>
  <c r="S128" i="7"/>
  <c r="AV127" i="7"/>
  <c r="BC127" i="7"/>
  <c r="Z128" i="7"/>
  <c r="AU127" i="7"/>
  <c r="R128" i="7"/>
  <c r="X128" i="7"/>
  <c r="BA127" i="7"/>
  <c r="Y128" i="7"/>
  <c r="BB127" i="7"/>
  <c r="T128" i="7"/>
  <c r="AW127" i="7"/>
  <c r="W128" i="7"/>
  <c r="AZ127" i="7"/>
  <c r="AY127" i="7"/>
  <c r="V128" i="7"/>
  <c r="U128" i="7"/>
  <c r="AX127" i="7"/>
  <c r="P128" i="7"/>
  <c r="AS127" i="7"/>
  <c r="Q128" i="7"/>
  <c r="AT127" i="7"/>
  <c r="AP148" i="7"/>
  <c r="BS148" i="7" s="1"/>
  <c r="AJ51" i="8"/>
  <c r="BH50" i="8"/>
  <c r="J50" i="8" s="1"/>
  <c r="W56" i="8"/>
  <c r="AU56" i="8" s="1"/>
  <c r="AU55" i="8"/>
  <c r="AD30" i="8"/>
  <c r="BB30" i="8" s="1"/>
  <c r="BB29" i="8"/>
  <c r="AE52" i="8"/>
  <c r="BC51" i="8"/>
  <c r="L52" i="8"/>
  <c r="A51" i="8"/>
  <c r="L80" i="8"/>
  <c r="A79" i="8"/>
  <c r="AL52" i="8"/>
  <c r="BJ51" i="8"/>
  <c r="AM81" i="8"/>
  <c r="BK80" i="8"/>
  <c r="J80" i="8" s="1"/>
  <c r="AL28" i="8"/>
  <c r="BJ27" i="8"/>
  <c r="J27" i="8" s="1"/>
  <c r="AK55" i="8"/>
  <c r="BI54" i="8"/>
  <c r="AJ86" i="8"/>
  <c r="BH85" i="8"/>
  <c r="AJ29" i="8"/>
  <c r="BH28" i="8"/>
  <c r="V53" i="8"/>
  <c r="AT52" i="8"/>
  <c r="AK29" i="8"/>
  <c r="BI28" i="8"/>
  <c r="AD51" i="7"/>
  <c r="BG51" i="7" s="1"/>
  <c r="AY52" i="7"/>
  <c r="V53" i="7"/>
  <c r="AW54" i="7"/>
  <c r="AW53" i="7"/>
  <c r="AV50" i="7"/>
  <c r="AX54" i="7"/>
  <c r="AX53" i="7"/>
  <c r="A54" i="7"/>
  <c r="A53" i="7"/>
  <c r="AS54" i="7"/>
  <c r="AS53" i="7"/>
  <c r="AZ53" i="7"/>
  <c r="AZ54" i="7"/>
  <c r="BA54" i="7"/>
  <c r="BA53" i="7"/>
  <c r="AT53" i="7"/>
  <c r="AT54" i="7"/>
  <c r="AU50" i="7"/>
  <c r="AU47" i="7"/>
  <c r="AV47" i="7"/>
  <c r="AW52" i="7"/>
  <c r="AW48" i="7"/>
  <c r="BD68" i="7"/>
  <c r="BD51" i="7"/>
  <c r="A52" i="7"/>
  <c r="A48" i="7"/>
  <c r="AZ48" i="7"/>
  <c r="AZ52" i="7"/>
  <c r="BC68" i="7"/>
  <c r="BC51" i="7"/>
  <c r="BA52" i="7"/>
  <c r="BA48" i="7"/>
  <c r="AX52" i="7"/>
  <c r="AX48" i="7"/>
  <c r="AT52" i="7"/>
  <c r="AT48" i="7"/>
  <c r="AS48" i="7"/>
  <c r="AS52" i="7"/>
  <c r="BB88" i="7"/>
  <c r="AW95" i="7"/>
  <c r="BC82" i="7"/>
  <c r="AV24" i="7"/>
  <c r="AS84" i="7"/>
  <c r="BD83" i="7"/>
  <c r="AV82" i="7"/>
  <c r="AX96" i="7"/>
  <c r="BA86" i="7"/>
  <c r="AW96" i="7"/>
  <c r="BB91" i="7"/>
  <c r="AT91" i="7"/>
  <c r="AZ96" i="7"/>
  <c r="AU20" i="7"/>
  <c r="M75" i="7"/>
  <c r="O124" i="7"/>
  <c r="O123" i="7"/>
  <c r="E123" i="7"/>
  <c r="H123" i="7"/>
  <c r="A123" i="7"/>
  <c r="O106" i="7"/>
  <c r="M106" i="7"/>
  <c r="E106" i="7" s="1"/>
  <c r="O105" i="7"/>
  <c r="E105" i="7"/>
  <c r="O104" i="7"/>
  <c r="M104" i="7"/>
  <c r="E104" i="7" s="1"/>
  <c r="O103" i="7"/>
  <c r="M103" i="7"/>
  <c r="E103" i="7" s="1"/>
  <c r="O102" i="7"/>
  <c r="M102" i="7"/>
  <c r="E102" i="7" s="1"/>
  <c r="O93" i="7"/>
  <c r="M93" i="7"/>
  <c r="E93" i="7" s="1"/>
  <c r="A93" i="7"/>
  <c r="O92" i="7"/>
  <c r="M92" i="7"/>
  <c r="E92" i="7" s="1"/>
  <c r="A92" i="7"/>
  <c r="O91" i="7"/>
  <c r="M91" i="7"/>
  <c r="E91" i="7" s="1"/>
  <c r="A91" i="7"/>
  <c r="O90" i="7"/>
  <c r="M90" i="7"/>
  <c r="E90" i="7" s="1"/>
  <c r="H90" i="7"/>
  <c r="A90" i="7"/>
  <c r="O89" i="7"/>
  <c r="M89" i="7"/>
  <c r="E89" i="7" s="1"/>
  <c r="H89" i="7"/>
  <c r="A89" i="7"/>
  <c r="O88" i="7"/>
  <c r="M88" i="7"/>
  <c r="E88" i="7" s="1"/>
  <c r="H88" i="7"/>
  <c r="A88" i="7"/>
  <c r="O87" i="7"/>
  <c r="M87" i="7"/>
  <c r="E87" i="7" s="1"/>
  <c r="A87" i="7"/>
  <c r="O86" i="7"/>
  <c r="M86" i="7"/>
  <c r="E86" i="7" s="1"/>
  <c r="A86" i="7"/>
  <c r="O85" i="7"/>
  <c r="M85" i="7"/>
  <c r="E85" i="7" s="1"/>
  <c r="H85" i="7"/>
  <c r="A85" i="7"/>
  <c r="O84" i="7"/>
  <c r="M84" i="7"/>
  <c r="E84" i="7" s="1"/>
  <c r="A84" i="7"/>
  <c r="O83" i="7"/>
  <c r="M83" i="7"/>
  <c r="E83" i="7" s="1"/>
  <c r="H83" i="7"/>
  <c r="A83" i="7"/>
  <c r="O82" i="7"/>
  <c r="M82" i="7"/>
  <c r="E82" i="7" s="1"/>
  <c r="A82" i="7"/>
  <c r="O81" i="7"/>
  <c r="M81" i="7"/>
  <c r="E81" i="7" s="1"/>
  <c r="A81" i="7"/>
  <c r="O80" i="7"/>
  <c r="M80" i="7"/>
  <c r="E80" i="7" s="1"/>
  <c r="H80" i="7"/>
  <c r="A80" i="7"/>
  <c r="O79" i="7"/>
  <c r="M79" i="7"/>
  <c r="E79" i="7" s="1"/>
  <c r="H79" i="7"/>
  <c r="A79" i="7"/>
  <c r="O78" i="7"/>
  <c r="M78" i="7"/>
  <c r="E78" i="7" s="1"/>
  <c r="H78" i="7"/>
  <c r="A78" i="7"/>
  <c r="M31" i="7"/>
  <c r="E31" i="7" s="1"/>
  <c r="A31" i="7"/>
  <c r="M28" i="7"/>
  <c r="E28" i="7" s="1"/>
  <c r="A28" i="7"/>
  <c r="E27" i="7"/>
  <c r="A27" i="7"/>
  <c r="O26" i="7"/>
  <c r="E26" i="7"/>
  <c r="A26" i="7"/>
  <c r="O25" i="7"/>
  <c r="E25" i="7"/>
  <c r="A25" i="7"/>
  <c r="O24" i="7"/>
  <c r="E24" i="7"/>
  <c r="A24" i="7"/>
  <c r="O23" i="7"/>
  <c r="E23" i="7"/>
  <c r="A23" i="7"/>
  <c r="O22" i="7"/>
  <c r="E22" i="7"/>
  <c r="A22" i="7"/>
  <c r="O21" i="7"/>
  <c r="E21" i="7"/>
  <c r="A21" i="7"/>
  <c r="O20" i="7"/>
  <c r="E20" i="7"/>
  <c r="A20" i="7"/>
  <c r="M30" i="7"/>
  <c r="E30" i="7" s="1"/>
  <c r="A30" i="7"/>
  <c r="O19" i="7"/>
  <c r="E19" i="7"/>
  <c r="A19" i="7"/>
  <c r="M29" i="7"/>
  <c r="E29" i="7" s="1"/>
  <c r="A29" i="7"/>
  <c r="AJ18" i="7"/>
  <c r="AC18" i="7"/>
  <c r="Z18" i="7"/>
  <c r="Z19" i="7" s="1"/>
  <c r="Z20" i="7" s="1"/>
  <c r="Z21" i="7" s="1"/>
  <c r="Z22" i="7" s="1"/>
  <c r="Z23" i="7" s="1"/>
  <c r="Z24" i="7" s="1"/>
  <c r="Z25" i="7" s="1"/>
  <c r="Z26" i="7" s="1"/>
  <c r="Z27" i="7" s="1"/>
  <c r="Z28" i="7" s="1"/>
  <c r="Z29" i="7" s="1"/>
  <c r="Z30" i="7" s="1"/>
  <c r="Z31" i="7" s="1"/>
  <c r="AA18" i="7"/>
  <c r="AA19" i="7" s="1"/>
  <c r="AA20" i="7" s="1"/>
  <c r="AA21" i="7" s="1"/>
  <c r="AA22" i="7" s="1"/>
  <c r="AA23" i="7" s="1"/>
  <c r="AA24" i="7" s="1"/>
  <c r="AA25" i="7" s="1"/>
  <c r="AA26" i="7" s="1"/>
  <c r="AA27" i="7" s="1"/>
  <c r="AA28" i="7" s="1"/>
  <c r="AA29" i="7" s="1"/>
  <c r="AA30" i="7" s="1"/>
  <c r="AA31" i="7" s="1"/>
  <c r="Y18" i="7"/>
  <c r="Y19" i="7" s="1"/>
  <c r="Y20" i="7" s="1"/>
  <c r="Y21" i="7" s="1"/>
  <c r="Y22" i="7" s="1"/>
  <c r="Y23" i="7" s="1"/>
  <c r="Y24" i="7" s="1"/>
  <c r="Y25" i="7" s="1"/>
  <c r="Y26" i="7" s="1"/>
  <c r="Y27" i="7" s="1"/>
  <c r="Y28" i="7" s="1"/>
  <c r="Y29" i="7" s="1"/>
  <c r="Y30" i="7" s="1"/>
  <c r="Y31" i="7" s="1"/>
  <c r="X18" i="7"/>
  <c r="X19" i="7" s="1"/>
  <c r="X20" i="7" s="1"/>
  <c r="X21" i="7" s="1"/>
  <c r="X22" i="7" s="1"/>
  <c r="X23" i="7" s="1"/>
  <c r="X24" i="7" s="1"/>
  <c r="X25" i="7" s="1"/>
  <c r="X26" i="7" s="1"/>
  <c r="X27" i="7" s="1"/>
  <c r="X28" i="7" s="1"/>
  <c r="X29" i="7" s="1"/>
  <c r="X30" i="7" s="1"/>
  <c r="X31" i="7" s="1"/>
  <c r="U18" i="7"/>
  <c r="U19" i="7" s="1"/>
  <c r="U20" i="7" s="1"/>
  <c r="U21" i="7" s="1"/>
  <c r="U22" i="7" s="1"/>
  <c r="U23" i="7" s="1"/>
  <c r="U24" i="7" s="1"/>
  <c r="U25" i="7" s="1"/>
  <c r="U26" i="7" s="1"/>
  <c r="U27" i="7" s="1"/>
  <c r="U28" i="7" s="1"/>
  <c r="U29" i="7" s="1"/>
  <c r="U30" i="7" s="1"/>
  <c r="U31" i="7" s="1"/>
  <c r="O18" i="7"/>
  <c r="E18" i="7"/>
  <c r="A18" i="7"/>
  <c r="O17" i="7"/>
  <c r="E17" i="7"/>
  <c r="A17" i="7"/>
  <c r="J14" i="7"/>
  <c r="I14" i="7"/>
  <c r="H14" i="7"/>
  <c r="G14" i="7"/>
  <c r="F14" i="7"/>
  <c r="E14" i="7"/>
  <c r="D14" i="7"/>
  <c r="C14" i="7"/>
  <c r="B14" i="7"/>
  <c r="R94" i="3" l="1"/>
  <c r="AP93" i="3"/>
  <c r="J93" i="3" s="1"/>
  <c r="A97" i="3"/>
  <c r="L98" i="3"/>
  <c r="P97" i="3"/>
  <c r="AN96" i="3"/>
  <c r="AH96" i="3"/>
  <c r="BF95" i="3"/>
  <c r="M76" i="7"/>
  <c r="C112" i="7"/>
  <c r="C111" i="7"/>
  <c r="C110" i="7"/>
  <c r="BH62" i="7"/>
  <c r="AE63" i="7"/>
  <c r="AW112" i="7"/>
  <c r="BB112" i="7"/>
  <c r="AU112" i="7"/>
  <c r="BQ111" i="7"/>
  <c r="AN112" i="7"/>
  <c r="AX112" i="7"/>
  <c r="W112" i="7"/>
  <c r="AZ111" i="7"/>
  <c r="AS112" i="7"/>
  <c r="AR46" i="7"/>
  <c r="BU46" i="7" s="1"/>
  <c r="AT111" i="7"/>
  <c r="Q112" i="7"/>
  <c r="A112" i="7"/>
  <c r="BO111" i="7"/>
  <c r="AL112" i="7"/>
  <c r="BD112" i="7"/>
  <c r="BP112" i="7"/>
  <c r="BN111" i="7"/>
  <c r="AK112" i="7"/>
  <c r="AV112" i="7"/>
  <c r="BA111" i="7"/>
  <c r="X112" i="7"/>
  <c r="BF112" i="7"/>
  <c r="BM112" i="7"/>
  <c r="Z112" i="7"/>
  <c r="BC111" i="7"/>
  <c r="AL63" i="7"/>
  <c r="BO62" i="7"/>
  <c r="S62" i="7"/>
  <c r="AV61" i="7"/>
  <c r="BD62" i="7"/>
  <c r="AA63" i="7"/>
  <c r="AN63" i="7"/>
  <c r="BQ62" i="7"/>
  <c r="U63" i="7"/>
  <c r="AX62" i="7"/>
  <c r="BN61" i="7"/>
  <c r="AK62" i="7"/>
  <c r="AU61" i="7"/>
  <c r="R62" i="7"/>
  <c r="BS61" i="7"/>
  <c r="AP62" i="7"/>
  <c r="BE62" i="7"/>
  <c r="AB63" i="7"/>
  <c r="BC62" i="7"/>
  <c r="Z63" i="7"/>
  <c r="AZ62" i="7"/>
  <c r="W63" i="7"/>
  <c r="Y63" i="7"/>
  <c r="BB62" i="7"/>
  <c r="BP62" i="7"/>
  <c r="AM63" i="7"/>
  <c r="L63" i="7"/>
  <c r="A62" i="7"/>
  <c r="X63" i="7"/>
  <c r="BA62" i="7"/>
  <c r="AC63" i="7"/>
  <c r="BF62" i="7"/>
  <c r="T62" i="7"/>
  <c r="AW61" i="7"/>
  <c r="AS62" i="7"/>
  <c r="P63" i="7"/>
  <c r="BM62" i="7"/>
  <c r="AJ63" i="7"/>
  <c r="Q62" i="7"/>
  <c r="AT61" i="7"/>
  <c r="AI105" i="7"/>
  <c r="BL104" i="7"/>
  <c r="AI149" i="7"/>
  <c r="BL148" i="7"/>
  <c r="AO48" i="7"/>
  <c r="BR47" i="7"/>
  <c r="AO129" i="7"/>
  <c r="BR128" i="7"/>
  <c r="BT43" i="7"/>
  <c r="J43" i="7" s="1"/>
  <c r="AQ44" i="7"/>
  <c r="AC19" i="7"/>
  <c r="BF18" i="7"/>
  <c r="AQ126" i="7"/>
  <c r="BT125" i="7"/>
  <c r="J125" i="7" s="1"/>
  <c r="AJ19" i="7"/>
  <c r="BM18" i="7"/>
  <c r="AR127" i="7"/>
  <c r="BU126" i="7"/>
  <c r="AE144" i="7"/>
  <c r="BH143" i="7"/>
  <c r="AR21" i="7"/>
  <c r="BU20" i="7"/>
  <c r="AO84" i="7"/>
  <c r="BR83" i="7"/>
  <c r="AR83" i="7"/>
  <c r="BU82" i="7"/>
  <c r="AQ82" i="7"/>
  <c r="BT81" i="7"/>
  <c r="AE100" i="7"/>
  <c r="BH99" i="7"/>
  <c r="L147" i="7"/>
  <c r="A146" i="7"/>
  <c r="L241" i="7"/>
  <c r="A237" i="7"/>
  <c r="BB128" i="7"/>
  <c r="Y129" i="7"/>
  <c r="W129" i="7"/>
  <c r="AZ128" i="7"/>
  <c r="BC128" i="7"/>
  <c r="Z129" i="7"/>
  <c r="AW128" i="7"/>
  <c r="T129" i="7"/>
  <c r="BA128" i="7"/>
  <c r="X129" i="7"/>
  <c r="AV128" i="7"/>
  <c r="S129" i="7"/>
  <c r="R129" i="7"/>
  <c r="AU128" i="7"/>
  <c r="AA129" i="7"/>
  <c r="BD128" i="7"/>
  <c r="AY128" i="7"/>
  <c r="V129" i="7"/>
  <c r="U129" i="7"/>
  <c r="AX128" i="7"/>
  <c r="AS128" i="7"/>
  <c r="P129" i="7"/>
  <c r="Q129" i="7"/>
  <c r="AT128" i="7"/>
  <c r="AP149" i="7"/>
  <c r="BS149" i="7" s="1"/>
  <c r="A80" i="8"/>
  <c r="L81" i="8"/>
  <c r="AJ30" i="8"/>
  <c r="BH30" i="8" s="1"/>
  <c r="BH29" i="8"/>
  <c r="AM82" i="8"/>
  <c r="BK81" i="8"/>
  <c r="J81" i="8" s="1"/>
  <c r="A52" i="8"/>
  <c r="L53" i="8"/>
  <c r="AJ52" i="8"/>
  <c r="BH51" i="8"/>
  <c r="J51" i="8" s="1"/>
  <c r="V57" i="8"/>
  <c r="AT57" i="8" s="1"/>
  <c r="V54" i="8"/>
  <c r="AT53" i="8"/>
  <c r="AL53" i="8"/>
  <c r="BJ52" i="8"/>
  <c r="AE53" i="8"/>
  <c r="BC52" i="8"/>
  <c r="BJ28" i="8"/>
  <c r="J28" i="8" s="1"/>
  <c r="AL29" i="8"/>
  <c r="AJ87" i="8"/>
  <c r="BH86" i="8"/>
  <c r="BI29" i="8"/>
  <c r="AK30" i="8"/>
  <c r="BI30" i="8" s="1"/>
  <c r="AK56" i="8"/>
  <c r="BI56" i="8" s="1"/>
  <c r="BI55" i="8"/>
  <c r="V54" i="7"/>
  <c r="V55" i="7" s="1"/>
  <c r="AY53" i="7"/>
  <c r="AD52" i="7"/>
  <c r="BG52" i="7" s="1"/>
  <c r="AV54" i="7"/>
  <c r="AV53" i="7"/>
  <c r="AU54" i="7"/>
  <c r="AU53" i="7"/>
  <c r="AW51" i="7"/>
  <c r="AW68" i="7"/>
  <c r="AU52" i="7"/>
  <c r="AU48" i="7"/>
  <c r="AV48" i="7"/>
  <c r="AV52" i="7"/>
  <c r="AS68" i="7"/>
  <c r="AS51" i="7"/>
  <c r="A51" i="7"/>
  <c r="A68" i="7"/>
  <c r="AT68" i="7"/>
  <c r="AT51" i="7"/>
  <c r="BA51" i="7"/>
  <c r="BA68" i="7"/>
  <c r="AZ68" i="7"/>
  <c r="AZ51" i="7"/>
  <c r="AX68" i="7"/>
  <c r="AX51" i="7"/>
  <c r="BC84" i="7"/>
  <c r="BD84" i="7"/>
  <c r="AS85" i="7"/>
  <c r="AV83" i="7"/>
  <c r="AV25" i="7"/>
  <c r="BB92" i="7"/>
  <c r="BA87" i="7"/>
  <c r="BC85" i="7"/>
  <c r="AX97" i="7"/>
  <c r="AT92" i="7"/>
  <c r="AW97" i="7"/>
  <c r="AZ97" i="7"/>
  <c r="BC18" i="7"/>
  <c r="AY124" i="7"/>
  <c r="AX18" i="7"/>
  <c r="AU21" i="7"/>
  <c r="AU80" i="7"/>
  <c r="AU79" i="7"/>
  <c r="BD18" i="7"/>
  <c r="AU124" i="7"/>
  <c r="AY79" i="7"/>
  <c r="BA18" i="7"/>
  <c r="BB18" i="7"/>
  <c r="AY80" i="7"/>
  <c r="M120" i="7"/>
  <c r="C28" i="7"/>
  <c r="M13" i="7"/>
  <c r="C17" i="7"/>
  <c r="C29" i="7"/>
  <c r="C25" i="7"/>
  <c r="C22" i="7"/>
  <c r="C30" i="7"/>
  <c r="C27" i="7"/>
  <c r="C18" i="7"/>
  <c r="C24" i="7"/>
  <c r="C21" i="7"/>
  <c r="C31" i="7"/>
  <c r="C19" i="7"/>
  <c r="C26" i="7"/>
  <c r="C23" i="7"/>
  <c r="C20" i="7"/>
  <c r="P98" i="3" l="1"/>
  <c r="AN97" i="3"/>
  <c r="A98" i="3"/>
  <c r="L99" i="3"/>
  <c r="AH97" i="3"/>
  <c r="BF96" i="3"/>
  <c r="R95" i="3"/>
  <c r="AP94" i="3"/>
  <c r="J94" i="3" s="1"/>
  <c r="BH63" i="7"/>
  <c r="AE64" i="7"/>
  <c r="D112" i="7"/>
  <c r="D111" i="7"/>
  <c r="D110" i="7"/>
  <c r="BN112" i="7"/>
  <c r="AR47" i="7"/>
  <c r="BU47" i="7" s="1"/>
  <c r="AZ112" i="7"/>
  <c r="AT112" i="7"/>
  <c r="BO112" i="7"/>
  <c r="BC112" i="7"/>
  <c r="BA112" i="7"/>
  <c r="BQ112" i="7"/>
  <c r="BQ63" i="7"/>
  <c r="AN64" i="7"/>
  <c r="AN66" i="7" s="1"/>
  <c r="BQ66" i="7" s="1"/>
  <c r="AZ63" i="7"/>
  <c r="W64" i="7"/>
  <c r="W66" i="7" s="1"/>
  <c r="AZ66" i="7" s="1"/>
  <c r="AU62" i="7"/>
  <c r="R63" i="7"/>
  <c r="AA64" i="7"/>
  <c r="AA66" i="7" s="1"/>
  <c r="BD66" i="7" s="1"/>
  <c r="BD63" i="7"/>
  <c r="AS63" i="7"/>
  <c r="P64" i="7"/>
  <c r="P66" i="7" s="1"/>
  <c r="AS66" i="7" s="1"/>
  <c r="BA63" i="7"/>
  <c r="X64" i="7"/>
  <c r="X66" i="7" s="1"/>
  <c r="BA66" i="7" s="1"/>
  <c r="AC64" i="7"/>
  <c r="AC66" i="7" s="1"/>
  <c r="BF66" i="7" s="1"/>
  <c r="BF63" i="7"/>
  <c r="Z64" i="7"/>
  <c r="Z66" i="7" s="1"/>
  <c r="BC66" i="7" s="1"/>
  <c r="BC63" i="7"/>
  <c r="AW62" i="7"/>
  <c r="T63" i="7"/>
  <c r="BP63" i="7"/>
  <c r="AM64" i="7"/>
  <c r="AM66" i="7" s="1"/>
  <c r="BP66" i="7" s="1"/>
  <c r="BE63" i="7"/>
  <c r="AB64" i="7"/>
  <c r="AB66" i="7" s="1"/>
  <c r="BE66" i="7" s="1"/>
  <c r="BM63" i="7"/>
  <c r="AJ64" i="7"/>
  <c r="AJ66" i="7" s="1"/>
  <c r="BM66" i="7" s="1"/>
  <c r="BB63" i="7"/>
  <c r="Y64" i="7"/>
  <c r="Y66" i="7" s="1"/>
  <c r="BB66" i="7" s="1"/>
  <c r="U64" i="7"/>
  <c r="U66" i="7" s="1"/>
  <c r="AX66" i="7" s="1"/>
  <c r="AX63" i="7"/>
  <c r="BO63" i="7"/>
  <c r="AL64" i="7"/>
  <c r="AL66" i="7" s="1"/>
  <c r="BO66" i="7" s="1"/>
  <c r="AK63" i="7"/>
  <c r="BN62" i="7"/>
  <c r="L64" i="7"/>
  <c r="L66" i="7" s="1"/>
  <c r="A66" i="7" s="1"/>
  <c r="A63" i="7"/>
  <c r="AV62" i="7"/>
  <c r="S63" i="7"/>
  <c r="Q63" i="7"/>
  <c r="AT62" i="7"/>
  <c r="BS62" i="7"/>
  <c r="AP63" i="7"/>
  <c r="J79" i="7"/>
  <c r="J80" i="7"/>
  <c r="J124" i="7"/>
  <c r="J18" i="7"/>
  <c r="BL105" i="7"/>
  <c r="AI106" i="7"/>
  <c r="BL149" i="7"/>
  <c r="AI150" i="7"/>
  <c r="AQ45" i="7"/>
  <c r="BT44" i="7"/>
  <c r="J44" i="7" s="1"/>
  <c r="AO130" i="7"/>
  <c r="BR129" i="7"/>
  <c r="BR48" i="7"/>
  <c r="AO49" i="7"/>
  <c r="AQ127" i="7"/>
  <c r="BT126" i="7"/>
  <c r="J126" i="7" s="1"/>
  <c r="AR84" i="7"/>
  <c r="BU83" i="7"/>
  <c r="AO85" i="7"/>
  <c r="BR84" i="7"/>
  <c r="AJ20" i="7"/>
  <c r="BM19" i="7"/>
  <c r="AQ83" i="7"/>
  <c r="BT82" i="7"/>
  <c r="AC20" i="7"/>
  <c r="BF19" i="7"/>
  <c r="AE101" i="7"/>
  <c r="BH100" i="7"/>
  <c r="L148" i="7"/>
  <c r="A147" i="7"/>
  <c r="AR22" i="7"/>
  <c r="BU21" i="7"/>
  <c r="AE145" i="7"/>
  <c r="BH144" i="7"/>
  <c r="AR128" i="7"/>
  <c r="BU127" i="7"/>
  <c r="L242" i="7"/>
  <c r="A241" i="7"/>
  <c r="R130" i="7"/>
  <c r="AU129" i="7"/>
  <c r="Z130" i="7"/>
  <c r="BC129" i="7"/>
  <c r="X130" i="7"/>
  <c r="BA129" i="7"/>
  <c r="AZ129" i="7"/>
  <c r="W130" i="7"/>
  <c r="AA130" i="7"/>
  <c r="BD129" i="7"/>
  <c r="AV129" i="7"/>
  <c r="S130" i="7"/>
  <c r="BB129" i="7"/>
  <c r="Y130" i="7"/>
  <c r="T130" i="7"/>
  <c r="AW129" i="7"/>
  <c r="M121" i="7"/>
  <c r="C257" i="7"/>
  <c r="C253" i="7"/>
  <c r="C249" i="7"/>
  <c r="C245" i="7"/>
  <c r="C241" i="7"/>
  <c r="C237" i="7"/>
  <c r="C233" i="7"/>
  <c r="C229" i="7"/>
  <c r="C225" i="7"/>
  <c r="C221" i="7"/>
  <c r="C217" i="7"/>
  <c r="C213" i="7"/>
  <c r="C209" i="7"/>
  <c r="C205" i="7"/>
  <c r="C201" i="7"/>
  <c r="C197" i="7"/>
  <c r="C193" i="7"/>
  <c r="C189" i="7"/>
  <c r="C185" i="7"/>
  <c r="C181" i="7"/>
  <c r="C177" i="7"/>
  <c r="C173" i="7"/>
  <c r="C169" i="7"/>
  <c r="C165" i="7"/>
  <c r="C161" i="7"/>
  <c r="C157" i="7"/>
  <c r="C153" i="7"/>
  <c r="C149" i="7"/>
  <c r="C145" i="7"/>
  <c r="C141" i="7"/>
  <c r="C137" i="7"/>
  <c r="C133" i="7"/>
  <c r="C129" i="7"/>
  <c r="C125" i="7"/>
  <c r="C258" i="7"/>
  <c r="C254" i="7"/>
  <c r="C250" i="7"/>
  <c r="C246" i="7"/>
  <c r="C242" i="7"/>
  <c r="C238" i="7"/>
  <c r="C234" i="7"/>
  <c r="C230" i="7"/>
  <c r="C226" i="7"/>
  <c r="C222" i="7"/>
  <c r="C218" i="7"/>
  <c r="C214" i="7"/>
  <c r="C210" i="7"/>
  <c r="C206" i="7"/>
  <c r="C202" i="7"/>
  <c r="C198" i="7"/>
  <c r="C194" i="7"/>
  <c r="C190" i="7"/>
  <c r="C186" i="7"/>
  <c r="C182" i="7"/>
  <c r="C178" i="7"/>
  <c r="C174" i="7"/>
  <c r="C170" i="7"/>
  <c r="C166" i="7"/>
  <c r="C162" i="7"/>
  <c r="C158" i="7"/>
  <c r="C154" i="7"/>
  <c r="C150" i="7"/>
  <c r="C146" i="7"/>
  <c r="C142" i="7"/>
  <c r="C134" i="7"/>
  <c r="C130" i="7"/>
  <c r="C126" i="7"/>
  <c r="C138" i="7"/>
  <c r="C259" i="7"/>
  <c r="C255" i="7"/>
  <c r="C251" i="7"/>
  <c r="C247" i="7"/>
  <c r="C243" i="7"/>
  <c r="C239" i="7"/>
  <c r="C235" i="7"/>
  <c r="C231" i="7"/>
  <c r="C227" i="7"/>
  <c r="C223" i="7"/>
  <c r="C219" i="7"/>
  <c r="C215" i="7"/>
  <c r="C211" i="7"/>
  <c r="C207" i="7"/>
  <c r="C203" i="7"/>
  <c r="C199" i="7"/>
  <c r="C195" i="7"/>
  <c r="C191" i="7"/>
  <c r="C187" i="7"/>
  <c r="C183" i="7"/>
  <c r="C179" i="7"/>
  <c r="C175" i="7"/>
  <c r="C171" i="7"/>
  <c r="C167" i="7"/>
  <c r="C163" i="7"/>
  <c r="C159" i="7"/>
  <c r="C155" i="7"/>
  <c r="C151" i="7"/>
  <c r="C147" i="7"/>
  <c r="C143" i="7"/>
  <c r="C139" i="7"/>
  <c r="C135" i="7"/>
  <c r="C131" i="7"/>
  <c r="C127" i="7"/>
  <c r="C192" i="7"/>
  <c r="C160" i="7"/>
  <c r="C128" i="7"/>
  <c r="C252" i="7"/>
  <c r="C236" i="7"/>
  <c r="C220" i="7"/>
  <c r="C204" i="7"/>
  <c r="C180" i="7"/>
  <c r="C148" i="7"/>
  <c r="C248" i="7"/>
  <c r="C232" i="7"/>
  <c r="C216" i="7"/>
  <c r="C200" i="7"/>
  <c r="C188" i="7"/>
  <c r="C156" i="7"/>
  <c r="C124" i="7"/>
  <c r="C176" i="7"/>
  <c r="C144" i="7"/>
  <c r="C260" i="7"/>
  <c r="C244" i="7"/>
  <c r="C228" i="7"/>
  <c r="C212" i="7"/>
  <c r="C196" i="7"/>
  <c r="C164" i="7"/>
  <c r="C132" i="7"/>
  <c r="C184" i="7"/>
  <c r="C152" i="7"/>
  <c r="C256" i="7"/>
  <c r="C240" i="7"/>
  <c r="C224" i="7"/>
  <c r="C208" i="7"/>
  <c r="C172" i="7"/>
  <c r="C140" i="7"/>
  <c r="C168" i="7"/>
  <c r="C136" i="7"/>
  <c r="AY129" i="7"/>
  <c r="V130" i="7"/>
  <c r="AX129" i="7"/>
  <c r="U130" i="7"/>
  <c r="AS129" i="7"/>
  <c r="P130" i="7"/>
  <c r="Q130" i="7"/>
  <c r="AT129" i="7"/>
  <c r="AP150" i="7"/>
  <c r="BS150" i="7" s="1"/>
  <c r="AJ53" i="8"/>
  <c r="BH52" i="8"/>
  <c r="J52" i="8" s="1"/>
  <c r="A81" i="8"/>
  <c r="L82" i="8"/>
  <c r="AE54" i="8"/>
  <c r="AE57" i="8"/>
  <c r="BC57" i="8" s="1"/>
  <c r="BC53" i="8"/>
  <c r="A53" i="8"/>
  <c r="L54" i="8"/>
  <c r="AL57" i="8"/>
  <c r="BJ57" i="8" s="1"/>
  <c r="AL54" i="8"/>
  <c r="BJ53" i="8"/>
  <c r="AJ88" i="8"/>
  <c r="BH87" i="8"/>
  <c r="AL30" i="8"/>
  <c r="BJ30" i="8" s="1"/>
  <c r="J30" i="8" s="1"/>
  <c r="BJ29" i="8"/>
  <c r="J29" i="8" s="1"/>
  <c r="V55" i="8"/>
  <c r="AT54" i="8"/>
  <c r="AM83" i="8"/>
  <c r="BK82" i="8"/>
  <c r="J82" i="8" s="1"/>
  <c r="C113" i="7"/>
  <c r="C108" i="7"/>
  <c r="C107" i="7"/>
  <c r="C109" i="7"/>
  <c r="AR48" i="7"/>
  <c r="V56" i="7"/>
  <c r="V57" i="7" s="1"/>
  <c r="AY55" i="7"/>
  <c r="AY54" i="7"/>
  <c r="AD53" i="7"/>
  <c r="BG53" i="7" s="1"/>
  <c r="AV51" i="7"/>
  <c r="AV68" i="7"/>
  <c r="AU51" i="7"/>
  <c r="AU68" i="7"/>
  <c r="C100" i="7"/>
  <c r="C97" i="7"/>
  <c r="C106" i="7"/>
  <c r="C94" i="7"/>
  <c r="C102" i="7"/>
  <c r="C95" i="7"/>
  <c r="C99" i="7"/>
  <c r="C96" i="7"/>
  <c r="C104" i="7"/>
  <c r="C101" i="7"/>
  <c r="C98" i="7"/>
  <c r="C103" i="7"/>
  <c r="AV26" i="7"/>
  <c r="BD19" i="7"/>
  <c r="AV84" i="7"/>
  <c r="AS86" i="7"/>
  <c r="BD85" i="7"/>
  <c r="BC86" i="7"/>
  <c r="BA88" i="7"/>
  <c r="AW98" i="7"/>
  <c r="AX98" i="7"/>
  <c r="AT93" i="7"/>
  <c r="AZ98" i="7"/>
  <c r="BB93" i="7"/>
  <c r="BD30" i="7"/>
  <c r="BD29" i="7"/>
  <c r="AX30" i="7"/>
  <c r="AX29" i="7"/>
  <c r="BC30" i="7"/>
  <c r="BC29" i="7"/>
  <c r="BC19" i="7"/>
  <c r="AU22" i="7"/>
  <c r="AU81" i="7"/>
  <c r="AX19" i="7"/>
  <c r="BA30" i="7"/>
  <c r="BA29" i="7"/>
  <c r="BD20" i="7"/>
  <c r="BB30" i="7"/>
  <c r="BB29" i="7"/>
  <c r="BB19" i="7"/>
  <c r="BA19" i="7"/>
  <c r="AY81" i="7"/>
  <c r="C79" i="7"/>
  <c r="C85" i="7"/>
  <c r="C84" i="7"/>
  <c r="C78" i="7"/>
  <c r="C91" i="7"/>
  <c r="C88" i="7"/>
  <c r="C89" i="7"/>
  <c r="C81" i="7"/>
  <c r="C83" i="7"/>
  <c r="C80" i="7"/>
  <c r="C90" i="7"/>
  <c r="C87" i="7"/>
  <c r="C82" i="7"/>
  <c r="C86" i="7"/>
  <c r="C93" i="7"/>
  <c r="C92" i="7"/>
  <c r="D23" i="7"/>
  <c r="D26" i="7"/>
  <c r="D19" i="7"/>
  <c r="D31" i="7"/>
  <c r="D21" i="7"/>
  <c r="D24" i="7"/>
  <c r="D18" i="7"/>
  <c r="D27" i="7"/>
  <c r="D30" i="7"/>
  <c r="D22" i="7"/>
  <c r="D25" i="7"/>
  <c r="D29" i="7"/>
  <c r="D17" i="7"/>
  <c r="D28" i="7"/>
  <c r="D20" i="7"/>
  <c r="R96" i="3" l="1"/>
  <c r="AP95" i="3"/>
  <c r="J95" i="3" s="1"/>
  <c r="AH98" i="3"/>
  <c r="BF97" i="3"/>
  <c r="A99" i="3"/>
  <c r="L4" i="3"/>
  <c r="P99" i="3"/>
  <c r="AN99" i="3" s="1"/>
  <c r="AN98" i="3"/>
  <c r="AE66" i="7"/>
  <c r="BH66" i="7" s="1"/>
  <c r="AE65" i="7"/>
  <c r="BH64" i="7"/>
  <c r="BD64" i="7"/>
  <c r="AA65" i="7"/>
  <c r="AX64" i="7"/>
  <c r="U65" i="7"/>
  <c r="W65" i="7"/>
  <c r="AZ64" i="7"/>
  <c r="BE64" i="7"/>
  <c r="AB65" i="7"/>
  <c r="BF64" i="7"/>
  <c r="AC65" i="7"/>
  <c r="V68" i="7"/>
  <c r="AY68" i="7" s="1"/>
  <c r="V58" i="7"/>
  <c r="AM65" i="7"/>
  <c r="BP64" i="7"/>
  <c r="BA64" i="7"/>
  <c r="X65" i="7"/>
  <c r="L65" i="7"/>
  <c r="A64" i="7"/>
  <c r="Y65" i="7"/>
  <c r="BB64" i="7"/>
  <c r="AW63" i="7"/>
  <c r="T64" i="7"/>
  <c r="T66" i="7" s="1"/>
  <c r="AW66" i="7" s="1"/>
  <c r="AS64" i="7"/>
  <c r="P65" i="7"/>
  <c r="BQ64" i="7"/>
  <c r="AN65" i="7"/>
  <c r="AL65" i="7"/>
  <c r="BO64" i="7"/>
  <c r="S64" i="7"/>
  <c r="S66" i="7" s="1"/>
  <c r="AV66" i="7" s="1"/>
  <c r="AV63" i="7"/>
  <c r="AP64" i="7"/>
  <c r="AP66" i="7" s="1"/>
  <c r="BS66" i="7" s="1"/>
  <c r="BS63" i="7"/>
  <c r="Z65" i="7"/>
  <c r="BC64" i="7"/>
  <c r="AT63" i="7"/>
  <c r="Q64" i="7"/>
  <c r="Q66" i="7" s="1"/>
  <c r="AT66" i="7" s="1"/>
  <c r="R64" i="7"/>
  <c r="R66" i="7" s="1"/>
  <c r="AU66" i="7" s="1"/>
  <c r="AU63" i="7"/>
  <c r="AK64" i="7"/>
  <c r="AK66" i="7" s="1"/>
  <c r="BN66" i="7" s="1"/>
  <c r="BN63" i="7"/>
  <c r="BM64" i="7"/>
  <c r="AJ65" i="7"/>
  <c r="J19" i="7"/>
  <c r="J81" i="7"/>
  <c r="BL106" i="7"/>
  <c r="AI107" i="7"/>
  <c r="AI151" i="7"/>
  <c r="BL150" i="7"/>
  <c r="BR49" i="7"/>
  <c r="AO50" i="7"/>
  <c r="AO131" i="7"/>
  <c r="BR130" i="7"/>
  <c r="BT45" i="7"/>
  <c r="J45" i="7" s="1"/>
  <c r="AQ46" i="7"/>
  <c r="AE102" i="7"/>
  <c r="BH101" i="7"/>
  <c r="AR49" i="7"/>
  <c r="BU49" i="7" s="1"/>
  <c r="BU48" i="7"/>
  <c r="AR129" i="7"/>
  <c r="BU128" i="7"/>
  <c r="AE146" i="7"/>
  <c r="BH145" i="7"/>
  <c r="AJ21" i="7"/>
  <c r="BM20" i="7"/>
  <c r="AR23" i="7"/>
  <c r="BU22" i="7"/>
  <c r="AQ128" i="7"/>
  <c r="BT127" i="7"/>
  <c r="J127" i="7" s="1"/>
  <c r="AC21" i="7"/>
  <c r="BF20" i="7"/>
  <c r="AQ84" i="7"/>
  <c r="BT83" i="7"/>
  <c r="AO86" i="7"/>
  <c r="BR85" i="7"/>
  <c r="L149" i="7"/>
  <c r="A148" i="7"/>
  <c r="AR85" i="7"/>
  <c r="BU84" i="7"/>
  <c r="L243" i="7"/>
  <c r="A242" i="7"/>
  <c r="X131" i="7"/>
  <c r="BA130" i="7"/>
  <c r="BB130" i="7"/>
  <c r="Y131" i="7"/>
  <c r="BC130" i="7"/>
  <c r="Z131" i="7"/>
  <c r="BD130" i="7"/>
  <c r="AA131" i="7"/>
  <c r="R131" i="7"/>
  <c r="AU130" i="7"/>
  <c r="S131" i="7"/>
  <c r="AV130" i="7"/>
  <c r="T131" i="7"/>
  <c r="AW130" i="7"/>
  <c r="AZ130" i="7"/>
  <c r="W131" i="7"/>
  <c r="D258" i="7"/>
  <c r="D254" i="7"/>
  <c r="D250" i="7"/>
  <c r="D246" i="7"/>
  <c r="D242" i="7"/>
  <c r="D238" i="7"/>
  <c r="D234" i="7"/>
  <c r="D230" i="7"/>
  <c r="D226" i="7"/>
  <c r="D222" i="7"/>
  <c r="D218" i="7"/>
  <c r="D214" i="7"/>
  <c r="D210" i="7"/>
  <c r="D206" i="7"/>
  <c r="D202" i="7"/>
  <c r="D198" i="7"/>
  <c r="D194" i="7"/>
  <c r="D190" i="7"/>
  <c r="D186" i="7"/>
  <c r="D182" i="7"/>
  <c r="D178" i="7"/>
  <c r="D174" i="7"/>
  <c r="D170" i="7"/>
  <c r="D166" i="7"/>
  <c r="D162" i="7"/>
  <c r="D158" i="7"/>
  <c r="D154" i="7"/>
  <c r="D150" i="7"/>
  <c r="D146" i="7"/>
  <c r="D142" i="7"/>
  <c r="D138" i="7"/>
  <c r="D134" i="7"/>
  <c r="D130" i="7"/>
  <c r="D126" i="7"/>
  <c r="D259" i="7"/>
  <c r="D255" i="7"/>
  <c r="D251" i="7"/>
  <c r="D247" i="7"/>
  <c r="D243" i="7"/>
  <c r="D239" i="7"/>
  <c r="D235" i="7"/>
  <c r="D231" i="7"/>
  <c r="D227" i="7"/>
  <c r="D223" i="7"/>
  <c r="D219" i="7"/>
  <c r="D215" i="7"/>
  <c r="D211" i="7"/>
  <c r="D207" i="7"/>
  <c r="D203" i="7"/>
  <c r="D199" i="7"/>
  <c r="D195" i="7"/>
  <c r="D191" i="7"/>
  <c r="D187" i="7"/>
  <c r="D183" i="7"/>
  <c r="D179" i="7"/>
  <c r="D175" i="7"/>
  <c r="D171" i="7"/>
  <c r="D167" i="7"/>
  <c r="D163" i="7"/>
  <c r="D159" i="7"/>
  <c r="D155" i="7"/>
  <c r="D151" i="7"/>
  <c r="D147" i="7"/>
  <c r="D143" i="7"/>
  <c r="D139" i="7"/>
  <c r="D135" i="7"/>
  <c r="D131" i="7"/>
  <c r="D127" i="7"/>
  <c r="D260" i="7"/>
  <c r="D256" i="7"/>
  <c r="D252" i="7"/>
  <c r="D248" i="7"/>
  <c r="D244" i="7"/>
  <c r="D240" i="7"/>
  <c r="D236" i="7"/>
  <c r="D232" i="7"/>
  <c r="D228" i="7"/>
  <c r="D224" i="7"/>
  <c r="D220" i="7"/>
  <c r="D216" i="7"/>
  <c r="D212" i="7"/>
  <c r="D208" i="7"/>
  <c r="D204" i="7"/>
  <c r="D200" i="7"/>
  <c r="D196" i="7"/>
  <c r="D245" i="7"/>
  <c r="D229" i="7"/>
  <c r="D213" i="7"/>
  <c r="D197" i="7"/>
  <c r="D185" i="7"/>
  <c r="D180" i="7"/>
  <c r="D153" i="7"/>
  <c r="D148" i="7"/>
  <c r="D173" i="7"/>
  <c r="D168" i="7"/>
  <c r="D141" i="7"/>
  <c r="D136" i="7"/>
  <c r="D181" i="7"/>
  <c r="D176" i="7"/>
  <c r="D149" i="7"/>
  <c r="D144" i="7"/>
  <c r="D253" i="7"/>
  <c r="D237" i="7"/>
  <c r="D221" i="7"/>
  <c r="D205" i="7"/>
  <c r="D169" i="7"/>
  <c r="D164" i="7"/>
  <c r="D137" i="7"/>
  <c r="D132" i="7"/>
  <c r="D189" i="7"/>
  <c r="D184" i="7"/>
  <c r="D157" i="7"/>
  <c r="D152" i="7"/>
  <c r="D125" i="7"/>
  <c r="D249" i="7"/>
  <c r="D233" i="7"/>
  <c r="D217" i="7"/>
  <c r="D201" i="7"/>
  <c r="D177" i="7"/>
  <c r="D172" i="7"/>
  <c r="D145" i="7"/>
  <c r="D140" i="7"/>
  <c r="D192" i="7"/>
  <c r="D165" i="7"/>
  <c r="D160" i="7"/>
  <c r="D133" i="7"/>
  <c r="D128" i="7"/>
  <c r="D257" i="7"/>
  <c r="D241" i="7"/>
  <c r="D225" i="7"/>
  <c r="D209" i="7"/>
  <c r="D193" i="7"/>
  <c r="D188" i="7"/>
  <c r="D161" i="7"/>
  <c r="D156" i="7"/>
  <c r="D129" i="7"/>
  <c r="D124" i="7"/>
  <c r="V131" i="7"/>
  <c r="AY130" i="7"/>
  <c r="U131" i="7"/>
  <c r="AX130" i="7"/>
  <c r="P131" i="7"/>
  <c r="AS130" i="7"/>
  <c r="AT130" i="7"/>
  <c r="Q131" i="7"/>
  <c r="AP151" i="7"/>
  <c r="BS151" i="7" s="1"/>
  <c r="V56" i="8"/>
  <c r="AT56" i="8" s="1"/>
  <c r="AT55" i="8"/>
  <c r="AJ57" i="8"/>
  <c r="BH57" i="8" s="1"/>
  <c r="J57" i="8" s="1"/>
  <c r="AJ54" i="8"/>
  <c r="BH53" i="8"/>
  <c r="J53" i="8" s="1"/>
  <c r="AL55" i="8"/>
  <c r="BJ54" i="8"/>
  <c r="AJ89" i="8"/>
  <c r="BH88" i="8"/>
  <c r="A82" i="8"/>
  <c r="L83" i="8"/>
  <c r="A54" i="8"/>
  <c r="L55" i="8"/>
  <c r="A55" i="8" s="1"/>
  <c r="AM84" i="8"/>
  <c r="BK83" i="8"/>
  <c r="J83" i="8" s="1"/>
  <c r="AE55" i="8"/>
  <c r="BC54" i="8"/>
  <c r="D113" i="7"/>
  <c r="D109" i="7"/>
  <c r="D107" i="7"/>
  <c r="D108" i="7"/>
  <c r="AY57" i="7"/>
  <c r="AY56" i="7"/>
  <c r="AD54" i="7"/>
  <c r="D95" i="7"/>
  <c r="D103" i="7"/>
  <c r="D100" i="7"/>
  <c r="D101" i="7"/>
  <c r="D97" i="7"/>
  <c r="D105" i="7"/>
  <c r="D98" i="7"/>
  <c r="D106" i="7"/>
  <c r="D94" i="7"/>
  <c r="D102" i="7"/>
  <c r="D99" i="7"/>
  <c r="D96" i="7"/>
  <c r="D104" i="7"/>
  <c r="AS87" i="7"/>
  <c r="AV85" i="7"/>
  <c r="BD86" i="7"/>
  <c r="AV27" i="7"/>
  <c r="AT94" i="7"/>
  <c r="BA89" i="7"/>
  <c r="BB94" i="7"/>
  <c r="BC87" i="7"/>
  <c r="AZ99" i="7"/>
  <c r="AX99" i="7"/>
  <c r="AW99" i="7"/>
  <c r="BC20" i="7"/>
  <c r="AU23" i="7"/>
  <c r="BA20" i="7"/>
  <c r="BD21" i="7"/>
  <c r="AX20" i="7"/>
  <c r="BB20" i="7"/>
  <c r="AU82" i="7"/>
  <c r="AY82" i="7"/>
  <c r="C123" i="7"/>
  <c r="D79" i="7"/>
  <c r="D87" i="7"/>
  <c r="D80" i="7"/>
  <c r="D88" i="7"/>
  <c r="D81" i="7"/>
  <c r="D89" i="7"/>
  <c r="D82" i="7"/>
  <c r="D90" i="7"/>
  <c r="D83" i="7"/>
  <c r="D91" i="7"/>
  <c r="D78" i="7"/>
  <c r="D92" i="7"/>
  <c r="D84" i="7"/>
  <c r="D85" i="7"/>
  <c r="D93" i="7"/>
  <c r="D86" i="7"/>
  <c r="AH99" i="3" l="1"/>
  <c r="BF99" i="3" s="1"/>
  <c r="BF98" i="3"/>
  <c r="R97" i="3"/>
  <c r="AP96" i="3"/>
  <c r="J96" i="3" s="1"/>
  <c r="J82" i="7"/>
  <c r="AE67" i="7"/>
  <c r="BH67" i="7" s="1"/>
  <c r="BH65" i="7"/>
  <c r="AP65" i="7"/>
  <c r="BS64" i="7"/>
  <c r="AX65" i="7"/>
  <c r="U67" i="7"/>
  <c r="AX67" i="7" s="1"/>
  <c r="AJ67" i="7"/>
  <c r="BM67" i="7" s="1"/>
  <c r="BM65" i="7"/>
  <c r="AL67" i="7"/>
  <c r="BO67" i="7" s="1"/>
  <c r="BO65" i="7"/>
  <c r="BB65" i="7"/>
  <c r="Y67" i="7"/>
  <c r="BB67" i="7" s="1"/>
  <c r="R65" i="7"/>
  <c r="AU64" i="7"/>
  <c r="AW64" i="7"/>
  <c r="T65" i="7"/>
  <c r="BC65" i="7"/>
  <c r="Z67" i="7"/>
  <c r="BC67" i="7" s="1"/>
  <c r="BQ65" i="7"/>
  <c r="AN67" i="7"/>
  <c r="BQ67" i="7" s="1"/>
  <c r="BF65" i="7"/>
  <c r="AC67" i="7"/>
  <c r="BF67" i="7" s="1"/>
  <c r="AA67" i="7"/>
  <c r="BD67" i="7" s="1"/>
  <c r="BD65" i="7"/>
  <c r="Q65" i="7"/>
  <c r="AT64" i="7"/>
  <c r="AV64" i="7"/>
  <c r="S65" i="7"/>
  <c r="AM67" i="7"/>
  <c r="BP67" i="7" s="1"/>
  <c r="BP65" i="7"/>
  <c r="V59" i="7"/>
  <c r="AY58" i="7"/>
  <c r="A65" i="7"/>
  <c r="L67" i="7"/>
  <c r="A67" i="7" s="1"/>
  <c r="W67" i="7"/>
  <c r="AZ67" i="7" s="1"/>
  <c r="AZ65" i="7"/>
  <c r="BN64" i="7"/>
  <c r="AK65" i="7"/>
  <c r="AS65" i="7"/>
  <c r="P67" i="7"/>
  <c r="AS67" i="7" s="1"/>
  <c r="BA65" i="7"/>
  <c r="X67" i="7"/>
  <c r="BA67" i="7" s="1"/>
  <c r="AB67" i="7"/>
  <c r="BE67" i="7" s="1"/>
  <c r="BE65" i="7"/>
  <c r="AR50" i="7"/>
  <c r="BU50" i="7" s="1"/>
  <c r="J20" i="7"/>
  <c r="BL107" i="7"/>
  <c r="AI108" i="7"/>
  <c r="AI152" i="7"/>
  <c r="BL151" i="7"/>
  <c r="AQ47" i="7"/>
  <c r="BT46" i="7"/>
  <c r="J46" i="7" s="1"/>
  <c r="AO132" i="7"/>
  <c r="BR131" i="7"/>
  <c r="BR50" i="7"/>
  <c r="AO51" i="7"/>
  <c r="AO87" i="7"/>
  <c r="BR86" i="7"/>
  <c r="AE147" i="7"/>
  <c r="BH146" i="7"/>
  <c r="AQ129" i="7"/>
  <c r="BT128" i="7"/>
  <c r="J128" i="7" s="1"/>
  <c r="AR86" i="7"/>
  <c r="BU85" i="7"/>
  <c r="AQ85" i="7"/>
  <c r="BT84" i="7"/>
  <c r="AR24" i="7"/>
  <c r="BU23" i="7"/>
  <c r="AD55" i="7"/>
  <c r="BG55" i="7" s="1"/>
  <c r="BG54" i="7"/>
  <c r="AE103" i="7"/>
  <c r="BH102" i="7"/>
  <c r="L150" i="7"/>
  <c r="A149" i="7"/>
  <c r="AJ22" i="7"/>
  <c r="BM21" i="7"/>
  <c r="AC22" i="7"/>
  <c r="BF21" i="7"/>
  <c r="AR130" i="7"/>
  <c r="BU129" i="7"/>
  <c r="L244" i="7"/>
  <c r="A243" i="7"/>
  <c r="AW131" i="7"/>
  <c r="T132" i="7"/>
  <c r="BC131" i="7"/>
  <c r="Z132" i="7"/>
  <c r="S132" i="7"/>
  <c r="AV131" i="7"/>
  <c r="W132" i="7"/>
  <c r="AZ131" i="7"/>
  <c r="R132" i="7"/>
  <c r="AU131" i="7"/>
  <c r="BB131" i="7"/>
  <c r="Y132" i="7"/>
  <c r="AA132" i="7"/>
  <c r="BD131" i="7"/>
  <c r="X132" i="7"/>
  <c r="BA131" i="7"/>
  <c r="AY131" i="7"/>
  <c r="V132" i="7"/>
  <c r="AX131" i="7"/>
  <c r="U132" i="7"/>
  <c r="P132" i="7"/>
  <c r="AS131" i="7"/>
  <c r="AT131" i="7"/>
  <c r="Q132" i="7"/>
  <c r="AP152" i="7"/>
  <c r="BS152" i="7" s="1"/>
  <c r="L84" i="8"/>
  <c r="A83" i="8"/>
  <c r="AJ55" i="8"/>
  <c r="BH54" i="8"/>
  <c r="J54" i="8" s="1"/>
  <c r="AM85" i="8"/>
  <c r="BK84" i="8"/>
  <c r="J84" i="8" s="1"/>
  <c r="AE56" i="8"/>
  <c r="BC56" i="8" s="1"/>
  <c r="BC55" i="8"/>
  <c r="AJ90" i="8"/>
  <c r="BH89" i="8"/>
  <c r="AL56" i="8"/>
  <c r="BJ56" i="8" s="1"/>
  <c r="BJ55" i="8"/>
  <c r="AV28" i="7"/>
  <c r="BD87" i="7"/>
  <c r="AV86" i="7"/>
  <c r="AS88" i="7"/>
  <c r="BC88" i="7"/>
  <c r="AW100" i="7"/>
  <c r="BB95" i="7"/>
  <c r="AX100" i="7"/>
  <c r="AT95" i="7"/>
  <c r="AZ100" i="7"/>
  <c r="BA90" i="7"/>
  <c r="BC21" i="7"/>
  <c r="AU24" i="7"/>
  <c r="AY83" i="7"/>
  <c r="BA21" i="7"/>
  <c r="AU83" i="7"/>
  <c r="AX21" i="7"/>
  <c r="BB21" i="7"/>
  <c r="BD22" i="7"/>
  <c r="D123" i="7"/>
  <c r="R98" i="3" l="1"/>
  <c r="AP97" i="3"/>
  <c r="J97" i="3" s="1"/>
  <c r="AR51" i="7"/>
  <c r="BU51" i="7" s="1"/>
  <c r="S67" i="7"/>
  <c r="AV67" i="7" s="1"/>
  <c r="AV65" i="7"/>
  <c r="AU65" i="7"/>
  <c r="R67" i="7"/>
  <c r="AU67" i="7" s="1"/>
  <c r="BS65" i="7"/>
  <c r="AP67" i="7"/>
  <c r="BS67" i="7" s="1"/>
  <c r="T67" i="7"/>
  <c r="AW67" i="7" s="1"/>
  <c r="AW65" i="7"/>
  <c r="V60" i="7"/>
  <c r="AY59" i="7"/>
  <c r="BN65" i="7"/>
  <c r="AK67" i="7"/>
  <c r="BN67" i="7" s="1"/>
  <c r="AT65" i="7"/>
  <c r="Q67" i="7"/>
  <c r="AT67" i="7" s="1"/>
  <c r="J21" i="7"/>
  <c r="J83" i="7"/>
  <c r="AI109" i="7"/>
  <c r="AI110" i="7" s="1"/>
  <c r="BL108" i="7"/>
  <c r="AI153" i="7"/>
  <c r="BL152" i="7"/>
  <c r="AO133" i="7"/>
  <c r="BR132" i="7"/>
  <c r="AO52" i="7"/>
  <c r="BR51" i="7"/>
  <c r="AQ48" i="7"/>
  <c r="BT47" i="7"/>
  <c r="J47" i="7" s="1"/>
  <c r="AD56" i="7"/>
  <c r="AD57" i="7" s="1"/>
  <c r="AD58" i="7" s="1"/>
  <c r="AC23" i="7"/>
  <c r="BF22" i="7"/>
  <c r="AR25" i="7"/>
  <c r="BU24" i="7"/>
  <c r="AR87" i="7"/>
  <c r="BU86" i="7"/>
  <c r="AE104" i="7"/>
  <c r="BH103" i="7"/>
  <c r="AE148" i="7"/>
  <c r="BH147" i="7"/>
  <c r="AJ23" i="7"/>
  <c r="BM22" i="7"/>
  <c r="AQ86" i="7"/>
  <c r="BT85" i="7"/>
  <c r="AQ130" i="7"/>
  <c r="BT129" i="7"/>
  <c r="J129" i="7" s="1"/>
  <c r="AR131" i="7"/>
  <c r="BU130" i="7"/>
  <c r="L151" i="7"/>
  <c r="A150" i="7"/>
  <c r="AO88" i="7"/>
  <c r="BR87" i="7"/>
  <c r="L245" i="7"/>
  <c r="A244" i="7"/>
  <c r="AZ132" i="7"/>
  <c r="W133" i="7"/>
  <c r="BD132" i="7"/>
  <c r="AA133" i="7"/>
  <c r="S133" i="7"/>
  <c r="AV132" i="7"/>
  <c r="Y133" i="7"/>
  <c r="BB132" i="7"/>
  <c r="Z133" i="7"/>
  <c r="BC132" i="7"/>
  <c r="AW132" i="7"/>
  <c r="T133" i="7"/>
  <c r="R133" i="7"/>
  <c r="AU132" i="7"/>
  <c r="BA132" i="7"/>
  <c r="X133" i="7"/>
  <c r="AY132" i="7"/>
  <c r="V133" i="7"/>
  <c r="U133" i="7"/>
  <c r="AX132" i="7"/>
  <c r="AS132" i="7"/>
  <c r="P133" i="7"/>
  <c r="Q133" i="7"/>
  <c r="AT132" i="7"/>
  <c r="AP153" i="7"/>
  <c r="BS153" i="7" s="1"/>
  <c r="AM86" i="8"/>
  <c r="BK85" i="8"/>
  <c r="J85" i="8" s="1"/>
  <c r="A84" i="8"/>
  <c r="L85" i="8"/>
  <c r="AJ91" i="8"/>
  <c r="BH90" i="8"/>
  <c r="AJ56" i="8"/>
  <c r="BH56" i="8" s="1"/>
  <c r="J56" i="8" s="1"/>
  <c r="BH55" i="8"/>
  <c r="J55" i="8" s="1"/>
  <c r="AR52" i="7"/>
  <c r="BU52" i="7" s="1"/>
  <c r="AV31" i="7"/>
  <c r="AV87" i="7"/>
  <c r="AS89" i="7"/>
  <c r="BD88" i="7"/>
  <c r="BB96" i="7"/>
  <c r="AT96" i="7"/>
  <c r="AX101" i="7"/>
  <c r="AZ101" i="7"/>
  <c r="AW101" i="7"/>
  <c r="BA91" i="7"/>
  <c r="BC89" i="7"/>
  <c r="AU25" i="7"/>
  <c r="BC22" i="7"/>
  <c r="AX22" i="7"/>
  <c r="BA22" i="7"/>
  <c r="BD23" i="7"/>
  <c r="BB22" i="7"/>
  <c r="AU84" i="7"/>
  <c r="AY84" i="7"/>
  <c r="R99" i="3" l="1"/>
  <c r="AP99" i="3" s="1"/>
  <c r="J99" i="3" s="1"/>
  <c r="AP98" i="3"/>
  <c r="J98" i="3" s="1"/>
  <c r="AI111" i="7"/>
  <c r="BL110" i="7"/>
  <c r="AY60" i="7"/>
  <c r="V61" i="7"/>
  <c r="BG58" i="7"/>
  <c r="AD59" i="7"/>
  <c r="J84" i="7"/>
  <c r="J22" i="7"/>
  <c r="AI113" i="7"/>
  <c r="BL113" i="7" s="1"/>
  <c r="BL109" i="7"/>
  <c r="AI154" i="7"/>
  <c r="BL153" i="7"/>
  <c r="AQ49" i="7"/>
  <c r="BT48" i="7"/>
  <c r="J48" i="7" s="1"/>
  <c r="AO53" i="7"/>
  <c r="BR52" i="7"/>
  <c r="BG56" i="7"/>
  <c r="AO134" i="7"/>
  <c r="BR133" i="7"/>
  <c r="L152" i="7"/>
  <c r="A151" i="7"/>
  <c r="AQ131" i="7"/>
  <c r="BT130" i="7"/>
  <c r="J130" i="7" s="1"/>
  <c r="AE149" i="7"/>
  <c r="BH148" i="7"/>
  <c r="AR88" i="7"/>
  <c r="BU87" i="7"/>
  <c r="AQ87" i="7"/>
  <c r="BT86" i="7"/>
  <c r="AR26" i="7"/>
  <c r="BU25" i="7"/>
  <c r="AO89" i="7"/>
  <c r="BR88" i="7"/>
  <c r="AE105" i="7"/>
  <c r="BH104" i="7"/>
  <c r="AD68" i="7"/>
  <c r="BG68" i="7" s="1"/>
  <c r="BG57" i="7"/>
  <c r="AR132" i="7"/>
  <c r="BU131" i="7"/>
  <c r="AJ24" i="7"/>
  <c r="BM23" i="7"/>
  <c r="AC24" i="7"/>
  <c r="BF23" i="7"/>
  <c r="L246" i="7"/>
  <c r="A245" i="7"/>
  <c r="Y134" i="7"/>
  <c r="BB133" i="7"/>
  <c r="AZ133" i="7"/>
  <c r="W134" i="7"/>
  <c r="R134" i="7"/>
  <c r="AU133" i="7"/>
  <c r="T134" i="7"/>
  <c r="AW133" i="7"/>
  <c r="AA134" i="7"/>
  <c r="BD133" i="7"/>
  <c r="Z134" i="7"/>
  <c r="BC133" i="7"/>
  <c r="AV133" i="7"/>
  <c r="S134" i="7"/>
  <c r="X134" i="7"/>
  <c r="BA133" i="7"/>
  <c r="V134" i="7"/>
  <c r="AY133" i="7"/>
  <c r="U134" i="7"/>
  <c r="AX133" i="7"/>
  <c r="AS133" i="7"/>
  <c r="P134" i="7"/>
  <c r="Q134" i="7"/>
  <c r="AT133" i="7"/>
  <c r="AP154" i="7"/>
  <c r="BS154" i="7" s="1"/>
  <c r="L86" i="8"/>
  <c r="A85" i="8"/>
  <c r="AM87" i="8"/>
  <c r="BK86" i="8"/>
  <c r="J86" i="8" s="1"/>
  <c r="AJ92" i="8"/>
  <c r="BH91" i="8"/>
  <c r="AR53" i="7"/>
  <c r="BU53" i="7" s="1"/>
  <c r="AS90" i="7"/>
  <c r="BD89" i="7"/>
  <c r="AV88" i="7"/>
  <c r="BA92" i="7"/>
  <c r="AW102" i="7"/>
  <c r="AZ102" i="7"/>
  <c r="BC90" i="7"/>
  <c r="AX102" i="7"/>
  <c r="BB97" i="7"/>
  <c r="AT97" i="7"/>
  <c r="AU26" i="7"/>
  <c r="BC23" i="7"/>
  <c r="AY85" i="7"/>
  <c r="BD24" i="7"/>
  <c r="AU85" i="7"/>
  <c r="BB23" i="7"/>
  <c r="BA23" i="7"/>
  <c r="AX23" i="7"/>
  <c r="BL111" i="7" l="1"/>
  <c r="AI112" i="7"/>
  <c r="BL112" i="7" s="1"/>
  <c r="AY61" i="7"/>
  <c r="V62" i="7"/>
  <c r="BG59" i="7"/>
  <c r="AD60" i="7"/>
  <c r="J23" i="7"/>
  <c r="J85" i="7"/>
  <c r="AI155" i="7"/>
  <c r="BL154" i="7"/>
  <c r="BR53" i="7"/>
  <c r="AO54" i="7"/>
  <c r="AO135" i="7"/>
  <c r="BR134" i="7"/>
  <c r="AQ50" i="7"/>
  <c r="BT49" i="7"/>
  <c r="J49" i="7" s="1"/>
  <c r="AQ132" i="7"/>
  <c r="BT131" i="7"/>
  <c r="J131" i="7" s="1"/>
  <c r="AC25" i="7"/>
  <c r="BF24" i="7"/>
  <c r="AE106" i="7"/>
  <c r="BH105" i="7"/>
  <c r="AR89" i="7"/>
  <c r="BU88" i="7"/>
  <c r="AJ25" i="7"/>
  <c r="BM24" i="7"/>
  <c r="AO90" i="7"/>
  <c r="BR89" i="7"/>
  <c r="AR27" i="7"/>
  <c r="BU26" i="7"/>
  <c r="AE150" i="7"/>
  <c r="BH149" i="7"/>
  <c r="AQ88" i="7"/>
  <c r="BT87" i="7"/>
  <c r="L153" i="7"/>
  <c r="A152" i="7"/>
  <c r="AR133" i="7"/>
  <c r="BU132" i="7"/>
  <c r="L247" i="7"/>
  <c r="A246" i="7"/>
  <c r="AW134" i="7"/>
  <c r="T135" i="7"/>
  <c r="S135" i="7"/>
  <c r="AV134" i="7"/>
  <c r="X135" i="7"/>
  <c r="BA134" i="7"/>
  <c r="AU134" i="7"/>
  <c r="R135" i="7"/>
  <c r="Z135" i="7"/>
  <c r="BC134" i="7"/>
  <c r="W135" i="7"/>
  <c r="AZ134" i="7"/>
  <c r="AA135" i="7"/>
  <c r="BD134" i="7"/>
  <c r="BB134" i="7"/>
  <c r="Y135" i="7"/>
  <c r="AY134" i="7"/>
  <c r="V135" i="7"/>
  <c r="AX134" i="7"/>
  <c r="U135" i="7"/>
  <c r="P135" i="7"/>
  <c r="AS134" i="7"/>
  <c r="AT134" i="7"/>
  <c r="Q135" i="7"/>
  <c r="AP155" i="7"/>
  <c r="BS155" i="7" s="1"/>
  <c r="AJ93" i="8"/>
  <c r="BH92" i="8"/>
  <c r="AM88" i="8"/>
  <c r="BK87" i="8"/>
  <c r="J87" i="8" s="1"/>
  <c r="L87" i="8"/>
  <c r="A86" i="8"/>
  <c r="AR54" i="7"/>
  <c r="BU54" i="7" s="1"/>
  <c r="AV89" i="7"/>
  <c r="BD90" i="7"/>
  <c r="AS91" i="7"/>
  <c r="BB98" i="7"/>
  <c r="AZ103" i="7"/>
  <c r="AT98" i="7"/>
  <c r="AX103" i="7"/>
  <c r="BA93" i="7"/>
  <c r="BC91" i="7"/>
  <c r="AW103" i="7"/>
  <c r="AU27" i="7"/>
  <c r="BC24" i="7"/>
  <c r="AY86" i="7"/>
  <c r="AX24" i="7"/>
  <c r="BA24" i="7"/>
  <c r="AU86" i="7"/>
  <c r="BB24" i="7"/>
  <c r="BD25" i="7"/>
  <c r="J86" i="7" l="1"/>
  <c r="BG60" i="7"/>
  <c r="AD61" i="7"/>
  <c r="V63" i="7"/>
  <c r="AY62" i="7"/>
  <c r="J24" i="7"/>
  <c r="AI156" i="7"/>
  <c r="BL155" i="7"/>
  <c r="AO136" i="7"/>
  <c r="BR135" i="7"/>
  <c r="BT50" i="7"/>
  <c r="J50" i="7" s="1"/>
  <c r="AQ51" i="7"/>
  <c r="BR54" i="7"/>
  <c r="AO55" i="7"/>
  <c r="L154" i="7"/>
  <c r="A153" i="7"/>
  <c r="AE107" i="7"/>
  <c r="BH106" i="7"/>
  <c r="AO91" i="7"/>
  <c r="BR90" i="7"/>
  <c r="AQ89" i="7"/>
  <c r="BT88" i="7"/>
  <c r="AC26" i="7"/>
  <c r="BF25" i="7"/>
  <c r="AR134" i="7"/>
  <c r="BU133" i="7"/>
  <c r="AE151" i="7"/>
  <c r="BH150" i="7"/>
  <c r="AQ133" i="7"/>
  <c r="BT132" i="7"/>
  <c r="J132" i="7" s="1"/>
  <c r="AR90" i="7"/>
  <c r="BU89" i="7"/>
  <c r="AJ26" i="7"/>
  <c r="BM25" i="7"/>
  <c r="AR28" i="7"/>
  <c r="BU27" i="7"/>
  <c r="L248" i="7"/>
  <c r="A247" i="7"/>
  <c r="AA136" i="7"/>
  <c r="BD135" i="7"/>
  <c r="Z136" i="7"/>
  <c r="BC135" i="7"/>
  <c r="BA135" i="7"/>
  <c r="X136" i="7"/>
  <c r="W136" i="7"/>
  <c r="AZ135" i="7"/>
  <c r="S136" i="7"/>
  <c r="AV135" i="7"/>
  <c r="BB135" i="7"/>
  <c r="Y136" i="7"/>
  <c r="R136" i="7"/>
  <c r="AU135" i="7"/>
  <c r="T136" i="7"/>
  <c r="AW135" i="7"/>
  <c r="AY135" i="7"/>
  <c r="V136" i="7"/>
  <c r="AX135" i="7"/>
  <c r="U136" i="7"/>
  <c r="AS135" i="7"/>
  <c r="P136" i="7"/>
  <c r="AT135" i="7"/>
  <c r="Q136" i="7"/>
  <c r="AP156" i="7"/>
  <c r="BS156" i="7" s="1"/>
  <c r="AJ94" i="8"/>
  <c r="BH93" i="8"/>
  <c r="A87" i="8"/>
  <c r="L88" i="8"/>
  <c r="AM89" i="8"/>
  <c r="BK88" i="8"/>
  <c r="J88" i="8" s="1"/>
  <c r="AR55" i="7"/>
  <c r="BU55" i="7" s="1"/>
  <c r="AS92" i="7"/>
  <c r="BD91" i="7"/>
  <c r="AV90" i="7"/>
  <c r="BB99" i="7"/>
  <c r="BC92" i="7"/>
  <c r="AT99" i="7"/>
  <c r="AW104" i="7"/>
  <c r="AX104" i="7"/>
  <c r="BA94" i="7"/>
  <c r="AZ104" i="7"/>
  <c r="BC25" i="7"/>
  <c r="AU28" i="7"/>
  <c r="AX25" i="7"/>
  <c r="BD26" i="7"/>
  <c r="BB25" i="7"/>
  <c r="AU87" i="7"/>
  <c r="BA25" i="7"/>
  <c r="AY87" i="7"/>
  <c r="AY63" i="7" l="1"/>
  <c r="V64" i="7"/>
  <c r="V66" i="7" s="1"/>
  <c r="AY66" i="7" s="1"/>
  <c r="BG61" i="7"/>
  <c r="AD62" i="7"/>
  <c r="J87" i="7"/>
  <c r="J25" i="7"/>
  <c r="AI157" i="7"/>
  <c r="BL156" i="7"/>
  <c r="AO56" i="7"/>
  <c r="BR55" i="7"/>
  <c r="AQ52" i="7"/>
  <c r="BT51" i="7"/>
  <c r="J51" i="7" s="1"/>
  <c r="AO137" i="7"/>
  <c r="BR136" i="7"/>
  <c r="AR135" i="7"/>
  <c r="BU134" i="7"/>
  <c r="AO92" i="7"/>
  <c r="BR91" i="7"/>
  <c r="AR91" i="7"/>
  <c r="BU90" i="7"/>
  <c r="AR29" i="7"/>
  <c r="BU28" i="7"/>
  <c r="AE108" i="7"/>
  <c r="BH107" i="7"/>
  <c r="AQ134" i="7"/>
  <c r="BT133" i="7"/>
  <c r="J133" i="7" s="1"/>
  <c r="AQ90" i="7"/>
  <c r="BT89" i="7"/>
  <c r="L155" i="7"/>
  <c r="A154" i="7"/>
  <c r="AC27" i="7"/>
  <c r="BF26" i="7"/>
  <c r="AE152" i="7"/>
  <c r="BH151" i="7"/>
  <c r="AJ27" i="7"/>
  <c r="BM26" i="7"/>
  <c r="L249" i="7"/>
  <c r="A248" i="7"/>
  <c r="AW136" i="7"/>
  <c r="T137" i="7"/>
  <c r="W137" i="7"/>
  <c r="AZ136" i="7"/>
  <c r="Y137" i="7"/>
  <c r="BB136" i="7"/>
  <c r="BA136" i="7"/>
  <c r="X137" i="7"/>
  <c r="R137" i="7"/>
  <c r="AU136" i="7"/>
  <c r="BC136" i="7"/>
  <c r="Z137" i="7"/>
  <c r="S137" i="7"/>
  <c r="AV136" i="7"/>
  <c r="BD136" i="7"/>
  <c r="AA137" i="7"/>
  <c r="AY136" i="7"/>
  <c r="V137" i="7"/>
  <c r="U137" i="7"/>
  <c r="AX136" i="7"/>
  <c r="AS136" i="7"/>
  <c r="P137" i="7"/>
  <c r="AT136" i="7"/>
  <c r="Q137" i="7"/>
  <c r="AP157" i="7"/>
  <c r="BS157" i="7" s="1"/>
  <c r="AM90" i="8"/>
  <c r="BK89" i="8"/>
  <c r="J89" i="8" s="1"/>
  <c r="AJ95" i="8"/>
  <c r="BH94" i="8"/>
  <c r="A88" i="8"/>
  <c r="L89" i="8"/>
  <c r="AR56" i="7"/>
  <c r="AU31" i="7"/>
  <c r="AV91" i="7"/>
  <c r="BD92" i="7"/>
  <c r="AS93" i="7"/>
  <c r="BA95" i="7"/>
  <c r="AW106" i="7"/>
  <c r="AW105" i="7"/>
  <c r="AZ106" i="7"/>
  <c r="AZ105" i="7"/>
  <c r="BB100" i="7"/>
  <c r="AT100" i="7"/>
  <c r="AX106" i="7"/>
  <c r="AX105" i="7"/>
  <c r="BC93" i="7"/>
  <c r="BC26" i="7"/>
  <c r="AU88" i="7"/>
  <c r="AY88" i="7"/>
  <c r="BB26" i="7"/>
  <c r="BD27" i="7"/>
  <c r="BA26" i="7"/>
  <c r="AX26" i="7"/>
  <c r="AD63" i="7" l="1"/>
  <c r="BG62" i="7"/>
  <c r="V65" i="7"/>
  <c r="AY64" i="7"/>
  <c r="J26" i="7"/>
  <c r="J88" i="7"/>
  <c r="BL157" i="7"/>
  <c r="AI158" i="7"/>
  <c r="BT52" i="7"/>
  <c r="J52" i="7" s="1"/>
  <c r="AQ53" i="7"/>
  <c r="AO138" i="7"/>
  <c r="BR137" i="7"/>
  <c r="BR56" i="7"/>
  <c r="AO57" i="7"/>
  <c r="AO58" i="7" s="1"/>
  <c r="AR92" i="7"/>
  <c r="BU91" i="7"/>
  <c r="AC28" i="7"/>
  <c r="BF27" i="7"/>
  <c r="AR57" i="7"/>
  <c r="AR58" i="7" s="1"/>
  <c r="BU56" i="7"/>
  <c r="AQ135" i="7"/>
  <c r="BT134" i="7"/>
  <c r="J134" i="7" s="1"/>
  <c r="L156" i="7"/>
  <c r="A155" i="7"/>
  <c r="AR136" i="7"/>
  <c r="BU135" i="7"/>
  <c r="AQ91" i="7"/>
  <c r="BT90" i="7"/>
  <c r="AO93" i="7"/>
  <c r="BR92" i="7"/>
  <c r="AJ28" i="7"/>
  <c r="BM27" i="7"/>
  <c r="AE109" i="7"/>
  <c r="AE110" i="7" s="1"/>
  <c r="BH108" i="7"/>
  <c r="AE153" i="7"/>
  <c r="BH152" i="7"/>
  <c r="AR30" i="7"/>
  <c r="BU29" i="7"/>
  <c r="L250" i="7"/>
  <c r="A249" i="7"/>
  <c r="Y138" i="7"/>
  <c r="BB137" i="7"/>
  <c r="AV137" i="7"/>
  <c r="S138" i="7"/>
  <c r="Z138" i="7"/>
  <c r="BC137" i="7"/>
  <c r="AZ137" i="7"/>
  <c r="W138" i="7"/>
  <c r="R138" i="7"/>
  <c r="AU137" i="7"/>
  <c r="T138" i="7"/>
  <c r="AW137" i="7"/>
  <c r="BD137" i="7"/>
  <c r="AA138" i="7"/>
  <c r="X138" i="7"/>
  <c r="BA137" i="7"/>
  <c r="V138" i="7"/>
  <c r="AY137" i="7"/>
  <c r="AX137" i="7"/>
  <c r="U138" i="7"/>
  <c r="P138" i="7"/>
  <c r="AS137" i="7"/>
  <c r="Q138" i="7"/>
  <c r="AT137" i="7"/>
  <c r="AP158" i="7"/>
  <c r="BS158" i="7" s="1"/>
  <c r="AM91" i="8"/>
  <c r="BK90" i="8"/>
  <c r="J90" i="8" s="1"/>
  <c r="A89" i="8"/>
  <c r="L90" i="8"/>
  <c r="AJ96" i="8"/>
  <c r="BH95" i="8"/>
  <c r="AS94" i="7"/>
  <c r="BD93" i="7"/>
  <c r="AV92" i="7"/>
  <c r="BA96" i="7"/>
  <c r="BC94" i="7"/>
  <c r="BB101" i="7"/>
  <c r="AT101" i="7"/>
  <c r="BC27" i="7"/>
  <c r="AX27" i="7"/>
  <c r="AU89" i="7"/>
  <c r="BA27" i="7"/>
  <c r="BD28" i="7"/>
  <c r="AY89" i="7"/>
  <c r="BB27" i="7"/>
  <c r="BH110" i="7" l="1"/>
  <c r="AE111" i="7"/>
  <c r="AR59" i="7"/>
  <c r="BU58" i="7"/>
  <c r="V67" i="7"/>
  <c r="AY67" i="7" s="1"/>
  <c r="AY65" i="7"/>
  <c r="AO59" i="7"/>
  <c r="BR58" i="7"/>
  <c r="BG63" i="7"/>
  <c r="AD64" i="7"/>
  <c r="AD66" i="7" s="1"/>
  <c r="BG66" i="7" s="1"/>
  <c r="J89" i="7"/>
  <c r="J27" i="7"/>
  <c r="BL158" i="7"/>
  <c r="AI159" i="7"/>
  <c r="AO139" i="7"/>
  <c r="BR138" i="7"/>
  <c r="BT53" i="7"/>
  <c r="J53" i="7" s="1"/>
  <c r="AQ54" i="7"/>
  <c r="AO68" i="7"/>
  <c r="BR68" i="7" s="1"/>
  <c r="BR57" i="7"/>
  <c r="AR31" i="7"/>
  <c r="BU31" i="7" s="1"/>
  <c r="BU30" i="7"/>
  <c r="AO94" i="7"/>
  <c r="BR93" i="7"/>
  <c r="AC29" i="7"/>
  <c r="BF28" i="7"/>
  <c r="AR137" i="7"/>
  <c r="BU136" i="7"/>
  <c r="AJ29" i="7"/>
  <c r="BM28" i="7"/>
  <c r="L157" i="7"/>
  <c r="A156" i="7"/>
  <c r="AR68" i="7"/>
  <c r="BU68" i="7" s="1"/>
  <c r="BU57" i="7"/>
  <c r="AE154" i="7"/>
  <c r="BH153" i="7"/>
  <c r="AQ92" i="7"/>
  <c r="BT91" i="7"/>
  <c r="AQ136" i="7"/>
  <c r="BT135" i="7"/>
  <c r="J135" i="7" s="1"/>
  <c r="AE113" i="7"/>
  <c r="BH113" i="7" s="1"/>
  <c r="BH109" i="7"/>
  <c r="AR93" i="7"/>
  <c r="BU92" i="7"/>
  <c r="L251" i="7"/>
  <c r="A250" i="7"/>
  <c r="AZ138" i="7"/>
  <c r="W139" i="7"/>
  <c r="BA138" i="7"/>
  <c r="X139" i="7"/>
  <c r="S139" i="7"/>
  <c r="AV138" i="7"/>
  <c r="AA139" i="7"/>
  <c r="BD138" i="7"/>
  <c r="T139" i="7"/>
  <c r="AW138" i="7"/>
  <c r="BC138" i="7"/>
  <c r="Z139" i="7"/>
  <c r="R139" i="7"/>
  <c r="AU138" i="7"/>
  <c r="Y139" i="7"/>
  <c r="BB138" i="7"/>
  <c r="AY138" i="7"/>
  <c r="V139" i="7"/>
  <c r="U139" i="7"/>
  <c r="AX138" i="7"/>
  <c r="P139" i="7"/>
  <c r="AS138" i="7"/>
  <c r="Q139" i="7"/>
  <c r="AT138" i="7"/>
  <c r="AP159" i="7"/>
  <c r="BS159" i="7" s="1"/>
  <c r="AJ97" i="8"/>
  <c r="BH96" i="8"/>
  <c r="L91" i="8"/>
  <c r="A90" i="8"/>
  <c r="AM92" i="8"/>
  <c r="BK91" i="8"/>
  <c r="J91" i="8" s="1"/>
  <c r="BD31" i="7"/>
  <c r="AV93" i="7"/>
  <c r="AS95" i="7"/>
  <c r="BD94" i="7"/>
  <c r="BB102" i="7"/>
  <c r="BC95" i="7"/>
  <c r="AT102" i="7"/>
  <c r="BA97" i="7"/>
  <c r="BC28" i="7"/>
  <c r="BB28" i="7"/>
  <c r="AU90" i="7"/>
  <c r="AY90" i="7"/>
  <c r="BA28" i="7"/>
  <c r="AX28" i="7"/>
  <c r="AE112" i="7" l="1"/>
  <c r="BH112" i="7" s="1"/>
  <c r="BH111" i="7"/>
  <c r="BR59" i="7"/>
  <c r="AO60" i="7"/>
  <c r="BU59" i="7"/>
  <c r="AR60" i="7"/>
  <c r="AD65" i="7"/>
  <c r="BG64" i="7"/>
  <c r="J28" i="7"/>
  <c r="J90" i="7"/>
  <c r="BL159" i="7"/>
  <c r="AI160" i="7"/>
  <c r="AQ55" i="7"/>
  <c r="BT54" i="7"/>
  <c r="J54" i="7" s="1"/>
  <c r="AO140" i="7"/>
  <c r="BR139" i="7"/>
  <c r="AE155" i="7"/>
  <c r="BH154" i="7"/>
  <c r="AR138" i="7"/>
  <c r="BU137" i="7"/>
  <c r="AR94" i="7"/>
  <c r="BU93" i="7"/>
  <c r="AQ137" i="7"/>
  <c r="BT136" i="7"/>
  <c r="J136" i="7" s="1"/>
  <c r="AC30" i="7"/>
  <c r="BF29" i="7"/>
  <c r="AQ93" i="7"/>
  <c r="BT92" i="7"/>
  <c r="AO95" i="7"/>
  <c r="BR94" i="7"/>
  <c r="AJ30" i="7"/>
  <c r="BM29" i="7"/>
  <c r="L158" i="7"/>
  <c r="A157" i="7"/>
  <c r="L252" i="7"/>
  <c r="A251" i="7"/>
  <c r="BB139" i="7"/>
  <c r="Y140" i="7"/>
  <c r="BD139" i="7"/>
  <c r="AA140" i="7"/>
  <c r="R140" i="7"/>
  <c r="AU139" i="7"/>
  <c r="AV139" i="7"/>
  <c r="S140" i="7"/>
  <c r="BC139" i="7"/>
  <c r="Z140" i="7"/>
  <c r="BA139" i="7"/>
  <c r="X140" i="7"/>
  <c r="W140" i="7"/>
  <c r="AZ139" i="7"/>
  <c r="AW139" i="7"/>
  <c r="T140" i="7"/>
  <c r="AY139" i="7"/>
  <c r="V140" i="7"/>
  <c r="U140" i="7"/>
  <c r="AX139" i="7"/>
  <c r="P140" i="7"/>
  <c r="AS139" i="7"/>
  <c r="AT139" i="7"/>
  <c r="Q140" i="7"/>
  <c r="AP160" i="7"/>
  <c r="BS160" i="7" s="1"/>
  <c r="L92" i="8"/>
  <c r="A91" i="8"/>
  <c r="AM93" i="8"/>
  <c r="BK92" i="8"/>
  <c r="J92" i="8" s="1"/>
  <c r="AJ98" i="8"/>
  <c r="BH97" i="8"/>
  <c r="BA31" i="7"/>
  <c r="BB31" i="7"/>
  <c r="AX31" i="7"/>
  <c r="BC31" i="7"/>
  <c r="BD95" i="7"/>
  <c r="AS96" i="7"/>
  <c r="AV94" i="7"/>
  <c r="BC96" i="7"/>
  <c r="BA98" i="7"/>
  <c r="AT103" i="7"/>
  <c r="BB103" i="7"/>
  <c r="AY91" i="7"/>
  <c r="AU91" i="7"/>
  <c r="J91" i="7" l="1"/>
  <c r="AR61" i="7"/>
  <c r="BU60" i="7"/>
  <c r="J29" i="7"/>
  <c r="BR60" i="7"/>
  <c r="AO61" i="7"/>
  <c r="AD67" i="7"/>
  <c r="BG67" i="7" s="1"/>
  <c r="BG65" i="7"/>
  <c r="AI161" i="7"/>
  <c r="BL160" i="7"/>
  <c r="AO141" i="7"/>
  <c r="BR140" i="7"/>
  <c r="BT55" i="7"/>
  <c r="J55" i="7" s="1"/>
  <c r="AQ56" i="7"/>
  <c r="AQ94" i="7"/>
  <c r="BT93" i="7"/>
  <c r="AJ31" i="7"/>
  <c r="BM31" i="7" s="1"/>
  <c r="BM30" i="7"/>
  <c r="AC31" i="7"/>
  <c r="BF31" i="7" s="1"/>
  <c r="BF30" i="7"/>
  <c r="AR139" i="7"/>
  <c r="BU138" i="7"/>
  <c r="L159" i="7"/>
  <c r="A158" i="7"/>
  <c r="AR95" i="7"/>
  <c r="BU94" i="7"/>
  <c r="AO96" i="7"/>
  <c r="BR95" i="7"/>
  <c r="AQ138" i="7"/>
  <c r="BT137" i="7"/>
  <c r="J137" i="7" s="1"/>
  <c r="AE156" i="7"/>
  <c r="BH155" i="7"/>
  <c r="L253" i="7"/>
  <c r="A252" i="7"/>
  <c r="AV140" i="7"/>
  <c r="S141" i="7"/>
  <c r="W141" i="7"/>
  <c r="AZ140" i="7"/>
  <c r="AA141" i="7"/>
  <c r="BD140" i="7"/>
  <c r="Z141" i="7"/>
  <c r="BC140" i="7"/>
  <c r="Y141" i="7"/>
  <c r="BB140" i="7"/>
  <c r="R141" i="7"/>
  <c r="AU140" i="7"/>
  <c r="BA140" i="7"/>
  <c r="X141" i="7"/>
  <c r="T141" i="7"/>
  <c r="AW140" i="7"/>
  <c r="AY140" i="7"/>
  <c r="V141" i="7"/>
  <c r="U141" i="7"/>
  <c r="AX140" i="7"/>
  <c r="AS140" i="7"/>
  <c r="P141" i="7"/>
  <c r="Q141" i="7"/>
  <c r="AT140" i="7"/>
  <c r="AP161" i="7"/>
  <c r="BS161" i="7" s="1"/>
  <c r="AJ99" i="8"/>
  <c r="BH99" i="8" s="1"/>
  <c r="BH98" i="8"/>
  <c r="AM94" i="8"/>
  <c r="BK93" i="8"/>
  <c r="J93" i="8" s="1"/>
  <c r="A92" i="8"/>
  <c r="L93" i="8"/>
  <c r="AV95" i="7"/>
  <c r="BD96" i="7"/>
  <c r="AS97" i="7"/>
  <c r="AT104" i="7"/>
  <c r="BA99" i="7"/>
  <c r="BB104" i="7"/>
  <c r="BC97" i="7"/>
  <c r="AU92" i="7"/>
  <c r="AY92" i="7"/>
  <c r="J31" i="7" l="1"/>
  <c r="AO62" i="7"/>
  <c r="BR61" i="7"/>
  <c r="J30" i="7"/>
  <c r="AR62" i="7"/>
  <c r="BU61" i="7"/>
  <c r="J92" i="7"/>
  <c r="AI162" i="7"/>
  <c r="BL161" i="7"/>
  <c r="BT56" i="7"/>
  <c r="J56" i="7" s="1"/>
  <c r="AQ57" i="7"/>
  <c r="AQ58" i="7" s="1"/>
  <c r="AO142" i="7"/>
  <c r="BR141" i="7"/>
  <c r="L160" i="7"/>
  <c r="A159" i="7"/>
  <c r="AR140" i="7"/>
  <c r="BU139" i="7"/>
  <c r="AO97" i="7"/>
  <c r="BR96" i="7"/>
  <c r="AE157" i="7"/>
  <c r="BH156" i="7"/>
  <c r="AR96" i="7"/>
  <c r="BU95" i="7"/>
  <c r="AQ139" i="7"/>
  <c r="BT138" i="7"/>
  <c r="J138" i="7" s="1"/>
  <c r="AQ95" i="7"/>
  <c r="BT94" i="7"/>
  <c r="L254" i="7"/>
  <c r="A253" i="7"/>
  <c r="T142" i="7"/>
  <c r="AW141" i="7"/>
  <c r="Z142" i="7"/>
  <c r="BC141" i="7"/>
  <c r="BA141" i="7"/>
  <c r="X142" i="7"/>
  <c r="R142" i="7"/>
  <c r="AU141" i="7"/>
  <c r="AZ141" i="7"/>
  <c r="W142" i="7"/>
  <c r="BD141" i="7"/>
  <c r="AA142" i="7"/>
  <c r="BB141" i="7"/>
  <c r="Y142" i="7"/>
  <c r="AV141" i="7"/>
  <c r="S142" i="7"/>
  <c r="AY141" i="7"/>
  <c r="V142" i="7"/>
  <c r="AX141" i="7"/>
  <c r="U142" i="7"/>
  <c r="AS141" i="7"/>
  <c r="P142" i="7"/>
  <c r="Q142" i="7"/>
  <c r="AT141" i="7"/>
  <c r="AP162" i="7"/>
  <c r="BS162" i="7" s="1"/>
  <c r="L94" i="8"/>
  <c r="A93" i="8"/>
  <c r="AM95" i="8"/>
  <c r="BK94" i="8"/>
  <c r="J94" i="8" s="1"/>
  <c r="AS98" i="7"/>
  <c r="AV96" i="7"/>
  <c r="BD97" i="7"/>
  <c r="BB106" i="7"/>
  <c r="BB105" i="7"/>
  <c r="AT106" i="7"/>
  <c r="AT105" i="7"/>
  <c r="BC98" i="7"/>
  <c r="BA100" i="7"/>
  <c r="AU94" i="7"/>
  <c r="AY94" i="7"/>
  <c r="AU93" i="7"/>
  <c r="AY93" i="7"/>
  <c r="BU62" i="7" l="1"/>
  <c r="AR63" i="7"/>
  <c r="AO63" i="7"/>
  <c r="BR62" i="7"/>
  <c r="J94" i="7"/>
  <c r="AQ59" i="7"/>
  <c r="BT58" i="7"/>
  <c r="J58" i="7" s="1"/>
  <c r="J93" i="7"/>
  <c r="AI163" i="7"/>
  <c r="BL162" i="7"/>
  <c r="AO143" i="7"/>
  <c r="BR142" i="7"/>
  <c r="AQ68" i="7"/>
  <c r="BT68" i="7" s="1"/>
  <c r="J68" i="7" s="1"/>
  <c r="BT57" i="7"/>
  <c r="J57" i="7" s="1"/>
  <c r="AQ96" i="7"/>
  <c r="BT95" i="7"/>
  <c r="AE158" i="7"/>
  <c r="BH157" i="7"/>
  <c r="AO98" i="7"/>
  <c r="BR97" i="7"/>
  <c r="AQ140" i="7"/>
  <c r="BT139" i="7"/>
  <c r="J139" i="7" s="1"/>
  <c r="AR97" i="7"/>
  <c r="BU96" i="7"/>
  <c r="L161" i="7"/>
  <c r="A160" i="7"/>
  <c r="AR141" i="7"/>
  <c r="BU140" i="7"/>
  <c r="L255" i="7"/>
  <c r="A254" i="7"/>
  <c r="Y143" i="7"/>
  <c r="BB142" i="7"/>
  <c r="AU142" i="7"/>
  <c r="R143" i="7"/>
  <c r="BD142" i="7"/>
  <c r="AA143" i="7"/>
  <c r="W143" i="7"/>
  <c r="AZ142" i="7"/>
  <c r="BA142" i="7"/>
  <c r="X143" i="7"/>
  <c r="Z143" i="7"/>
  <c r="BC142" i="7"/>
  <c r="AV142" i="7"/>
  <c r="S143" i="7"/>
  <c r="AW142" i="7"/>
  <c r="T143" i="7"/>
  <c r="AY142" i="7"/>
  <c r="V143" i="7"/>
  <c r="AX142" i="7"/>
  <c r="U143" i="7"/>
  <c r="AS142" i="7"/>
  <c r="P143" i="7"/>
  <c r="Q143" i="7"/>
  <c r="AT142" i="7"/>
  <c r="AP163" i="7"/>
  <c r="BS163" i="7" s="1"/>
  <c r="AM96" i="8"/>
  <c r="BK95" i="8"/>
  <c r="J95" i="8" s="1"/>
  <c r="L95" i="8"/>
  <c r="A94" i="8"/>
  <c r="BD98" i="7"/>
  <c r="AV97" i="7"/>
  <c r="AS99" i="7"/>
  <c r="BC99" i="7"/>
  <c r="BA101" i="7"/>
  <c r="AY95" i="7"/>
  <c r="AU95" i="7"/>
  <c r="J95" i="7" l="1"/>
  <c r="AQ60" i="7"/>
  <c r="BT59" i="7"/>
  <c r="J59" i="7" s="1"/>
  <c r="BR63" i="7"/>
  <c r="AO64" i="7"/>
  <c r="AO66" i="7" s="1"/>
  <c r="BR66" i="7" s="1"/>
  <c r="BU63" i="7"/>
  <c r="AR64" i="7"/>
  <c r="AR66" i="7" s="1"/>
  <c r="BU66" i="7" s="1"/>
  <c r="AI164" i="7"/>
  <c r="BL163" i="7"/>
  <c r="AO144" i="7"/>
  <c r="BR143" i="7"/>
  <c r="AQ141" i="7"/>
  <c r="BT140" i="7"/>
  <c r="J140" i="7" s="1"/>
  <c r="AO99" i="7"/>
  <c r="BR98" i="7"/>
  <c r="L162" i="7"/>
  <c r="A161" i="7"/>
  <c r="AE159" i="7"/>
  <c r="BH158" i="7"/>
  <c r="AR98" i="7"/>
  <c r="BU97" i="7"/>
  <c r="AQ97" i="7"/>
  <c r="BT96" i="7"/>
  <c r="AR142" i="7"/>
  <c r="BU141" i="7"/>
  <c r="L256" i="7"/>
  <c r="A255" i="7"/>
  <c r="AW143" i="7"/>
  <c r="T144" i="7"/>
  <c r="AZ143" i="7"/>
  <c r="W144" i="7"/>
  <c r="AV143" i="7"/>
  <c r="S144" i="7"/>
  <c r="AA144" i="7"/>
  <c r="BD143" i="7"/>
  <c r="Z144" i="7"/>
  <c r="BC143" i="7"/>
  <c r="BA143" i="7"/>
  <c r="X144" i="7"/>
  <c r="R144" i="7"/>
  <c r="AU143" i="7"/>
  <c r="BB143" i="7"/>
  <c r="Y144" i="7"/>
  <c r="AY143" i="7"/>
  <c r="V144" i="7"/>
  <c r="AX143" i="7"/>
  <c r="U144" i="7"/>
  <c r="P144" i="7"/>
  <c r="AS143" i="7"/>
  <c r="AT143" i="7"/>
  <c r="Q144" i="7"/>
  <c r="AP164" i="7"/>
  <c r="BS164" i="7" s="1"/>
  <c r="A95" i="8"/>
  <c r="L96" i="8"/>
  <c r="AM97" i="8"/>
  <c r="BK96" i="8"/>
  <c r="J96" i="8" s="1"/>
  <c r="AS100" i="7"/>
  <c r="AV98" i="7"/>
  <c r="BD99" i="7"/>
  <c r="BA102" i="7"/>
  <c r="BC100" i="7"/>
  <c r="AY96" i="7"/>
  <c r="AU96" i="7"/>
  <c r="AO65" i="7" l="1"/>
  <c r="BR64" i="7"/>
  <c r="BU64" i="7"/>
  <c r="AR65" i="7"/>
  <c r="BT60" i="7"/>
  <c r="J60" i="7" s="1"/>
  <c r="AQ61" i="7"/>
  <c r="J96" i="7"/>
  <c r="AI165" i="7"/>
  <c r="BL164" i="7"/>
  <c r="AO145" i="7"/>
  <c r="BR144" i="7"/>
  <c r="AE160" i="7"/>
  <c r="BH159" i="7"/>
  <c r="AQ98" i="7"/>
  <c r="BT97" i="7"/>
  <c r="AO100" i="7"/>
  <c r="BR99" i="7"/>
  <c r="AR143" i="7"/>
  <c r="BU142" i="7"/>
  <c r="L163" i="7"/>
  <c r="A162" i="7"/>
  <c r="AR99" i="7"/>
  <c r="BU98" i="7"/>
  <c r="AQ142" i="7"/>
  <c r="BT141" i="7"/>
  <c r="J141" i="7" s="1"/>
  <c r="L257" i="7"/>
  <c r="A256" i="7"/>
  <c r="BD144" i="7"/>
  <c r="AA145" i="7"/>
  <c r="AU144" i="7"/>
  <c r="R145" i="7"/>
  <c r="W145" i="7"/>
  <c r="AZ144" i="7"/>
  <c r="T145" i="7"/>
  <c r="AW144" i="7"/>
  <c r="BB144" i="7"/>
  <c r="Y145" i="7"/>
  <c r="S145" i="7"/>
  <c r="AV144" i="7"/>
  <c r="BA144" i="7"/>
  <c r="X145" i="7"/>
  <c r="BC144" i="7"/>
  <c r="Z145" i="7"/>
  <c r="AY144" i="7"/>
  <c r="V145" i="7"/>
  <c r="U145" i="7"/>
  <c r="AX144" i="7"/>
  <c r="AS144" i="7"/>
  <c r="P145" i="7"/>
  <c r="AT144" i="7"/>
  <c r="Q145" i="7"/>
  <c r="AP165" i="7"/>
  <c r="BS165" i="7" s="1"/>
  <c r="A96" i="8"/>
  <c r="L97" i="8"/>
  <c r="AM98" i="8"/>
  <c r="BK97" i="8"/>
  <c r="J97" i="8" s="1"/>
  <c r="BD100" i="7"/>
  <c r="AV99" i="7"/>
  <c r="AS101" i="7"/>
  <c r="BA103" i="7"/>
  <c r="BC101" i="7"/>
  <c r="AU97" i="7"/>
  <c r="AY97" i="7"/>
  <c r="BT61" i="7" l="1"/>
  <c r="J61" i="7" s="1"/>
  <c r="AQ62" i="7"/>
  <c r="AR67" i="7"/>
  <c r="BU67" i="7" s="1"/>
  <c r="BU65" i="7"/>
  <c r="BR65" i="7"/>
  <c r="AO67" i="7"/>
  <c r="BR67" i="7" s="1"/>
  <c r="J97" i="7"/>
  <c r="AI166" i="7"/>
  <c r="BL165" i="7"/>
  <c r="AO146" i="7"/>
  <c r="BR145" i="7"/>
  <c r="AQ143" i="7"/>
  <c r="BT142" i="7"/>
  <c r="J142" i="7" s="1"/>
  <c r="AO101" i="7"/>
  <c r="BR100" i="7"/>
  <c r="AR100" i="7"/>
  <c r="BU99" i="7"/>
  <c r="AQ99" i="7"/>
  <c r="BT98" i="7"/>
  <c r="L164" i="7"/>
  <c r="A163" i="7"/>
  <c r="AE161" i="7"/>
  <c r="BH160" i="7"/>
  <c r="AR144" i="7"/>
  <c r="BU143" i="7"/>
  <c r="L259" i="7"/>
  <c r="A257" i="7"/>
  <c r="AW145" i="7"/>
  <c r="T146" i="7"/>
  <c r="BC145" i="7"/>
  <c r="Z146" i="7"/>
  <c r="S146" i="7"/>
  <c r="AV145" i="7"/>
  <c r="X146" i="7"/>
  <c r="BA145" i="7"/>
  <c r="R146" i="7"/>
  <c r="AU145" i="7"/>
  <c r="Y146" i="7"/>
  <c r="BB145" i="7"/>
  <c r="BD145" i="7"/>
  <c r="AA146" i="7"/>
  <c r="AZ145" i="7"/>
  <c r="W146" i="7"/>
  <c r="AY145" i="7"/>
  <c r="V146" i="7"/>
  <c r="AX145" i="7"/>
  <c r="U146" i="7"/>
  <c r="P146" i="7"/>
  <c r="AS145" i="7"/>
  <c r="Q146" i="7"/>
  <c r="AT145" i="7"/>
  <c r="AP166" i="7"/>
  <c r="BS166" i="7" s="1"/>
  <c r="A97" i="8"/>
  <c r="L98" i="8"/>
  <c r="AM99" i="8"/>
  <c r="BK99" i="8" s="1"/>
  <c r="J99" i="8" s="1"/>
  <c r="BK98" i="8"/>
  <c r="J98" i="8" s="1"/>
  <c r="AS102" i="7"/>
  <c r="AV100" i="7"/>
  <c r="BD101" i="7"/>
  <c r="BC102" i="7"/>
  <c r="BA104" i="7"/>
  <c r="AY98" i="7"/>
  <c r="AU98" i="7"/>
  <c r="J98" i="7" l="1"/>
  <c r="BT62" i="7"/>
  <c r="J62" i="7" s="1"/>
  <c r="AQ63" i="7"/>
  <c r="BL166" i="7"/>
  <c r="AI167" i="7"/>
  <c r="AO147" i="7"/>
  <c r="BR146" i="7"/>
  <c r="AR101" i="7"/>
  <c r="BU100" i="7"/>
  <c r="AE162" i="7"/>
  <c r="BH161" i="7"/>
  <c r="AO102" i="7"/>
  <c r="BR101" i="7"/>
  <c r="AR145" i="7"/>
  <c r="BU144" i="7"/>
  <c r="L165" i="7"/>
  <c r="A164" i="7"/>
  <c r="AQ144" i="7"/>
  <c r="BT143" i="7"/>
  <c r="J143" i="7" s="1"/>
  <c r="AQ100" i="7"/>
  <c r="BT99" i="7"/>
  <c r="L260" i="7"/>
  <c r="A259" i="7"/>
  <c r="BA146" i="7"/>
  <c r="X147" i="7"/>
  <c r="AA147" i="7"/>
  <c r="BD146" i="7"/>
  <c r="BC146" i="7"/>
  <c r="Z147" i="7"/>
  <c r="BB146" i="7"/>
  <c r="Y147" i="7"/>
  <c r="T147" i="7"/>
  <c r="AW146" i="7"/>
  <c r="S147" i="7"/>
  <c r="AV146" i="7"/>
  <c r="W147" i="7"/>
  <c r="AZ146" i="7"/>
  <c r="R147" i="7"/>
  <c r="AU146" i="7"/>
  <c r="V147" i="7"/>
  <c r="AY146" i="7"/>
  <c r="U147" i="7"/>
  <c r="AX146" i="7"/>
  <c r="P147" i="7"/>
  <c r="AS146" i="7"/>
  <c r="AT146" i="7"/>
  <c r="Q147" i="7"/>
  <c r="AP167" i="7"/>
  <c r="BS167" i="7" s="1"/>
  <c r="A98" i="8"/>
  <c r="L99" i="8"/>
  <c r="BD102" i="7"/>
  <c r="AV101" i="7"/>
  <c r="AS103" i="7"/>
  <c r="BA106" i="7"/>
  <c r="BA105" i="7"/>
  <c r="BC103" i="7"/>
  <c r="AU99" i="7"/>
  <c r="AY99" i="7"/>
  <c r="O20" i="1"/>
  <c r="M20" i="1"/>
  <c r="E20" i="1" s="1"/>
  <c r="B20" i="1"/>
  <c r="A20" i="1"/>
  <c r="O18" i="1"/>
  <c r="M18" i="1"/>
  <c r="E18" i="1" s="1"/>
  <c r="B18" i="1"/>
  <c r="A18" i="1"/>
  <c r="AQ64" i="7" l="1"/>
  <c r="AQ66" i="7" s="1"/>
  <c r="BT66" i="7" s="1"/>
  <c r="J66" i="7" s="1"/>
  <c r="BT63" i="7"/>
  <c r="J63" i="7" s="1"/>
  <c r="J99" i="7"/>
  <c r="BL167" i="7"/>
  <c r="AI168" i="7"/>
  <c r="AO148" i="7"/>
  <c r="BR147" i="7"/>
  <c r="AR146" i="7"/>
  <c r="BU145" i="7"/>
  <c r="AQ101" i="7"/>
  <c r="BT100" i="7"/>
  <c r="AE163" i="7"/>
  <c r="BH162" i="7"/>
  <c r="AQ145" i="7"/>
  <c r="BT144" i="7"/>
  <c r="J144" i="7" s="1"/>
  <c r="L166" i="7"/>
  <c r="A165" i="7"/>
  <c r="AR102" i="7"/>
  <c r="BU101" i="7"/>
  <c r="AO103" i="7"/>
  <c r="BR102" i="7"/>
  <c r="A260" i="7"/>
  <c r="R148" i="7"/>
  <c r="AU147" i="7"/>
  <c r="BC147" i="7"/>
  <c r="Z148" i="7"/>
  <c r="AZ147" i="7"/>
  <c r="W148" i="7"/>
  <c r="S148" i="7"/>
  <c r="AV147" i="7"/>
  <c r="BD147" i="7"/>
  <c r="AA148" i="7"/>
  <c r="T148" i="7"/>
  <c r="AW147" i="7"/>
  <c r="BA147" i="7"/>
  <c r="X148" i="7"/>
  <c r="BB147" i="7"/>
  <c r="Y148" i="7"/>
  <c r="V148" i="7"/>
  <c r="AY147" i="7"/>
  <c r="U148" i="7"/>
  <c r="AX147" i="7"/>
  <c r="P148" i="7"/>
  <c r="AS147" i="7"/>
  <c r="AT147" i="7"/>
  <c r="Q148" i="7"/>
  <c r="AP168" i="7"/>
  <c r="BS168" i="7" s="1"/>
  <c r="A99" i="8"/>
  <c r="L4" i="8"/>
  <c r="AS104" i="7"/>
  <c r="AV102" i="7"/>
  <c r="BD103" i="7"/>
  <c r="BC104" i="7"/>
  <c r="AU100" i="7"/>
  <c r="AY100" i="7"/>
  <c r="O37" i="6"/>
  <c r="C37" i="6" s="1"/>
  <c r="M37" i="6"/>
  <c r="E37" i="6" s="1"/>
  <c r="B37" i="6"/>
  <c r="A37" i="6"/>
  <c r="O36" i="6"/>
  <c r="C36" i="6" s="1"/>
  <c r="M36" i="6"/>
  <c r="E36" i="6" s="1"/>
  <c r="B36" i="6"/>
  <c r="A36" i="6"/>
  <c r="O35" i="6"/>
  <c r="C35" i="6" s="1"/>
  <c r="M35" i="6"/>
  <c r="E35" i="6"/>
  <c r="B35" i="6"/>
  <c r="A35" i="6"/>
  <c r="O34" i="6"/>
  <c r="C34" i="6" s="1"/>
  <c r="M34" i="6"/>
  <c r="E34" i="6"/>
  <c r="B34" i="6"/>
  <c r="A34" i="6"/>
  <c r="O33" i="6"/>
  <c r="C33" i="6" s="1"/>
  <c r="M33" i="6"/>
  <c r="E33" i="6" s="1"/>
  <c r="B33" i="6"/>
  <c r="A33" i="6"/>
  <c r="O32" i="6"/>
  <c r="C32" i="6" s="1"/>
  <c r="M32" i="6"/>
  <c r="E32" i="6" s="1"/>
  <c r="B32" i="6"/>
  <c r="A32" i="6"/>
  <c r="O31" i="6"/>
  <c r="C31" i="6" s="1"/>
  <c r="M31" i="6"/>
  <c r="E31" i="6" s="1"/>
  <c r="B31" i="6"/>
  <c r="A31" i="6"/>
  <c r="O30" i="6"/>
  <c r="M30" i="6"/>
  <c r="E30" i="6" s="1"/>
  <c r="C30" i="6"/>
  <c r="B30" i="6"/>
  <c r="A30" i="6"/>
  <c r="O29" i="6"/>
  <c r="C29" i="6" s="1"/>
  <c r="M29" i="6"/>
  <c r="E29" i="6" s="1"/>
  <c r="B29" i="6"/>
  <c r="A29" i="6"/>
  <c r="BT64" i="7" l="1"/>
  <c r="J64" i="7" s="1"/>
  <c r="AQ65" i="7"/>
  <c r="J100" i="7"/>
  <c r="BL168" i="7"/>
  <c r="AI169" i="7"/>
  <c r="AO149" i="7"/>
  <c r="BR148" i="7"/>
  <c r="AQ102" i="7"/>
  <c r="BT101" i="7"/>
  <c r="AQ146" i="7"/>
  <c r="BT145" i="7"/>
  <c r="J145" i="7" s="1"/>
  <c r="AR147" i="7"/>
  <c r="BU146" i="7"/>
  <c r="AO104" i="7"/>
  <c r="BR103" i="7"/>
  <c r="AE164" i="7"/>
  <c r="BH163" i="7"/>
  <c r="AR103" i="7"/>
  <c r="BU102" i="7"/>
  <c r="L167" i="7"/>
  <c r="A166" i="7"/>
  <c r="BA148" i="7"/>
  <c r="X149" i="7"/>
  <c r="Z149" i="7"/>
  <c r="BC148" i="7"/>
  <c r="AW148" i="7"/>
  <c r="T149" i="7"/>
  <c r="S149" i="7"/>
  <c r="AV148" i="7"/>
  <c r="AA149" i="7"/>
  <c r="BD148" i="7"/>
  <c r="AZ148" i="7"/>
  <c r="W149" i="7"/>
  <c r="BB148" i="7"/>
  <c r="Y149" i="7"/>
  <c r="R149" i="7"/>
  <c r="AU148" i="7"/>
  <c r="AY148" i="7"/>
  <c r="V149" i="7"/>
  <c r="AX148" i="7"/>
  <c r="U149" i="7"/>
  <c r="P149" i="7"/>
  <c r="AS148" i="7"/>
  <c r="Q149" i="7"/>
  <c r="AT148" i="7"/>
  <c r="AP169" i="7"/>
  <c r="BS169" i="7" s="1"/>
  <c r="AV103" i="7"/>
  <c r="BD104" i="7"/>
  <c r="AS105" i="7"/>
  <c r="AS106" i="7"/>
  <c r="BC106" i="7"/>
  <c r="BC105" i="7"/>
  <c r="AU101" i="7"/>
  <c r="AY101" i="7"/>
  <c r="B17" i="6"/>
  <c r="B18" i="6"/>
  <c r="B19" i="6"/>
  <c r="B20" i="6"/>
  <c r="B21" i="6"/>
  <c r="B22" i="6"/>
  <c r="B23" i="6"/>
  <c r="B24" i="6"/>
  <c r="B25" i="6"/>
  <c r="B26" i="6"/>
  <c r="B27" i="6"/>
  <c r="B28" i="6"/>
  <c r="B16" i="6"/>
  <c r="AQ67" i="7" l="1"/>
  <c r="BT67" i="7" s="1"/>
  <c r="J67" i="7" s="1"/>
  <c r="BT65" i="7"/>
  <c r="J65" i="7" s="1"/>
  <c r="J101" i="7"/>
  <c r="BL169" i="7"/>
  <c r="AI170" i="7"/>
  <c r="AO150" i="7"/>
  <c r="BR149" i="7"/>
  <c r="AO105" i="7"/>
  <c r="BR104" i="7"/>
  <c r="L168" i="7"/>
  <c r="A167" i="7"/>
  <c r="AR148" i="7"/>
  <c r="BU147" i="7"/>
  <c r="AE165" i="7"/>
  <c r="BH164" i="7"/>
  <c r="AQ103" i="7"/>
  <c r="BT102" i="7"/>
  <c r="AR104" i="7"/>
  <c r="BU103" i="7"/>
  <c r="AQ147" i="7"/>
  <c r="BT146" i="7"/>
  <c r="J146" i="7" s="1"/>
  <c r="AU149" i="7"/>
  <c r="R150" i="7"/>
  <c r="BB149" i="7"/>
  <c r="Y150" i="7"/>
  <c r="BC149" i="7"/>
  <c r="Z150" i="7"/>
  <c r="AZ149" i="7"/>
  <c r="W150" i="7"/>
  <c r="X150" i="7"/>
  <c r="BA149" i="7"/>
  <c r="S150" i="7"/>
  <c r="AV149" i="7"/>
  <c r="T150" i="7"/>
  <c r="AW149" i="7"/>
  <c r="BD149" i="7"/>
  <c r="AA150" i="7"/>
  <c r="V150" i="7"/>
  <c r="AY149" i="7"/>
  <c r="U150" i="7"/>
  <c r="AX149" i="7"/>
  <c r="AS149" i="7"/>
  <c r="P150" i="7"/>
  <c r="AT149" i="7"/>
  <c r="Q150" i="7"/>
  <c r="AP170" i="7"/>
  <c r="BS170" i="7" s="1"/>
  <c r="BD105" i="7"/>
  <c r="BD106" i="7"/>
  <c r="AV104" i="7"/>
  <c r="AY102" i="7"/>
  <c r="AU102" i="7"/>
  <c r="M28" i="6"/>
  <c r="E28" i="6" s="1"/>
  <c r="M27" i="6"/>
  <c r="E27" i="6" s="1"/>
  <c r="M26" i="6"/>
  <c r="E26" i="6" s="1"/>
  <c r="M24" i="6"/>
  <c r="E24" i="6" s="1"/>
  <c r="M23" i="6"/>
  <c r="E23" i="6" s="1"/>
  <c r="M22" i="6"/>
  <c r="E22" i="6" s="1"/>
  <c r="M21" i="6"/>
  <c r="E21" i="6" s="1"/>
  <c r="M20" i="6"/>
  <c r="E20" i="6" s="1"/>
  <c r="M19" i="6"/>
  <c r="E19" i="6" s="1"/>
  <c r="M18" i="6"/>
  <c r="E18" i="6" s="1"/>
  <c r="M17" i="6"/>
  <c r="E17" i="6" s="1"/>
  <c r="M16" i="6"/>
  <c r="E16" i="6" s="1"/>
  <c r="A38" i="6"/>
  <c r="O28" i="6"/>
  <c r="A28" i="6"/>
  <c r="O27" i="6"/>
  <c r="A27" i="6"/>
  <c r="O26" i="6"/>
  <c r="A26" i="6"/>
  <c r="O25" i="6"/>
  <c r="M25" i="6"/>
  <c r="E25" i="6" s="1"/>
  <c r="A25" i="6"/>
  <c r="O24" i="6"/>
  <c r="A24" i="6"/>
  <c r="O23" i="6"/>
  <c r="A23" i="6"/>
  <c r="O22" i="6"/>
  <c r="A22" i="6"/>
  <c r="O21" i="6"/>
  <c r="A21" i="6"/>
  <c r="O20" i="6"/>
  <c r="A20" i="6"/>
  <c r="O19" i="6"/>
  <c r="A19" i="6"/>
  <c r="S18" i="6"/>
  <c r="S19" i="6" s="1"/>
  <c r="S20" i="6" s="1"/>
  <c r="S21" i="6" s="1"/>
  <c r="S22" i="6" s="1"/>
  <c r="S23" i="6" s="1"/>
  <c r="S24" i="6" s="1"/>
  <c r="S25" i="6" s="1"/>
  <c r="S26" i="6" s="1"/>
  <c r="S27" i="6" s="1"/>
  <c r="S28" i="6" s="1"/>
  <c r="S29" i="6" s="1"/>
  <c r="S30" i="6" s="1"/>
  <c r="S31" i="6" s="1"/>
  <c r="S32" i="6" s="1"/>
  <c r="S33" i="6" s="1"/>
  <c r="S34" i="6" s="1"/>
  <c r="S35" i="6" s="1"/>
  <c r="S36" i="6" s="1"/>
  <c r="S37" i="6" s="1"/>
  <c r="O18" i="6"/>
  <c r="A18" i="6"/>
  <c r="AA17" i="6"/>
  <c r="AA18" i="6" s="1"/>
  <c r="AA19" i="6" s="1"/>
  <c r="AA20" i="6" s="1"/>
  <c r="AA21" i="6" s="1"/>
  <c r="AA22" i="6" s="1"/>
  <c r="AA23" i="6" s="1"/>
  <c r="AA24" i="6" s="1"/>
  <c r="AA25" i="6" s="1"/>
  <c r="AA26" i="6" s="1"/>
  <c r="AA27" i="6" s="1"/>
  <c r="AA28" i="6" s="1"/>
  <c r="AA29" i="6" s="1"/>
  <c r="AA30" i="6" s="1"/>
  <c r="AA31" i="6" s="1"/>
  <c r="AA32" i="6" s="1"/>
  <c r="AA33" i="6" s="1"/>
  <c r="AA34" i="6" s="1"/>
  <c r="AA35" i="6" s="1"/>
  <c r="AA36" i="6" s="1"/>
  <c r="AA37" i="6" s="1"/>
  <c r="Z17" i="6"/>
  <c r="Z18" i="6" s="1"/>
  <c r="Z19" i="6" s="1"/>
  <c r="Z20" i="6" s="1"/>
  <c r="Z21" i="6" s="1"/>
  <c r="Z22" i="6" s="1"/>
  <c r="Z23" i="6" s="1"/>
  <c r="Z24" i="6" s="1"/>
  <c r="Z25" i="6" s="1"/>
  <c r="Z26" i="6" s="1"/>
  <c r="Z27" i="6" s="1"/>
  <c r="Z28" i="6" s="1"/>
  <c r="Z29" i="6" s="1"/>
  <c r="Z30" i="6" s="1"/>
  <c r="Z31" i="6" s="1"/>
  <c r="Z32" i="6" s="1"/>
  <c r="Z33" i="6" s="1"/>
  <c r="Z34" i="6" s="1"/>
  <c r="Z35" i="6" s="1"/>
  <c r="Z36" i="6" s="1"/>
  <c r="Z37" i="6" s="1"/>
  <c r="Y17" i="6"/>
  <c r="Y18" i="6" s="1"/>
  <c r="Y19" i="6" s="1"/>
  <c r="Y20" i="6" s="1"/>
  <c r="Y21" i="6" s="1"/>
  <c r="Y22" i="6" s="1"/>
  <c r="Y23" i="6" s="1"/>
  <c r="Y24" i="6" s="1"/>
  <c r="Y25" i="6" s="1"/>
  <c r="Y26" i="6" s="1"/>
  <c r="Y27" i="6" s="1"/>
  <c r="Y28" i="6" s="1"/>
  <c r="Y29" i="6" s="1"/>
  <c r="Y30" i="6" s="1"/>
  <c r="Y31" i="6" s="1"/>
  <c r="Y32" i="6" s="1"/>
  <c r="Y33" i="6" s="1"/>
  <c r="Y34" i="6" s="1"/>
  <c r="Y35" i="6" s="1"/>
  <c r="Y36" i="6" s="1"/>
  <c r="Y37" i="6" s="1"/>
  <c r="V17" i="6"/>
  <c r="V18" i="6" s="1"/>
  <c r="V19" i="6" s="1"/>
  <c r="V20" i="6" s="1"/>
  <c r="V21" i="6" s="1"/>
  <c r="V22" i="6" s="1"/>
  <c r="V23" i="6" s="1"/>
  <c r="V24" i="6" s="1"/>
  <c r="V25" i="6" s="1"/>
  <c r="V26" i="6" s="1"/>
  <c r="V27" i="6" s="1"/>
  <c r="V28" i="6" s="1"/>
  <c r="V29" i="6" s="1"/>
  <c r="V30" i="6" s="1"/>
  <c r="V31" i="6" s="1"/>
  <c r="V32" i="6" s="1"/>
  <c r="V33" i="6" s="1"/>
  <c r="V34" i="6" s="1"/>
  <c r="V35" i="6" s="1"/>
  <c r="V36" i="6" s="1"/>
  <c r="V37" i="6" s="1"/>
  <c r="U17" i="6"/>
  <c r="U18" i="6" s="1"/>
  <c r="U19" i="6" s="1"/>
  <c r="U20" i="6" s="1"/>
  <c r="U21" i="6" s="1"/>
  <c r="U22" i="6" s="1"/>
  <c r="U23" i="6" s="1"/>
  <c r="U24" i="6" s="1"/>
  <c r="U25" i="6" s="1"/>
  <c r="U26" i="6" s="1"/>
  <c r="U27" i="6" s="1"/>
  <c r="U28" i="6" s="1"/>
  <c r="U29" i="6" s="1"/>
  <c r="U30" i="6" s="1"/>
  <c r="U31" i="6" s="1"/>
  <c r="U32" i="6" s="1"/>
  <c r="U33" i="6" s="1"/>
  <c r="U34" i="6" s="1"/>
  <c r="U35" i="6" s="1"/>
  <c r="U36" i="6" s="1"/>
  <c r="U37" i="6" s="1"/>
  <c r="T17" i="6"/>
  <c r="T18" i="6" s="1"/>
  <c r="T19" i="6" s="1"/>
  <c r="T20" i="6" s="1"/>
  <c r="T21" i="6" s="1"/>
  <c r="T22" i="6" s="1"/>
  <c r="T23" i="6" s="1"/>
  <c r="T24" i="6" s="1"/>
  <c r="T25" i="6" s="1"/>
  <c r="T26" i="6" s="1"/>
  <c r="T27" i="6" s="1"/>
  <c r="T28" i="6" s="1"/>
  <c r="T29" i="6" s="1"/>
  <c r="T30" i="6" s="1"/>
  <c r="T31" i="6" s="1"/>
  <c r="T32" i="6" s="1"/>
  <c r="T33" i="6" s="1"/>
  <c r="T34" i="6" s="1"/>
  <c r="T35" i="6" s="1"/>
  <c r="T36" i="6" s="1"/>
  <c r="T37" i="6" s="1"/>
  <c r="S17" i="6"/>
  <c r="R17" i="6"/>
  <c r="R18" i="6" s="1"/>
  <c r="R19" i="6" s="1"/>
  <c r="R20" i="6" s="1"/>
  <c r="R21" i="6" s="1"/>
  <c r="R22" i="6" s="1"/>
  <c r="R23" i="6" s="1"/>
  <c r="R24" i="6" s="1"/>
  <c r="R25" i="6" s="1"/>
  <c r="R26" i="6" s="1"/>
  <c r="R27" i="6" s="1"/>
  <c r="R28" i="6" s="1"/>
  <c r="R29" i="6" s="1"/>
  <c r="R30" i="6" s="1"/>
  <c r="R31" i="6" s="1"/>
  <c r="R32" i="6" s="1"/>
  <c r="R33" i="6" s="1"/>
  <c r="R34" i="6" s="1"/>
  <c r="R35" i="6" s="1"/>
  <c r="R36" i="6" s="1"/>
  <c r="R37" i="6" s="1"/>
  <c r="Q17" i="6"/>
  <c r="Q18" i="6" s="1"/>
  <c r="Q19" i="6" s="1"/>
  <c r="Q20" i="6" s="1"/>
  <c r="Q21" i="6" s="1"/>
  <c r="Q22" i="6" s="1"/>
  <c r="Q23" i="6" s="1"/>
  <c r="Q24" i="6" s="1"/>
  <c r="Q25" i="6" s="1"/>
  <c r="Q26" i="6" s="1"/>
  <c r="Q27" i="6" s="1"/>
  <c r="Q28" i="6" s="1"/>
  <c r="Q29" i="6" s="1"/>
  <c r="Q30" i="6" s="1"/>
  <c r="Q31" i="6" s="1"/>
  <c r="Q32" i="6" s="1"/>
  <c r="Q33" i="6" s="1"/>
  <c r="Q34" i="6" s="1"/>
  <c r="Q35" i="6" s="1"/>
  <c r="Q36" i="6" s="1"/>
  <c r="Q37" i="6" s="1"/>
  <c r="P17" i="6"/>
  <c r="P18" i="6" s="1"/>
  <c r="P19" i="6" s="1"/>
  <c r="O17" i="6"/>
  <c r="A17" i="6"/>
  <c r="AD16" i="6"/>
  <c r="AD17" i="6" s="1"/>
  <c r="AD18" i="6" s="1"/>
  <c r="AD19" i="6" s="1"/>
  <c r="AD20" i="6" s="1"/>
  <c r="AD21" i="6" s="1"/>
  <c r="AD22" i="6" s="1"/>
  <c r="AD23" i="6" s="1"/>
  <c r="AD24" i="6" s="1"/>
  <c r="AD25" i="6" s="1"/>
  <c r="AD26" i="6" s="1"/>
  <c r="AD27" i="6" s="1"/>
  <c r="AD28" i="6" s="1"/>
  <c r="AD29" i="6" s="1"/>
  <c r="AD30" i="6" s="1"/>
  <c r="AD31" i="6" s="1"/>
  <c r="AD32" i="6" s="1"/>
  <c r="AD33" i="6" s="1"/>
  <c r="AD34" i="6" s="1"/>
  <c r="AD35" i="6" s="1"/>
  <c r="AD36" i="6" s="1"/>
  <c r="AD37" i="6" s="1"/>
  <c r="AC16" i="6"/>
  <c r="AC17" i="6" s="1"/>
  <c r="AC18" i="6" s="1"/>
  <c r="AC19" i="6" s="1"/>
  <c r="AC20" i="6" s="1"/>
  <c r="AC21" i="6" s="1"/>
  <c r="AC22" i="6" s="1"/>
  <c r="AC23" i="6" s="1"/>
  <c r="AC24" i="6" s="1"/>
  <c r="AC25" i="6" s="1"/>
  <c r="AC26" i="6" s="1"/>
  <c r="AC27" i="6" s="1"/>
  <c r="AC28" i="6" s="1"/>
  <c r="AC29" i="6" s="1"/>
  <c r="AC30" i="6" s="1"/>
  <c r="AC31" i="6" s="1"/>
  <c r="AC32" i="6" s="1"/>
  <c r="AC33" i="6" s="1"/>
  <c r="AC34" i="6" s="1"/>
  <c r="AC35" i="6" s="1"/>
  <c r="AC36" i="6" s="1"/>
  <c r="AC37" i="6" s="1"/>
  <c r="AB16" i="6"/>
  <c r="AB17" i="6" s="1"/>
  <c r="AB18" i="6" s="1"/>
  <c r="AB19" i="6" s="1"/>
  <c r="AB20" i="6" s="1"/>
  <c r="AB21" i="6" s="1"/>
  <c r="AB22" i="6" s="1"/>
  <c r="AB23" i="6" s="1"/>
  <c r="AB24" i="6" s="1"/>
  <c r="AB25" i="6" s="1"/>
  <c r="AB26" i="6" s="1"/>
  <c r="AB27" i="6" s="1"/>
  <c r="AB28" i="6" s="1"/>
  <c r="AB29" i="6" s="1"/>
  <c r="AB30" i="6" s="1"/>
  <c r="AB31" i="6" s="1"/>
  <c r="AB32" i="6" s="1"/>
  <c r="AB33" i="6" s="1"/>
  <c r="AB34" i="6" s="1"/>
  <c r="AB35" i="6" s="1"/>
  <c r="AB36" i="6" s="1"/>
  <c r="AB37" i="6" s="1"/>
  <c r="O16" i="6"/>
  <c r="A16" i="6"/>
  <c r="J13" i="6"/>
  <c r="I13" i="6"/>
  <c r="H13" i="6"/>
  <c r="G13" i="6"/>
  <c r="F13" i="6"/>
  <c r="E13" i="6"/>
  <c r="D13" i="6"/>
  <c r="C13" i="6"/>
  <c r="B13" i="6"/>
  <c r="AD12" i="6"/>
  <c r="AC12" i="6"/>
  <c r="AB12" i="6"/>
  <c r="AA12" i="6"/>
  <c r="Z12" i="6"/>
  <c r="Y12" i="6"/>
  <c r="V12" i="6"/>
  <c r="U12" i="6"/>
  <c r="T12" i="6"/>
  <c r="S12" i="6"/>
  <c r="R12" i="6"/>
  <c r="Q12" i="6"/>
  <c r="M9" i="6"/>
  <c r="B9" i="6" s="1"/>
  <c r="J102" i="7" l="1"/>
  <c r="J16" i="6"/>
  <c r="AI171" i="7"/>
  <c r="BL170" i="7"/>
  <c r="AO151" i="7"/>
  <c r="BR150" i="7"/>
  <c r="AR149" i="7"/>
  <c r="BU148" i="7"/>
  <c r="AQ104" i="7"/>
  <c r="BT103" i="7"/>
  <c r="AE166" i="7"/>
  <c r="BH165" i="7"/>
  <c r="AO106" i="7"/>
  <c r="BR105" i="7"/>
  <c r="AR105" i="7"/>
  <c r="BU104" i="7"/>
  <c r="L169" i="7"/>
  <c r="A168" i="7"/>
  <c r="AQ148" i="7"/>
  <c r="BT147" i="7"/>
  <c r="J147" i="7" s="1"/>
  <c r="AW150" i="7"/>
  <c r="T151" i="7"/>
  <c r="Z151" i="7"/>
  <c r="BC150" i="7"/>
  <c r="S151" i="7"/>
  <c r="AV150" i="7"/>
  <c r="Y151" i="7"/>
  <c r="BB150" i="7"/>
  <c r="X151" i="7"/>
  <c r="BA150" i="7"/>
  <c r="AU150" i="7"/>
  <c r="R151" i="7"/>
  <c r="BD150" i="7"/>
  <c r="AA151" i="7"/>
  <c r="W151" i="7"/>
  <c r="AZ150" i="7"/>
  <c r="AY150" i="7"/>
  <c r="V151" i="7"/>
  <c r="U151" i="7"/>
  <c r="AX150" i="7"/>
  <c r="P151" i="7"/>
  <c r="AS150" i="7"/>
  <c r="AT150" i="7"/>
  <c r="Q151" i="7"/>
  <c r="AP171" i="7"/>
  <c r="BS171" i="7" s="1"/>
  <c r="AV105" i="7"/>
  <c r="AV106" i="7"/>
  <c r="AY103" i="7"/>
  <c r="AU103" i="7"/>
  <c r="C27" i="6"/>
  <c r="P20" i="6"/>
  <c r="J19" i="6"/>
  <c r="J17" i="6"/>
  <c r="C20" i="6"/>
  <c r="C24" i="6"/>
  <c r="C28" i="6"/>
  <c r="C17" i="6"/>
  <c r="J18" i="6"/>
  <c r="C21" i="6"/>
  <c r="C25" i="6"/>
  <c r="M12" i="6"/>
  <c r="C16" i="6"/>
  <c r="C18" i="6"/>
  <c r="C22" i="6"/>
  <c r="C26" i="6"/>
  <c r="C19" i="6"/>
  <c r="C23" i="6"/>
  <c r="O30" i="1"/>
  <c r="M17" i="1"/>
  <c r="M19" i="1"/>
  <c r="M21" i="1"/>
  <c r="M22" i="1"/>
  <c r="M23" i="1"/>
  <c r="M24" i="1"/>
  <c r="M25" i="1"/>
  <c r="M26" i="1"/>
  <c r="M27" i="1"/>
  <c r="M28" i="1"/>
  <c r="M29" i="1"/>
  <c r="M30" i="1"/>
  <c r="M16" i="1"/>
  <c r="J103" i="7" l="1"/>
  <c r="AI172" i="7"/>
  <c r="BL171" i="7"/>
  <c r="AO152" i="7"/>
  <c r="BR151" i="7"/>
  <c r="AQ149" i="7"/>
  <c r="BT148" i="7"/>
  <c r="J148" i="7" s="1"/>
  <c r="AE167" i="7"/>
  <c r="BH166" i="7"/>
  <c r="L170" i="7"/>
  <c r="A169" i="7"/>
  <c r="AQ105" i="7"/>
  <c r="BT104" i="7"/>
  <c r="AR106" i="7"/>
  <c r="BU105" i="7"/>
  <c r="AR150" i="7"/>
  <c r="BU149" i="7"/>
  <c r="AO107" i="7"/>
  <c r="BR106" i="7"/>
  <c r="BB151" i="7"/>
  <c r="Y152" i="7"/>
  <c r="AA152" i="7"/>
  <c r="BD151" i="7"/>
  <c r="S152" i="7"/>
  <c r="AV151" i="7"/>
  <c r="AZ151" i="7"/>
  <c r="W152" i="7"/>
  <c r="R152" i="7"/>
  <c r="AU151" i="7"/>
  <c r="T152" i="7"/>
  <c r="AW151" i="7"/>
  <c r="Z152" i="7"/>
  <c r="BC151" i="7"/>
  <c r="BA151" i="7"/>
  <c r="X152" i="7"/>
  <c r="AY151" i="7"/>
  <c r="V152" i="7"/>
  <c r="AX151" i="7"/>
  <c r="U152" i="7"/>
  <c r="AS151" i="7"/>
  <c r="P152" i="7"/>
  <c r="AT151" i="7"/>
  <c r="Q152" i="7"/>
  <c r="AP172" i="7"/>
  <c r="BS172" i="7" s="1"/>
  <c r="AU104" i="7"/>
  <c r="AY104" i="7"/>
  <c r="D37" i="6"/>
  <c r="D35" i="6"/>
  <c r="D30" i="6"/>
  <c r="D33" i="6"/>
  <c r="D36" i="6"/>
  <c r="D32" i="6"/>
  <c r="D34" i="6"/>
  <c r="D31" i="6"/>
  <c r="D29" i="6"/>
  <c r="P21" i="6"/>
  <c r="J20" i="6"/>
  <c r="D26" i="6"/>
  <c r="D22" i="6"/>
  <c r="D18" i="6"/>
  <c r="D16" i="6"/>
  <c r="D25" i="6"/>
  <c r="D21" i="6"/>
  <c r="D17" i="6"/>
  <c r="D28" i="6"/>
  <c r="D24" i="6"/>
  <c r="D20" i="6"/>
  <c r="D27" i="6"/>
  <c r="D23" i="6"/>
  <c r="D19" i="6"/>
  <c r="A31" i="1"/>
  <c r="J104" i="7" l="1"/>
  <c r="AI173" i="7"/>
  <c r="BL172" i="7"/>
  <c r="AO153" i="7"/>
  <c r="BR152" i="7"/>
  <c r="AO108" i="7"/>
  <c r="BR107" i="7"/>
  <c r="L171" i="7"/>
  <c r="A170" i="7"/>
  <c r="AE168" i="7"/>
  <c r="BH167" i="7"/>
  <c r="AR107" i="7"/>
  <c r="BU106" i="7"/>
  <c r="AR151" i="7"/>
  <c r="BU150" i="7"/>
  <c r="AQ106" i="7"/>
  <c r="BT105" i="7"/>
  <c r="AQ150" i="7"/>
  <c r="BT149" i="7"/>
  <c r="J149" i="7" s="1"/>
  <c r="AW152" i="7"/>
  <c r="T153" i="7"/>
  <c r="BD152" i="7"/>
  <c r="AA153" i="7"/>
  <c r="AV152" i="7"/>
  <c r="S153" i="7"/>
  <c r="AU152" i="7"/>
  <c r="R153" i="7"/>
  <c r="BB152" i="7"/>
  <c r="Y153" i="7"/>
  <c r="BC152" i="7"/>
  <c r="Z153" i="7"/>
  <c r="X153" i="7"/>
  <c r="BA152" i="7"/>
  <c r="W153" i="7"/>
  <c r="AZ152" i="7"/>
  <c r="V153" i="7"/>
  <c r="AY152" i="7"/>
  <c r="U153" i="7"/>
  <c r="AX152" i="7"/>
  <c r="AS152" i="7"/>
  <c r="P153" i="7"/>
  <c r="Q153" i="7"/>
  <c r="AT152" i="7"/>
  <c r="AP173" i="7"/>
  <c r="BS173" i="7" s="1"/>
  <c r="AY106" i="7"/>
  <c r="AY105" i="7"/>
  <c r="AU106" i="7"/>
  <c r="AU105" i="7"/>
  <c r="P22" i="6"/>
  <c r="J21" i="6"/>
  <c r="O24" i="5"/>
  <c r="M24" i="5"/>
  <c r="E24" i="5" s="1"/>
  <c r="B24" i="5"/>
  <c r="A24" i="5"/>
  <c r="J105" i="7" l="1"/>
  <c r="AI174" i="7"/>
  <c r="BL173" i="7"/>
  <c r="AO154" i="7"/>
  <c r="BR153" i="7"/>
  <c r="AR108" i="7"/>
  <c r="BU107" i="7"/>
  <c r="AE169" i="7"/>
  <c r="BH168" i="7"/>
  <c r="AR152" i="7"/>
  <c r="BU151" i="7"/>
  <c r="AQ151" i="7"/>
  <c r="BT150" i="7"/>
  <c r="J150" i="7" s="1"/>
  <c r="AQ107" i="7"/>
  <c r="BT106" i="7"/>
  <c r="J106" i="7" s="1"/>
  <c r="L172" i="7"/>
  <c r="A171" i="7"/>
  <c r="AO109" i="7"/>
  <c r="AO110" i="7" s="1"/>
  <c r="BR108" i="7"/>
  <c r="S154" i="7"/>
  <c r="AV153" i="7"/>
  <c r="BA153" i="7"/>
  <c r="X154" i="7"/>
  <c r="Z154" i="7"/>
  <c r="BC153" i="7"/>
  <c r="AA154" i="7"/>
  <c r="BD153" i="7"/>
  <c r="AZ153" i="7"/>
  <c r="W154" i="7"/>
  <c r="Y154" i="7"/>
  <c r="BB153" i="7"/>
  <c r="T154" i="7"/>
  <c r="AW153" i="7"/>
  <c r="AU153" i="7"/>
  <c r="R154" i="7"/>
  <c r="AY153" i="7"/>
  <c r="V154" i="7"/>
  <c r="AX153" i="7"/>
  <c r="U154" i="7"/>
  <c r="P154" i="7"/>
  <c r="AS153" i="7"/>
  <c r="AT153" i="7"/>
  <c r="Q154" i="7"/>
  <c r="AP174" i="7"/>
  <c r="BS174" i="7" s="1"/>
  <c r="P23" i="6"/>
  <c r="J22" i="6"/>
  <c r="B17" i="5"/>
  <c r="B18" i="5"/>
  <c r="B19" i="5"/>
  <c r="B20" i="5"/>
  <c r="B21" i="5"/>
  <c r="B22" i="5"/>
  <c r="B23" i="5"/>
  <c r="B25" i="5"/>
  <c r="B26" i="5"/>
  <c r="B27" i="5"/>
  <c r="B16" i="5"/>
  <c r="BR110" i="7" l="1"/>
  <c r="AO111" i="7"/>
  <c r="AI175" i="7"/>
  <c r="BL174" i="7"/>
  <c r="AO155" i="7"/>
  <c r="BR154" i="7"/>
  <c r="L173" i="7"/>
  <c r="A172" i="7"/>
  <c r="AR153" i="7"/>
  <c r="BU152" i="7"/>
  <c r="BT107" i="7"/>
  <c r="J107" i="7" s="1"/>
  <c r="AQ108" i="7"/>
  <c r="AE170" i="7"/>
  <c r="BH169" i="7"/>
  <c r="AQ152" i="7"/>
  <c r="BT151" i="7"/>
  <c r="J151" i="7" s="1"/>
  <c r="AO113" i="7"/>
  <c r="BR113" i="7" s="1"/>
  <c r="BR109" i="7"/>
  <c r="AR109" i="7"/>
  <c r="AR110" i="7" s="1"/>
  <c r="BU108" i="7"/>
  <c r="BD154" i="7"/>
  <c r="AA155" i="7"/>
  <c r="T155" i="7"/>
  <c r="AW154" i="7"/>
  <c r="Z155" i="7"/>
  <c r="BC154" i="7"/>
  <c r="Y155" i="7"/>
  <c r="BB154" i="7"/>
  <c r="BA154" i="7"/>
  <c r="X155" i="7"/>
  <c r="W155" i="7"/>
  <c r="AZ154" i="7"/>
  <c r="R155" i="7"/>
  <c r="AU154" i="7"/>
  <c r="S155" i="7"/>
  <c r="AV154" i="7"/>
  <c r="V155" i="7"/>
  <c r="AY154" i="7"/>
  <c r="AX154" i="7"/>
  <c r="U155" i="7"/>
  <c r="P155" i="7"/>
  <c r="AS154" i="7"/>
  <c r="AT154" i="7"/>
  <c r="Q155" i="7"/>
  <c r="AP175" i="7"/>
  <c r="BS175" i="7" s="1"/>
  <c r="P24" i="6"/>
  <c r="J23" i="6"/>
  <c r="M16" i="5"/>
  <c r="E16" i="5" s="1"/>
  <c r="M17" i="5"/>
  <c r="E17" i="5" s="1"/>
  <c r="M18" i="5"/>
  <c r="E18" i="5" s="1"/>
  <c r="M19" i="5"/>
  <c r="E19" i="5" s="1"/>
  <c r="M20" i="5"/>
  <c r="E20" i="5" s="1"/>
  <c r="M21" i="5"/>
  <c r="E21" i="5" s="1"/>
  <c r="M22" i="5"/>
  <c r="E22" i="5" s="1"/>
  <c r="M23" i="5"/>
  <c r="E23" i="5" s="1"/>
  <c r="M25" i="5"/>
  <c r="E25" i="5" s="1"/>
  <c r="M26" i="5"/>
  <c r="M27" i="5"/>
  <c r="M11" i="5"/>
  <c r="C24" i="5" s="1"/>
  <c r="M9" i="5"/>
  <c r="B9" i="5" s="1"/>
  <c r="O27" i="5"/>
  <c r="E27" i="5"/>
  <c r="A27" i="5"/>
  <c r="O26" i="5"/>
  <c r="E26" i="5"/>
  <c r="A26" i="5"/>
  <c r="O25" i="5"/>
  <c r="A25" i="5"/>
  <c r="O23" i="5"/>
  <c r="A23" i="5"/>
  <c r="O22" i="5"/>
  <c r="A22" i="5"/>
  <c r="O21" i="5"/>
  <c r="A21" i="5"/>
  <c r="O20" i="5"/>
  <c r="A20" i="5"/>
  <c r="O19" i="5"/>
  <c r="A19" i="5"/>
  <c r="T18" i="5"/>
  <c r="T19" i="5" s="1"/>
  <c r="T20" i="5" s="1"/>
  <c r="T21" i="5" s="1"/>
  <c r="T22" i="5" s="1"/>
  <c r="O18" i="5"/>
  <c r="A18" i="5"/>
  <c r="AB17" i="5"/>
  <c r="AB18" i="5" s="1"/>
  <c r="AB19" i="5" s="1"/>
  <c r="AB20" i="5" s="1"/>
  <c r="AB21" i="5" s="1"/>
  <c r="AB22" i="5" s="1"/>
  <c r="AB23" i="5" s="1"/>
  <c r="AB24" i="5" s="1"/>
  <c r="AB25" i="5" s="1"/>
  <c r="AB26" i="5" s="1"/>
  <c r="AB27" i="5" s="1"/>
  <c r="AA17" i="5"/>
  <c r="AA18" i="5" s="1"/>
  <c r="AA19" i="5" s="1"/>
  <c r="AA20" i="5" s="1"/>
  <c r="AA21" i="5" s="1"/>
  <c r="AA22" i="5" s="1"/>
  <c r="AA23" i="5" s="1"/>
  <c r="AA24" i="5" s="1"/>
  <c r="AA25" i="5" s="1"/>
  <c r="AA26" i="5" s="1"/>
  <c r="AA27" i="5" s="1"/>
  <c r="Z17" i="5"/>
  <c r="Z18" i="5" s="1"/>
  <c r="Z19" i="5" s="1"/>
  <c r="Z20" i="5" s="1"/>
  <c r="Z21" i="5" s="1"/>
  <c r="Z22" i="5" s="1"/>
  <c r="Z23" i="5" s="1"/>
  <c r="Z24" i="5" s="1"/>
  <c r="Z25" i="5" s="1"/>
  <c r="Z26" i="5" s="1"/>
  <c r="Z27" i="5" s="1"/>
  <c r="Y17" i="5"/>
  <c r="Y18" i="5" s="1"/>
  <c r="Y19" i="5" s="1"/>
  <c r="Y20" i="5" s="1"/>
  <c r="Y21" i="5" s="1"/>
  <c r="Y22" i="5" s="1"/>
  <c r="Y23" i="5" s="1"/>
  <c r="Y24" i="5" s="1"/>
  <c r="Y25" i="5" s="1"/>
  <c r="Y26" i="5" s="1"/>
  <c r="Y27" i="5" s="1"/>
  <c r="V17" i="5"/>
  <c r="V18" i="5" s="1"/>
  <c r="V19" i="5" s="1"/>
  <c r="V20" i="5" s="1"/>
  <c r="V21" i="5" s="1"/>
  <c r="V22" i="5" s="1"/>
  <c r="U17" i="5"/>
  <c r="U18" i="5" s="1"/>
  <c r="U19" i="5" s="1"/>
  <c r="U20" i="5" s="1"/>
  <c r="U21" i="5" s="1"/>
  <c r="U22" i="5" s="1"/>
  <c r="T17" i="5"/>
  <c r="S17" i="5"/>
  <c r="S18" i="5" s="1"/>
  <c r="S19" i="5" s="1"/>
  <c r="S20" i="5" s="1"/>
  <c r="S21" i="5" s="1"/>
  <c r="S22" i="5" s="1"/>
  <c r="R17" i="5"/>
  <c r="R18" i="5" s="1"/>
  <c r="R19" i="5" s="1"/>
  <c r="R20" i="5" s="1"/>
  <c r="R21" i="5" s="1"/>
  <c r="R22" i="5" s="1"/>
  <c r="Q17" i="5"/>
  <c r="Q18" i="5" s="1"/>
  <c r="Q19" i="5" s="1"/>
  <c r="Q20" i="5" s="1"/>
  <c r="Q21" i="5" s="1"/>
  <c r="Q22" i="5" s="1"/>
  <c r="P17" i="5"/>
  <c r="P18" i="5" s="1"/>
  <c r="P19" i="5" s="1"/>
  <c r="O17" i="5"/>
  <c r="A17" i="5"/>
  <c r="AD16" i="5"/>
  <c r="AD17" i="5" s="1"/>
  <c r="AD18" i="5" s="1"/>
  <c r="AD19" i="5" s="1"/>
  <c r="AD20" i="5" s="1"/>
  <c r="AD21" i="5" s="1"/>
  <c r="AD22" i="5" s="1"/>
  <c r="AD23" i="5" s="1"/>
  <c r="AD24" i="5" s="1"/>
  <c r="AD25" i="5" s="1"/>
  <c r="AD26" i="5" s="1"/>
  <c r="AD27" i="5" s="1"/>
  <c r="AC16" i="5"/>
  <c r="AC17" i="5" s="1"/>
  <c r="AC18" i="5" s="1"/>
  <c r="AC19" i="5" s="1"/>
  <c r="AC20" i="5" s="1"/>
  <c r="AC21" i="5" s="1"/>
  <c r="AC22" i="5" s="1"/>
  <c r="AC23" i="5" s="1"/>
  <c r="AC24" i="5" s="1"/>
  <c r="AC25" i="5" s="1"/>
  <c r="AC26" i="5" s="1"/>
  <c r="AC27" i="5" s="1"/>
  <c r="AB16" i="5"/>
  <c r="O16" i="5"/>
  <c r="A16" i="5"/>
  <c r="J13" i="5"/>
  <c r="I13" i="5"/>
  <c r="H13" i="5"/>
  <c r="G13" i="5"/>
  <c r="F13" i="5"/>
  <c r="E13" i="5"/>
  <c r="D13" i="5"/>
  <c r="C13" i="5"/>
  <c r="B13" i="5"/>
  <c r="AD12" i="5"/>
  <c r="AC12" i="5"/>
  <c r="AB12" i="5"/>
  <c r="AA12" i="5"/>
  <c r="Z12" i="5"/>
  <c r="Y12" i="5"/>
  <c r="V12" i="5"/>
  <c r="U12" i="5"/>
  <c r="T12" i="5"/>
  <c r="S12" i="5"/>
  <c r="R12" i="5"/>
  <c r="Q12" i="5"/>
  <c r="BU110" i="7" l="1"/>
  <c r="AR111" i="7"/>
  <c r="BR111" i="7"/>
  <c r="AO112" i="7"/>
  <c r="AI176" i="7"/>
  <c r="BL175" i="7"/>
  <c r="AO156" i="7"/>
  <c r="BR155" i="7"/>
  <c r="AR113" i="7"/>
  <c r="BU113" i="7" s="1"/>
  <c r="BU109" i="7"/>
  <c r="AR154" i="7"/>
  <c r="BU153" i="7"/>
  <c r="L174" i="7"/>
  <c r="A173" i="7"/>
  <c r="AE171" i="7"/>
  <c r="BH170" i="7"/>
  <c r="BT108" i="7"/>
  <c r="J108" i="7" s="1"/>
  <c r="AQ109" i="7"/>
  <c r="AQ110" i="7" s="1"/>
  <c r="AQ153" i="7"/>
  <c r="BT152" i="7"/>
  <c r="J152" i="7" s="1"/>
  <c r="S156" i="7"/>
  <c r="AV155" i="7"/>
  <c r="AU155" i="7"/>
  <c r="R156" i="7"/>
  <c r="Z156" i="7"/>
  <c r="BC155" i="7"/>
  <c r="Y156" i="7"/>
  <c r="BB155" i="7"/>
  <c r="W156" i="7"/>
  <c r="AZ155" i="7"/>
  <c r="T156" i="7"/>
  <c r="AW155" i="7"/>
  <c r="X156" i="7"/>
  <c r="BA155" i="7"/>
  <c r="BD155" i="7"/>
  <c r="AA156" i="7"/>
  <c r="V156" i="7"/>
  <c r="AY155" i="7"/>
  <c r="U156" i="7"/>
  <c r="AX155" i="7"/>
  <c r="AS155" i="7"/>
  <c r="P156" i="7"/>
  <c r="Q156" i="7"/>
  <c r="AT155" i="7"/>
  <c r="AP176" i="7"/>
  <c r="BS176" i="7" s="1"/>
  <c r="P25" i="6"/>
  <c r="J24" i="6"/>
  <c r="S23" i="5"/>
  <c r="S25" i="5" s="1"/>
  <c r="S26" i="5" s="1"/>
  <c r="S27" i="5" s="1"/>
  <c r="S24" i="5"/>
  <c r="U23" i="5"/>
  <c r="U25" i="5" s="1"/>
  <c r="U26" i="5" s="1"/>
  <c r="U27" i="5" s="1"/>
  <c r="U24" i="5"/>
  <c r="T23" i="5"/>
  <c r="T25" i="5" s="1"/>
  <c r="T26" i="5" s="1"/>
  <c r="T27" i="5" s="1"/>
  <c r="T24" i="5"/>
  <c r="Q23" i="5"/>
  <c r="Q25" i="5" s="1"/>
  <c r="Q26" i="5" s="1"/>
  <c r="Q27" i="5" s="1"/>
  <c r="Q24" i="5"/>
  <c r="R23" i="5"/>
  <c r="R25" i="5" s="1"/>
  <c r="R26" i="5" s="1"/>
  <c r="R27" i="5" s="1"/>
  <c r="R24" i="5"/>
  <c r="V23" i="5"/>
  <c r="V25" i="5" s="1"/>
  <c r="V26" i="5" s="1"/>
  <c r="V27" i="5" s="1"/>
  <c r="V24" i="5"/>
  <c r="J19" i="5"/>
  <c r="J18" i="5"/>
  <c r="C23" i="5"/>
  <c r="J17" i="5"/>
  <c r="P20" i="5"/>
  <c r="C21" i="5"/>
  <c r="C22" i="5"/>
  <c r="J16" i="5"/>
  <c r="C17" i="5"/>
  <c r="C16" i="5"/>
  <c r="C18" i="5"/>
  <c r="C25" i="5"/>
  <c r="M12" i="5"/>
  <c r="D24" i="5" s="1"/>
  <c r="C19" i="5"/>
  <c r="C20" i="5"/>
  <c r="C26" i="5"/>
  <c r="C27" i="5"/>
  <c r="O29" i="1"/>
  <c r="E29" i="1"/>
  <c r="B29" i="1"/>
  <c r="A29" i="1"/>
  <c r="BR112" i="7" l="1"/>
  <c r="BT110" i="7"/>
  <c r="J110" i="7" s="1"/>
  <c r="AQ111" i="7"/>
  <c r="BU111" i="7"/>
  <c r="AR112" i="7"/>
  <c r="AI177" i="7"/>
  <c r="BL176" i="7"/>
  <c r="AO157" i="7"/>
  <c r="BR156" i="7"/>
  <c r="AQ154" i="7"/>
  <c r="BT153" i="7"/>
  <c r="J153" i="7" s="1"/>
  <c r="L175" i="7"/>
  <c r="A174" i="7"/>
  <c r="AR155" i="7"/>
  <c r="BU154" i="7"/>
  <c r="AE172" i="7"/>
  <c r="BH171" i="7"/>
  <c r="BT109" i="7"/>
  <c r="J109" i="7" s="1"/>
  <c r="AQ113" i="7"/>
  <c r="BT113" i="7" s="1"/>
  <c r="J113" i="7" s="1"/>
  <c r="Y157" i="7"/>
  <c r="BB156" i="7"/>
  <c r="Z157" i="7"/>
  <c r="BC156" i="7"/>
  <c r="AU156" i="7"/>
  <c r="R157" i="7"/>
  <c r="AZ156" i="7"/>
  <c r="W157" i="7"/>
  <c r="X157" i="7"/>
  <c r="BA156" i="7"/>
  <c r="T157" i="7"/>
  <c r="AW156" i="7"/>
  <c r="BD156" i="7"/>
  <c r="AA157" i="7"/>
  <c r="S157" i="7"/>
  <c r="AV156" i="7"/>
  <c r="AY156" i="7"/>
  <c r="V157" i="7"/>
  <c r="AX156" i="7"/>
  <c r="U157" i="7"/>
  <c r="P157" i="7"/>
  <c r="AS156" i="7"/>
  <c r="Q157" i="7"/>
  <c r="AT156" i="7"/>
  <c r="AP177" i="7"/>
  <c r="BS177" i="7" s="1"/>
  <c r="P26" i="6"/>
  <c r="J25" i="6"/>
  <c r="D27" i="5"/>
  <c r="D22" i="5"/>
  <c r="D25" i="5"/>
  <c r="D18" i="5"/>
  <c r="D16" i="5"/>
  <c r="D17" i="5"/>
  <c r="D23" i="5"/>
  <c r="D21" i="5"/>
  <c r="D26" i="5"/>
  <c r="D20" i="5"/>
  <c r="D19" i="5"/>
  <c r="P21" i="5"/>
  <c r="J20" i="5"/>
  <c r="B31" i="4"/>
  <c r="B30" i="4"/>
  <c r="B29" i="4"/>
  <c r="B28" i="4"/>
  <c r="B27" i="4"/>
  <c r="B26" i="4"/>
  <c r="B25" i="4"/>
  <c r="B24" i="4"/>
  <c r="B23" i="4"/>
  <c r="B22" i="4"/>
  <c r="B21" i="4"/>
  <c r="B20" i="4"/>
  <c r="B19" i="4"/>
  <c r="B18" i="4"/>
  <c r="B17" i="4"/>
  <c r="BU112" i="7" l="1"/>
  <c r="AQ112" i="7"/>
  <c r="BT111" i="7"/>
  <c r="J111" i="7" s="1"/>
  <c r="AI178" i="7"/>
  <c r="BL177" i="7"/>
  <c r="AO158" i="7"/>
  <c r="BR157" i="7"/>
  <c r="AR156" i="7"/>
  <c r="BU155" i="7"/>
  <c r="L176" i="7"/>
  <c r="A175" i="7"/>
  <c r="AE173" i="7"/>
  <c r="BH172" i="7"/>
  <c r="AQ155" i="7"/>
  <c r="BT154" i="7"/>
  <c r="J154" i="7" s="1"/>
  <c r="W158" i="7"/>
  <c r="AZ157" i="7"/>
  <c r="S158" i="7"/>
  <c r="AV157" i="7"/>
  <c r="R158" i="7"/>
  <c r="AU157" i="7"/>
  <c r="AA158" i="7"/>
  <c r="BD157" i="7"/>
  <c r="AW157" i="7"/>
  <c r="T158" i="7"/>
  <c r="Z158" i="7"/>
  <c r="BC157" i="7"/>
  <c r="X158" i="7"/>
  <c r="BA157" i="7"/>
  <c r="BB157" i="7"/>
  <c r="Y158" i="7"/>
  <c r="V158" i="7"/>
  <c r="AY157" i="7"/>
  <c r="U158" i="7"/>
  <c r="AX157" i="7"/>
  <c r="AS157" i="7"/>
  <c r="P158" i="7"/>
  <c r="AT157" i="7"/>
  <c r="Q158" i="7"/>
  <c r="AP178" i="7"/>
  <c r="BS178" i="7" s="1"/>
  <c r="P27" i="6"/>
  <c r="J26" i="6"/>
  <c r="J21" i="5"/>
  <c r="P22" i="5"/>
  <c r="P24" i="5" s="1"/>
  <c r="J24" i="5" s="1"/>
  <c r="M11" i="4"/>
  <c r="AD17" i="4"/>
  <c r="AD18" i="4" s="1"/>
  <c r="AD19" i="4" s="1"/>
  <c r="AD20" i="4" s="1"/>
  <c r="AD21" i="4" s="1"/>
  <c r="AD22" i="4" s="1"/>
  <c r="AD23" i="4" s="1"/>
  <c r="AD24" i="4" s="1"/>
  <c r="AD25" i="4" s="1"/>
  <c r="AD26" i="4" s="1"/>
  <c r="AD27" i="4" s="1"/>
  <c r="AD28" i="4" s="1"/>
  <c r="AD29" i="4" s="1"/>
  <c r="AD30" i="4" s="1"/>
  <c r="AD31" i="4" s="1"/>
  <c r="AC17" i="4"/>
  <c r="AC18" i="4" s="1"/>
  <c r="AC19" i="4" s="1"/>
  <c r="AC20" i="4" s="1"/>
  <c r="AC21" i="4" s="1"/>
  <c r="AC22" i="4" s="1"/>
  <c r="AC23" i="4" s="1"/>
  <c r="AC24" i="4" s="1"/>
  <c r="AC25" i="4" s="1"/>
  <c r="AC26" i="4" s="1"/>
  <c r="AC27" i="4" s="1"/>
  <c r="AC28" i="4" s="1"/>
  <c r="AC29" i="4" s="1"/>
  <c r="AC30" i="4" s="1"/>
  <c r="AC31" i="4" s="1"/>
  <c r="AB17" i="4"/>
  <c r="AB18" i="4" s="1"/>
  <c r="AB19" i="4" s="1"/>
  <c r="AB20" i="4" s="1"/>
  <c r="AB21" i="4" s="1"/>
  <c r="AB22" i="4" s="1"/>
  <c r="AB23" i="4" s="1"/>
  <c r="AB24" i="4" s="1"/>
  <c r="AB25" i="4" s="1"/>
  <c r="AB26" i="4" s="1"/>
  <c r="AB27" i="4" s="1"/>
  <c r="AB28" i="4" s="1"/>
  <c r="AB29" i="4" s="1"/>
  <c r="AB30" i="4" s="1"/>
  <c r="AB31" i="4" s="1"/>
  <c r="AA17" i="4"/>
  <c r="AA18" i="4" s="1"/>
  <c r="AA19" i="4" s="1"/>
  <c r="AA20" i="4" s="1"/>
  <c r="AA21" i="4" s="1"/>
  <c r="AA22" i="4" s="1"/>
  <c r="AA23" i="4" s="1"/>
  <c r="AA24" i="4" s="1"/>
  <c r="AA25" i="4" s="1"/>
  <c r="AA26" i="4" s="1"/>
  <c r="AA27" i="4" s="1"/>
  <c r="AA28" i="4" s="1"/>
  <c r="AA29" i="4" s="1"/>
  <c r="AA30" i="4" s="1"/>
  <c r="AA31" i="4" s="1"/>
  <c r="Z17" i="4"/>
  <c r="Z18" i="4" s="1"/>
  <c r="Z19" i="4" s="1"/>
  <c r="Z20" i="4" s="1"/>
  <c r="Z21" i="4" s="1"/>
  <c r="Z22" i="4" s="1"/>
  <c r="Z23" i="4" s="1"/>
  <c r="Z24" i="4" s="1"/>
  <c r="Z25" i="4" s="1"/>
  <c r="Z26" i="4" s="1"/>
  <c r="Z27" i="4" s="1"/>
  <c r="Z28" i="4" s="1"/>
  <c r="Z29" i="4" s="1"/>
  <c r="Z30" i="4" s="1"/>
  <c r="Z31" i="4" s="1"/>
  <c r="Y17" i="4"/>
  <c r="Y18" i="4" s="1"/>
  <c r="Y19" i="4" s="1"/>
  <c r="Y20" i="4" s="1"/>
  <c r="Y21" i="4" s="1"/>
  <c r="Y22" i="4" s="1"/>
  <c r="Y23" i="4" s="1"/>
  <c r="Y24" i="4" s="1"/>
  <c r="Y25" i="4" s="1"/>
  <c r="Y26" i="4" s="1"/>
  <c r="Y27" i="4" s="1"/>
  <c r="Y28" i="4" s="1"/>
  <c r="Y29" i="4" s="1"/>
  <c r="Y30" i="4" s="1"/>
  <c r="Y31" i="4" s="1"/>
  <c r="P17" i="4"/>
  <c r="AF17" i="4"/>
  <c r="AF26" i="4"/>
  <c r="AF28" i="4"/>
  <c r="AF19" i="4"/>
  <c r="AF22" i="4"/>
  <c r="AF24" i="4"/>
  <c r="AF25" i="4"/>
  <c r="AF29" i="4"/>
  <c r="AF31" i="4"/>
  <c r="AF20" i="4"/>
  <c r="AF21" i="4"/>
  <c r="AF23" i="4"/>
  <c r="AF27" i="4"/>
  <c r="AF18" i="4"/>
  <c r="AF30" i="4"/>
  <c r="AF16" i="4"/>
  <c r="BT112" i="7" l="1"/>
  <c r="J112" i="7" s="1"/>
  <c r="AI179" i="7"/>
  <c r="BL178" i="7"/>
  <c r="AO159" i="7"/>
  <c r="BR158" i="7"/>
  <c r="AE174" i="7"/>
  <c r="BH173" i="7"/>
  <c r="AQ156" i="7"/>
  <c r="BT155" i="7"/>
  <c r="J155" i="7" s="1"/>
  <c r="L177" i="7"/>
  <c r="A176" i="7"/>
  <c r="AR157" i="7"/>
  <c r="BU156" i="7"/>
  <c r="BB158" i="7"/>
  <c r="Y159" i="7"/>
  <c r="AA159" i="7"/>
  <c r="BD158" i="7"/>
  <c r="Z159" i="7"/>
  <c r="BC158" i="7"/>
  <c r="S159" i="7"/>
  <c r="AV158" i="7"/>
  <c r="R159" i="7"/>
  <c r="AU158" i="7"/>
  <c r="AW158" i="7"/>
  <c r="T159" i="7"/>
  <c r="X159" i="7"/>
  <c r="BA158" i="7"/>
  <c r="AZ158" i="7"/>
  <c r="W159" i="7"/>
  <c r="V159" i="7"/>
  <c r="AY158" i="7"/>
  <c r="AX158" i="7"/>
  <c r="U159" i="7"/>
  <c r="AS158" i="7"/>
  <c r="P159" i="7"/>
  <c r="Q159" i="7"/>
  <c r="AT158" i="7"/>
  <c r="AP179" i="7"/>
  <c r="BS179" i="7" s="1"/>
  <c r="P28" i="6"/>
  <c r="J27" i="6"/>
  <c r="P23" i="5"/>
  <c r="J22" i="5"/>
  <c r="P18" i="4"/>
  <c r="M12" i="4"/>
  <c r="M9" i="4"/>
  <c r="J28" i="6" l="1"/>
  <c r="P29" i="6"/>
  <c r="AI180" i="7"/>
  <c r="BL179" i="7"/>
  <c r="AO160" i="7"/>
  <c r="BR159" i="7"/>
  <c r="AQ157" i="7"/>
  <c r="BT156" i="7"/>
  <c r="J156" i="7" s="1"/>
  <c r="AE175" i="7"/>
  <c r="BH174" i="7"/>
  <c r="AR158" i="7"/>
  <c r="BU157" i="7"/>
  <c r="L178" i="7"/>
  <c r="A177" i="7"/>
  <c r="Y160" i="7"/>
  <c r="BB159" i="7"/>
  <c r="S160" i="7"/>
  <c r="AV159" i="7"/>
  <c r="X160" i="7"/>
  <c r="BA159" i="7"/>
  <c r="T160" i="7"/>
  <c r="AW159" i="7"/>
  <c r="BC159" i="7"/>
  <c r="Z160" i="7"/>
  <c r="BD159" i="7"/>
  <c r="AA160" i="7"/>
  <c r="R160" i="7"/>
  <c r="AU159" i="7"/>
  <c r="W160" i="7"/>
  <c r="AZ159" i="7"/>
  <c r="AY159" i="7"/>
  <c r="V160" i="7"/>
  <c r="U160" i="7"/>
  <c r="AX159" i="7"/>
  <c r="P160" i="7"/>
  <c r="AS159" i="7"/>
  <c r="AT159" i="7"/>
  <c r="Q160" i="7"/>
  <c r="AP180" i="7"/>
  <c r="BS180" i="7" s="1"/>
  <c r="P25" i="5"/>
  <c r="J23" i="5"/>
  <c r="P19" i="4"/>
  <c r="W30" i="4"/>
  <c r="W18" i="4"/>
  <c r="W27" i="4"/>
  <c r="W23" i="4"/>
  <c r="W21" i="4"/>
  <c r="W20" i="4"/>
  <c r="W31" i="4"/>
  <c r="W29" i="4"/>
  <c r="W25" i="4"/>
  <c r="W24" i="4"/>
  <c r="W22" i="4"/>
  <c r="W19" i="4"/>
  <c r="W28" i="4"/>
  <c r="W26" i="4"/>
  <c r="W17" i="4"/>
  <c r="W16" i="4"/>
  <c r="O30" i="4"/>
  <c r="M30" i="4"/>
  <c r="O18" i="4"/>
  <c r="M18" i="4"/>
  <c r="O27" i="4"/>
  <c r="M27" i="4"/>
  <c r="O23" i="4"/>
  <c r="M23" i="4"/>
  <c r="O21" i="4"/>
  <c r="M21" i="4"/>
  <c r="O20" i="4"/>
  <c r="M20" i="4"/>
  <c r="O31" i="4"/>
  <c r="M31" i="4"/>
  <c r="O29" i="4"/>
  <c r="M29" i="4"/>
  <c r="O25" i="4"/>
  <c r="M25" i="4"/>
  <c r="O24" i="4"/>
  <c r="M24" i="4"/>
  <c r="O22" i="4"/>
  <c r="M22" i="4"/>
  <c r="O19" i="4"/>
  <c r="M19" i="4"/>
  <c r="O28" i="4"/>
  <c r="M28" i="4"/>
  <c r="O26" i="4"/>
  <c r="M26" i="4"/>
  <c r="O17" i="4"/>
  <c r="M17" i="4"/>
  <c r="O16" i="4"/>
  <c r="M16" i="4"/>
  <c r="P30" i="6" l="1"/>
  <c r="J29" i="6"/>
  <c r="AI181" i="7"/>
  <c r="BL180" i="7"/>
  <c r="AO161" i="7"/>
  <c r="BR160" i="7"/>
  <c r="AR159" i="7"/>
  <c r="BU158" i="7"/>
  <c r="L179" i="7"/>
  <c r="A178" i="7"/>
  <c r="AQ158" i="7"/>
  <c r="BT157" i="7"/>
  <c r="J157" i="7" s="1"/>
  <c r="AE176" i="7"/>
  <c r="BH175" i="7"/>
  <c r="AW160" i="7"/>
  <c r="T161" i="7"/>
  <c r="X161" i="7"/>
  <c r="BA160" i="7"/>
  <c r="BD160" i="7"/>
  <c r="AA161" i="7"/>
  <c r="AV160" i="7"/>
  <c r="S161" i="7"/>
  <c r="AU160" i="7"/>
  <c r="R161" i="7"/>
  <c r="BC160" i="7"/>
  <c r="Z161" i="7"/>
  <c r="W161" i="7"/>
  <c r="AZ160" i="7"/>
  <c r="BB160" i="7"/>
  <c r="Y161" i="7"/>
  <c r="AY160" i="7"/>
  <c r="V161" i="7"/>
  <c r="AX160" i="7"/>
  <c r="U161" i="7"/>
  <c r="P161" i="7"/>
  <c r="AS160" i="7"/>
  <c r="AT160" i="7"/>
  <c r="Q161" i="7"/>
  <c r="AP181" i="7"/>
  <c r="BS181" i="7" s="1"/>
  <c r="P26" i="5"/>
  <c r="J25" i="5"/>
  <c r="P20" i="4"/>
  <c r="Z17" i="1"/>
  <c r="AA17" i="1"/>
  <c r="Y17" i="1"/>
  <c r="P31" i="6" l="1"/>
  <c r="J30" i="6"/>
  <c r="Y19" i="1"/>
  <c r="Y21" i="1" s="1"/>
  <c r="Y22" i="1" s="1"/>
  <c r="Y23" i="1" s="1"/>
  <c r="Y24" i="1" s="1"/>
  <c r="Y25" i="1" s="1"/>
  <c r="Y26" i="1" s="1"/>
  <c r="Y27" i="1" s="1"/>
  <c r="Y28" i="1" s="1"/>
  <c r="Y29" i="1" s="1"/>
  <c r="Y30" i="1" s="1"/>
  <c r="Y18" i="1"/>
  <c r="Y20" i="1" s="1"/>
  <c r="BL181" i="7"/>
  <c r="AI182" i="7"/>
  <c r="AO162" i="7"/>
  <c r="BR161" i="7"/>
  <c r="AQ159" i="7"/>
  <c r="BT158" i="7"/>
  <c r="J158" i="7" s="1"/>
  <c r="L180" i="7"/>
  <c r="A179" i="7"/>
  <c r="AR160" i="7"/>
  <c r="BU159" i="7"/>
  <c r="AE177" i="7"/>
  <c r="BH176" i="7"/>
  <c r="AV161" i="7"/>
  <c r="S162" i="7"/>
  <c r="W162" i="7"/>
  <c r="AZ161" i="7"/>
  <c r="AU161" i="7"/>
  <c r="R162" i="7"/>
  <c r="BA161" i="7"/>
  <c r="X162" i="7"/>
  <c r="AW161" i="7"/>
  <c r="T162" i="7"/>
  <c r="BD161" i="7"/>
  <c r="AA162" i="7"/>
  <c r="BC161" i="7"/>
  <c r="Z162" i="7"/>
  <c r="Y162" i="7"/>
  <c r="BB161" i="7"/>
  <c r="AY161" i="7"/>
  <c r="V162" i="7"/>
  <c r="U162" i="7"/>
  <c r="AX161" i="7"/>
  <c r="AS161" i="7"/>
  <c r="P162" i="7"/>
  <c r="Q162" i="7"/>
  <c r="AT161" i="7"/>
  <c r="AP182" i="7"/>
  <c r="BS182" i="7" s="1"/>
  <c r="Z19" i="1"/>
  <c r="Z21" i="1" s="1"/>
  <c r="Z22" i="1" s="1"/>
  <c r="Z23" i="1" s="1"/>
  <c r="Z24" i="1" s="1"/>
  <c r="Z25" i="1" s="1"/>
  <c r="Z26" i="1" s="1"/>
  <c r="Z27" i="1" s="1"/>
  <c r="Z28" i="1" s="1"/>
  <c r="Z29" i="1" s="1"/>
  <c r="Z30" i="1" s="1"/>
  <c r="Z18" i="1"/>
  <c r="Z20" i="1" s="1"/>
  <c r="AA19" i="1"/>
  <c r="AA21" i="1" s="1"/>
  <c r="AA22" i="1" s="1"/>
  <c r="AA23" i="1" s="1"/>
  <c r="AA24" i="1" s="1"/>
  <c r="AA25" i="1" s="1"/>
  <c r="AA26" i="1" s="1"/>
  <c r="AA27" i="1" s="1"/>
  <c r="AA28" i="1" s="1"/>
  <c r="AA29" i="1" s="1"/>
  <c r="AA30" i="1" s="1"/>
  <c r="AA18" i="1"/>
  <c r="AA20" i="1" s="1"/>
  <c r="J26" i="5"/>
  <c r="P27" i="5"/>
  <c r="P21" i="4"/>
  <c r="B16" i="4"/>
  <c r="E28" i="4"/>
  <c r="E22" i="4"/>
  <c r="E24" i="4"/>
  <c r="E25" i="4"/>
  <c r="E29" i="4"/>
  <c r="E31" i="4"/>
  <c r="E18" i="4"/>
  <c r="E19" i="4"/>
  <c r="E30" i="4"/>
  <c r="A30" i="4"/>
  <c r="H18" i="4"/>
  <c r="A18" i="4"/>
  <c r="H27" i="4"/>
  <c r="A27" i="4"/>
  <c r="H23" i="4"/>
  <c r="A23" i="4"/>
  <c r="E21" i="4"/>
  <c r="H21" i="4"/>
  <c r="A21" i="4"/>
  <c r="E20" i="4"/>
  <c r="A20" i="4"/>
  <c r="A31" i="4"/>
  <c r="A29" i="4"/>
  <c r="A25" i="4"/>
  <c r="A24" i="4"/>
  <c r="A22" i="4"/>
  <c r="A19" i="4"/>
  <c r="H28" i="4"/>
  <c r="A28" i="4"/>
  <c r="E26" i="4"/>
  <c r="H26" i="4"/>
  <c r="A26" i="4"/>
  <c r="H17" i="4"/>
  <c r="A17" i="4"/>
  <c r="H16" i="4"/>
  <c r="E16" i="4" s="1"/>
  <c r="A16" i="4"/>
  <c r="J13" i="4"/>
  <c r="I13" i="4"/>
  <c r="H13" i="4"/>
  <c r="G13" i="4"/>
  <c r="F13" i="4"/>
  <c r="E13" i="4"/>
  <c r="D13" i="4"/>
  <c r="C13" i="4"/>
  <c r="B13" i="4"/>
  <c r="AD12" i="4"/>
  <c r="AC12" i="4"/>
  <c r="AB12" i="4"/>
  <c r="AA12" i="4"/>
  <c r="Z12" i="4"/>
  <c r="Y12" i="4"/>
  <c r="V12" i="4"/>
  <c r="U12" i="4"/>
  <c r="T12" i="4"/>
  <c r="S12" i="4"/>
  <c r="R12" i="4"/>
  <c r="Q12" i="4"/>
  <c r="B9" i="4"/>
  <c r="J31" i="6" l="1"/>
  <c r="P32" i="6"/>
  <c r="BL182" i="7"/>
  <c r="AI183" i="7"/>
  <c r="AO163" i="7"/>
  <c r="BR162" i="7"/>
  <c r="AE178" i="7"/>
  <c r="BH177" i="7"/>
  <c r="AR161" i="7"/>
  <c r="BU160" i="7"/>
  <c r="L181" i="7"/>
  <c r="A180" i="7"/>
  <c r="AQ160" i="7"/>
  <c r="BT159" i="7"/>
  <c r="J159" i="7" s="1"/>
  <c r="Y163" i="7"/>
  <c r="BB162" i="7"/>
  <c r="Z163" i="7"/>
  <c r="BC162" i="7"/>
  <c r="AU162" i="7"/>
  <c r="R163" i="7"/>
  <c r="AZ162" i="7"/>
  <c r="W163" i="7"/>
  <c r="T163" i="7"/>
  <c r="AW162" i="7"/>
  <c r="AA163" i="7"/>
  <c r="BD162" i="7"/>
  <c r="S163" i="7"/>
  <c r="AV162" i="7"/>
  <c r="BA162" i="7"/>
  <c r="X163" i="7"/>
  <c r="V163" i="7"/>
  <c r="AY162" i="7"/>
  <c r="U163" i="7"/>
  <c r="AX162" i="7"/>
  <c r="AS162" i="7"/>
  <c r="P163" i="7"/>
  <c r="Q163" i="7"/>
  <c r="AT162" i="7"/>
  <c r="AP183" i="7"/>
  <c r="BS183" i="7" s="1"/>
  <c r="J27" i="5"/>
  <c r="J16" i="4"/>
  <c r="J17" i="4"/>
  <c r="J18" i="4"/>
  <c r="J19" i="4"/>
  <c r="J20" i="4"/>
  <c r="P22" i="4"/>
  <c r="J21" i="4"/>
  <c r="C23" i="4"/>
  <c r="E27" i="4"/>
  <c r="E23" i="4"/>
  <c r="E17" i="4"/>
  <c r="C28" i="4"/>
  <c r="C30" i="4"/>
  <c r="C26" i="4"/>
  <c r="C22" i="4"/>
  <c r="C25" i="4"/>
  <c r="C31" i="4"/>
  <c r="C21" i="4"/>
  <c r="C18" i="4"/>
  <c r="C16" i="4"/>
  <c r="C17" i="4"/>
  <c r="C27" i="4"/>
  <c r="C19" i="4"/>
  <c r="C24" i="4"/>
  <c r="C29" i="4"/>
  <c r="C20" i="4"/>
  <c r="P17" i="1"/>
  <c r="P18" i="1" s="1"/>
  <c r="P20" i="1" s="1"/>
  <c r="Q17" i="1"/>
  <c r="R17" i="1"/>
  <c r="S17" i="1"/>
  <c r="U17" i="1"/>
  <c r="V17" i="1"/>
  <c r="T17" i="1"/>
  <c r="A28" i="1"/>
  <c r="A30" i="1"/>
  <c r="Q19" i="1" l="1"/>
  <c r="Q21" i="1" s="1"/>
  <c r="Q22" i="1" s="1"/>
  <c r="Q23" i="1" s="1"/>
  <c r="Q24" i="1" s="1"/>
  <c r="Q25" i="1" s="1"/>
  <c r="Q26" i="1" s="1"/>
  <c r="Q27" i="1" s="1"/>
  <c r="Q28" i="1" s="1"/>
  <c r="Q29" i="1" s="1"/>
  <c r="Q30" i="1" s="1"/>
  <c r="Q18" i="1"/>
  <c r="Q20" i="1" s="1"/>
  <c r="J32" i="6"/>
  <c r="P33" i="6"/>
  <c r="T19" i="1"/>
  <c r="T21" i="1" s="1"/>
  <c r="T22" i="1" s="1"/>
  <c r="T23" i="1" s="1"/>
  <c r="T24" i="1" s="1"/>
  <c r="T25" i="1" s="1"/>
  <c r="T26" i="1" s="1"/>
  <c r="T27" i="1" s="1"/>
  <c r="T28" i="1" s="1"/>
  <c r="T29" i="1" s="1"/>
  <c r="T30" i="1" s="1"/>
  <c r="T18" i="1"/>
  <c r="T20" i="1" s="1"/>
  <c r="BL183" i="7"/>
  <c r="AI184" i="7"/>
  <c r="AO164" i="7"/>
  <c r="BR163" i="7"/>
  <c r="AR162" i="7"/>
  <c r="BU161" i="7"/>
  <c r="L182" i="7"/>
  <c r="A181" i="7"/>
  <c r="AQ161" i="7"/>
  <c r="BT160" i="7"/>
  <c r="J160" i="7" s="1"/>
  <c r="AE179" i="7"/>
  <c r="BH178" i="7"/>
  <c r="L4" i="9"/>
  <c r="AU163" i="7"/>
  <c r="R164" i="7"/>
  <c r="W164" i="7"/>
  <c r="AZ163" i="7"/>
  <c r="X164" i="7"/>
  <c r="BA163" i="7"/>
  <c r="S164" i="7"/>
  <c r="AV163" i="7"/>
  <c r="BD163" i="7"/>
  <c r="AA164" i="7"/>
  <c r="BC163" i="7"/>
  <c r="Z164" i="7"/>
  <c r="T164" i="7"/>
  <c r="AW163" i="7"/>
  <c r="BB163" i="7"/>
  <c r="Y164" i="7"/>
  <c r="AY163" i="7"/>
  <c r="V164" i="7"/>
  <c r="U164" i="7"/>
  <c r="AX163" i="7"/>
  <c r="P164" i="7"/>
  <c r="AS163" i="7"/>
  <c r="AT163" i="7"/>
  <c r="Q164" i="7"/>
  <c r="AP184" i="7"/>
  <c r="BS184" i="7" s="1"/>
  <c r="V19" i="1"/>
  <c r="V21" i="1" s="1"/>
  <c r="V22" i="1" s="1"/>
  <c r="V23" i="1" s="1"/>
  <c r="V24" i="1" s="1"/>
  <c r="V25" i="1" s="1"/>
  <c r="V26" i="1" s="1"/>
  <c r="V27" i="1" s="1"/>
  <c r="V28" i="1" s="1"/>
  <c r="V29" i="1" s="1"/>
  <c r="V30" i="1" s="1"/>
  <c r="V18" i="1"/>
  <c r="V20" i="1" s="1"/>
  <c r="U19" i="1"/>
  <c r="U21" i="1" s="1"/>
  <c r="U22" i="1" s="1"/>
  <c r="U23" i="1" s="1"/>
  <c r="U24" i="1" s="1"/>
  <c r="U25" i="1" s="1"/>
  <c r="U26" i="1" s="1"/>
  <c r="U27" i="1" s="1"/>
  <c r="U28" i="1" s="1"/>
  <c r="U29" i="1" s="1"/>
  <c r="U30" i="1" s="1"/>
  <c r="U18" i="1"/>
  <c r="U20" i="1" s="1"/>
  <c r="S19" i="1"/>
  <c r="S21" i="1" s="1"/>
  <c r="S22" i="1" s="1"/>
  <c r="S23" i="1" s="1"/>
  <c r="S24" i="1" s="1"/>
  <c r="S25" i="1" s="1"/>
  <c r="S26" i="1" s="1"/>
  <c r="S27" i="1" s="1"/>
  <c r="S28" i="1" s="1"/>
  <c r="S29" i="1" s="1"/>
  <c r="S30" i="1" s="1"/>
  <c r="S18" i="1"/>
  <c r="S20" i="1" s="1"/>
  <c r="R19" i="1"/>
  <c r="R21" i="1" s="1"/>
  <c r="R22" i="1" s="1"/>
  <c r="R23" i="1" s="1"/>
  <c r="R24" i="1" s="1"/>
  <c r="R25" i="1" s="1"/>
  <c r="R26" i="1" s="1"/>
  <c r="R27" i="1" s="1"/>
  <c r="R28" i="1" s="1"/>
  <c r="R29" i="1" s="1"/>
  <c r="R30" i="1" s="1"/>
  <c r="R18" i="1"/>
  <c r="R20" i="1" s="1"/>
  <c r="P19" i="1"/>
  <c r="P23" i="4"/>
  <c r="J22" i="4"/>
  <c r="D27" i="4"/>
  <c r="D17" i="4"/>
  <c r="D16" i="4"/>
  <c r="D18" i="4"/>
  <c r="D21" i="4"/>
  <c r="D31" i="4"/>
  <c r="D25" i="4"/>
  <c r="D22" i="4"/>
  <c r="D26" i="4"/>
  <c r="D30" i="4"/>
  <c r="D28" i="4"/>
  <c r="D23" i="4"/>
  <c r="D20" i="4"/>
  <c r="D29" i="4"/>
  <c r="D24" i="4"/>
  <c r="D19" i="4"/>
  <c r="A17" i="1"/>
  <c r="A19" i="1"/>
  <c r="A21" i="1"/>
  <c r="A22" i="1"/>
  <c r="A23" i="1"/>
  <c r="A24" i="1"/>
  <c r="A25" i="1"/>
  <c r="A26" i="1"/>
  <c r="A27" i="1"/>
  <c r="A16" i="1"/>
  <c r="P34" i="6" l="1"/>
  <c r="J33" i="6"/>
  <c r="AI185" i="7"/>
  <c r="BL184" i="7"/>
  <c r="AO165" i="7"/>
  <c r="BR164" i="7"/>
  <c r="AE180" i="7"/>
  <c r="BH179" i="7"/>
  <c r="L185" i="7"/>
  <c r="A182" i="7"/>
  <c r="AQ162" i="7"/>
  <c r="BT161" i="7"/>
  <c r="J161" i="7" s="1"/>
  <c r="AR163" i="7"/>
  <c r="BU162" i="7"/>
  <c r="T165" i="7"/>
  <c r="AW164" i="7"/>
  <c r="X165" i="7"/>
  <c r="BA164" i="7"/>
  <c r="AV164" i="7"/>
  <c r="S165" i="7"/>
  <c r="Z165" i="7"/>
  <c r="BC164" i="7"/>
  <c r="AZ164" i="7"/>
  <c r="W165" i="7"/>
  <c r="R165" i="7"/>
  <c r="AU164" i="7"/>
  <c r="BD164" i="7"/>
  <c r="AA165" i="7"/>
  <c r="BB164" i="7"/>
  <c r="Y165" i="7"/>
  <c r="V165" i="7"/>
  <c r="AY164" i="7"/>
  <c r="AX164" i="7"/>
  <c r="U165" i="7"/>
  <c r="P165" i="7"/>
  <c r="AS164" i="7"/>
  <c r="Q165" i="7"/>
  <c r="AT164" i="7"/>
  <c r="AP185" i="7"/>
  <c r="BS185" i="7" s="1"/>
  <c r="P24" i="4"/>
  <c r="J23" i="4"/>
  <c r="P21" i="1"/>
  <c r="B17" i="1"/>
  <c r="B19" i="1"/>
  <c r="B21" i="1"/>
  <c r="B22" i="1"/>
  <c r="B23" i="1"/>
  <c r="B24" i="1"/>
  <c r="B25" i="1"/>
  <c r="B26" i="1"/>
  <c r="B27" i="1"/>
  <c r="B28" i="1"/>
  <c r="B30" i="1"/>
  <c r="B16" i="1"/>
  <c r="P35" i="6" l="1"/>
  <c r="J34" i="6"/>
  <c r="AI186" i="7"/>
  <c r="BL185" i="7"/>
  <c r="AO166" i="7"/>
  <c r="BR165" i="7"/>
  <c r="L186" i="7"/>
  <c r="A185" i="7"/>
  <c r="AE181" i="7"/>
  <c r="BH180" i="7"/>
  <c r="AR164" i="7"/>
  <c r="BU163" i="7"/>
  <c r="AQ163" i="7"/>
  <c r="BT162" i="7"/>
  <c r="J162" i="7" s="1"/>
  <c r="AA166" i="7"/>
  <c r="BD165" i="7"/>
  <c r="S166" i="7"/>
  <c r="AV165" i="7"/>
  <c r="R166" i="7"/>
  <c r="AU165" i="7"/>
  <c r="X166" i="7"/>
  <c r="BA165" i="7"/>
  <c r="Z166" i="7"/>
  <c r="BC165" i="7"/>
  <c r="W166" i="7"/>
  <c r="AZ165" i="7"/>
  <c r="AW165" i="7"/>
  <c r="T166" i="7"/>
  <c r="BB165" i="7"/>
  <c r="Y166" i="7"/>
  <c r="AY165" i="7"/>
  <c r="V166" i="7"/>
  <c r="U166" i="7"/>
  <c r="AX165" i="7"/>
  <c r="AS165" i="7"/>
  <c r="P166" i="7"/>
  <c r="Q166" i="7"/>
  <c r="AT165" i="7"/>
  <c r="AP186" i="7"/>
  <c r="BS186" i="7" s="1"/>
  <c r="P22" i="1"/>
  <c r="P25" i="4"/>
  <c r="J24" i="4"/>
  <c r="M11" i="1"/>
  <c r="P36" i="6" l="1"/>
  <c r="J35" i="6"/>
  <c r="AI187" i="7"/>
  <c r="BL186" i="7"/>
  <c r="AO167" i="7"/>
  <c r="BR166" i="7"/>
  <c r="AE182" i="7"/>
  <c r="BH181" i="7"/>
  <c r="AQ164" i="7"/>
  <c r="BT163" i="7"/>
  <c r="J163" i="7" s="1"/>
  <c r="AR165" i="7"/>
  <c r="BU164" i="7"/>
  <c r="L187" i="7"/>
  <c r="A186" i="7"/>
  <c r="AU166" i="7"/>
  <c r="R167" i="7"/>
  <c r="BA166" i="7"/>
  <c r="X167" i="7"/>
  <c r="T167" i="7"/>
  <c r="AW166" i="7"/>
  <c r="W167" i="7"/>
  <c r="AZ166" i="7"/>
  <c r="AV166" i="7"/>
  <c r="S167" i="7"/>
  <c r="BC166" i="7"/>
  <c r="Z167" i="7"/>
  <c r="BD166" i="7"/>
  <c r="AA167" i="7"/>
  <c r="BB166" i="7"/>
  <c r="Y167" i="7"/>
  <c r="AY166" i="7"/>
  <c r="V167" i="7"/>
  <c r="U167" i="7"/>
  <c r="AX166" i="7"/>
  <c r="AS166" i="7"/>
  <c r="P167" i="7"/>
  <c r="AT166" i="7"/>
  <c r="Q167" i="7"/>
  <c r="AP187" i="7"/>
  <c r="BS187" i="7" s="1"/>
  <c r="C18" i="1"/>
  <c r="C20" i="1"/>
  <c r="C29" i="1"/>
  <c r="P26" i="4"/>
  <c r="J25" i="4"/>
  <c r="P23" i="1"/>
  <c r="E28" i="1"/>
  <c r="O28" i="1"/>
  <c r="J36" i="6" l="1"/>
  <c r="P37" i="6"/>
  <c r="J37" i="6" s="1"/>
  <c r="AI188" i="7"/>
  <c r="BL187" i="7"/>
  <c r="AO168" i="7"/>
  <c r="BR167" i="7"/>
  <c r="AQ165" i="7"/>
  <c r="BT164" i="7"/>
  <c r="J164" i="7" s="1"/>
  <c r="AR166" i="7"/>
  <c r="BU165" i="7"/>
  <c r="L188" i="7"/>
  <c r="A187" i="7"/>
  <c r="AE183" i="7"/>
  <c r="BH182" i="7"/>
  <c r="BB167" i="7"/>
  <c r="Y168" i="7"/>
  <c r="W168" i="7"/>
  <c r="AZ167" i="7"/>
  <c r="BC167" i="7"/>
  <c r="Z168" i="7"/>
  <c r="X168" i="7"/>
  <c r="BA167" i="7"/>
  <c r="T168" i="7"/>
  <c r="AW167" i="7"/>
  <c r="S168" i="7"/>
  <c r="AV167" i="7"/>
  <c r="R168" i="7"/>
  <c r="AU167" i="7"/>
  <c r="AA168" i="7"/>
  <c r="BD167" i="7"/>
  <c r="AY167" i="7"/>
  <c r="V168" i="7"/>
  <c r="U168" i="7"/>
  <c r="AX167" i="7"/>
  <c r="P168" i="7"/>
  <c r="AS167" i="7"/>
  <c r="Q168" i="7"/>
  <c r="AT167" i="7"/>
  <c r="AP188" i="7"/>
  <c r="BS188" i="7" s="1"/>
  <c r="P24" i="1"/>
  <c r="P27" i="4"/>
  <c r="J26" i="4"/>
  <c r="M12" i="1"/>
  <c r="AI189" i="7" l="1"/>
  <c r="BL188" i="7"/>
  <c r="AO169" i="7"/>
  <c r="BR168" i="7"/>
  <c r="AE184" i="7"/>
  <c r="BH183" i="7"/>
  <c r="L189" i="7"/>
  <c r="A188" i="7"/>
  <c r="AR167" i="7"/>
  <c r="BU166" i="7"/>
  <c r="AQ166" i="7"/>
  <c r="BT165" i="7"/>
  <c r="J165" i="7" s="1"/>
  <c r="AA169" i="7"/>
  <c r="BD168" i="7"/>
  <c r="BA168" i="7"/>
  <c r="X169" i="7"/>
  <c r="Z169" i="7"/>
  <c r="BC168" i="7"/>
  <c r="AV168" i="7"/>
  <c r="S169" i="7"/>
  <c r="R169" i="7"/>
  <c r="AU168" i="7"/>
  <c r="AZ168" i="7"/>
  <c r="W169" i="7"/>
  <c r="T169" i="7"/>
  <c r="AW168" i="7"/>
  <c r="Y169" i="7"/>
  <c r="BB168" i="7"/>
  <c r="AY168" i="7"/>
  <c r="V169" i="7"/>
  <c r="AX168" i="7"/>
  <c r="U169" i="7"/>
  <c r="AS168" i="7"/>
  <c r="P169" i="7"/>
  <c r="AT168" i="7"/>
  <c r="Q169" i="7"/>
  <c r="AP189" i="7"/>
  <c r="BS189" i="7" s="1"/>
  <c r="D18" i="1"/>
  <c r="D20" i="1"/>
  <c r="D29" i="1"/>
  <c r="P28" i="4"/>
  <c r="J27" i="4"/>
  <c r="P25" i="1"/>
  <c r="D28" i="1"/>
  <c r="C28" i="1"/>
  <c r="M9" i="1"/>
  <c r="BL189" i="7" l="1"/>
  <c r="AI190" i="7"/>
  <c r="AO170" i="7"/>
  <c r="BR169" i="7"/>
  <c r="AR168" i="7"/>
  <c r="BU167" i="7"/>
  <c r="AQ167" i="7"/>
  <c r="BT166" i="7"/>
  <c r="J166" i="7" s="1"/>
  <c r="L190" i="7"/>
  <c r="A189" i="7"/>
  <c r="AE185" i="7"/>
  <c r="BH184" i="7"/>
  <c r="BB169" i="7"/>
  <c r="Y170" i="7"/>
  <c r="BC169" i="7"/>
  <c r="Z170" i="7"/>
  <c r="AW169" i="7"/>
  <c r="T170" i="7"/>
  <c r="BA169" i="7"/>
  <c r="X170" i="7"/>
  <c r="AU169" i="7"/>
  <c r="R170" i="7"/>
  <c r="W170" i="7"/>
  <c r="AZ169" i="7"/>
  <c r="AV169" i="7"/>
  <c r="S170" i="7"/>
  <c r="BD169" i="7"/>
  <c r="AA170" i="7"/>
  <c r="V170" i="7"/>
  <c r="AY169" i="7"/>
  <c r="U170" i="7"/>
  <c r="AX169" i="7"/>
  <c r="P170" i="7"/>
  <c r="AS169" i="7"/>
  <c r="Q170" i="7"/>
  <c r="AT169" i="7"/>
  <c r="AP190" i="7"/>
  <c r="BS190" i="7" s="1"/>
  <c r="P26" i="1"/>
  <c r="P29" i="4"/>
  <c r="J28" i="4"/>
  <c r="O17" i="1"/>
  <c r="O19" i="1"/>
  <c r="O21" i="1"/>
  <c r="O22" i="1"/>
  <c r="O23" i="1"/>
  <c r="O24" i="1"/>
  <c r="O25" i="1"/>
  <c r="O26" i="1"/>
  <c r="O27" i="1"/>
  <c r="O16" i="1"/>
  <c r="BL190" i="7" l="1"/>
  <c r="AI191" i="7"/>
  <c r="AO171" i="7"/>
  <c r="BR170" i="7"/>
  <c r="AQ168" i="7"/>
  <c r="BT167" i="7"/>
  <c r="J167" i="7" s="1"/>
  <c r="AR169" i="7"/>
  <c r="BU168" i="7"/>
  <c r="AE186" i="7"/>
  <c r="BH185" i="7"/>
  <c r="L191" i="7"/>
  <c r="A190" i="7"/>
  <c r="BD170" i="7"/>
  <c r="AA171" i="7"/>
  <c r="X171" i="7"/>
  <c r="BA170" i="7"/>
  <c r="AW170" i="7"/>
  <c r="T171" i="7"/>
  <c r="Z171" i="7"/>
  <c r="BC170" i="7"/>
  <c r="R171" i="7"/>
  <c r="AU170" i="7"/>
  <c r="Y171" i="7"/>
  <c r="BB170" i="7"/>
  <c r="AV170" i="7"/>
  <c r="S171" i="7"/>
  <c r="W171" i="7"/>
  <c r="AZ170" i="7"/>
  <c r="AY170" i="7"/>
  <c r="V171" i="7"/>
  <c r="AX170" i="7"/>
  <c r="U171" i="7"/>
  <c r="AS170" i="7"/>
  <c r="P171" i="7"/>
  <c r="Q171" i="7"/>
  <c r="AT170" i="7"/>
  <c r="AP191" i="7"/>
  <c r="BS191" i="7" s="1"/>
  <c r="P30" i="4"/>
  <c r="J29" i="4"/>
  <c r="P27" i="1"/>
  <c r="D13" i="1"/>
  <c r="E13" i="1"/>
  <c r="F13" i="1"/>
  <c r="G13" i="1"/>
  <c r="H13" i="1"/>
  <c r="I13" i="1"/>
  <c r="J13" i="1"/>
  <c r="BL191" i="7" l="1"/>
  <c r="AI192" i="7"/>
  <c r="AO172" i="7"/>
  <c r="BR171" i="7"/>
  <c r="L192" i="7"/>
  <c r="A191" i="7"/>
  <c r="AE187" i="7"/>
  <c r="BH186" i="7"/>
  <c r="AR170" i="7"/>
  <c r="BU169" i="7"/>
  <c r="AQ169" i="7"/>
  <c r="BT168" i="7"/>
  <c r="J168" i="7" s="1"/>
  <c r="W172" i="7"/>
  <c r="AZ171" i="7"/>
  <c r="BC171" i="7"/>
  <c r="Z172" i="7"/>
  <c r="AW171" i="7"/>
  <c r="T172" i="7"/>
  <c r="BB171" i="7"/>
  <c r="Y172" i="7"/>
  <c r="BD171" i="7"/>
  <c r="AA172" i="7"/>
  <c r="S172" i="7"/>
  <c r="AV171" i="7"/>
  <c r="BA171" i="7"/>
  <c r="X172" i="7"/>
  <c r="AU171" i="7"/>
  <c r="R172" i="7"/>
  <c r="AY171" i="7"/>
  <c r="V172" i="7"/>
  <c r="U172" i="7"/>
  <c r="AX171" i="7"/>
  <c r="AS171" i="7"/>
  <c r="P172" i="7"/>
  <c r="Q172" i="7"/>
  <c r="AT171" i="7"/>
  <c r="AP192" i="7"/>
  <c r="BS192" i="7" s="1"/>
  <c r="P28" i="1"/>
  <c r="P29" i="1" s="1"/>
  <c r="P30" i="1" s="1"/>
  <c r="P31" i="4"/>
  <c r="J31" i="4" s="1"/>
  <c r="J30" i="4"/>
  <c r="D17" i="1"/>
  <c r="D19" i="1"/>
  <c r="D21" i="1"/>
  <c r="D22" i="1"/>
  <c r="D23" i="1"/>
  <c r="D24" i="1"/>
  <c r="D25" i="1"/>
  <c r="D26" i="1"/>
  <c r="D27" i="1"/>
  <c r="D30" i="1"/>
  <c r="D16" i="1"/>
  <c r="AI193" i="7" l="1"/>
  <c r="BL192" i="7"/>
  <c r="AO173" i="7"/>
  <c r="BR172" i="7"/>
  <c r="AE188" i="7"/>
  <c r="BH187" i="7"/>
  <c r="AQ170" i="7"/>
  <c r="BT169" i="7"/>
  <c r="J169" i="7" s="1"/>
  <c r="AR171" i="7"/>
  <c r="BU170" i="7"/>
  <c r="L193" i="7"/>
  <c r="A192" i="7"/>
  <c r="X173" i="7"/>
  <c r="BA172" i="7"/>
  <c r="AW172" i="7"/>
  <c r="T173" i="7"/>
  <c r="AV172" i="7"/>
  <c r="S173" i="7"/>
  <c r="Z173" i="7"/>
  <c r="BC172" i="7"/>
  <c r="BD172" i="7"/>
  <c r="AA173" i="7"/>
  <c r="AU172" i="7"/>
  <c r="R173" i="7"/>
  <c r="BB172" i="7"/>
  <c r="Y173" i="7"/>
  <c r="W173" i="7"/>
  <c r="AZ172" i="7"/>
  <c r="AY172" i="7"/>
  <c r="V173" i="7"/>
  <c r="AX172" i="7"/>
  <c r="U173" i="7"/>
  <c r="P173" i="7"/>
  <c r="AS172" i="7"/>
  <c r="AT172" i="7"/>
  <c r="Q173" i="7"/>
  <c r="AP193" i="7"/>
  <c r="BS193" i="7" s="1"/>
  <c r="B9" i="1"/>
  <c r="T12" i="1"/>
  <c r="U12" i="1"/>
  <c r="V12" i="1"/>
  <c r="AI194" i="7" l="1"/>
  <c r="BL193" i="7"/>
  <c r="AO174" i="7"/>
  <c r="BR173" i="7"/>
  <c r="L194" i="7"/>
  <c r="A193" i="7"/>
  <c r="AQ171" i="7"/>
  <c r="BT170" i="7"/>
  <c r="J170" i="7" s="1"/>
  <c r="AR172" i="7"/>
  <c r="BU171" i="7"/>
  <c r="AE189" i="7"/>
  <c r="BH188" i="7"/>
  <c r="AZ173" i="7"/>
  <c r="W174" i="7"/>
  <c r="Z174" i="7"/>
  <c r="BC173" i="7"/>
  <c r="BB173" i="7"/>
  <c r="Y174" i="7"/>
  <c r="S174" i="7"/>
  <c r="AV173" i="7"/>
  <c r="AU173" i="7"/>
  <c r="R174" i="7"/>
  <c r="T174" i="7"/>
  <c r="AW173" i="7"/>
  <c r="BD173" i="7"/>
  <c r="AA174" i="7"/>
  <c r="X174" i="7"/>
  <c r="BA173" i="7"/>
  <c r="V174" i="7"/>
  <c r="AY173" i="7"/>
  <c r="AX173" i="7"/>
  <c r="U174" i="7"/>
  <c r="AS173" i="7"/>
  <c r="P174" i="7"/>
  <c r="Q174" i="7"/>
  <c r="AT173" i="7"/>
  <c r="AP194" i="7"/>
  <c r="BS194" i="7" s="1"/>
  <c r="AC16" i="1"/>
  <c r="AC17" i="1" s="1"/>
  <c r="AD16" i="1"/>
  <c r="AD17" i="1" s="1"/>
  <c r="AB16" i="1"/>
  <c r="AB17" i="1" s="1"/>
  <c r="AC12" i="1"/>
  <c r="AD12" i="1"/>
  <c r="AB12" i="1"/>
  <c r="Z12" i="1"/>
  <c r="AA12" i="1"/>
  <c r="Y12" i="1"/>
  <c r="R12" i="1"/>
  <c r="S12" i="1"/>
  <c r="Q12" i="1"/>
  <c r="E22" i="1"/>
  <c r="E23" i="1"/>
  <c r="E24" i="1"/>
  <c r="E25" i="1"/>
  <c r="E26" i="1"/>
  <c r="E27" i="1"/>
  <c r="AB19" i="1" l="1"/>
  <c r="AB21" i="1" s="1"/>
  <c r="AB22" i="1" s="1"/>
  <c r="AB23" i="1" s="1"/>
  <c r="AB24" i="1" s="1"/>
  <c r="AB25" i="1" s="1"/>
  <c r="AB26" i="1" s="1"/>
  <c r="AB27" i="1" s="1"/>
  <c r="AB28" i="1" s="1"/>
  <c r="AB29" i="1" s="1"/>
  <c r="AB30" i="1" s="1"/>
  <c r="AB18" i="1"/>
  <c r="AB20" i="1" s="1"/>
  <c r="AI195" i="7"/>
  <c r="BL194" i="7"/>
  <c r="AO175" i="7"/>
  <c r="BR174" i="7"/>
  <c r="AE190" i="7"/>
  <c r="BH189" i="7"/>
  <c r="AR173" i="7"/>
  <c r="BU172" i="7"/>
  <c r="AQ172" i="7"/>
  <c r="BT171" i="7"/>
  <c r="J171" i="7" s="1"/>
  <c r="L195" i="7"/>
  <c r="A194" i="7"/>
  <c r="S175" i="7"/>
  <c r="AV174" i="7"/>
  <c r="AA175" i="7"/>
  <c r="BD174" i="7"/>
  <c r="BB174" i="7"/>
  <c r="Y175" i="7"/>
  <c r="BA174" i="7"/>
  <c r="X175" i="7"/>
  <c r="AW174" i="7"/>
  <c r="T175" i="7"/>
  <c r="BC174" i="7"/>
  <c r="Z175" i="7"/>
  <c r="W175" i="7"/>
  <c r="AZ174" i="7"/>
  <c r="AU174" i="7"/>
  <c r="R175" i="7"/>
  <c r="AY174" i="7"/>
  <c r="V175" i="7"/>
  <c r="AX174" i="7"/>
  <c r="U175" i="7"/>
  <c r="AS174" i="7"/>
  <c r="P175" i="7"/>
  <c r="Q175" i="7"/>
  <c r="AT174" i="7"/>
  <c r="AP195" i="7"/>
  <c r="BS195" i="7" s="1"/>
  <c r="AD19" i="1"/>
  <c r="AD21" i="1" s="1"/>
  <c r="AD22" i="1" s="1"/>
  <c r="AD23" i="1" s="1"/>
  <c r="AD24" i="1" s="1"/>
  <c r="AD25" i="1" s="1"/>
  <c r="AD26" i="1" s="1"/>
  <c r="AD27" i="1" s="1"/>
  <c r="AD28" i="1" s="1"/>
  <c r="AD29" i="1" s="1"/>
  <c r="AD30" i="1" s="1"/>
  <c r="AD18" i="1"/>
  <c r="AD20" i="1" s="1"/>
  <c r="AC19" i="1"/>
  <c r="AC21" i="1" s="1"/>
  <c r="AC22" i="1" s="1"/>
  <c r="AC23" i="1" s="1"/>
  <c r="AC24" i="1" s="1"/>
  <c r="AC25" i="1" s="1"/>
  <c r="AC26" i="1" s="1"/>
  <c r="AC27" i="1" s="1"/>
  <c r="AC28" i="1" s="1"/>
  <c r="AC29" i="1" s="1"/>
  <c r="AC30" i="1" s="1"/>
  <c r="AC18" i="1"/>
  <c r="J16" i="1"/>
  <c r="J17" i="1"/>
  <c r="J22" i="1"/>
  <c r="C30" i="1"/>
  <c r="E30" i="1"/>
  <c r="E19" i="1"/>
  <c r="E21" i="1"/>
  <c r="E16" i="1"/>
  <c r="C26" i="1"/>
  <c r="C22" i="1"/>
  <c r="C25" i="1"/>
  <c r="C24" i="1"/>
  <c r="C27" i="1"/>
  <c r="C23" i="1"/>
  <c r="E17" i="1"/>
  <c r="B13" i="1"/>
  <c r="C13" i="1"/>
  <c r="J19" i="1" l="1"/>
  <c r="J28" i="1"/>
  <c r="J29" i="1"/>
  <c r="J27" i="1"/>
  <c r="J26" i="1"/>
  <c r="J25" i="1"/>
  <c r="J30" i="1"/>
  <c r="J24" i="1"/>
  <c r="J23" i="1"/>
  <c r="J21" i="1"/>
  <c r="AI196" i="7"/>
  <c r="BL195" i="7"/>
  <c r="AO176" i="7"/>
  <c r="BR175" i="7"/>
  <c r="AR174" i="7"/>
  <c r="BU173" i="7"/>
  <c r="AE191" i="7"/>
  <c r="BH190" i="7"/>
  <c r="L196" i="7"/>
  <c r="A195" i="7"/>
  <c r="AQ173" i="7"/>
  <c r="BT172" i="7"/>
  <c r="J172" i="7" s="1"/>
  <c r="W176" i="7"/>
  <c r="AZ175" i="7"/>
  <c r="BB175" i="7"/>
  <c r="Y176" i="7"/>
  <c r="AW175" i="7"/>
  <c r="T176" i="7"/>
  <c r="AA176" i="7"/>
  <c r="BD175" i="7"/>
  <c r="Z176" i="7"/>
  <c r="BC175" i="7"/>
  <c r="AU175" i="7"/>
  <c r="R176" i="7"/>
  <c r="X176" i="7"/>
  <c r="BA175" i="7"/>
  <c r="AV175" i="7"/>
  <c r="S176" i="7"/>
  <c r="V176" i="7"/>
  <c r="AY175" i="7"/>
  <c r="U176" i="7"/>
  <c r="AX175" i="7"/>
  <c r="P176" i="7"/>
  <c r="AS175" i="7"/>
  <c r="AT175" i="7"/>
  <c r="Q176" i="7"/>
  <c r="AP196" i="7"/>
  <c r="BS196" i="7" s="1"/>
  <c r="AC20" i="1"/>
  <c r="J20" i="1" s="1"/>
  <c r="J18" i="1"/>
  <c r="C21" i="1"/>
  <c r="C19" i="1"/>
  <c r="C17" i="1"/>
  <c r="C16" i="1"/>
  <c r="AI197" i="7" l="1"/>
  <c r="BL196" i="7"/>
  <c r="AO177" i="7"/>
  <c r="BR176" i="7"/>
  <c r="L197" i="7"/>
  <c r="A196" i="7"/>
  <c r="AQ174" i="7"/>
  <c r="BT173" i="7"/>
  <c r="J173" i="7" s="1"/>
  <c r="AE192" i="7"/>
  <c r="BH191" i="7"/>
  <c r="AR175" i="7"/>
  <c r="BU174" i="7"/>
  <c r="T177" i="7"/>
  <c r="AW176" i="7"/>
  <c r="BA176" i="7"/>
  <c r="X177" i="7"/>
  <c r="BD176" i="7"/>
  <c r="AA177" i="7"/>
  <c r="R177" i="7"/>
  <c r="AU176" i="7"/>
  <c r="BC176" i="7"/>
  <c r="Z177" i="7"/>
  <c r="AZ176" i="7"/>
  <c r="W177" i="7"/>
  <c r="BB176" i="7"/>
  <c r="Y177" i="7"/>
  <c r="AV176" i="7"/>
  <c r="S177" i="7"/>
  <c r="AY176" i="7"/>
  <c r="V177" i="7"/>
  <c r="U177" i="7"/>
  <c r="AX176" i="7"/>
  <c r="P177" i="7"/>
  <c r="AS176" i="7"/>
  <c r="Q177" i="7"/>
  <c r="AT176" i="7"/>
  <c r="AP197" i="7"/>
  <c r="BS197" i="7" s="1"/>
  <c r="BL197" i="7" l="1"/>
  <c r="AI198" i="7"/>
  <c r="AO178" i="7"/>
  <c r="BR177" i="7"/>
  <c r="AR176" i="7"/>
  <c r="BU175" i="7"/>
  <c r="AQ175" i="7"/>
  <c r="BT174" i="7"/>
  <c r="J174" i="7" s="1"/>
  <c r="AE193" i="7"/>
  <c r="BH192" i="7"/>
  <c r="L198" i="7"/>
  <c r="A197" i="7"/>
  <c r="R178" i="7"/>
  <c r="AU177" i="7"/>
  <c r="Y178" i="7"/>
  <c r="BB177" i="7"/>
  <c r="BD177" i="7"/>
  <c r="AA178" i="7"/>
  <c r="BA177" i="7"/>
  <c r="X178" i="7"/>
  <c r="AW177" i="7"/>
  <c r="T178" i="7"/>
  <c r="AZ177" i="7"/>
  <c r="W178" i="7"/>
  <c r="Z178" i="7"/>
  <c r="BC177" i="7"/>
  <c r="AV177" i="7"/>
  <c r="S178" i="7"/>
  <c r="AY177" i="7"/>
  <c r="V178" i="7"/>
  <c r="U178" i="7"/>
  <c r="AX177" i="7"/>
  <c r="P178" i="7"/>
  <c r="AS177" i="7"/>
  <c r="Q178" i="7"/>
  <c r="AT177" i="7"/>
  <c r="AP198" i="7"/>
  <c r="BS198" i="7" s="1"/>
  <c r="BL198" i="7" l="1"/>
  <c r="AI199" i="7"/>
  <c r="AO179" i="7"/>
  <c r="BR178" i="7"/>
  <c r="L199" i="7"/>
  <c r="A198" i="7"/>
  <c r="AE194" i="7"/>
  <c r="BH193" i="7"/>
  <c r="AR177" i="7"/>
  <c r="BU176" i="7"/>
  <c r="AQ176" i="7"/>
  <c r="BT175" i="7"/>
  <c r="J175" i="7" s="1"/>
  <c r="AA179" i="7"/>
  <c r="BD178" i="7"/>
  <c r="Z179" i="7"/>
  <c r="BC178" i="7"/>
  <c r="AZ178" i="7"/>
  <c r="W179" i="7"/>
  <c r="BB178" i="7"/>
  <c r="Y179" i="7"/>
  <c r="T179" i="7"/>
  <c r="AW178" i="7"/>
  <c r="S179" i="7"/>
  <c r="AV178" i="7"/>
  <c r="BA178" i="7"/>
  <c r="X179" i="7"/>
  <c r="AU178" i="7"/>
  <c r="R179" i="7"/>
  <c r="AY178" i="7"/>
  <c r="V179" i="7"/>
  <c r="U179" i="7"/>
  <c r="AX178" i="7"/>
  <c r="P179" i="7"/>
  <c r="AS178" i="7"/>
  <c r="AT178" i="7"/>
  <c r="Q179" i="7"/>
  <c r="AP199" i="7"/>
  <c r="BS199" i="7" s="1"/>
  <c r="BL199" i="7" l="1"/>
  <c r="AI200" i="7"/>
  <c r="AO180" i="7"/>
  <c r="BR179" i="7"/>
  <c r="AR178" i="7"/>
  <c r="BU177" i="7"/>
  <c r="AE195" i="7"/>
  <c r="BH194" i="7"/>
  <c r="AQ177" i="7"/>
  <c r="BT176" i="7"/>
  <c r="J176" i="7" s="1"/>
  <c r="L200" i="7"/>
  <c r="A199" i="7"/>
  <c r="X180" i="7"/>
  <c r="BA179" i="7"/>
  <c r="W180" i="7"/>
  <c r="AZ179" i="7"/>
  <c r="AV179" i="7"/>
  <c r="S180" i="7"/>
  <c r="BC179" i="7"/>
  <c r="Z180" i="7"/>
  <c r="T180" i="7"/>
  <c r="AW179" i="7"/>
  <c r="AA180" i="7"/>
  <c r="BD179" i="7"/>
  <c r="AU179" i="7"/>
  <c r="R180" i="7"/>
  <c r="BB179" i="7"/>
  <c r="Y180" i="7"/>
  <c r="AY179" i="7"/>
  <c r="V180" i="7"/>
  <c r="AX179" i="7"/>
  <c r="U180" i="7"/>
  <c r="P180" i="7"/>
  <c r="AS179" i="7"/>
  <c r="AT179" i="7"/>
  <c r="Q180" i="7"/>
  <c r="AP200" i="7"/>
  <c r="BS200" i="7" s="1"/>
  <c r="BL200" i="7" l="1"/>
  <c r="AI201" i="7"/>
  <c r="AO181" i="7"/>
  <c r="BR180" i="7"/>
  <c r="L201" i="7"/>
  <c r="A200" i="7"/>
  <c r="AE196" i="7"/>
  <c r="BH195" i="7"/>
  <c r="AQ178" i="7"/>
  <c r="BT177" i="7"/>
  <c r="J177" i="7" s="1"/>
  <c r="AR179" i="7"/>
  <c r="BU178" i="7"/>
  <c r="R181" i="7"/>
  <c r="AU180" i="7"/>
  <c r="AV180" i="7"/>
  <c r="S181" i="7"/>
  <c r="AZ180" i="7"/>
  <c r="W181" i="7"/>
  <c r="AW180" i="7"/>
  <c r="T181" i="7"/>
  <c r="BA180" i="7"/>
  <c r="X181" i="7"/>
  <c r="AA181" i="7"/>
  <c r="BD180" i="7"/>
  <c r="Y181" i="7"/>
  <c r="BB180" i="7"/>
  <c r="BC180" i="7"/>
  <c r="Z181" i="7"/>
  <c r="AY180" i="7"/>
  <c r="V181" i="7"/>
  <c r="AX180" i="7"/>
  <c r="U181" i="7"/>
  <c r="AS180" i="7"/>
  <c r="P181" i="7"/>
  <c r="Q181" i="7"/>
  <c r="AT180" i="7"/>
  <c r="AP201" i="7"/>
  <c r="BS201" i="7" s="1"/>
  <c r="BL201" i="7" l="1"/>
  <c r="AI202" i="7"/>
  <c r="AO182" i="7"/>
  <c r="BR181" i="7"/>
  <c r="AR180" i="7"/>
  <c r="BU179" i="7"/>
  <c r="AQ179" i="7"/>
  <c r="BT178" i="7"/>
  <c r="J178" i="7" s="1"/>
  <c r="AE197" i="7"/>
  <c r="BH196" i="7"/>
  <c r="L202" i="7"/>
  <c r="A201" i="7"/>
  <c r="AZ181" i="7"/>
  <c r="W182" i="7"/>
  <c r="BB181" i="7"/>
  <c r="Y182" i="7"/>
  <c r="AA182" i="7"/>
  <c r="BD181" i="7"/>
  <c r="X182" i="7"/>
  <c r="BA181" i="7"/>
  <c r="R182" i="7"/>
  <c r="AU181" i="7"/>
  <c r="S182" i="7"/>
  <c r="AV181" i="7"/>
  <c r="BC181" i="7"/>
  <c r="Z182" i="7"/>
  <c r="T182" i="7"/>
  <c r="AW181" i="7"/>
  <c r="AY181" i="7"/>
  <c r="V182" i="7"/>
  <c r="AX181" i="7"/>
  <c r="U182" i="7"/>
  <c r="AS181" i="7"/>
  <c r="P182" i="7"/>
  <c r="AT181" i="7"/>
  <c r="Q182" i="7"/>
  <c r="AP202" i="7"/>
  <c r="BS202" i="7" s="1"/>
  <c r="AI203" i="7" l="1"/>
  <c r="BL202" i="7"/>
  <c r="AO183" i="7"/>
  <c r="BR182" i="7"/>
  <c r="L203" i="7"/>
  <c r="A202" i="7"/>
  <c r="AQ180" i="7"/>
  <c r="BT179" i="7"/>
  <c r="J179" i="7" s="1"/>
  <c r="AE198" i="7"/>
  <c r="BH197" i="7"/>
  <c r="AR181" i="7"/>
  <c r="BU180" i="7"/>
  <c r="Z183" i="7"/>
  <c r="BC182" i="7"/>
  <c r="AA183" i="7"/>
  <c r="BD182" i="7"/>
  <c r="BA182" i="7"/>
  <c r="X183" i="7"/>
  <c r="AU182" i="7"/>
  <c r="R183" i="7"/>
  <c r="W183" i="7"/>
  <c r="AZ182" i="7"/>
  <c r="T183" i="7"/>
  <c r="AW182" i="7"/>
  <c r="Y183" i="7"/>
  <c r="BB182" i="7"/>
  <c r="S183" i="7"/>
  <c r="AV182" i="7"/>
  <c r="V183" i="7"/>
  <c r="AY182" i="7"/>
  <c r="AX182" i="7"/>
  <c r="U183" i="7"/>
  <c r="P183" i="7"/>
  <c r="AS182" i="7"/>
  <c r="Q183" i="7"/>
  <c r="AT182" i="7"/>
  <c r="AP203" i="7"/>
  <c r="BS203" i="7" s="1"/>
  <c r="AI204" i="7" l="1"/>
  <c r="BL203" i="7"/>
  <c r="AO184" i="7"/>
  <c r="BR183" i="7"/>
  <c r="AQ181" i="7"/>
  <c r="BT180" i="7"/>
  <c r="J180" i="7" s="1"/>
  <c r="AE199" i="7"/>
  <c r="BH198" i="7"/>
  <c r="AR182" i="7"/>
  <c r="BU181" i="7"/>
  <c r="L204" i="7"/>
  <c r="A203" i="7"/>
  <c r="X184" i="7"/>
  <c r="BA183" i="7"/>
  <c r="S184" i="7"/>
  <c r="AV183" i="7"/>
  <c r="BB183" i="7"/>
  <c r="Y184" i="7"/>
  <c r="T184" i="7"/>
  <c r="AW183" i="7"/>
  <c r="AA184" i="7"/>
  <c r="BD183" i="7"/>
  <c r="W184" i="7"/>
  <c r="AZ183" i="7"/>
  <c r="R184" i="7"/>
  <c r="AU183" i="7"/>
  <c r="Z184" i="7"/>
  <c r="BC183" i="7"/>
  <c r="AY183" i="7"/>
  <c r="V184" i="7"/>
  <c r="U184" i="7"/>
  <c r="AX183" i="7"/>
  <c r="AS183" i="7"/>
  <c r="P184" i="7"/>
  <c r="AT183" i="7"/>
  <c r="Q184" i="7"/>
  <c r="AP204" i="7"/>
  <c r="BS204" i="7" s="1"/>
  <c r="AI205" i="7" l="1"/>
  <c r="BL204" i="7"/>
  <c r="AO185" i="7"/>
  <c r="BR184" i="7"/>
  <c r="AR183" i="7"/>
  <c r="BU182" i="7"/>
  <c r="L205" i="7"/>
  <c r="A204" i="7"/>
  <c r="AE200" i="7"/>
  <c r="BH199" i="7"/>
  <c r="AQ182" i="7"/>
  <c r="BT181" i="7"/>
  <c r="J181" i="7" s="1"/>
  <c r="BC184" i="7"/>
  <c r="Z185" i="7"/>
  <c r="AW184" i="7"/>
  <c r="T185" i="7"/>
  <c r="BB184" i="7"/>
  <c r="Y185" i="7"/>
  <c r="AU184" i="7"/>
  <c r="R185" i="7"/>
  <c r="W185" i="7"/>
  <c r="AZ184" i="7"/>
  <c r="AV184" i="7"/>
  <c r="S185" i="7"/>
  <c r="BD184" i="7"/>
  <c r="AA185" i="7"/>
  <c r="X185" i="7"/>
  <c r="BA184" i="7"/>
  <c r="AY184" i="7"/>
  <c r="V185" i="7"/>
  <c r="U185" i="7"/>
  <c r="AX184" i="7"/>
  <c r="AS184" i="7"/>
  <c r="P185" i="7"/>
  <c r="Q185" i="7"/>
  <c r="AT184" i="7"/>
  <c r="AP205" i="7"/>
  <c r="BS205" i="7" s="1"/>
  <c r="BL205" i="7" l="1"/>
  <c r="AI206" i="7"/>
  <c r="AO186" i="7"/>
  <c r="BR185" i="7"/>
  <c r="AQ183" i="7"/>
  <c r="BT182" i="7"/>
  <c r="J182" i="7" s="1"/>
  <c r="AE201" i="7"/>
  <c r="BH200" i="7"/>
  <c r="A205" i="7"/>
  <c r="L4" i="7"/>
  <c r="AR184" i="7"/>
  <c r="BU183" i="7"/>
  <c r="BB185" i="7"/>
  <c r="Y186" i="7"/>
  <c r="T186" i="7"/>
  <c r="AW185" i="7"/>
  <c r="AZ185" i="7"/>
  <c r="W186" i="7"/>
  <c r="BC185" i="7"/>
  <c r="Z186" i="7"/>
  <c r="X186" i="7"/>
  <c r="BA185" i="7"/>
  <c r="AA186" i="7"/>
  <c r="BD185" i="7"/>
  <c r="AV185" i="7"/>
  <c r="S186" i="7"/>
  <c r="R186" i="7"/>
  <c r="AU185" i="7"/>
  <c r="V186" i="7"/>
  <c r="AY185" i="7"/>
  <c r="AX185" i="7"/>
  <c r="U186" i="7"/>
  <c r="P186" i="7"/>
  <c r="AS185" i="7"/>
  <c r="AT185" i="7"/>
  <c r="Q186" i="7"/>
  <c r="AP206" i="7"/>
  <c r="BS206" i="7" s="1"/>
  <c r="AI207" i="7" l="1"/>
  <c r="BL206" i="7"/>
  <c r="AO187" i="7"/>
  <c r="BR186" i="7"/>
  <c r="AE202" i="7"/>
  <c r="BH201" i="7"/>
  <c r="AR185" i="7"/>
  <c r="BU184" i="7"/>
  <c r="AQ184" i="7"/>
  <c r="BT183" i="7"/>
  <c r="J183" i="7" s="1"/>
  <c r="R187" i="7"/>
  <c r="AU186" i="7"/>
  <c r="S187" i="7"/>
  <c r="AV186" i="7"/>
  <c r="AZ186" i="7"/>
  <c r="W187" i="7"/>
  <c r="AA187" i="7"/>
  <c r="BD186" i="7"/>
  <c r="T187" i="7"/>
  <c r="AW186" i="7"/>
  <c r="BB186" i="7"/>
  <c r="Y187" i="7"/>
  <c r="BA186" i="7"/>
  <c r="X187" i="7"/>
  <c r="BC186" i="7"/>
  <c r="Z187" i="7"/>
  <c r="AY186" i="7"/>
  <c r="V187" i="7"/>
  <c r="U187" i="7"/>
  <c r="AX186" i="7"/>
  <c r="AS186" i="7"/>
  <c r="P187" i="7"/>
  <c r="AT186" i="7"/>
  <c r="Q187" i="7"/>
  <c r="AP207" i="7"/>
  <c r="BS207" i="7" s="1"/>
  <c r="AI208" i="7" l="1"/>
  <c r="BL207" i="7"/>
  <c r="AO188" i="7"/>
  <c r="BR187" i="7"/>
  <c r="AR186" i="7"/>
  <c r="BU185" i="7"/>
  <c r="AQ185" i="7"/>
  <c r="BT184" i="7"/>
  <c r="J184" i="7" s="1"/>
  <c r="AE203" i="7"/>
  <c r="BH202" i="7"/>
  <c r="BD187" i="7"/>
  <c r="AA188" i="7"/>
  <c r="X188" i="7"/>
  <c r="BA187" i="7"/>
  <c r="W188" i="7"/>
  <c r="AZ187" i="7"/>
  <c r="AV187" i="7"/>
  <c r="S188" i="7"/>
  <c r="Y188" i="7"/>
  <c r="BB187" i="7"/>
  <c r="AW187" i="7"/>
  <c r="T188" i="7"/>
  <c r="BC187" i="7"/>
  <c r="Z188" i="7"/>
  <c r="AU187" i="7"/>
  <c r="R188" i="7"/>
  <c r="AY187" i="7"/>
  <c r="V188" i="7"/>
  <c r="AX187" i="7"/>
  <c r="U188" i="7"/>
  <c r="P188" i="7"/>
  <c r="AS187" i="7"/>
  <c r="AT187" i="7"/>
  <c r="Q188" i="7"/>
  <c r="AP208" i="7"/>
  <c r="BS208" i="7" s="1"/>
  <c r="AI209" i="7" l="1"/>
  <c r="BL208" i="7"/>
  <c r="AO189" i="7"/>
  <c r="BR188" i="7"/>
  <c r="AQ186" i="7"/>
  <c r="BT185" i="7"/>
  <c r="J185" i="7" s="1"/>
  <c r="AE204" i="7"/>
  <c r="BH203" i="7"/>
  <c r="AR187" i="7"/>
  <c r="BU186" i="7"/>
  <c r="T189" i="7"/>
  <c r="AW188" i="7"/>
  <c r="Y189" i="7"/>
  <c r="BB188" i="7"/>
  <c r="BD188" i="7"/>
  <c r="AA189" i="7"/>
  <c r="Z189" i="7"/>
  <c r="BC188" i="7"/>
  <c r="AZ188" i="7"/>
  <c r="W189" i="7"/>
  <c r="X189" i="7"/>
  <c r="BA188" i="7"/>
  <c r="AU188" i="7"/>
  <c r="R189" i="7"/>
  <c r="S189" i="7"/>
  <c r="AV188" i="7"/>
  <c r="V189" i="7"/>
  <c r="AY188" i="7"/>
  <c r="AX188" i="7"/>
  <c r="U189" i="7"/>
  <c r="P189" i="7"/>
  <c r="AS188" i="7"/>
  <c r="Q189" i="7"/>
  <c r="AT188" i="7"/>
  <c r="AP209" i="7"/>
  <c r="BS209" i="7" s="1"/>
  <c r="AI210" i="7" l="1"/>
  <c r="BL209" i="7"/>
  <c r="AO190" i="7"/>
  <c r="BR189" i="7"/>
  <c r="AR188" i="7"/>
  <c r="BU187" i="7"/>
  <c r="AQ187" i="7"/>
  <c r="BT186" i="7"/>
  <c r="J186" i="7" s="1"/>
  <c r="AE205" i="7"/>
  <c r="BH204" i="7"/>
  <c r="S190" i="7"/>
  <c r="AV189" i="7"/>
  <c r="BC189" i="7"/>
  <c r="Z190" i="7"/>
  <c r="R190" i="7"/>
  <c r="AU189" i="7"/>
  <c r="BD189" i="7"/>
  <c r="AA190" i="7"/>
  <c r="BA189" i="7"/>
  <c r="X190" i="7"/>
  <c r="BB189" i="7"/>
  <c r="Y190" i="7"/>
  <c r="AZ189" i="7"/>
  <c r="W190" i="7"/>
  <c r="T190" i="7"/>
  <c r="AW189" i="7"/>
  <c r="V190" i="7"/>
  <c r="AY189" i="7"/>
  <c r="U190" i="7"/>
  <c r="AX189" i="7"/>
  <c r="P190" i="7"/>
  <c r="AS189" i="7"/>
  <c r="Q190" i="7"/>
  <c r="AT189" i="7"/>
  <c r="AP210" i="7"/>
  <c r="BS210" i="7" s="1"/>
  <c r="AI211" i="7" l="1"/>
  <c r="BL210" i="7"/>
  <c r="AO191" i="7"/>
  <c r="BR190" i="7"/>
  <c r="AQ188" i="7"/>
  <c r="BT187" i="7"/>
  <c r="J187" i="7" s="1"/>
  <c r="AE206" i="7"/>
  <c r="BH205" i="7"/>
  <c r="AR189" i="7"/>
  <c r="BU188" i="7"/>
  <c r="T191" i="7"/>
  <c r="AW190" i="7"/>
  <c r="Z191" i="7"/>
  <c r="BC190" i="7"/>
  <c r="BA190" i="7"/>
  <c r="X191" i="7"/>
  <c r="W191" i="7"/>
  <c r="AZ190" i="7"/>
  <c r="R191" i="7"/>
  <c r="AU190" i="7"/>
  <c r="BB190" i="7"/>
  <c r="Y191" i="7"/>
  <c r="AA191" i="7"/>
  <c r="BD190" i="7"/>
  <c r="S191" i="7"/>
  <c r="AV190" i="7"/>
  <c r="AY190" i="7"/>
  <c r="V191" i="7"/>
  <c r="AX190" i="7"/>
  <c r="U191" i="7"/>
  <c r="P191" i="7"/>
  <c r="AS190" i="7"/>
  <c r="Q191" i="7"/>
  <c r="AT190" i="7"/>
  <c r="AP211" i="7"/>
  <c r="BS211" i="7" s="1"/>
  <c r="AI212" i="7" l="1"/>
  <c r="BL211" i="7"/>
  <c r="AO192" i="7"/>
  <c r="BR191" i="7"/>
  <c r="AR190" i="7"/>
  <c r="BU189" i="7"/>
  <c r="AE207" i="7"/>
  <c r="BH206" i="7"/>
  <c r="AQ189" i="7"/>
  <c r="BT188" i="7"/>
  <c r="J188" i="7" s="1"/>
  <c r="AZ191" i="7"/>
  <c r="W192" i="7"/>
  <c r="Y192" i="7"/>
  <c r="BB191" i="7"/>
  <c r="S192" i="7"/>
  <c r="AV191" i="7"/>
  <c r="X192" i="7"/>
  <c r="BA191" i="7"/>
  <c r="BD191" i="7"/>
  <c r="AA192" i="7"/>
  <c r="BC191" i="7"/>
  <c r="Z192" i="7"/>
  <c r="R192" i="7"/>
  <c r="AU191" i="7"/>
  <c r="T192" i="7"/>
  <c r="AW191" i="7"/>
  <c r="V192" i="7"/>
  <c r="AY191" i="7"/>
  <c r="AX191" i="7"/>
  <c r="U192" i="7"/>
  <c r="P192" i="7"/>
  <c r="AS191" i="7"/>
  <c r="AT191" i="7"/>
  <c r="Q192" i="7"/>
  <c r="AP212" i="7"/>
  <c r="BS212" i="7" s="1"/>
  <c r="AI213" i="7" l="1"/>
  <c r="BL212" i="7"/>
  <c r="AO193" i="7"/>
  <c r="BR192" i="7"/>
  <c r="AE208" i="7"/>
  <c r="BH207" i="7"/>
  <c r="AQ190" i="7"/>
  <c r="BT189" i="7"/>
  <c r="J189" i="7" s="1"/>
  <c r="AR191" i="7"/>
  <c r="BU190" i="7"/>
  <c r="AW192" i="7"/>
  <c r="T193" i="7"/>
  <c r="BA192" i="7"/>
  <c r="X193" i="7"/>
  <c r="AU192" i="7"/>
  <c r="R193" i="7"/>
  <c r="S193" i="7"/>
  <c r="AV192" i="7"/>
  <c r="BB192" i="7"/>
  <c r="Y193" i="7"/>
  <c r="Z193" i="7"/>
  <c r="BC192" i="7"/>
  <c r="BD192" i="7"/>
  <c r="AA193" i="7"/>
  <c r="W193" i="7"/>
  <c r="AZ192" i="7"/>
  <c r="V193" i="7"/>
  <c r="AY192" i="7"/>
  <c r="AX192" i="7"/>
  <c r="U193" i="7"/>
  <c r="P193" i="7"/>
  <c r="AS192" i="7"/>
  <c r="Q193" i="7"/>
  <c r="AT192" i="7"/>
  <c r="AP213" i="7"/>
  <c r="BS213" i="7" s="1"/>
  <c r="BL213" i="7" l="1"/>
  <c r="AI214" i="7"/>
  <c r="AO194" i="7"/>
  <c r="BR193" i="7"/>
  <c r="AQ191" i="7"/>
  <c r="BT190" i="7"/>
  <c r="J190" i="7" s="1"/>
  <c r="AR192" i="7"/>
  <c r="BU191" i="7"/>
  <c r="AE209" i="7"/>
  <c r="BH208" i="7"/>
  <c r="BD193" i="7"/>
  <c r="AA194" i="7"/>
  <c r="R194" i="7"/>
  <c r="AU193" i="7"/>
  <c r="S194" i="7"/>
  <c r="AV193" i="7"/>
  <c r="Z194" i="7"/>
  <c r="BC193" i="7"/>
  <c r="X194" i="7"/>
  <c r="BA193" i="7"/>
  <c r="AZ193" i="7"/>
  <c r="W194" i="7"/>
  <c r="AW193" i="7"/>
  <c r="T194" i="7"/>
  <c r="Y194" i="7"/>
  <c r="BB193" i="7"/>
  <c r="AY193" i="7"/>
  <c r="V194" i="7"/>
  <c r="AX193" i="7"/>
  <c r="U194" i="7"/>
  <c r="P194" i="7"/>
  <c r="AS193" i="7"/>
  <c r="Q194" i="7"/>
  <c r="AT193" i="7"/>
  <c r="AP214" i="7"/>
  <c r="BS214" i="7" s="1"/>
  <c r="AI215" i="7" l="1"/>
  <c r="BL214" i="7"/>
  <c r="AO195" i="7"/>
  <c r="BR194" i="7"/>
  <c r="AE210" i="7"/>
  <c r="BH209" i="7"/>
  <c r="AR193" i="7"/>
  <c r="BU192" i="7"/>
  <c r="AQ192" i="7"/>
  <c r="BT191" i="7"/>
  <c r="J191" i="7" s="1"/>
  <c r="BB194" i="7"/>
  <c r="Y195" i="7"/>
  <c r="T195" i="7"/>
  <c r="AW194" i="7"/>
  <c r="S195" i="7"/>
  <c r="AV194" i="7"/>
  <c r="AZ194" i="7"/>
  <c r="W195" i="7"/>
  <c r="AU194" i="7"/>
  <c r="R195" i="7"/>
  <c r="BD194" i="7"/>
  <c r="AA195" i="7"/>
  <c r="Z195" i="7"/>
  <c r="BC194" i="7"/>
  <c r="BA194" i="7"/>
  <c r="X195" i="7"/>
  <c r="AY194" i="7"/>
  <c r="V195" i="7"/>
  <c r="U195" i="7"/>
  <c r="AX194" i="7"/>
  <c r="AS194" i="7"/>
  <c r="P195" i="7"/>
  <c r="AT194" i="7"/>
  <c r="Q195" i="7"/>
  <c r="AP215" i="7"/>
  <c r="BS215" i="7" s="1"/>
  <c r="AI216" i="7" l="1"/>
  <c r="BL215" i="7"/>
  <c r="AO196" i="7"/>
  <c r="BR195" i="7"/>
  <c r="AQ193" i="7"/>
  <c r="BT192" i="7"/>
  <c r="J192" i="7" s="1"/>
  <c r="AE211" i="7"/>
  <c r="BH210" i="7"/>
  <c r="AR194" i="7"/>
  <c r="BU193" i="7"/>
  <c r="AV195" i="7"/>
  <c r="S196" i="7"/>
  <c r="AU195" i="7"/>
  <c r="R196" i="7"/>
  <c r="AW195" i="7"/>
  <c r="T196" i="7"/>
  <c r="W196" i="7"/>
  <c r="AZ195" i="7"/>
  <c r="BC195" i="7"/>
  <c r="Z196" i="7"/>
  <c r="AA196" i="7"/>
  <c r="BD195" i="7"/>
  <c r="Y196" i="7"/>
  <c r="BB195" i="7"/>
  <c r="X196" i="7"/>
  <c r="BA195" i="7"/>
  <c r="V196" i="7"/>
  <c r="AY195" i="7"/>
  <c r="U196" i="7"/>
  <c r="AX195" i="7"/>
  <c r="P196" i="7"/>
  <c r="AS195" i="7"/>
  <c r="AT195" i="7"/>
  <c r="Q196" i="7"/>
  <c r="AP216" i="7"/>
  <c r="BS216" i="7" s="1"/>
  <c r="AI217" i="7" l="1"/>
  <c r="BL216" i="7"/>
  <c r="AO197" i="7"/>
  <c r="BR196" i="7"/>
  <c r="AR195" i="7"/>
  <c r="BU194" i="7"/>
  <c r="AE212" i="7"/>
  <c r="BH211" i="7"/>
  <c r="AQ194" i="7"/>
  <c r="BT193" i="7"/>
  <c r="J193" i="7" s="1"/>
  <c r="BA196" i="7"/>
  <c r="X197" i="7"/>
  <c r="W197" i="7"/>
  <c r="AZ196" i="7"/>
  <c r="Y197" i="7"/>
  <c r="BB196" i="7"/>
  <c r="T197" i="7"/>
  <c r="AW196" i="7"/>
  <c r="BD196" i="7"/>
  <c r="AA197" i="7"/>
  <c r="R197" i="7"/>
  <c r="AU196" i="7"/>
  <c r="Z197" i="7"/>
  <c r="BC196" i="7"/>
  <c r="S197" i="7"/>
  <c r="AV196" i="7"/>
  <c r="AY196" i="7"/>
  <c r="V197" i="7"/>
  <c r="AX196" i="7"/>
  <c r="U197" i="7"/>
  <c r="AS196" i="7"/>
  <c r="P197" i="7"/>
  <c r="Q197" i="7"/>
  <c r="AT196" i="7"/>
  <c r="AP217" i="7"/>
  <c r="BS217" i="7" s="1"/>
  <c r="AI218" i="7" l="1"/>
  <c r="BL217" i="7"/>
  <c r="AO198" i="7"/>
  <c r="BR197" i="7"/>
  <c r="AE213" i="7"/>
  <c r="BH212" i="7"/>
  <c r="AQ195" i="7"/>
  <c r="BT194" i="7"/>
  <c r="J194" i="7" s="1"/>
  <c r="AR196" i="7"/>
  <c r="BU195" i="7"/>
  <c r="AV197" i="7"/>
  <c r="S198" i="7"/>
  <c r="AW197" i="7"/>
  <c r="T198" i="7"/>
  <c r="Z198" i="7"/>
  <c r="BC197" i="7"/>
  <c r="R198" i="7"/>
  <c r="AU197" i="7"/>
  <c r="AZ197" i="7"/>
  <c r="W198" i="7"/>
  <c r="BB197" i="7"/>
  <c r="Y198" i="7"/>
  <c r="BD197" i="7"/>
  <c r="AA198" i="7"/>
  <c r="X198" i="7"/>
  <c r="BA197" i="7"/>
  <c r="AY197" i="7"/>
  <c r="V198" i="7"/>
  <c r="U198" i="7"/>
  <c r="AX197" i="7"/>
  <c r="AS197" i="7"/>
  <c r="P198" i="7"/>
  <c r="AT197" i="7"/>
  <c r="Q198" i="7"/>
  <c r="AP218" i="7"/>
  <c r="BS218" i="7" s="1"/>
  <c r="AI219" i="7" l="1"/>
  <c r="BL218" i="7"/>
  <c r="AO199" i="7"/>
  <c r="BR198" i="7"/>
  <c r="AQ196" i="7"/>
  <c r="BT195" i="7"/>
  <c r="J195" i="7" s="1"/>
  <c r="AR197" i="7"/>
  <c r="BU196" i="7"/>
  <c r="AE214" i="7"/>
  <c r="BH213" i="7"/>
  <c r="X199" i="7"/>
  <c r="BA198" i="7"/>
  <c r="R199" i="7"/>
  <c r="AU198" i="7"/>
  <c r="BB198" i="7"/>
  <c r="Y199" i="7"/>
  <c r="T199" i="7"/>
  <c r="AW198" i="7"/>
  <c r="AA199" i="7"/>
  <c r="BD198" i="7"/>
  <c r="W199" i="7"/>
  <c r="AZ198" i="7"/>
  <c r="S199" i="7"/>
  <c r="AV198" i="7"/>
  <c r="BC198" i="7"/>
  <c r="Z199" i="7"/>
  <c r="AY198" i="7"/>
  <c r="V199" i="7"/>
  <c r="AX198" i="7"/>
  <c r="U199" i="7"/>
  <c r="AS198" i="7"/>
  <c r="P199" i="7"/>
  <c r="Q199" i="7"/>
  <c r="AT198" i="7"/>
  <c r="AP219" i="7"/>
  <c r="BS219" i="7" s="1"/>
  <c r="AI220" i="7" l="1"/>
  <c r="BL219" i="7"/>
  <c r="AO200" i="7"/>
  <c r="BR199" i="7"/>
  <c r="AE215" i="7"/>
  <c r="BH214" i="7"/>
  <c r="AR198" i="7"/>
  <c r="BU197" i="7"/>
  <c r="AQ197" i="7"/>
  <c r="BT196" i="7"/>
  <c r="J196" i="7" s="1"/>
  <c r="T200" i="7"/>
  <c r="AW199" i="7"/>
  <c r="BB199" i="7"/>
  <c r="Y200" i="7"/>
  <c r="W200" i="7"/>
  <c r="AZ199" i="7"/>
  <c r="AV199" i="7"/>
  <c r="S200" i="7"/>
  <c r="R200" i="7"/>
  <c r="AU199" i="7"/>
  <c r="Z200" i="7"/>
  <c r="BC199" i="7"/>
  <c r="AA200" i="7"/>
  <c r="BD199" i="7"/>
  <c r="BA199" i="7"/>
  <c r="X200" i="7"/>
  <c r="V200" i="7"/>
  <c r="AY199" i="7"/>
  <c r="AX199" i="7"/>
  <c r="U200" i="7"/>
  <c r="AS199" i="7"/>
  <c r="P200" i="7"/>
  <c r="AT199" i="7"/>
  <c r="Q200" i="7"/>
  <c r="AP220" i="7"/>
  <c r="BS220" i="7" s="1"/>
  <c r="AI221" i="7" l="1"/>
  <c r="BL220" i="7"/>
  <c r="AO201" i="7"/>
  <c r="BR200" i="7"/>
  <c r="AQ198" i="7"/>
  <c r="BT197" i="7"/>
  <c r="J197" i="7" s="1"/>
  <c r="AR199" i="7"/>
  <c r="BU198" i="7"/>
  <c r="AE216" i="7"/>
  <c r="BH215" i="7"/>
  <c r="BD200" i="7"/>
  <c r="AA201" i="7"/>
  <c r="Z201" i="7"/>
  <c r="BC200" i="7"/>
  <c r="Y201" i="7"/>
  <c r="BB200" i="7"/>
  <c r="W201" i="7"/>
  <c r="AZ200" i="7"/>
  <c r="AU200" i="7"/>
  <c r="R201" i="7"/>
  <c r="BA200" i="7"/>
  <c r="X201" i="7"/>
  <c r="AV200" i="7"/>
  <c r="S201" i="7"/>
  <c r="T201" i="7"/>
  <c r="AW200" i="7"/>
  <c r="AY200" i="7"/>
  <c r="V201" i="7"/>
  <c r="AX200" i="7"/>
  <c r="U201" i="7"/>
  <c r="P201" i="7"/>
  <c r="AS200" i="7"/>
  <c r="Q201" i="7"/>
  <c r="AT200" i="7"/>
  <c r="AP221" i="7"/>
  <c r="BS221" i="7" s="1"/>
  <c r="BL221" i="7" l="1"/>
  <c r="AI222" i="7"/>
  <c r="AO202" i="7"/>
  <c r="BR201" i="7"/>
  <c r="AE217" i="7"/>
  <c r="BH216" i="7"/>
  <c r="AR200" i="7"/>
  <c r="BU199" i="7"/>
  <c r="AQ199" i="7"/>
  <c r="BT198" i="7"/>
  <c r="J198" i="7" s="1"/>
  <c r="T202" i="7"/>
  <c r="AW201" i="7"/>
  <c r="AZ201" i="7"/>
  <c r="W202" i="7"/>
  <c r="AV201" i="7"/>
  <c r="S202" i="7"/>
  <c r="Z202" i="7"/>
  <c r="BC201" i="7"/>
  <c r="X202" i="7"/>
  <c r="BA201" i="7"/>
  <c r="R202" i="7"/>
  <c r="AU201" i="7"/>
  <c r="BD201" i="7"/>
  <c r="AA202" i="7"/>
  <c r="BB201" i="7"/>
  <c r="Y202" i="7"/>
  <c r="AY201" i="7"/>
  <c r="V202" i="7"/>
  <c r="AX201" i="7"/>
  <c r="U202" i="7"/>
  <c r="AS201" i="7"/>
  <c r="P202" i="7"/>
  <c r="Q202" i="7"/>
  <c r="AT201" i="7"/>
  <c r="AP222" i="7"/>
  <c r="BS222" i="7" s="1"/>
  <c r="BL222" i="7" l="1"/>
  <c r="AI223" i="7"/>
  <c r="AO203" i="7"/>
  <c r="BR202" i="7"/>
  <c r="AQ200" i="7"/>
  <c r="BT199" i="7"/>
  <c r="J199" i="7" s="1"/>
  <c r="AR201" i="7"/>
  <c r="BU200" i="7"/>
  <c r="AE218" i="7"/>
  <c r="BH217" i="7"/>
  <c r="BC202" i="7"/>
  <c r="Z203" i="7"/>
  <c r="AA203" i="7"/>
  <c r="BD202" i="7"/>
  <c r="S203" i="7"/>
  <c r="AV202" i="7"/>
  <c r="AU202" i="7"/>
  <c r="R203" i="7"/>
  <c r="AZ202" i="7"/>
  <c r="W203" i="7"/>
  <c r="X203" i="7"/>
  <c r="BA202" i="7"/>
  <c r="Y203" i="7"/>
  <c r="BB202" i="7"/>
  <c r="T203" i="7"/>
  <c r="AW202" i="7"/>
  <c r="V203" i="7"/>
  <c r="AY202" i="7"/>
  <c r="U203" i="7"/>
  <c r="AX202" i="7"/>
  <c r="AS202" i="7"/>
  <c r="P203" i="7"/>
  <c r="AT202" i="7"/>
  <c r="Q203" i="7"/>
  <c r="AP223" i="7"/>
  <c r="BS223" i="7" s="1"/>
  <c r="BL223" i="7" l="1"/>
  <c r="AI224" i="7"/>
  <c r="AO204" i="7"/>
  <c r="BR203" i="7"/>
  <c r="AE219" i="7"/>
  <c r="BH218" i="7"/>
  <c r="AR202" i="7"/>
  <c r="BU201" i="7"/>
  <c r="AQ201" i="7"/>
  <c r="BT200" i="7"/>
  <c r="J200" i="7" s="1"/>
  <c r="AU203" i="7"/>
  <c r="R204" i="7"/>
  <c r="AW203" i="7"/>
  <c r="T204" i="7"/>
  <c r="S204" i="7"/>
  <c r="AV203" i="7"/>
  <c r="BB203" i="7"/>
  <c r="Y204" i="7"/>
  <c r="X204" i="7"/>
  <c r="BA203" i="7"/>
  <c r="AA204" i="7"/>
  <c r="BD203" i="7"/>
  <c r="W204" i="7"/>
  <c r="AZ203" i="7"/>
  <c r="BC203" i="7"/>
  <c r="Z204" i="7"/>
  <c r="V204" i="7"/>
  <c r="AY203" i="7"/>
  <c r="AX203" i="7"/>
  <c r="U204" i="7"/>
  <c r="P204" i="7"/>
  <c r="AS203" i="7"/>
  <c r="Q204" i="7"/>
  <c r="AT203" i="7"/>
  <c r="AP224" i="7"/>
  <c r="BS224" i="7" s="1"/>
  <c r="AI225" i="7" l="1"/>
  <c r="BL224" i="7"/>
  <c r="AO205" i="7"/>
  <c r="BR204" i="7"/>
  <c r="AR203" i="7"/>
  <c r="BU202" i="7"/>
  <c r="AQ202" i="7"/>
  <c r="BT201" i="7"/>
  <c r="J201" i="7" s="1"/>
  <c r="AE220" i="7"/>
  <c r="BH219" i="7"/>
  <c r="BD204" i="7"/>
  <c r="AA205" i="7"/>
  <c r="AW204" i="7"/>
  <c r="T205" i="7"/>
  <c r="X205" i="7"/>
  <c r="BA204" i="7"/>
  <c r="R205" i="7"/>
  <c r="AU204" i="7"/>
  <c r="AZ204" i="7"/>
  <c r="W205" i="7"/>
  <c r="AV204" i="7"/>
  <c r="S205" i="7"/>
  <c r="Z205" i="7"/>
  <c r="BC204" i="7"/>
  <c r="Y205" i="7"/>
  <c r="BB204" i="7"/>
  <c r="AY204" i="7"/>
  <c r="V205" i="7"/>
  <c r="U205" i="7"/>
  <c r="AX204" i="7"/>
  <c r="P205" i="7"/>
  <c r="AS204" i="7"/>
  <c r="Q205" i="7"/>
  <c r="AT204" i="7"/>
  <c r="AP225" i="7"/>
  <c r="BS225" i="7" s="1"/>
  <c r="AI226" i="7" l="1"/>
  <c r="BL225" i="7"/>
  <c r="AO206" i="7"/>
  <c r="BR205" i="7"/>
  <c r="AE221" i="7"/>
  <c r="BH220" i="7"/>
  <c r="AQ203" i="7"/>
  <c r="BT202" i="7"/>
  <c r="J202" i="7" s="1"/>
  <c r="AR204" i="7"/>
  <c r="BU203" i="7"/>
  <c r="BB205" i="7"/>
  <c r="Y206" i="7"/>
  <c r="AU205" i="7"/>
  <c r="R206" i="7"/>
  <c r="BA205" i="7"/>
  <c r="X206" i="7"/>
  <c r="BC205" i="7"/>
  <c r="Z206" i="7"/>
  <c r="AV205" i="7"/>
  <c r="S206" i="7"/>
  <c r="AW205" i="7"/>
  <c r="T206" i="7"/>
  <c r="W206" i="7"/>
  <c r="AZ205" i="7"/>
  <c r="BD205" i="7"/>
  <c r="AA206" i="7"/>
  <c r="V206" i="7"/>
  <c r="AY205" i="7"/>
  <c r="U206" i="7"/>
  <c r="AX205" i="7"/>
  <c r="P206" i="7"/>
  <c r="AS205" i="7"/>
  <c r="AT205" i="7"/>
  <c r="Q206" i="7"/>
  <c r="AP226" i="7"/>
  <c r="BS226" i="7" s="1"/>
  <c r="AI227" i="7" l="1"/>
  <c r="BL226" i="7"/>
  <c r="AO207" i="7"/>
  <c r="BR206" i="7"/>
  <c r="AR205" i="7"/>
  <c r="BU204" i="7"/>
  <c r="AQ204" i="7"/>
  <c r="BT203" i="7"/>
  <c r="J203" i="7" s="1"/>
  <c r="AE222" i="7"/>
  <c r="BH221" i="7"/>
  <c r="X207" i="7"/>
  <c r="BA206" i="7"/>
  <c r="W207" i="7"/>
  <c r="AZ206" i="7"/>
  <c r="BB206" i="7"/>
  <c r="Y207" i="7"/>
  <c r="AW206" i="7"/>
  <c r="T207" i="7"/>
  <c r="AU206" i="7"/>
  <c r="R207" i="7"/>
  <c r="AV206" i="7"/>
  <c r="S207" i="7"/>
  <c r="BD206" i="7"/>
  <c r="AA207" i="7"/>
  <c r="BC206" i="7"/>
  <c r="Z207" i="7"/>
  <c r="V207" i="7"/>
  <c r="AY206" i="7"/>
  <c r="AX206" i="7"/>
  <c r="U207" i="7"/>
  <c r="AS206" i="7"/>
  <c r="P207" i="7"/>
  <c r="Q207" i="7"/>
  <c r="AT206" i="7"/>
  <c r="AP227" i="7"/>
  <c r="BS227" i="7" s="1"/>
  <c r="AI228" i="7" l="1"/>
  <c r="BL227" i="7"/>
  <c r="AO208" i="7"/>
  <c r="BR207" i="7"/>
  <c r="AQ205" i="7"/>
  <c r="BT204" i="7"/>
  <c r="J204" i="7" s="1"/>
  <c r="AE223" i="7"/>
  <c r="BH222" i="7"/>
  <c r="AR206" i="7"/>
  <c r="BU205" i="7"/>
  <c r="AA208" i="7"/>
  <c r="BD207" i="7"/>
  <c r="Y208" i="7"/>
  <c r="BB207" i="7"/>
  <c r="AZ207" i="7"/>
  <c r="W208" i="7"/>
  <c r="S208" i="7"/>
  <c r="AV207" i="7"/>
  <c r="R208" i="7"/>
  <c r="AU207" i="7"/>
  <c r="BA207" i="7"/>
  <c r="X208" i="7"/>
  <c r="Z208" i="7"/>
  <c r="BC207" i="7"/>
  <c r="T208" i="7"/>
  <c r="AW207" i="7"/>
  <c r="AY207" i="7"/>
  <c r="V208" i="7"/>
  <c r="AX207" i="7"/>
  <c r="U208" i="7"/>
  <c r="AS207" i="7"/>
  <c r="P208" i="7"/>
  <c r="AT207" i="7"/>
  <c r="Q208" i="7"/>
  <c r="AP228" i="7"/>
  <c r="BS228" i="7" s="1"/>
  <c r="AI229" i="7" l="1"/>
  <c r="BL228" i="7"/>
  <c r="AO209" i="7"/>
  <c r="BR208" i="7"/>
  <c r="AR207" i="7"/>
  <c r="BU206" i="7"/>
  <c r="AE224" i="7"/>
  <c r="BH223" i="7"/>
  <c r="AQ206" i="7"/>
  <c r="BT205" i="7"/>
  <c r="J205" i="7" s="1"/>
  <c r="AW208" i="7"/>
  <c r="T209" i="7"/>
  <c r="S209" i="7"/>
  <c r="AV208" i="7"/>
  <c r="AZ208" i="7"/>
  <c r="W209" i="7"/>
  <c r="X209" i="7"/>
  <c r="BA208" i="7"/>
  <c r="Z209" i="7"/>
  <c r="BC208" i="7"/>
  <c r="Y209" i="7"/>
  <c r="BB208" i="7"/>
  <c r="R209" i="7"/>
  <c r="AU208" i="7"/>
  <c r="BD208" i="7"/>
  <c r="AA209" i="7"/>
  <c r="AY208" i="7"/>
  <c r="V209" i="7"/>
  <c r="U209" i="7"/>
  <c r="AX208" i="7"/>
  <c r="AS208" i="7"/>
  <c r="P209" i="7"/>
  <c r="Q209" i="7"/>
  <c r="AT208" i="7"/>
  <c r="AP229" i="7"/>
  <c r="BS229" i="7" s="1"/>
  <c r="AI230" i="7" l="1"/>
  <c r="BL229" i="7"/>
  <c r="AO210" i="7"/>
  <c r="BR209" i="7"/>
  <c r="AE225" i="7"/>
  <c r="BH224" i="7"/>
  <c r="AQ207" i="7"/>
  <c r="BT206" i="7"/>
  <c r="J206" i="7" s="1"/>
  <c r="AR208" i="7"/>
  <c r="BU207" i="7"/>
  <c r="BA209" i="7"/>
  <c r="X210" i="7"/>
  <c r="W210" i="7"/>
  <c r="AZ209" i="7"/>
  <c r="S210" i="7"/>
  <c r="AV209" i="7"/>
  <c r="Y210" i="7"/>
  <c r="BB209" i="7"/>
  <c r="BC209" i="7"/>
  <c r="Z210" i="7"/>
  <c r="AW209" i="7"/>
  <c r="T210" i="7"/>
  <c r="R210" i="7"/>
  <c r="AU209" i="7"/>
  <c r="BD209" i="7"/>
  <c r="AA210" i="7"/>
  <c r="V210" i="7"/>
  <c r="AY209" i="7"/>
  <c r="AX209" i="7"/>
  <c r="U210" i="7"/>
  <c r="AS209" i="7"/>
  <c r="P210" i="7"/>
  <c r="AT209" i="7"/>
  <c r="Q210" i="7"/>
  <c r="AP230" i="7"/>
  <c r="BS230" i="7" s="1"/>
  <c r="BL230" i="7" l="1"/>
  <c r="AI231" i="7"/>
  <c r="AO211" i="7"/>
  <c r="BR210" i="7"/>
  <c r="AQ208" i="7"/>
  <c r="BT207" i="7"/>
  <c r="J207" i="7" s="1"/>
  <c r="AE226" i="7"/>
  <c r="BH225" i="7"/>
  <c r="AR209" i="7"/>
  <c r="BU208" i="7"/>
  <c r="Y211" i="7"/>
  <c r="BB210" i="7"/>
  <c r="R211" i="7"/>
  <c r="AU210" i="7"/>
  <c r="AW210" i="7"/>
  <c r="T211" i="7"/>
  <c r="BC210" i="7"/>
  <c r="Z211" i="7"/>
  <c r="BA210" i="7"/>
  <c r="X211" i="7"/>
  <c r="S211" i="7"/>
  <c r="AV210" i="7"/>
  <c r="AZ210" i="7"/>
  <c r="W211" i="7"/>
  <c r="AA211" i="7"/>
  <c r="BD210" i="7"/>
  <c r="AY210" i="7"/>
  <c r="V211" i="7"/>
  <c r="AX210" i="7"/>
  <c r="U211" i="7"/>
  <c r="P211" i="7"/>
  <c r="AS210" i="7"/>
  <c r="Q211" i="7"/>
  <c r="AT210" i="7"/>
  <c r="AP231" i="7"/>
  <c r="BS231" i="7" s="1"/>
  <c r="BL231" i="7" l="1"/>
  <c r="AI232" i="7"/>
  <c r="AO212" i="7"/>
  <c r="BR211" i="7"/>
  <c r="AR210" i="7"/>
  <c r="BU209" i="7"/>
  <c r="AE227" i="7"/>
  <c r="BH226" i="7"/>
  <c r="AQ209" i="7"/>
  <c r="BT208" i="7"/>
  <c r="J208" i="7" s="1"/>
  <c r="AA212" i="7"/>
  <c r="BD211" i="7"/>
  <c r="W212" i="7"/>
  <c r="AZ211" i="7"/>
  <c r="AW211" i="7"/>
  <c r="T212" i="7"/>
  <c r="AV211" i="7"/>
  <c r="S212" i="7"/>
  <c r="BA211" i="7"/>
  <c r="X212" i="7"/>
  <c r="AU211" i="7"/>
  <c r="R212" i="7"/>
  <c r="BC211" i="7"/>
  <c r="Z212" i="7"/>
  <c r="BB211" i="7"/>
  <c r="Y212" i="7"/>
  <c r="AY211" i="7"/>
  <c r="V212" i="7"/>
  <c r="U212" i="7"/>
  <c r="AX211" i="7"/>
  <c r="P212" i="7"/>
  <c r="AS211" i="7"/>
  <c r="AT211" i="7"/>
  <c r="Q212" i="7"/>
  <c r="AP232" i="7"/>
  <c r="BS232" i="7" s="1"/>
  <c r="BL232" i="7" l="1"/>
  <c r="AI233" i="7"/>
  <c r="AO213" i="7"/>
  <c r="BR212" i="7"/>
  <c r="AE228" i="7"/>
  <c r="BH227" i="7"/>
  <c r="AQ210" i="7"/>
  <c r="BT209" i="7"/>
  <c r="J209" i="7" s="1"/>
  <c r="AR211" i="7"/>
  <c r="BU210" i="7"/>
  <c r="Z213" i="7"/>
  <c r="BC212" i="7"/>
  <c r="T213" i="7"/>
  <c r="AW212" i="7"/>
  <c r="W213" i="7"/>
  <c r="AZ212" i="7"/>
  <c r="R213" i="7"/>
  <c r="AU212" i="7"/>
  <c r="X213" i="7"/>
  <c r="BA212" i="7"/>
  <c r="BB212" i="7"/>
  <c r="Y213" i="7"/>
  <c r="AV212" i="7"/>
  <c r="S213" i="7"/>
  <c r="AA213" i="7"/>
  <c r="BD212" i="7"/>
  <c r="AY212" i="7"/>
  <c r="V213" i="7"/>
  <c r="AX212" i="7"/>
  <c r="U213" i="7"/>
  <c r="P213" i="7"/>
  <c r="AS212" i="7"/>
  <c r="Q213" i="7"/>
  <c r="AT212" i="7"/>
  <c r="AP233" i="7"/>
  <c r="BS233" i="7" s="1"/>
  <c r="BL233" i="7" l="1"/>
  <c r="AI234" i="7"/>
  <c r="AO214" i="7"/>
  <c r="BR213" i="7"/>
  <c r="AQ211" i="7"/>
  <c r="BT210" i="7"/>
  <c r="J210" i="7" s="1"/>
  <c r="AR212" i="7"/>
  <c r="BU211" i="7"/>
  <c r="AE229" i="7"/>
  <c r="BH228" i="7"/>
  <c r="AA214" i="7"/>
  <c r="BD213" i="7"/>
  <c r="R214" i="7"/>
  <c r="AU213" i="7"/>
  <c r="W214" i="7"/>
  <c r="AZ213" i="7"/>
  <c r="BB213" i="7"/>
  <c r="Y214" i="7"/>
  <c r="S214" i="7"/>
  <c r="AV213" i="7"/>
  <c r="T214" i="7"/>
  <c r="AW213" i="7"/>
  <c r="BA213" i="7"/>
  <c r="X214" i="7"/>
  <c r="BC213" i="7"/>
  <c r="Z214" i="7"/>
  <c r="AY213" i="7"/>
  <c r="V214" i="7"/>
  <c r="U214" i="7"/>
  <c r="AX213" i="7"/>
  <c r="AS213" i="7"/>
  <c r="P214" i="7"/>
  <c r="AT213" i="7"/>
  <c r="Q214" i="7"/>
  <c r="AP234" i="7"/>
  <c r="BS234" i="7" s="1"/>
  <c r="AI235" i="7" l="1"/>
  <c r="BL234" i="7"/>
  <c r="AO215" i="7"/>
  <c r="BR214" i="7"/>
  <c r="AE230" i="7"/>
  <c r="BH229" i="7"/>
  <c r="AR213" i="7"/>
  <c r="BU212" i="7"/>
  <c r="AQ212" i="7"/>
  <c r="BT211" i="7"/>
  <c r="J211" i="7" s="1"/>
  <c r="X215" i="7"/>
  <c r="BA214" i="7"/>
  <c r="Y215" i="7"/>
  <c r="BB214" i="7"/>
  <c r="W215" i="7"/>
  <c r="AZ214" i="7"/>
  <c r="AW214" i="7"/>
  <c r="T215" i="7"/>
  <c r="R215" i="7"/>
  <c r="AU214" i="7"/>
  <c r="S215" i="7"/>
  <c r="AV214" i="7"/>
  <c r="BC214" i="7"/>
  <c r="Z215" i="7"/>
  <c r="BD214" i="7"/>
  <c r="AA215" i="7"/>
  <c r="AY214" i="7"/>
  <c r="V215" i="7"/>
  <c r="AX214" i="7"/>
  <c r="U215" i="7"/>
  <c r="AS214" i="7"/>
  <c r="P215" i="7"/>
  <c r="AT214" i="7"/>
  <c r="Q215" i="7"/>
  <c r="AP235" i="7"/>
  <c r="BS235" i="7" s="1"/>
  <c r="AI236" i="7" l="1"/>
  <c r="BL235" i="7"/>
  <c r="AO216" i="7"/>
  <c r="BR215" i="7"/>
  <c r="AR214" i="7"/>
  <c r="BU213" i="7"/>
  <c r="AQ213" i="7"/>
  <c r="BT212" i="7"/>
  <c r="J212" i="7" s="1"/>
  <c r="AE231" i="7"/>
  <c r="BH230" i="7"/>
  <c r="AW215" i="7"/>
  <c r="T216" i="7"/>
  <c r="W216" i="7"/>
  <c r="AZ215" i="7"/>
  <c r="AV215" i="7"/>
  <c r="S216" i="7"/>
  <c r="Z216" i="7"/>
  <c r="BC215" i="7"/>
  <c r="Y216" i="7"/>
  <c r="BB215" i="7"/>
  <c r="AU215" i="7"/>
  <c r="R216" i="7"/>
  <c r="AA216" i="7"/>
  <c r="BD215" i="7"/>
  <c r="BA215" i="7"/>
  <c r="X216" i="7"/>
  <c r="AY215" i="7"/>
  <c r="V216" i="7"/>
  <c r="AX215" i="7"/>
  <c r="U216" i="7"/>
  <c r="AS215" i="7"/>
  <c r="P216" i="7"/>
  <c r="AT215" i="7"/>
  <c r="Q216" i="7"/>
  <c r="AP236" i="7"/>
  <c r="BS236" i="7" s="1"/>
  <c r="AI237" i="7" l="1"/>
  <c r="BL236" i="7"/>
  <c r="AO217" i="7"/>
  <c r="BR216" i="7"/>
  <c r="AE232" i="7"/>
  <c r="BH231" i="7"/>
  <c r="AQ214" i="7"/>
  <c r="BT213" i="7"/>
  <c r="J213" i="7" s="1"/>
  <c r="AR215" i="7"/>
  <c r="BU214" i="7"/>
  <c r="BD216" i="7"/>
  <c r="AA217" i="7"/>
  <c r="AU216" i="7"/>
  <c r="R217" i="7"/>
  <c r="AZ216" i="7"/>
  <c r="W217" i="7"/>
  <c r="BC216" i="7"/>
  <c r="Z217" i="7"/>
  <c r="AV216" i="7"/>
  <c r="S217" i="7"/>
  <c r="Y217" i="7"/>
  <c r="BB216" i="7"/>
  <c r="AW216" i="7"/>
  <c r="T217" i="7"/>
  <c r="X217" i="7"/>
  <c r="BA216" i="7"/>
  <c r="V217" i="7"/>
  <c r="AY216" i="7"/>
  <c r="AX216" i="7"/>
  <c r="U217" i="7"/>
  <c r="AS216" i="7"/>
  <c r="P217" i="7"/>
  <c r="AT216" i="7"/>
  <c r="Q217" i="7"/>
  <c r="AP237" i="7"/>
  <c r="BS237" i="7" s="1"/>
  <c r="AI238" i="7" l="1"/>
  <c r="BL237" i="7"/>
  <c r="AO218" i="7"/>
  <c r="BR217" i="7"/>
  <c r="AQ215" i="7"/>
  <c r="BT214" i="7"/>
  <c r="J214" i="7" s="1"/>
  <c r="AR216" i="7"/>
  <c r="BU215" i="7"/>
  <c r="AE233" i="7"/>
  <c r="BH232" i="7"/>
  <c r="BA217" i="7"/>
  <c r="X218" i="7"/>
  <c r="AW217" i="7"/>
  <c r="T218" i="7"/>
  <c r="W218" i="7"/>
  <c r="AZ217" i="7"/>
  <c r="AU217" i="7"/>
  <c r="R218" i="7"/>
  <c r="BB217" i="7"/>
  <c r="Y218" i="7"/>
  <c r="AV217" i="7"/>
  <c r="S218" i="7"/>
  <c r="BD217" i="7"/>
  <c r="AA218" i="7"/>
  <c r="BC217" i="7"/>
  <c r="Z218" i="7"/>
  <c r="V218" i="7"/>
  <c r="AY217" i="7"/>
  <c r="U218" i="7"/>
  <c r="AX217" i="7"/>
  <c r="P218" i="7"/>
  <c r="AS217" i="7"/>
  <c r="Q218" i="7"/>
  <c r="AT217" i="7"/>
  <c r="AP238" i="7"/>
  <c r="BS238" i="7" s="1"/>
  <c r="AI239" i="7" l="1"/>
  <c r="BL238" i="7"/>
  <c r="AO219" i="7"/>
  <c r="BR218" i="7"/>
  <c r="AE234" i="7"/>
  <c r="BH233" i="7"/>
  <c r="AR217" i="7"/>
  <c r="BU216" i="7"/>
  <c r="AQ216" i="7"/>
  <c r="BT215" i="7"/>
  <c r="J215" i="7" s="1"/>
  <c r="AZ218" i="7"/>
  <c r="W219" i="7"/>
  <c r="AV218" i="7"/>
  <c r="S219" i="7"/>
  <c r="T219" i="7"/>
  <c r="AW218" i="7"/>
  <c r="Z219" i="7"/>
  <c r="BC218" i="7"/>
  <c r="R219" i="7"/>
  <c r="AU218" i="7"/>
  <c r="BB218" i="7"/>
  <c r="Y219" i="7"/>
  <c r="BA218" i="7"/>
  <c r="X219" i="7"/>
  <c r="BD218" i="7"/>
  <c r="AA219" i="7"/>
  <c r="AY218" i="7"/>
  <c r="V219" i="7"/>
  <c r="U219" i="7"/>
  <c r="AX218" i="7"/>
  <c r="AS218" i="7"/>
  <c r="P219" i="7"/>
  <c r="AT218" i="7"/>
  <c r="Q219" i="7"/>
  <c r="AP239" i="7"/>
  <c r="BS239" i="7" s="1"/>
  <c r="AI240" i="7" l="1"/>
  <c r="BL239" i="7"/>
  <c r="AO220" i="7"/>
  <c r="BR219" i="7"/>
  <c r="AQ217" i="7"/>
  <c r="BT216" i="7"/>
  <c r="J216" i="7" s="1"/>
  <c r="AR218" i="7"/>
  <c r="BU217" i="7"/>
  <c r="AE235" i="7"/>
  <c r="BH234" i="7"/>
  <c r="BA219" i="7"/>
  <c r="X220" i="7"/>
  <c r="T220" i="7"/>
  <c r="AW219" i="7"/>
  <c r="S220" i="7"/>
  <c r="AV219" i="7"/>
  <c r="AU219" i="7"/>
  <c r="R220" i="7"/>
  <c r="AZ219" i="7"/>
  <c r="W220" i="7"/>
  <c r="BC219" i="7"/>
  <c r="Z220" i="7"/>
  <c r="Y220" i="7"/>
  <c r="BB219" i="7"/>
  <c r="BD219" i="7"/>
  <c r="AA220" i="7"/>
  <c r="V220" i="7"/>
  <c r="AY219" i="7"/>
  <c r="U220" i="7"/>
  <c r="AX219" i="7"/>
  <c r="P220" i="7"/>
  <c r="AS219" i="7"/>
  <c r="Q220" i="7"/>
  <c r="AT219" i="7"/>
  <c r="AP240" i="7"/>
  <c r="BS240" i="7" s="1"/>
  <c r="AI241" i="7" l="1"/>
  <c r="BL240" i="7"/>
  <c r="AO221" i="7"/>
  <c r="BR220" i="7"/>
  <c r="AR219" i="7"/>
  <c r="BU218" i="7"/>
  <c r="AE236" i="7"/>
  <c r="BH235" i="7"/>
  <c r="AQ218" i="7"/>
  <c r="BT217" i="7"/>
  <c r="J217" i="7" s="1"/>
  <c r="AV220" i="7"/>
  <c r="S221" i="7"/>
  <c r="BC220" i="7"/>
  <c r="Z221" i="7"/>
  <c r="R221" i="7"/>
  <c r="AU220" i="7"/>
  <c r="T221" i="7"/>
  <c r="AW220" i="7"/>
  <c r="W221" i="7"/>
  <c r="AZ220" i="7"/>
  <c r="BA220" i="7"/>
  <c r="X221" i="7"/>
  <c r="Y221" i="7"/>
  <c r="BB220" i="7"/>
  <c r="AA221" i="7"/>
  <c r="BD220" i="7"/>
  <c r="V221" i="7"/>
  <c r="AY220" i="7"/>
  <c r="AX220" i="7"/>
  <c r="U221" i="7"/>
  <c r="P221" i="7"/>
  <c r="AS220" i="7"/>
  <c r="Q221" i="7"/>
  <c r="AT220" i="7"/>
  <c r="AP241" i="7"/>
  <c r="BS241" i="7" s="1"/>
  <c r="AI242" i="7" l="1"/>
  <c r="BL241" i="7"/>
  <c r="AO222" i="7"/>
  <c r="BR221" i="7"/>
  <c r="AE237" i="7"/>
  <c r="BH236" i="7"/>
  <c r="AQ219" i="7"/>
  <c r="BT218" i="7"/>
  <c r="J218" i="7" s="1"/>
  <c r="AR220" i="7"/>
  <c r="BU219" i="7"/>
  <c r="BD221" i="7"/>
  <c r="AA222" i="7"/>
  <c r="AW221" i="7"/>
  <c r="T222" i="7"/>
  <c r="AU221" i="7"/>
  <c r="R222" i="7"/>
  <c r="BB221" i="7"/>
  <c r="Y222" i="7"/>
  <c r="Z222" i="7"/>
  <c r="BC221" i="7"/>
  <c r="AV221" i="7"/>
  <c r="S222" i="7"/>
  <c r="AZ221" i="7"/>
  <c r="W222" i="7"/>
  <c r="BA221" i="7"/>
  <c r="X222" i="7"/>
  <c r="V222" i="7"/>
  <c r="AY221" i="7"/>
  <c r="U222" i="7"/>
  <c r="AX221" i="7"/>
  <c r="P222" i="7"/>
  <c r="AS221" i="7"/>
  <c r="Q222" i="7"/>
  <c r="AT221" i="7"/>
  <c r="AP242" i="7"/>
  <c r="BS242" i="7" s="1"/>
  <c r="AI243" i="7" l="1"/>
  <c r="BL242" i="7"/>
  <c r="AO223" i="7"/>
  <c r="BR222" i="7"/>
  <c r="AQ220" i="7"/>
  <c r="BT219" i="7"/>
  <c r="J219" i="7" s="1"/>
  <c r="AR221" i="7"/>
  <c r="BU220" i="7"/>
  <c r="AE238" i="7"/>
  <c r="BH237" i="7"/>
  <c r="W223" i="7"/>
  <c r="AZ222" i="7"/>
  <c r="R223" i="7"/>
  <c r="AU222" i="7"/>
  <c r="T223" i="7"/>
  <c r="AW222" i="7"/>
  <c r="AV222" i="7"/>
  <c r="S223" i="7"/>
  <c r="BC222" i="7"/>
  <c r="Z223" i="7"/>
  <c r="BD222" i="7"/>
  <c r="AA223" i="7"/>
  <c r="X223" i="7"/>
  <c r="BA222" i="7"/>
  <c r="BB222" i="7"/>
  <c r="Y223" i="7"/>
  <c r="V223" i="7"/>
  <c r="AY222" i="7"/>
  <c r="U223" i="7"/>
  <c r="AX222" i="7"/>
  <c r="AS222" i="7"/>
  <c r="P223" i="7"/>
  <c r="AT222" i="7"/>
  <c r="Q223" i="7"/>
  <c r="AP243" i="7"/>
  <c r="BS243" i="7" s="1"/>
  <c r="AI244" i="7" l="1"/>
  <c r="BL243" i="7"/>
  <c r="AO224" i="7"/>
  <c r="BR223" i="7"/>
  <c r="AE239" i="7"/>
  <c r="BH238" i="7"/>
  <c r="AR222" i="7"/>
  <c r="BU221" i="7"/>
  <c r="AQ221" i="7"/>
  <c r="BT220" i="7"/>
  <c r="J220" i="7" s="1"/>
  <c r="X224" i="7"/>
  <c r="BA223" i="7"/>
  <c r="R224" i="7"/>
  <c r="AU223" i="7"/>
  <c r="AW223" i="7"/>
  <c r="T224" i="7"/>
  <c r="BD223" i="7"/>
  <c r="AA224" i="7"/>
  <c r="Z224" i="7"/>
  <c r="BC223" i="7"/>
  <c r="AZ223" i="7"/>
  <c r="W224" i="7"/>
  <c r="BB223" i="7"/>
  <c r="Y224" i="7"/>
  <c r="S224" i="7"/>
  <c r="AV223" i="7"/>
  <c r="V224" i="7"/>
  <c r="AY223" i="7"/>
  <c r="AX223" i="7"/>
  <c r="U224" i="7"/>
  <c r="AS223" i="7"/>
  <c r="P224" i="7"/>
  <c r="AT223" i="7"/>
  <c r="Q224" i="7"/>
  <c r="AP244" i="7"/>
  <c r="BS244" i="7" s="1"/>
  <c r="AI245" i="7" l="1"/>
  <c r="BL244" i="7"/>
  <c r="AO225" i="7"/>
  <c r="BR224" i="7"/>
  <c r="AR223" i="7"/>
  <c r="BU222" i="7"/>
  <c r="AQ222" i="7"/>
  <c r="BT221" i="7"/>
  <c r="J221" i="7" s="1"/>
  <c r="AE240" i="7"/>
  <c r="BH239" i="7"/>
  <c r="AV224" i="7"/>
  <c r="S225" i="7"/>
  <c r="BB224" i="7"/>
  <c r="Y225" i="7"/>
  <c r="AW224" i="7"/>
  <c r="T225" i="7"/>
  <c r="AZ224" i="7"/>
  <c r="W225" i="7"/>
  <c r="BC224" i="7"/>
  <c r="Z225" i="7"/>
  <c r="R225" i="7"/>
  <c r="AU224" i="7"/>
  <c r="BD224" i="7"/>
  <c r="AA225" i="7"/>
  <c r="BA224" i="7"/>
  <c r="X225" i="7"/>
  <c r="V225" i="7"/>
  <c r="AY224" i="7"/>
  <c r="AX224" i="7"/>
  <c r="U225" i="7"/>
  <c r="P225" i="7"/>
  <c r="AS224" i="7"/>
  <c r="AT224" i="7"/>
  <c r="Q225" i="7"/>
  <c r="AP245" i="7"/>
  <c r="BS245" i="7" s="1"/>
  <c r="BL245" i="7" l="1"/>
  <c r="AI246" i="7"/>
  <c r="AO226" i="7"/>
  <c r="BR225" i="7"/>
  <c r="AE241" i="7"/>
  <c r="BH240" i="7"/>
  <c r="AQ223" i="7"/>
  <c r="BT222" i="7"/>
  <c r="J222" i="7" s="1"/>
  <c r="AR224" i="7"/>
  <c r="BU223" i="7"/>
  <c r="X226" i="7"/>
  <c r="BA225" i="7"/>
  <c r="AZ225" i="7"/>
  <c r="W226" i="7"/>
  <c r="AA226" i="7"/>
  <c r="BD225" i="7"/>
  <c r="BB225" i="7"/>
  <c r="Y226" i="7"/>
  <c r="Z226" i="7"/>
  <c r="BC225" i="7"/>
  <c r="AV225" i="7"/>
  <c r="S226" i="7"/>
  <c r="T226" i="7"/>
  <c r="AW225" i="7"/>
  <c r="AU225" i="7"/>
  <c r="R226" i="7"/>
  <c r="AY225" i="7"/>
  <c r="V226" i="7"/>
  <c r="AX225" i="7"/>
  <c r="U226" i="7"/>
  <c r="P226" i="7"/>
  <c r="AS225" i="7"/>
  <c r="Q226" i="7"/>
  <c r="AT225" i="7"/>
  <c r="AP246" i="7"/>
  <c r="BS246" i="7" s="1"/>
  <c r="BL246" i="7" l="1"/>
  <c r="AI247" i="7"/>
  <c r="AO227" i="7"/>
  <c r="BR226" i="7"/>
  <c r="AQ224" i="7"/>
  <c r="BT223" i="7"/>
  <c r="J223" i="7" s="1"/>
  <c r="AR225" i="7"/>
  <c r="BU224" i="7"/>
  <c r="AE242" i="7"/>
  <c r="BH241" i="7"/>
  <c r="AA227" i="7"/>
  <c r="BD226" i="7"/>
  <c r="AV226" i="7"/>
  <c r="S227" i="7"/>
  <c r="AZ226" i="7"/>
  <c r="W227" i="7"/>
  <c r="Y227" i="7"/>
  <c r="BB226" i="7"/>
  <c r="AW226" i="7"/>
  <c r="T227" i="7"/>
  <c r="AU226" i="7"/>
  <c r="R227" i="7"/>
  <c r="Z227" i="7"/>
  <c r="BC226" i="7"/>
  <c r="BA226" i="7"/>
  <c r="X227" i="7"/>
  <c r="V227" i="7"/>
  <c r="AY226" i="7"/>
  <c r="AX226" i="7"/>
  <c r="U227" i="7"/>
  <c r="AS226" i="7"/>
  <c r="P227" i="7"/>
  <c r="AT226" i="7"/>
  <c r="Q227" i="7"/>
  <c r="AP247" i="7"/>
  <c r="BS247" i="7" s="1"/>
  <c r="BL247" i="7" l="1"/>
  <c r="AI248" i="7"/>
  <c r="AO228" i="7"/>
  <c r="BR227" i="7"/>
  <c r="AE243" i="7"/>
  <c r="BH242" i="7"/>
  <c r="AR226" i="7"/>
  <c r="BU225" i="7"/>
  <c r="AQ225" i="7"/>
  <c r="BT224" i="7"/>
  <c r="J224" i="7" s="1"/>
  <c r="Y228" i="7"/>
  <c r="BB227" i="7"/>
  <c r="W228" i="7"/>
  <c r="AZ227" i="7"/>
  <c r="AV227" i="7"/>
  <c r="S228" i="7"/>
  <c r="Z228" i="7"/>
  <c r="BC227" i="7"/>
  <c r="AU227" i="7"/>
  <c r="R228" i="7"/>
  <c r="AW227" i="7"/>
  <c r="T228" i="7"/>
  <c r="BA227" i="7"/>
  <c r="X228" i="7"/>
  <c r="AA228" i="7"/>
  <c r="BD227" i="7"/>
  <c r="AY227" i="7"/>
  <c r="V228" i="7"/>
  <c r="AX227" i="7"/>
  <c r="U228" i="7"/>
  <c r="AS227" i="7"/>
  <c r="P228" i="7"/>
  <c r="AT227" i="7"/>
  <c r="Q228" i="7"/>
  <c r="AP248" i="7"/>
  <c r="BS248" i="7" s="1"/>
  <c r="AI249" i="7" l="1"/>
  <c r="BL248" i="7"/>
  <c r="AO229" i="7"/>
  <c r="BR228" i="7"/>
  <c r="AQ226" i="7"/>
  <c r="BT225" i="7"/>
  <c r="J225" i="7" s="1"/>
  <c r="AR227" i="7"/>
  <c r="BU226" i="7"/>
  <c r="AE244" i="7"/>
  <c r="BH243" i="7"/>
  <c r="AV228" i="7"/>
  <c r="S229" i="7"/>
  <c r="AW228" i="7"/>
  <c r="T229" i="7"/>
  <c r="BA228" i="7"/>
  <c r="X229" i="7"/>
  <c r="AZ228" i="7"/>
  <c r="W229" i="7"/>
  <c r="BD228" i="7"/>
  <c r="AA229" i="7"/>
  <c r="R229" i="7"/>
  <c r="AU228" i="7"/>
  <c r="Z229" i="7"/>
  <c r="BC228" i="7"/>
  <c r="Y229" i="7"/>
  <c r="BB228" i="7"/>
  <c r="AY228" i="7"/>
  <c r="V229" i="7"/>
  <c r="AX228" i="7"/>
  <c r="U229" i="7"/>
  <c r="P229" i="7"/>
  <c r="AS228" i="7"/>
  <c r="AT228" i="7"/>
  <c r="Q229" i="7"/>
  <c r="AP249" i="7"/>
  <c r="BS249" i="7" s="1"/>
  <c r="AI250" i="7" l="1"/>
  <c r="BL249" i="7"/>
  <c r="AO230" i="7"/>
  <c r="BR229" i="7"/>
  <c r="AE245" i="7"/>
  <c r="BH244" i="7"/>
  <c r="AR228" i="7"/>
  <c r="BU227" i="7"/>
  <c r="AQ227" i="7"/>
  <c r="BT226" i="7"/>
  <c r="J226" i="7" s="1"/>
  <c r="BB229" i="7"/>
  <c r="Y230" i="7"/>
  <c r="W230" i="7"/>
  <c r="AZ229" i="7"/>
  <c r="Z230" i="7"/>
  <c r="BC229" i="7"/>
  <c r="AA230" i="7"/>
  <c r="BD229" i="7"/>
  <c r="S230" i="7"/>
  <c r="AV229" i="7"/>
  <c r="X230" i="7"/>
  <c r="BA229" i="7"/>
  <c r="AU229" i="7"/>
  <c r="R230" i="7"/>
  <c r="T230" i="7"/>
  <c r="AW229" i="7"/>
  <c r="V230" i="7"/>
  <c r="AY229" i="7"/>
  <c r="AX229" i="7"/>
  <c r="U230" i="7"/>
  <c r="AS229" i="7"/>
  <c r="P230" i="7"/>
  <c r="Q230" i="7"/>
  <c r="AT229" i="7"/>
  <c r="AP250" i="7"/>
  <c r="BS250" i="7" s="1"/>
  <c r="AI251" i="7" l="1"/>
  <c r="BL250" i="7"/>
  <c r="AO231" i="7"/>
  <c r="BR230" i="7"/>
  <c r="AQ228" i="7"/>
  <c r="BT227" i="7"/>
  <c r="J227" i="7" s="1"/>
  <c r="AR229" i="7"/>
  <c r="BU228" i="7"/>
  <c r="AE246" i="7"/>
  <c r="BH245" i="7"/>
  <c r="BC230" i="7"/>
  <c r="Z231" i="7"/>
  <c r="T231" i="7"/>
  <c r="AW230" i="7"/>
  <c r="BD230" i="7"/>
  <c r="AA231" i="7"/>
  <c r="R231" i="7"/>
  <c r="AU230" i="7"/>
  <c r="BA230" i="7"/>
  <c r="X231" i="7"/>
  <c r="W231" i="7"/>
  <c r="AZ230" i="7"/>
  <c r="AV230" i="7"/>
  <c r="S231" i="7"/>
  <c r="BB230" i="7"/>
  <c r="Y231" i="7"/>
  <c r="AY230" i="7"/>
  <c r="V231" i="7"/>
  <c r="U231" i="7"/>
  <c r="AX230" i="7"/>
  <c r="AS230" i="7"/>
  <c r="P231" i="7"/>
  <c r="AT230" i="7"/>
  <c r="Q231" i="7"/>
  <c r="AP251" i="7"/>
  <c r="BS251" i="7" s="1"/>
  <c r="AI252" i="7" l="1"/>
  <c r="BL251" i="7"/>
  <c r="AO232" i="7"/>
  <c r="BR231" i="7"/>
  <c r="AR230" i="7"/>
  <c r="BU229" i="7"/>
  <c r="AE247" i="7"/>
  <c r="BH246" i="7"/>
  <c r="AQ229" i="7"/>
  <c r="BT228" i="7"/>
  <c r="J228" i="7" s="1"/>
  <c r="AU231" i="7"/>
  <c r="R232" i="7"/>
  <c r="S232" i="7"/>
  <c r="AV231" i="7"/>
  <c r="W232" i="7"/>
  <c r="AZ231" i="7"/>
  <c r="AW231" i="7"/>
  <c r="T232" i="7"/>
  <c r="Y232" i="7"/>
  <c r="BB231" i="7"/>
  <c r="BD231" i="7"/>
  <c r="AA232" i="7"/>
  <c r="BA231" i="7"/>
  <c r="X232" i="7"/>
  <c r="Z232" i="7"/>
  <c r="BC231" i="7"/>
  <c r="V232" i="7"/>
  <c r="AY231" i="7"/>
  <c r="AX231" i="7"/>
  <c r="U232" i="7"/>
  <c r="P232" i="7"/>
  <c r="AS231" i="7"/>
  <c r="Q232" i="7"/>
  <c r="AT231" i="7"/>
  <c r="AP252" i="7"/>
  <c r="BS252" i="7" s="1"/>
  <c r="AI253" i="7" l="1"/>
  <c r="BL252" i="7"/>
  <c r="AO233" i="7"/>
  <c r="BR232" i="7"/>
  <c r="AQ230" i="7"/>
  <c r="BT229" i="7"/>
  <c r="J229" i="7" s="1"/>
  <c r="AE248" i="7"/>
  <c r="BH247" i="7"/>
  <c r="AR231" i="7"/>
  <c r="BU230" i="7"/>
  <c r="BC232" i="7"/>
  <c r="Z233" i="7"/>
  <c r="BA232" i="7"/>
  <c r="X233" i="7"/>
  <c r="AZ232" i="7"/>
  <c r="W233" i="7"/>
  <c r="BD232" i="7"/>
  <c r="AA233" i="7"/>
  <c r="AV232" i="7"/>
  <c r="S233" i="7"/>
  <c r="Y233" i="7"/>
  <c r="BB232" i="7"/>
  <c r="AU232" i="7"/>
  <c r="R233" i="7"/>
  <c r="AW232" i="7"/>
  <c r="T233" i="7"/>
  <c r="AY232" i="7"/>
  <c r="V233" i="7"/>
  <c r="AX232" i="7"/>
  <c r="U233" i="7"/>
  <c r="AS232" i="7"/>
  <c r="P233" i="7"/>
  <c r="Q233" i="7"/>
  <c r="AT232" i="7"/>
  <c r="AP253" i="7"/>
  <c r="BS253" i="7" s="1"/>
  <c r="BL253" i="7" l="1"/>
  <c r="AI254" i="7"/>
  <c r="AO234" i="7"/>
  <c r="BR233" i="7"/>
  <c r="AR232" i="7"/>
  <c r="BU231" i="7"/>
  <c r="AE249" i="7"/>
  <c r="BH248" i="7"/>
  <c r="AQ231" i="7"/>
  <c r="BT230" i="7"/>
  <c r="J230" i="7" s="1"/>
  <c r="R234" i="7"/>
  <c r="AU233" i="7"/>
  <c r="AZ233" i="7"/>
  <c r="W234" i="7"/>
  <c r="BA233" i="7"/>
  <c r="X234" i="7"/>
  <c r="Y234" i="7"/>
  <c r="BB233" i="7"/>
  <c r="S234" i="7"/>
  <c r="AV233" i="7"/>
  <c r="Z234" i="7"/>
  <c r="BC233" i="7"/>
  <c r="T234" i="7"/>
  <c r="AW233" i="7"/>
  <c r="AA234" i="7"/>
  <c r="BD233" i="7"/>
  <c r="V234" i="7"/>
  <c r="AY233" i="7"/>
  <c r="U234" i="7"/>
  <c r="AX233" i="7"/>
  <c r="P234" i="7"/>
  <c r="AS233" i="7"/>
  <c r="Q234" i="7"/>
  <c r="AT233" i="7"/>
  <c r="AP254" i="7"/>
  <c r="BS254" i="7" s="1"/>
  <c r="BL254" i="7" l="1"/>
  <c r="AI255" i="7"/>
  <c r="AO235" i="7"/>
  <c r="BR234" i="7"/>
  <c r="AQ232" i="7"/>
  <c r="BT231" i="7"/>
  <c r="J231" i="7" s="1"/>
  <c r="AE250" i="7"/>
  <c r="BH249" i="7"/>
  <c r="AR233" i="7"/>
  <c r="BU232" i="7"/>
  <c r="T235" i="7"/>
  <c r="AW234" i="7"/>
  <c r="W235" i="7"/>
  <c r="AZ234" i="7"/>
  <c r="Z235" i="7"/>
  <c r="BC234" i="7"/>
  <c r="BD234" i="7"/>
  <c r="AA235" i="7"/>
  <c r="Y235" i="7"/>
  <c r="BB234" i="7"/>
  <c r="BA234" i="7"/>
  <c r="X235" i="7"/>
  <c r="S235" i="7"/>
  <c r="AV234" i="7"/>
  <c r="AU234" i="7"/>
  <c r="R235" i="7"/>
  <c r="V235" i="7"/>
  <c r="AY234" i="7"/>
  <c r="U235" i="7"/>
  <c r="AX234" i="7"/>
  <c r="AS234" i="7"/>
  <c r="P235" i="7"/>
  <c r="Q235" i="7"/>
  <c r="AT234" i="7"/>
  <c r="AP255" i="7"/>
  <c r="BS255" i="7" s="1"/>
  <c r="BL255" i="7" l="1"/>
  <c r="AI256" i="7"/>
  <c r="AO236" i="7"/>
  <c r="BR235" i="7"/>
  <c r="AR234" i="7"/>
  <c r="BU233" i="7"/>
  <c r="AE251" i="7"/>
  <c r="BH250" i="7"/>
  <c r="AQ233" i="7"/>
  <c r="BT232" i="7"/>
  <c r="J232" i="7" s="1"/>
  <c r="BA235" i="7"/>
  <c r="X236" i="7"/>
  <c r="AV235" i="7"/>
  <c r="S236" i="7"/>
  <c r="Z236" i="7"/>
  <c r="BC235" i="7"/>
  <c r="AZ235" i="7"/>
  <c r="W236" i="7"/>
  <c r="Y236" i="7"/>
  <c r="BB235" i="7"/>
  <c r="AU235" i="7"/>
  <c r="R236" i="7"/>
  <c r="BD235" i="7"/>
  <c r="AA236" i="7"/>
  <c r="T236" i="7"/>
  <c r="AW235" i="7"/>
  <c r="AY235" i="7"/>
  <c r="V236" i="7"/>
  <c r="U236" i="7"/>
  <c r="AX235" i="7"/>
  <c r="AS235" i="7"/>
  <c r="P236" i="7"/>
  <c r="AT235" i="7"/>
  <c r="Q236" i="7"/>
  <c r="AP256" i="7"/>
  <c r="BS256" i="7" s="1"/>
  <c r="AI257" i="7" l="1"/>
  <c r="BL256" i="7"/>
  <c r="AO237" i="7"/>
  <c r="BR236" i="7"/>
  <c r="AQ234" i="7"/>
  <c r="BT233" i="7"/>
  <c r="J233" i="7" s="1"/>
  <c r="AE252" i="7"/>
  <c r="BH251" i="7"/>
  <c r="AR235" i="7"/>
  <c r="BU234" i="7"/>
  <c r="T237" i="7"/>
  <c r="AW236" i="7"/>
  <c r="AA237" i="7"/>
  <c r="BD236" i="7"/>
  <c r="BC236" i="7"/>
  <c r="Z237" i="7"/>
  <c r="AU236" i="7"/>
  <c r="R237" i="7"/>
  <c r="BB236" i="7"/>
  <c r="Y237" i="7"/>
  <c r="BA236" i="7"/>
  <c r="X237" i="7"/>
  <c r="AV236" i="7"/>
  <c r="S237" i="7"/>
  <c r="AZ236" i="7"/>
  <c r="W237" i="7"/>
  <c r="V237" i="7"/>
  <c r="AY236" i="7"/>
  <c r="U237" i="7"/>
  <c r="AX236" i="7"/>
  <c r="P237" i="7"/>
  <c r="AS236" i="7"/>
  <c r="AT236" i="7"/>
  <c r="Q237" i="7"/>
  <c r="AP257" i="7"/>
  <c r="BS257" i="7" s="1"/>
  <c r="AI258" i="7" l="1"/>
  <c r="BL257" i="7"/>
  <c r="AO238" i="7"/>
  <c r="BR237" i="7"/>
  <c r="AR236" i="7"/>
  <c r="BU235" i="7"/>
  <c r="AE253" i="7"/>
  <c r="BH252" i="7"/>
  <c r="AQ235" i="7"/>
  <c r="BT234" i="7"/>
  <c r="J234" i="7" s="1"/>
  <c r="AV237" i="7"/>
  <c r="S238" i="7"/>
  <c r="Z238" i="7"/>
  <c r="BC237" i="7"/>
  <c r="BA237" i="7"/>
  <c r="X238" i="7"/>
  <c r="Y238" i="7"/>
  <c r="BB237" i="7"/>
  <c r="AA238" i="7"/>
  <c r="BD237" i="7"/>
  <c r="W238" i="7"/>
  <c r="AZ237" i="7"/>
  <c r="R238" i="7"/>
  <c r="AU237" i="7"/>
  <c r="T238" i="7"/>
  <c r="AW237" i="7"/>
  <c r="AY237" i="7"/>
  <c r="V238" i="7"/>
  <c r="AX237" i="7"/>
  <c r="U238" i="7"/>
  <c r="P238" i="7"/>
  <c r="AS237" i="7"/>
  <c r="Q238" i="7"/>
  <c r="AT237" i="7"/>
  <c r="AP258" i="7"/>
  <c r="BS258" i="7" s="1"/>
  <c r="AI259" i="7" l="1"/>
  <c r="BL258" i="7"/>
  <c r="AO239" i="7"/>
  <c r="BR238" i="7"/>
  <c r="AQ236" i="7"/>
  <c r="BT235" i="7"/>
  <c r="J235" i="7" s="1"/>
  <c r="AE254" i="7"/>
  <c r="BH253" i="7"/>
  <c r="AR237" i="7"/>
  <c r="BU236" i="7"/>
  <c r="BA238" i="7"/>
  <c r="X239" i="7"/>
  <c r="AZ238" i="7"/>
  <c r="W239" i="7"/>
  <c r="T239" i="7"/>
  <c r="AW238" i="7"/>
  <c r="AA239" i="7"/>
  <c r="BD238" i="7"/>
  <c r="AV238" i="7"/>
  <c r="S239" i="7"/>
  <c r="Y239" i="7"/>
  <c r="BB238" i="7"/>
  <c r="R239" i="7"/>
  <c r="AU238" i="7"/>
  <c r="BC238" i="7"/>
  <c r="Z239" i="7"/>
  <c r="V239" i="7"/>
  <c r="AY238" i="7"/>
  <c r="AX238" i="7"/>
  <c r="U239" i="7"/>
  <c r="P239" i="7"/>
  <c r="AS238" i="7"/>
  <c r="Q239" i="7"/>
  <c r="AT238" i="7"/>
  <c r="AP259" i="7"/>
  <c r="BS259" i="7" s="1"/>
  <c r="AI260" i="7" l="1"/>
  <c r="BL260" i="7" s="1"/>
  <c r="BL259" i="7"/>
  <c r="AO240" i="7"/>
  <c r="BR239" i="7"/>
  <c r="AE255" i="7"/>
  <c r="BH254" i="7"/>
  <c r="AR238" i="7"/>
  <c r="BU237" i="7"/>
  <c r="AQ237" i="7"/>
  <c r="BT236" i="7"/>
  <c r="J236" i="7" s="1"/>
  <c r="AU239" i="7"/>
  <c r="R240" i="7"/>
  <c r="T240" i="7"/>
  <c r="AW239" i="7"/>
  <c r="W240" i="7"/>
  <c r="AZ239" i="7"/>
  <c r="BB239" i="7"/>
  <c r="Y240" i="7"/>
  <c r="AV239" i="7"/>
  <c r="S240" i="7"/>
  <c r="BA239" i="7"/>
  <c r="X240" i="7"/>
  <c r="AA240" i="7"/>
  <c r="BD239" i="7"/>
  <c r="Z240" i="7"/>
  <c r="BC239" i="7"/>
  <c r="AY239" i="7"/>
  <c r="V240" i="7"/>
  <c r="U240" i="7"/>
  <c r="AX239" i="7"/>
  <c r="AS239" i="7"/>
  <c r="P240" i="7"/>
  <c r="AT239" i="7"/>
  <c r="Q240" i="7"/>
  <c r="AP260" i="7"/>
  <c r="BS260" i="7" s="1"/>
  <c r="AO241" i="7" l="1"/>
  <c r="BR240" i="7"/>
  <c r="AQ238" i="7"/>
  <c r="BT237" i="7"/>
  <c r="J237" i="7" s="1"/>
  <c r="AR239" i="7"/>
  <c r="BU238" i="7"/>
  <c r="AE256" i="7"/>
  <c r="BH255" i="7"/>
  <c r="BD240" i="7"/>
  <c r="AA241" i="7"/>
  <c r="AZ240" i="7"/>
  <c r="W241" i="7"/>
  <c r="T241" i="7"/>
  <c r="AW240" i="7"/>
  <c r="BC240" i="7"/>
  <c r="Z241" i="7"/>
  <c r="X241" i="7"/>
  <c r="BA240" i="7"/>
  <c r="S241" i="7"/>
  <c r="AV240" i="7"/>
  <c r="AU240" i="7"/>
  <c r="R241" i="7"/>
  <c r="Y241" i="7"/>
  <c r="BB240" i="7"/>
  <c r="V241" i="7"/>
  <c r="AY240" i="7"/>
  <c r="AX240" i="7"/>
  <c r="U241" i="7"/>
  <c r="P241" i="7"/>
  <c r="AS240" i="7"/>
  <c r="Q241" i="7"/>
  <c r="AT240" i="7"/>
  <c r="AO242" i="7" l="1"/>
  <c r="BR241" i="7"/>
  <c r="AE257" i="7"/>
  <c r="BH256" i="7"/>
  <c r="AR240" i="7"/>
  <c r="BU239" i="7"/>
  <c r="AQ239" i="7"/>
  <c r="BT238" i="7"/>
  <c r="J238" i="7" s="1"/>
  <c r="AU241" i="7"/>
  <c r="R242" i="7"/>
  <c r="AW241" i="7"/>
  <c r="T242" i="7"/>
  <c r="AZ241" i="7"/>
  <c r="W242" i="7"/>
  <c r="S242" i="7"/>
  <c r="AV241" i="7"/>
  <c r="AA242" i="7"/>
  <c r="BD241" i="7"/>
  <c r="BA241" i="7"/>
  <c r="X242" i="7"/>
  <c r="Y242" i="7"/>
  <c r="BB241" i="7"/>
  <c r="BC241" i="7"/>
  <c r="Z242" i="7"/>
  <c r="AY241" i="7"/>
  <c r="V242" i="7"/>
  <c r="AX241" i="7"/>
  <c r="U242" i="7"/>
  <c r="AS241" i="7"/>
  <c r="P242" i="7"/>
  <c r="AT241" i="7"/>
  <c r="Q242" i="7"/>
  <c r="AO243" i="7" l="1"/>
  <c r="BR242" i="7"/>
  <c r="AQ240" i="7"/>
  <c r="BT239" i="7"/>
  <c r="J239" i="7" s="1"/>
  <c r="AR241" i="7"/>
  <c r="BU240" i="7"/>
  <c r="AE258" i="7"/>
  <c r="BH257" i="7"/>
  <c r="S243" i="7"/>
  <c r="AV242" i="7"/>
  <c r="W243" i="7"/>
  <c r="AZ242" i="7"/>
  <c r="X243" i="7"/>
  <c r="BA242" i="7"/>
  <c r="T243" i="7"/>
  <c r="AW242" i="7"/>
  <c r="AU242" i="7"/>
  <c r="R243" i="7"/>
  <c r="BD242" i="7"/>
  <c r="AA243" i="7"/>
  <c r="BB242" i="7"/>
  <c r="Y243" i="7"/>
  <c r="Z243" i="7"/>
  <c r="BC242" i="7"/>
  <c r="V243" i="7"/>
  <c r="AY242" i="7"/>
  <c r="AX242" i="7"/>
  <c r="U243" i="7"/>
  <c r="AS242" i="7"/>
  <c r="P243" i="7"/>
  <c r="Q243" i="7"/>
  <c r="AT242" i="7"/>
  <c r="AO244" i="7" l="1"/>
  <c r="BR243" i="7"/>
  <c r="AR242" i="7"/>
  <c r="BU241" i="7"/>
  <c r="AE259" i="7"/>
  <c r="BH258" i="7"/>
  <c r="AQ241" i="7"/>
  <c r="BT240" i="7"/>
  <c r="J240" i="7" s="1"/>
  <c r="BD243" i="7"/>
  <c r="AA244" i="7"/>
  <c r="X244" i="7"/>
  <c r="BA243" i="7"/>
  <c r="AU243" i="7"/>
  <c r="R244" i="7"/>
  <c r="Z244" i="7"/>
  <c r="BC243" i="7"/>
  <c r="T244" i="7"/>
  <c r="AW243" i="7"/>
  <c r="AZ243" i="7"/>
  <c r="W244" i="7"/>
  <c r="Y244" i="7"/>
  <c r="BB243" i="7"/>
  <c r="AV243" i="7"/>
  <c r="S244" i="7"/>
  <c r="AY243" i="7"/>
  <c r="V244" i="7"/>
  <c r="AX243" i="7"/>
  <c r="U244" i="7"/>
  <c r="P244" i="7"/>
  <c r="AS243" i="7"/>
  <c r="AT243" i="7"/>
  <c r="Q244" i="7"/>
  <c r="AO245" i="7" l="1"/>
  <c r="BR244" i="7"/>
  <c r="AE260" i="7"/>
  <c r="BH260" i="7" s="1"/>
  <c r="BH259" i="7"/>
  <c r="AR243" i="7"/>
  <c r="BU242" i="7"/>
  <c r="AQ242" i="7"/>
  <c r="BT241" i="7"/>
  <c r="J241" i="7" s="1"/>
  <c r="R245" i="7"/>
  <c r="AU244" i="7"/>
  <c r="Y245" i="7"/>
  <c r="BB244" i="7"/>
  <c r="BA244" i="7"/>
  <c r="X245" i="7"/>
  <c r="T245" i="7"/>
  <c r="AW244" i="7"/>
  <c r="AA245" i="7"/>
  <c r="BD244" i="7"/>
  <c r="Z245" i="7"/>
  <c r="BC244" i="7"/>
  <c r="AZ244" i="7"/>
  <c r="W245" i="7"/>
  <c r="AV244" i="7"/>
  <c r="S245" i="7"/>
  <c r="V245" i="7"/>
  <c r="AY244" i="7"/>
  <c r="AX244" i="7"/>
  <c r="U245" i="7"/>
  <c r="P245" i="7"/>
  <c r="AS244" i="7"/>
  <c r="Q245" i="7"/>
  <c r="AT244" i="7"/>
  <c r="AO246" i="7" l="1"/>
  <c r="BR245" i="7"/>
  <c r="AR244" i="7"/>
  <c r="BU243" i="7"/>
  <c r="AQ243" i="7"/>
  <c r="BT242" i="7"/>
  <c r="J242" i="7" s="1"/>
  <c r="AZ245" i="7"/>
  <c r="W246" i="7"/>
  <c r="X246" i="7"/>
  <c r="BA245" i="7"/>
  <c r="T246" i="7"/>
  <c r="AW245" i="7"/>
  <c r="Z246" i="7"/>
  <c r="BC245" i="7"/>
  <c r="Y246" i="7"/>
  <c r="BB245" i="7"/>
  <c r="BD245" i="7"/>
  <c r="AA246" i="7"/>
  <c r="S246" i="7"/>
  <c r="AV245" i="7"/>
  <c r="AU245" i="7"/>
  <c r="R246" i="7"/>
  <c r="AY245" i="7"/>
  <c r="V246" i="7"/>
  <c r="AX245" i="7"/>
  <c r="U246" i="7"/>
  <c r="AS245" i="7"/>
  <c r="P246" i="7"/>
  <c r="Q246" i="7"/>
  <c r="AT245" i="7"/>
  <c r="AO247" i="7" l="1"/>
  <c r="BR246" i="7"/>
  <c r="AQ244" i="7"/>
  <c r="BT243" i="7"/>
  <c r="J243" i="7" s="1"/>
  <c r="AR245" i="7"/>
  <c r="BU244" i="7"/>
  <c r="Z247" i="7"/>
  <c r="BC246" i="7"/>
  <c r="AV246" i="7"/>
  <c r="S247" i="7"/>
  <c r="AW246" i="7"/>
  <c r="T247" i="7"/>
  <c r="AA247" i="7"/>
  <c r="BD246" i="7"/>
  <c r="BA246" i="7"/>
  <c r="X247" i="7"/>
  <c r="W247" i="7"/>
  <c r="AZ246" i="7"/>
  <c r="BB246" i="7"/>
  <c r="Y247" i="7"/>
  <c r="R247" i="7"/>
  <c r="AU246" i="7"/>
  <c r="V247" i="7"/>
  <c r="AY246" i="7"/>
  <c r="U247" i="7"/>
  <c r="AX246" i="7"/>
  <c r="AS246" i="7"/>
  <c r="P247" i="7"/>
  <c r="AT246" i="7"/>
  <c r="Q247" i="7"/>
  <c r="AO248" i="7" l="1"/>
  <c r="BR247" i="7"/>
  <c r="AR246" i="7"/>
  <c r="BU245" i="7"/>
  <c r="AQ245" i="7"/>
  <c r="BT244" i="7"/>
  <c r="J244" i="7" s="1"/>
  <c r="R248" i="7"/>
  <c r="AU247" i="7"/>
  <c r="BB247" i="7"/>
  <c r="Y248" i="7"/>
  <c r="BD247" i="7"/>
  <c r="AA248" i="7"/>
  <c r="AW247" i="7"/>
  <c r="T248" i="7"/>
  <c r="AZ247" i="7"/>
  <c r="W248" i="7"/>
  <c r="S248" i="7"/>
  <c r="AV247" i="7"/>
  <c r="X248" i="7"/>
  <c r="BA247" i="7"/>
  <c r="BC247" i="7"/>
  <c r="Z248" i="7"/>
  <c r="V248" i="7"/>
  <c r="AY247" i="7"/>
  <c r="AX247" i="7"/>
  <c r="U248" i="7"/>
  <c r="P248" i="7"/>
  <c r="AS247" i="7"/>
  <c r="AT247" i="7"/>
  <c r="Q248" i="7"/>
  <c r="AO249" i="7" l="1"/>
  <c r="BR248" i="7"/>
  <c r="AQ246" i="7"/>
  <c r="BT245" i="7"/>
  <c r="J245" i="7" s="1"/>
  <c r="AR247" i="7"/>
  <c r="BU246" i="7"/>
  <c r="AV248" i="7"/>
  <c r="S249" i="7"/>
  <c r="Y249" i="7"/>
  <c r="BB248" i="7"/>
  <c r="BD248" i="7"/>
  <c r="AA249" i="7"/>
  <c r="AZ248" i="7"/>
  <c r="W249" i="7"/>
  <c r="X249" i="7"/>
  <c r="BA248" i="7"/>
  <c r="Z249" i="7"/>
  <c r="BC248" i="7"/>
  <c r="T249" i="7"/>
  <c r="AW248" i="7"/>
  <c r="R249" i="7"/>
  <c r="AU248" i="7"/>
  <c r="V249" i="7"/>
  <c r="AY248" i="7"/>
  <c r="AX248" i="7"/>
  <c r="U249" i="7"/>
  <c r="P249" i="7"/>
  <c r="AS248" i="7"/>
  <c r="AT248" i="7"/>
  <c r="Q249" i="7"/>
  <c r="AO250" i="7" l="1"/>
  <c r="BR249" i="7"/>
  <c r="AR248" i="7"/>
  <c r="BU247" i="7"/>
  <c r="AQ247" i="7"/>
  <c r="BT246" i="7"/>
  <c r="J246" i="7" s="1"/>
  <c r="AA250" i="7"/>
  <c r="BD249" i="7"/>
  <c r="T250" i="7"/>
  <c r="AW249" i="7"/>
  <c r="AU249" i="7"/>
  <c r="R250" i="7"/>
  <c r="Z250" i="7"/>
  <c r="BC249" i="7"/>
  <c r="BB249" i="7"/>
  <c r="Y250" i="7"/>
  <c r="S250" i="7"/>
  <c r="AV249" i="7"/>
  <c r="X250" i="7"/>
  <c r="BA249" i="7"/>
  <c r="AZ249" i="7"/>
  <c r="W250" i="7"/>
  <c r="AY249" i="7"/>
  <c r="V250" i="7"/>
  <c r="U250" i="7"/>
  <c r="AX249" i="7"/>
  <c r="AS249" i="7"/>
  <c r="P250" i="7"/>
  <c r="AT249" i="7"/>
  <c r="Q250" i="7"/>
  <c r="AO251" i="7" l="1"/>
  <c r="BR250" i="7"/>
  <c r="AQ248" i="7"/>
  <c r="BT247" i="7"/>
  <c r="J247" i="7" s="1"/>
  <c r="AR249" i="7"/>
  <c r="BU248" i="7"/>
  <c r="BC250" i="7"/>
  <c r="Z251" i="7"/>
  <c r="R251" i="7"/>
  <c r="AU250" i="7"/>
  <c r="X251" i="7"/>
  <c r="BA250" i="7"/>
  <c r="AV250" i="7"/>
  <c r="S251" i="7"/>
  <c r="AW250" i="7"/>
  <c r="T251" i="7"/>
  <c r="BB250" i="7"/>
  <c r="Y251" i="7"/>
  <c r="BD250" i="7"/>
  <c r="AA251" i="7"/>
  <c r="W251" i="7"/>
  <c r="AZ250" i="7"/>
  <c r="AY250" i="7"/>
  <c r="V251" i="7"/>
  <c r="AX250" i="7"/>
  <c r="U251" i="7"/>
  <c r="P251" i="7"/>
  <c r="AS250" i="7"/>
  <c r="AT250" i="7"/>
  <c r="Q251" i="7"/>
  <c r="AO252" i="7" l="1"/>
  <c r="BR251" i="7"/>
  <c r="AR250" i="7"/>
  <c r="BU249" i="7"/>
  <c r="AQ249" i="7"/>
  <c r="BT248" i="7"/>
  <c r="J248" i="7" s="1"/>
  <c r="BA251" i="7"/>
  <c r="X252" i="7"/>
  <c r="AZ251" i="7"/>
  <c r="W252" i="7"/>
  <c r="AA252" i="7"/>
  <c r="BD251" i="7"/>
  <c r="Y252" i="7"/>
  <c r="BB251" i="7"/>
  <c r="T252" i="7"/>
  <c r="AW251" i="7"/>
  <c r="BC251" i="7"/>
  <c r="Z252" i="7"/>
  <c r="AU251" i="7"/>
  <c r="R252" i="7"/>
  <c r="S252" i="7"/>
  <c r="AV251" i="7"/>
  <c r="AY251" i="7"/>
  <c r="V252" i="7"/>
  <c r="AX251" i="7"/>
  <c r="U252" i="7"/>
  <c r="AS251" i="7"/>
  <c r="P252" i="7"/>
  <c r="Q252" i="7"/>
  <c r="AT251" i="7"/>
  <c r="AO253" i="7" l="1"/>
  <c r="BR252" i="7"/>
  <c r="AQ250" i="7"/>
  <c r="BT249" i="7"/>
  <c r="J249" i="7" s="1"/>
  <c r="AR251" i="7"/>
  <c r="BU250" i="7"/>
  <c r="S253" i="7"/>
  <c r="AV252" i="7"/>
  <c r="Y253" i="7"/>
  <c r="BB252" i="7"/>
  <c r="AU252" i="7"/>
  <c r="R253" i="7"/>
  <c r="AA253" i="7"/>
  <c r="BD252" i="7"/>
  <c r="W253" i="7"/>
  <c r="AZ252" i="7"/>
  <c r="X253" i="7"/>
  <c r="BA252" i="7"/>
  <c r="T253" i="7"/>
  <c r="AW252" i="7"/>
  <c r="BC252" i="7"/>
  <c r="Z253" i="7"/>
  <c r="V253" i="7"/>
  <c r="AY252" i="7"/>
  <c r="U253" i="7"/>
  <c r="AX252" i="7"/>
  <c r="AS252" i="7"/>
  <c r="P253" i="7"/>
  <c r="AT252" i="7"/>
  <c r="Q253" i="7"/>
  <c r="AO254" i="7" l="1"/>
  <c r="BR253" i="7"/>
  <c r="AR252" i="7"/>
  <c r="BU251" i="7"/>
  <c r="AQ251" i="7"/>
  <c r="BT250" i="7"/>
  <c r="J250" i="7" s="1"/>
  <c r="AU253" i="7"/>
  <c r="R254" i="7"/>
  <c r="AW253" i="7"/>
  <c r="T254" i="7"/>
  <c r="W254" i="7"/>
  <c r="AZ253" i="7"/>
  <c r="BD253" i="7"/>
  <c r="AA254" i="7"/>
  <c r="BD254" i="7" s="1"/>
  <c r="BA253" i="7"/>
  <c r="X254" i="7"/>
  <c r="Y254" i="7"/>
  <c r="BB253" i="7"/>
  <c r="Z254" i="7"/>
  <c r="BC253" i="7"/>
  <c r="S254" i="7"/>
  <c r="AV253" i="7"/>
  <c r="V254" i="7"/>
  <c r="AY253" i="7"/>
  <c r="AX253" i="7"/>
  <c r="U254" i="7"/>
  <c r="P254" i="7"/>
  <c r="AS253" i="7"/>
  <c r="Q254" i="7"/>
  <c r="AT253" i="7"/>
  <c r="AO255" i="7" l="1"/>
  <c r="BR254" i="7"/>
  <c r="AQ252" i="7"/>
  <c r="BT251" i="7"/>
  <c r="J251" i="7" s="1"/>
  <c r="AR253" i="7"/>
  <c r="BU252" i="7"/>
  <c r="Z255" i="7"/>
  <c r="BC254" i="7"/>
  <c r="AV254" i="7"/>
  <c r="S255" i="7"/>
  <c r="R255" i="7"/>
  <c r="AU254" i="7"/>
  <c r="W255" i="7"/>
  <c r="AZ254" i="7"/>
  <c r="T255" i="7"/>
  <c r="AW254" i="7"/>
  <c r="BB254" i="7"/>
  <c r="Y255" i="7"/>
  <c r="BA254" i="7"/>
  <c r="X255" i="7"/>
  <c r="AA255" i="7"/>
  <c r="BD255" i="7" s="1"/>
  <c r="V255" i="7"/>
  <c r="AY254" i="7"/>
  <c r="U255" i="7"/>
  <c r="AX254" i="7"/>
  <c r="AS254" i="7"/>
  <c r="P255" i="7"/>
  <c r="AT254" i="7"/>
  <c r="Q255" i="7"/>
  <c r="AO256" i="7" l="1"/>
  <c r="BR255" i="7"/>
  <c r="AR254" i="7"/>
  <c r="BU253" i="7"/>
  <c r="AQ253" i="7"/>
  <c r="BT252" i="7"/>
  <c r="J252" i="7" s="1"/>
  <c r="W256" i="7"/>
  <c r="AZ255" i="7"/>
  <c r="X256" i="7"/>
  <c r="BA255" i="7"/>
  <c r="R256" i="7"/>
  <c r="AU255" i="7"/>
  <c r="AV255" i="7"/>
  <c r="S256" i="7"/>
  <c r="T256" i="7"/>
  <c r="AW255" i="7"/>
  <c r="BC255" i="7"/>
  <c r="Z256" i="7"/>
  <c r="Y256" i="7"/>
  <c r="BB255" i="7"/>
  <c r="AA256" i="7"/>
  <c r="BD256" i="7" s="1"/>
  <c r="AY255" i="7"/>
  <c r="V256" i="7"/>
  <c r="U256" i="7"/>
  <c r="AX255" i="7"/>
  <c r="AS255" i="7"/>
  <c r="P256" i="7"/>
  <c r="Q256" i="7"/>
  <c r="AT255" i="7"/>
  <c r="AO257" i="7" l="1"/>
  <c r="BR256" i="7"/>
  <c r="AQ254" i="7"/>
  <c r="BT253" i="7"/>
  <c r="J253" i="7" s="1"/>
  <c r="AR255" i="7"/>
  <c r="BU254" i="7"/>
  <c r="AV256" i="7"/>
  <c r="S257" i="7"/>
  <c r="AA257" i="7"/>
  <c r="BD257" i="7" s="1"/>
  <c r="AU256" i="7"/>
  <c r="R257" i="7"/>
  <c r="Z257" i="7"/>
  <c r="BC256" i="7"/>
  <c r="Y257" i="7"/>
  <c r="BB256" i="7"/>
  <c r="BA256" i="7"/>
  <c r="X257" i="7"/>
  <c r="T257" i="7"/>
  <c r="AW256" i="7"/>
  <c r="AZ256" i="7"/>
  <c r="W257" i="7"/>
  <c r="AY256" i="7"/>
  <c r="V257" i="7"/>
  <c r="AX256" i="7"/>
  <c r="U257" i="7"/>
  <c r="P257" i="7"/>
  <c r="AS256" i="7"/>
  <c r="AT256" i="7"/>
  <c r="Q257" i="7"/>
  <c r="AO258" i="7" l="1"/>
  <c r="BR257" i="7"/>
  <c r="AR256" i="7"/>
  <c r="BU255" i="7"/>
  <c r="AQ255" i="7"/>
  <c r="BT254" i="7"/>
  <c r="J254" i="7" s="1"/>
  <c r="AU257" i="7"/>
  <c r="R258" i="7"/>
  <c r="BC257" i="7"/>
  <c r="Z258" i="7"/>
  <c r="T258" i="7"/>
  <c r="AW257" i="7"/>
  <c r="AA258" i="7"/>
  <c r="BD258" i="7" s="1"/>
  <c r="Y258" i="7"/>
  <c r="BB257" i="7"/>
  <c r="S258" i="7"/>
  <c r="AV257" i="7"/>
  <c r="X258" i="7"/>
  <c r="BA257" i="7"/>
  <c r="AZ257" i="7"/>
  <c r="W258" i="7"/>
  <c r="AY257" i="7"/>
  <c r="V258" i="7"/>
  <c r="U258" i="7"/>
  <c r="AX257" i="7"/>
  <c r="AS257" i="7"/>
  <c r="P258" i="7"/>
  <c r="AT257" i="7"/>
  <c r="Q258" i="7"/>
  <c r="AO259" i="7" l="1"/>
  <c r="BR258" i="7"/>
  <c r="AQ256" i="7"/>
  <c r="BT255" i="7"/>
  <c r="J255" i="7" s="1"/>
  <c r="AR257" i="7"/>
  <c r="BU256" i="7"/>
  <c r="T259" i="7"/>
  <c r="AW258" i="7"/>
  <c r="AA259" i="7"/>
  <c r="BD259" i="7" s="1"/>
  <c r="BA258" i="7"/>
  <c r="X259" i="7"/>
  <c r="Z259" i="7"/>
  <c r="BC258" i="7"/>
  <c r="S259" i="7"/>
  <c r="AV258" i="7"/>
  <c r="AU258" i="7"/>
  <c r="R259" i="7"/>
  <c r="BB258" i="7"/>
  <c r="Y259" i="7"/>
  <c r="AZ258" i="7"/>
  <c r="W259" i="7"/>
  <c r="V259" i="7"/>
  <c r="AY258" i="7"/>
  <c r="AX258" i="7"/>
  <c r="U259" i="7"/>
  <c r="AS258" i="7"/>
  <c r="P259" i="7"/>
  <c r="Q259" i="7"/>
  <c r="AT258" i="7"/>
  <c r="AO260" i="7" l="1"/>
  <c r="BR260" i="7" s="1"/>
  <c r="BR259" i="7"/>
  <c r="AR258" i="7"/>
  <c r="BU257" i="7"/>
  <c r="AQ257" i="7"/>
  <c r="BT256" i="7"/>
  <c r="J256" i="7" s="1"/>
  <c r="BC259" i="7"/>
  <c r="Z260" i="7"/>
  <c r="BC260" i="7" s="1"/>
  <c r="Y260" i="7"/>
  <c r="BB260" i="7" s="1"/>
  <c r="BB259" i="7"/>
  <c r="BA259" i="7"/>
  <c r="X260" i="7"/>
  <c r="BA260" i="7" s="1"/>
  <c r="AA260" i="7"/>
  <c r="BD260" i="7" s="1"/>
  <c r="S260" i="7"/>
  <c r="AV260" i="7" s="1"/>
  <c r="AV259" i="7"/>
  <c r="AW259" i="7"/>
  <c r="T260" i="7"/>
  <c r="AW260" i="7" s="1"/>
  <c r="R260" i="7"/>
  <c r="AU260" i="7" s="1"/>
  <c r="AU259" i="7"/>
  <c r="W260" i="7"/>
  <c r="AZ260" i="7" s="1"/>
  <c r="AZ259" i="7"/>
  <c r="V260" i="7"/>
  <c r="AY260" i="7" s="1"/>
  <c r="AY259" i="7"/>
  <c r="AX259" i="7"/>
  <c r="U260" i="7"/>
  <c r="AX260" i="7" s="1"/>
  <c r="AS259" i="7"/>
  <c r="P260" i="7"/>
  <c r="AS260" i="7" s="1"/>
  <c r="Q260" i="7"/>
  <c r="AT260" i="7" s="1"/>
  <c r="AT259" i="7"/>
  <c r="AQ258" i="7" l="1"/>
  <c r="BT257" i="7"/>
  <c r="J257" i="7" s="1"/>
  <c r="AR259" i="7"/>
  <c r="BU258" i="7"/>
  <c r="AR260" i="7" l="1"/>
  <c r="BU260" i="7" s="1"/>
  <c r="BU259" i="7"/>
  <c r="AQ259" i="7"/>
  <c r="BT258" i="7"/>
  <c r="J258" i="7" s="1"/>
  <c r="AQ260" i="7" l="1"/>
  <c r="BT260" i="7" s="1"/>
  <c r="J260" i="7" s="1"/>
  <c r="BT259" i="7"/>
  <c r="J259" i="7" s="1"/>
</calcChain>
</file>

<file path=xl/comments1.xml><?xml version="1.0" encoding="utf-8"?>
<comments xmlns="http://schemas.openxmlformats.org/spreadsheetml/2006/main">
  <authors>
    <author>Scott Criswell</author>
    <author>David Reddy</author>
  </authors>
  <commentList>
    <comment ref="H15" authorId="0" shapeId="0">
      <text>
        <r>
          <rPr>
            <sz val="8"/>
            <color indexed="81"/>
            <rFont val="Tahoma"/>
            <family val="2"/>
          </rPr>
          <t>Leave blank to model with ruleset-defined setting</t>
        </r>
      </text>
    </comment>
    <comment ref="AJ15" authorId="1" shapeId="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O15" authorId="1" shapeId="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6" authorId="1" shapeId="0">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6" authorId="1" shapeId="0">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6" authorId="1" shapeId="0">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6" authorId="1" shapeId="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6" authorId="1" shapeId="0">
      <text>
        <r>
          <rPr>
            <sz val="9"/>
            <color indexed="81"/>
            <rFont val="Tahoma"/>
            <family val="2"/>
          </rPr>
          <t>ParallelSimulations: Flag controls whether or not like simulations (design sizing vs. annual) should be performed in parallel, which helps to reduce analysis runtime</t>
        </r>
      </text>
    </comment>
    <comment ref="T16" authorId="1" shapeId="0">
      <text>
        <r>
          <rPr>
            <sz val="9"/>
            <color indexed="81"/>
            <rFont val="Tahoma"/>
            <family val="2"/>
          </rPr>
          <t>DurationStats: Logging of rule evaluation times during analysis</t>
        </r>
      </text>
    </comment>
    <comment ref="U16" authorId="1" shapeId="0">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6" authorId="1" shapeId="0">
      <text>
        <r>
          <rPr>
            <sz val="9"/>
            <color indexed="81"/>
            <rFont val="Tahoma"/>
            <family val="2"/>
          </rPr>
          <t>BypassValidFileChecks:  Bypasses checks designed to ensure that all analysis file dependencies are valid</t>
        </r>
      </text>
    </comment>
    <comment ref="X16" authorId="1" shapeId="0">
      <text>
        <r>
          <rPr>
            <sz val="9"/>
            <color indexed="81"/>
            <rFont val="Tahoma"/>
            <family val="2"/>
          </rPr>
          <t>Set to 1 to bypass range and required data checking</t>
        </r>
      </text>
    </comment>
    <comment ref="Y16" authorId="1" shapeId="0">
      <text>
        <r>
          <rPr>
            <sz val="9"/>
            <color indexed="81"/>
            <rFont val="Tahoma"/>
            <family val="2"/>
          </rPr>
          <t>Set to 1 to bypass thermal zone unmet load hour checks</t>
        </r>
      </text>
    </comment>
    <comment ref="Z16" authorId="1" shapeId="0">
      <text>
        <r>
          <rPr>
            <sz val="9"/>
            <color indexed="81"/>
            <rFont val="Tahoma"/>
            <family val="2"/>
          </rPr>
          <t>Set to 1 to bypass CHECKSIM rules</t>
        </r>
      </text>
    </comment>
    <comment ref="AA16" authorId="1" shapeId="0">
      <text>
        <r>
          <rPr>
            <sz val="9"/>
            <color indexed="81"/>
            <rFont val="Tahoma"/>
            <family val="2"/>
          </rPr>
          <t>Set to 1 to bypass CHECKCODE rules</t>
        </r>
      </text>
    </comment>
    <comment ref="AC16" authorId="1" shapeId="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AD16" authorId="1" shapeId="0">
      <text>
        <r>
          <rPr>
            <sz val="9"/>
            <color indexed="81"/>
            <rFont val="Tahoma"/>
            <family val="2"/>
          </rPr>
          <t>Flag that turns on/off rule-based model reports that generate CSV files during analysis</t>
        </r>
      </text>
    </comment>
    <comment ref="AE16" authorId="1" shapeId="0">
      <text>
        <r>
          <rPr>
            <sz val="9"/>
            <color indexed="81"/>
            <rFont val="Tahoma"/>
            <family val="2"/>
          </rPr>
          <t>Causes generation of CSV files by run containing hourly results by fuel and enduse plus TDV multipliers</t>
        </r>
      </text>
    </comment>
    <comment ref="AF16" authorId="1" shapeId="0">
      <text>
        <r>
          <rPr>
            <sz val="9"/>
            <color indexed="81"/>
            <rFont val="Tahoma"/>
            <family val="2"/>
          </rPr>
          <t xml:space="preserve">Flags to toggle ON (when value set to 1) PDF and/or Full (XML) report generation following each valid Title-24 analysis run, regardless of whether the PDF or Full report checkboxes are checked in the Project tabbed dialog. Values of 0 for these flags have no effect on analysis or reporting (meaning reports will get generated only when the PDF/Full checkboxes are checked)
</t>
        </r>
      </text>
    </comment>
    <comment ref="AH16" authorId="1" shapeId="0">
      <text>
        <r>
          <rPr>
            <sz val="9"/>
            <color indexed="81"/>
            <rFont val="Tahoma"/>
            <family val="2"/>
          </rPr>
          <t xml:space="preserve">Whether or not to override user input tp prevent or cause QuickAnalysis to be used in the analysis QuickAnalysis substitutes four seasonal single week simulations for full annual simulations, thereby significantly reducing simulation runtimes.
For more info: http://www.pnl.gov/main/publications/external/technical_reports/PNNL-19961.pdf
QuickAnalysis values:
  -1 (default) - do not override the QuickAnalysis setting
   0 - force analysis to run full annual simulations
   1 - force analysis to use shortened, seasonal simulation run periods (QuickAnalysis)
</t>
        </r>
      </text>
    </comment>
    <comment ref="H122" authorId="0" shapeId="0">
      <text>
        <r>
          <rPr>
            <sz val="8"/>
            <color indexed="81"/>
            <rFont val="Tahoma"/>
            <family val="2"/>
          </rPr>
          <t>Leave blank to model with ruleset-defined setting</t>
        </r>
      </text>
    </comment>
  </commentList>
</comments>
</file>

<file path=xl/comments2.xml><?xml version="1.0" encoding="utf-8"?>
<comments xmlns="http://schemas.openxmlformats.org/spreadsheetml/2006/main">
  <authors>
    <author>Scott Criswell</author>
    <author>David Reddy</author>
  </authors>
  <commentList>
    <comment ref="H14" authorId="0" shapeId="0">
      <text>
        <r>
          <rPr>
            <sz val="8"/>
            <color indexed="81"/>
            <rFont val="Tahoma"/>
            <family val="2"/>
          </rPr>
          <t>Leave blank to model with ruleset-defined setting</t>
        </r>
      </text>
    </comment>
    <comment ref="Y14" authorId="1" shapeId="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shapeId="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shapeId="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shapeId="0">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shapeId="0">
      <text>
        <r>
          <rPr>
            <sz val="9"/>
            <color indexed="81"/>
            <rFont val="Tahoma"/>
            <family val="2"/>
          </rPr>
          <t>Set to 1 to bypass range and required data checking</t>
        </r>
      </text>
    </comment>
    <comment ref="S15" authorId="1" shapeId="0">
      <text>
        <r>
          <rPr>
            <sz val="9"/>
            <color indexed="81"/>
            <rFont val="Tahoma"/>
            <family val="2"/>
          </rPr>
          <t>Set to 1 to bypass thermal zone unmet load hour checks</t>
        </r>
      </text>
    </comment>
    <comment ref="T15" authorId="1" shapeId="0">
      <text>
        <r>
          <rPr>
            <sz val="9"/>
            <color indexed="81"/>
            <rFont val="Tahoma"/>
            <family val="2"/>
          </rPr>
          <t>Set to 1 to bypass CHECKCODE rules</t>
        </r>
      </text>
    </comment>
    <comment ref="U15" authorId="1" shapeId="0">
      <text>
        <r>
          <rPr>
            <sz val="9"/>
            <color indexed="81"/>
            <rFont val="Tahoma"/>
            <family val="2"/>
          </rPr>
          <t>Set to 1 to bypass CHECKSIM rules</t>
        </r>
      </text>
    </comment>
    <comment ref="V15" authorId="1" shapeId="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3.xml><?xml version="1.0" encoding="utf-8"?>
<comments xmlns="http://schemas.openxmlformats.org/spreadsheetml/2006/main">
  <authors>
    <author>Scott Criswell</author>
    <author>David Reddy</author>
  </authors>
  <commentList>
    <comment ref="H14" authorId="0" shapeId="0">
      <text>
        <r>
          <rPr>
            <sz val="8"/>
            <color indexed="81"/>
            <rFont val="Tahoma"/>
            <family val="2"/>
          </rPr>
          <t>Leave blank to model with ruleset-defined setting</t>
        </r>
      </text>
    </comment>
    <comment ref="Y14" authorId="1" shapeId="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shapeId="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shapeId="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shapeId="0">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shapeId="0">
      <text>
        <r>
          <rPr>
            <sz val="9"/>
            <color indexed="81"/>
            <rFont val="Tahoma"/>
            <family val="2"/>
          </rPr>
          <t>Set to 1 to bypass range and required data checking</t>
        </r>
      </text>
    </comment>
    <comment ref="S15" authorId="1" shapeId="0">
      <text>
        <r>
          <rPr>
            <sz val="9"/>
            <color indexed="81"/>
            <rFont val="Tahoma"/>
            <family val="2"/>
          </rPr>
          <t>Set to 1 to bypass thermal zone unmet load hour checks</t>
        </r>
      </text>
    </comment>
    <comment ref="T15" authorId="1" shapeId="0">
      <text>
        <r>
          <rPr>
            <sz val="9"/>
            <color indexed="81"/>
            <rFont val="Tahoma"/>
            <family val="2"/>
          </rPr>
          <t>Set to 1 to bypass CHECKCODE rules</t>
        </r>
      </text>
    </comment>
    <comment ref="U15" authorId="1" shapeId="0">
      <text>
        <r>
          <rPr>
            <sz val="9"/>
            <color indexed="81"/>
            <rFont val="Tahoma"/>
            <family val="2"/>
          </rPr>
          <t>Set to 1 to bypass CHECKSIM rules</t>
        </r>
      </text>
    </comment>
    <comment ref="V15" authorId="1" shapeId="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4.xml><?xml version="1.0" encoding="utf-8"?>
<comments xmlns="http://schemas.openxmlformats.org/spreadsheetml/2006/main">
  <authors>
    <author>Scott Criswell</author>
    <author>David Reddy</author>
  </authors>
  <commentList>
    <comment ref="H14" authorId="0" shapeId="0">
      <text>
        <r>
          <rPr>
            <sz val="8"/>
            <color indexed="81"/>
            <rFont val="Tahoma"/>
            <family val="2"/>
          </rPr>
          <t>Leave blank to model with ruleset-defined setting</t>
        </r>
      </text>
    </comment>
    <comment ref="Y14" authorId="1" shapeId="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shapeId="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shapeId="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shapeId="0">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shapeId="0">
      <text>
        <r>
          <rPr>
            <sz val="9"/>
            <color indexed="81"/>
            <rFont val="Tahoma"/>
            <family val="2"/>
          </rPr>
          <t>Set to 1 to bypass range and required data checking</t>
        </r>
      </text>
    </comment>
    <comment ref="S15" authorId="1" shapeId="0">
      <text>
        <r>
          <rPr>
            <sz val="9"/>
            <color indexed="81"/>
            <rFont val="Tahoma"/>
            <family val="2"/>
          </rPr>
          <t>Set to 1 to bypass thermal zone unmet load hour checks</t>
        </r>
      </text>
    </comment>
    <comment ref="T15" authorId="1" shapeId="0">
      <text>
        <r>
          <rPr>
            <sz val="9"/>
            <color indexed="81"/>
            <rFont val="Tahoma"/>
            <family val="2"/>
          </rPr>
          <t>Set to 1 to bypass CHECKCODE rules</t>
        </r>
      </text>
    </comment>
    <comment ref="U15" authorId="1" shapeId="0">
      <text>
        <r>
          <rPr>
            <sz val="9"/>
            <color indexed="81"/>
            <rFont val="Tahoma"/>
            <family val="2"/>
          </rPr>
          <t>Set to 1 to bypass CHECKSIM rules</t>
        </r>
      </text>
    </comment>
    <comment ref="V15" authorId="1" shapeId="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5.xml><?xml version="1.0" encoding="utf-8"?>
<comments xmlns="http://schemas.openxmlformats.org/spreadsheetml/2006/main">
  <authors>
    <author>Scott Criswell</author>
    <author>David Reddy</author>
  </authors>
  <commentList>
    <comment ref="H14" authorId="0" shapeId="0">
      <text>
        <r>
          <rPr>
            <sz val="8"/>
            <color indexed="81"/>
            <rFont val="Tahoma"/>
            <family val="2"/>
          </rPr>
          <t>Leave blank to model with ruleset-defined setting</t>
        </r>
      </text>
    </comment>
    <comment ref="Y14" authorId="1" shapeId="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shapeId="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shapeId="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shapeId="0">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shapeId="0">
      <text>
        <r>
          <rPr>
            <sz val="9"/>
            <color indexed="81"/>
            <rFont val="Tahoma"/>
            <family val="2"/>
          </rPr>
          <t>Set to 1 to bypass range and required data checking</t>
        </r>
      </text>
    </comment>
    <comment ref="S15" authorId="1" shapeId="0">
      <text>
        <r>
          <rPr>
            <sz val="9"/>
            <color indexed="81"/>
            <rFont val="Tahoma"/>
            <family val="2"/>
          </rPr>
          <t>Set to 1 to bypass thermal zone unmet load hour checks</t>
        </r>
      </text>
    </comment>
    <comment ref="T15" authorId="1" shapeId="0">
      <text>
        <r>
          <rPr>
            <sz val="9"/>
            <color indexed="81"/>
            <rFont val="Tahoma"/>
            <family val="2"/>
          </rPr>
          <t>Set to 1 to bypass CHECKCODE rules</t>
        </r>
      </text>
    </comment>
    <comment ref="U15" authorId="1" shapeId="0">
      <text>
        <r>
          <rPr>
            <sz val="9"/>
            <color indexed="81"/>
            <rFont val="Tahoma"/>
            <family val="2"/>
          </rPr>
          <t>Set to 1 to bypass CHECKSIM rules</t>
        </r>
      </text>
    </comment>
    <comment ref="V15" authorId="1" shapeId="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6.xml><?xml version="1.0" encoding="utf-8"?>
<comments xmlns="http://schemas.openxmlformats.org/spreadsheetml/2006/main">
  <authors>
    <author>Scott Criswell</author>
    <author>David Reddy</author>
  </authors>
  <commentList>
    <comment ref="H15" authorId="0" shapeId="0">
      <text>
        <r>
          <rPr>
            <sz val="8"/>
            <color indexed="81"/>
            <rFont val="Tahoma"/>
            <family val="2"/>
          </rPr>
          <t>Leave blank to model with ruleset-defined setting</t>
        </r>
      </text>
    </comment>
    <comment ref="AI15" authorId="1" shapeId="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N15" authorId="1" shapeId="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6" authorId="1" shapeId="0">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6" authorId="1" shapeId="0">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6" authorId="1" shapeId="0">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6" authorId="1" shapeId="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6" authorId="1" shapeId="0">
      <text>
        <r>
          <rPr>
            <sz val="9"/>
            <color indexed="81"/>
            <rFont val="Tahoma"/>
            <family val="2"/>
          </rPr>
          <t>ParallelSimulations: Flag controls whether or not like simulations (design sizing vs. annual) should be performed in parallel, which helps to reduce analysis runtime</t>
        </r>
      </text>
    </comment>
    <comment ref="T16" authorId="1" shapeId="0">
      <text>
        <r>
          <rPr>
            <sz val="9"/>
            <color indexed="81"/>
            <rFont val="Tahoma"/>
            <family val="2"/>
          </rPr>
          <t>DurationStats: Logging of rule evaluation times during analysis</t>
        </r>
      </text>
    </comment>
    <comment ref="U16" authorId="1" shapeId="0">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6" authorId="1" shapeId="0">
      <text>
        <r>
          <rPr>
            <sz val="9"/>
            <color indexed="81"/>
            <rFont val="Tahoma"/>
            <family val="2"/>
          </rPr>
          <t>BypassValidFileChecks:  Bypasses checks designed to ensure that all analysis file dependencies are valid</t>
        </r>
      </text>
    </comment>
    <comment ref="X16" authorId="1" shapeId="0">
      <text>
        <r>
          <rPr>
            <sz val="9"/>
            <color indexed="81"/>
            <rFont val="Tahoma"/>
            <family val="2"/>
          </rPr>
          <t>Set to 1 to bypass range and required data checking</t>
        </r>
      </text>
    </comment>
    <comment ref="Y16" authorId="1" shapeId="0">
      <text>
        <r>
          <rPr>
            <sz val="9"/>
            <color indexed="81"/>
            <rFont val="Tahoma"/>
            <family val="2"/>
          </rPr>
          <t>Set to 1 to bypass thermal zone unmet load hour checks</t>
        </r>
      </text>
    </comment>
    <comment ref="Z16" authorId="1" shapeId="0">
      <text>
        <r>
          <rPr>
            <sz val="9"/>
            <color indexed="81"/>
            <rFont val="Tahoma"/>
            <family val="2"/>
          </rPr>
          <t>Set to 1 to bypass CHECKSIM rules</t>
        </r>
      </text>
    </comment>
    <comment ref="AA16" authorId="1" shapeId="0">
      <text>
        <r>
          <rPr>
            <sz val="9"/>
            <color indexed="81"/>
            <rFont val="Tahoma"/>
            <family val="2"/>
          </rPr>
          <t>Set to 1 to bypass CHECKCODE rules</t>
        </r>
      </text>
    </comment>
    <comment ref="AC16" authorId="1" shapeId="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AD16" authorId="1" shapeId="0">
      <text>
        <r>
          <rPr>
            <sz val="9"/>
            <color indexed="81"/>
            <rFont val="Tahoma"/>
            <family val="2"/>
          </rPr>
          <t>Flag that turns on/off rule-based model reports that generate CSV files during analysis</t>
        </r>
      </text>
    </comment>
    <comment ref="AE16" authorId="1" shapeId="0">
      <text>
        <r>
          <rPr>
            <sz val="9"/>
            <color indexed="81"/>
            <rFont val="Tahoma"/>
            <family val="2"/>
          </rPr>
          <t>Causes generation of CSV files by run containing hourly results by fuel and enduse plus TDV multipliers</t>
        </r>
      </text>
    </comment>
    <comment ref="AF16" authorId="1" shapeId="0">
      <text>
        <r>
          <rPr>
            <sz val="9"/>
            <color indexed="81"/>
            <rFont val="Tahoma"/>
            <family val="2"/>
          </rPr>
          <t xml:space="preserve">Flags to toggle ON (when value set to 1) PDF and/or Full (XML) report generation following each valid Title-24 analysis run, regardless of whether the PDF or Full report checkboxes are checked in the Project tabbed dialog. Values of 0 for these flags have no effect on analysis or reporting (meaning reports will get generated only when the PDF/Full checkboxes are checked)
</t>
        </r>
      </text>
    </comment>
    <comment ref="AH16" authorId="1" shapeId="0">
      <text>
        <r>
          <rPr>
            <sz val="9"/>
            <color indexed="81"/>
            <rFont val="Tahoma"/>
            <family val="2"/>
          </rPr>
          <t xml:space="preserve">Whether or not to override user input tp prevent or cause QuickAnalysis to be used in the analysis QuickAnalysis substitutes four seasonal single week simulations for full annual simulations, thereby significantly reducing simulation runtimes.
For more info: http://www.pnl.gov/main/publications/external/technical_reports/PNNL-19961.pdf
QuickAnalysis values:
  -1 (default) - do not override the QuickAnalysis setting
   0 - force analysis to run full annual simulations
   1 - force analysis to use shortened, seasonal simulation run periods (QuickAnalysis)
</t>
        </r>
      </text>
    </comment>
  </commentList>
</comments>
</file>

<file path=xl/comments7.xml><?xml version="1.0" encoding="utf-8"?>
<comments xmlns="http://schemas.openxmlformats.org/spreadsheetml/2006/main">
  <authors>
    <author>Scott Criswell</author>
    <author>David Reddy</author>
  </authors>
  <commentList>
    <comment ref="H14" authorId="0" shapeId="0">
      <text>
        <r>
          <rPr>
            <sz val="8"/>
            <color indexed="81"/>
            <rFont val="Tahoma"/>
            <family val="2"/>
          </rPr>
          <t>Leave blank to model with ruleset-defined setting</t>
        </r>
      </text>
    </comment>
    <comment ref="AE14" authorId="1" shapeId="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J14" authorId="1" shapeId="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5" authorId="1" shapeId="0">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5" authorId="1" shapeId="0">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5" authorId="1" shapeId="0">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5" authorId="1" shapeId="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5" authorId="1" shapeId="0">
      <text>
        <r>
          <rPr>
            <sz val="9"/>
            <color indexed="81"/>
            <rFont val="Tahoma"/>
            <family val="2"/>
          </rPr>
          <t>ParallelSimulations: Flag controls whether or not like simulations (design sizing vs. annual) should be performed in parallel, which helps to reduce analysis runtime</t>
        </r>
      </text>
    </comment>
    <comment ref="T15" authorId="1" shapeId="0">
      <text>
        <r>
          <rPr>
            <sz val="9"/>
            <color indexed="81"/>
            <rFont val="Tahoma"/>
            <family val="2"/>
          </rPr>
          <t>DurationStats: Logging of rule evaluation times during analysis</t>
        </r>
      </text>
    </comment>
    <comment ref="U15" authorId="1" shapeId="0">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5" authorId="1" shapeId="0">
      <text>
        <r>
          <rPr>
            <sz val="9"/>
            <color indexed="81"/>
            <rFont val="Tahoma"/>
            <family val="2"/>
          </rPr>
          <t>BypassValidFileChecks:  Bypasses checks designed to ensure that all analysis file dependencies are valid</t>
        </r>
      </text>
    </comment>
    <comment ref="X15" authorId="1" shapeId="0">
      <text>
        <r>
          <rPr>
            <sz val="9"/>
            <color indexed="81"/>
            <rFont val="Tahoma"/>
            <family val="2"/>
          </rPr>
          <t>Set to 1 to bypass range and required data checking</t>
        </r>
      </text>
    </comment>
    <comment ref="Y15" authorId="1" shapeId="0">
      <text>
        <r>
          <rPr>
            <sz val="9"/>
            <color indexed="81"/>
            <rFont val="Tahoma"/>
            <family val="2"/>
          </rPr>
          <t>Set to 1 to bypass thermal zone unmet load hour checks</t>
        </r>
      </text>
    </comment>
    <comment ref="Z15" authorId="1" shapeId="0">
      <text>
        <r>
          <rPr>
            <sz val="9"/>
            <color indexed="81"/>
            <rFont val="Tahoma"/>
            <family val="2"/>
          </rPr>
          <t>Set to 1 to bypass CHECKSIM rules</t>
        </r>
      </text>
    </comment>
    <comment ref="AA15" authorId="1" shapeId="0">
      <text>
        <r>
          <rPr>
            <sz val="9"/>
            <color indexed="81"/>
            <rFont val="Tahoma"/>
            <family val="2"/>
          </rPr>
          <t>Set to 1 to bypass CHECKCODE rules</t>
        </r>
      </text>
    </comment>
    <comment ref="AC15" authorId="1" shapeId="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H108" authorId="0" shapeId="0">
      <text>
        <r>
          <rPr>
            <sz val="8"/>
            <color indexed="81"/>
            <rFont val="Tahoma"/>
            <family val="2"/>
          </rPr>
          <t>Leave blank to model with ruleset-defined setting</t>
        </r>
      </text>
    </comment>
  </commentList>
</comments>
</file>

<file path=xl/comments8.xml><?xml version="1.0" encoding="utf-8"?>
<comments xmlns="http://schemas.openxmlformats.org/spreadsheetml/2006/main">
  <authors>
    <author>Scott Criswell</author>
    <author>David Reddy</author>
  </authors>
  <commentList>
    <comment ref="H14" authorId="0" shapeId="0">
      <text>
        <r>
          <rPr>
            <sz val="8"/>
            <color indexed="81"/>
            <rFont val="Tahoma"/>
            <family val="2"/>
          </rPr>
          <t>Leave blank to model with ruleset-defined setting</t>
        </r>
      </text>
    </comment>
    <comment ref="AE14" authorId="1" shapeId="0">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J14" authorId="1" shapeId="0">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5" authorId="1" shapeId="0">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5" authorId="1" shapeId="0">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5" authorId="1" shapeId="0">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5" authorId="1" shapeId="0">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5" authorId="1" shapeId="0">
      <text>
        <r>
          <rPr>
            <sz val="9"/>
            <color indexed="81"/>
            <rFont val="Tahoma"/>
            <family val="2"/>
          </rPr>
          <t>ParallelSimulations: Flag controls whether or not like simulations (design sizing vs. annual) should be performed in parallel, which helps to reduce analysis runtime</t>
        </r>
      </text>
    </comment>
    <comment ref="T15" authorId="1" shapeId="0">
      <text>
        <r>
          <rPr>
            <sz val="9"/>
            <color indexed="81"/>
            <rFont val="Tahoma"/>
            <family val="2"/>
          </rPr>
          <t>DurationStats: Logging of rule evaluation times during analysis</t>
        </r>
      </text>
    </comment>
    <comment ref="U15" authorId="1" shapeId="0">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5" authorId="1" shapeId="0">
      <text>
        <r>
          <rPr>
            <sz val="9"/>
            <color indexed="81"/>
            <rFont val="Tahoma"/>
            <family val="2"/>
          </rPr>
          <t>BypassValidFileChecks:  Bypasses checks designed to ensure that all analysis file dependencies are valid</t>
        </r>
      </text>
    </comment>
    <comment ref="X15" authorId="1" shapeId="0">
      <text>
        <r>
          <rPr>
            <sz val="9"/>
            <color indexed="81"/>
            <rFont val="Tahoma"/>
            <family val="2"/>
          </rPr>
          <t>Set to 1 to bypass range and required data checking</t>
        </r>
      </text>
    </comment>
    <comment ref="Y15" authorId="1" shapeId="0">
      <text>
        <r>
          <rPr>
            <sz val="9"/>
            <color indexed="81"/>
            <rFont val="Tahoma"/>
            <family val="2"/>
          </rPr>
          <t>Set to 1 to bypass thermal zone unmet load hour checks</t>
        </r>
      </text>
    </comment>
    <comment ref="Z15" authorId="1" shapeId="0">
      <text>
        <r>
          <rPr>
            <sz val="9"/>
            <color indexed="81"/>
            <rFont val="Tahoma"/>
            <family val="2"/>
          </rPr>
          <t>Set to 1 to bypass CHECKSIM rules</t>
        </r>
      </text>
    </comment>
    <comment ref="AA15" authorId="1" shapeId="0">
      <text>
        <r>
          <rPr>
            <sz val="9"/>
            <color indexed="81"/>
            <rFont val="Tahoma"/>
            <family val="2"/>
          </rPr>
          <t>Set to 1 to bypass CHECKCODE rules</t>
        </r>
      </text>
    </comment>
    <comment ref="AC15" authorId="1" shapeId="0">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H108" authorId="0" shapeId="0">
      <text>
        <r>
          <rPr>
            <sz val="8"/>
            <color indexed="81"/>
            <rFont val="Tahoma"/>
            <family val="2"/>
          </rPr>
          <t>Leave blank to model with ruleset-defined setting</t>
        </r>
      </text>
    </comment>
  </commentList>
</comments>
</file>

<file path=xl/sharedStrings.xml><?xml version="1.0" encoding="utf-8"?>
<sst xmlns="http://schemas.openxmlformats.org/spreadsheetml/2006/main" count="2137" uniqueCount="393">
  <si>
    <t>;   First SINGLE Record Provides Some Global Information:</t>
  </si>
  <si>
    <t>;</t>
  </si>
  <si>
    <t>Batch Version:</t>
  </si>
  <si>
    <t>Number denoting the version of batch processing mechanism this file written for (for backward compatibility)</t>
  </si>
  <si>
    <t>;   Batch</t>
  </si>
  <si>
    <t>;    Ver</t>
  </si>
  <si>
    <t>Existing</t>
  </si>
  <si>
    <t>New or Save As</t>
  </si>
  <si>
    <t>Project or File Name</t>
  </si>
  <si>
    <t>Program</t>
  </si>
  <si>
    <t>Output</t>
  </si>
  <si>
    <t>CumCSV</t>
  </si>
  <si>
    <t>Processing</t>
  </si>
  <si>
    <t>Options</t>
  </si>
  <si>
    <t>;  Process</t>
  </si>
  <si>
    <t>;   Record</t>
  </si>
  <si>
    <t xml:space="preserve">Input path:  </t>
  </si>
  <si>
    <t xml:space="preserve">Output path:  </t>
  </si>
  <si>
    <t>Common Output Results File</t>
  </si>
  <si>
    <t>(relative to batch CSV path if no path specified)</t>
  </si>
  <si>
    <t>Run Title</t>
  </si>
  <si>
    <t>Override AutoSize Flag</t>
  </si>
  <si>
    <t>p</t>
  </si>
  <si>
    <t>bz</t>
  </si>
  <si>
    <t>b</t>
  </si>
  <si>
    <t>;       1</t>
  </si>
  <si>
    <t>Batch Instance</t>
  </si>
  <si>
    <t>Input Instance</t>
  </si>
  <si>
    <t>LogRuleEvaluation</t>
  </si>
  <si>
    <t>Verbose</t>
  </si>
  <si>
    <t>AnalysisThruStep</t>
  </si>
  <si>
    <t>BypassInputChecks</t>
  </si>
  <si>
    <t>BypassUMLHChecks</t>
  </si>
  <si>
    <t>BypassOpenStudio</t>
  </si>
  <si>
    <t>BypassSimulation</t>
  </si>
  <si>
    <t>INI File Options ---&gt;</t>
  </si>
  <si>
    <t>BypassCheckSimRules</t>
  </si>
  <si>
    <t>BypassCheckCodeRules</t>
  </si>
  <si>
    <t>StoreBEMDetails</t>
  </si>
  <si>
    <t>Results file:</t>
  </si>
  <si>
    <t>Path to Copy</t>
  </si>
  <si>
    <t>SDD XML files too</t>
  </si>
  <si>
    <t xml:space="preserve">SDD XML path:  </t>
  </si>
  <si>
    <t>Project or File Name (full path or relative to \Projects)</t>
  </si>
  <si>
    <t>Input cells</t>
  </si>
  <si>
    <t>Date:</t>
  </si>
  <si>
    <t>Repo Rev:</t>
  </si>
  <si>
    <t>(relative to \Projects if no path specified)</t>
  </si>
  <si>
    <t>(relative to batch input csv path if not specified)</t>
  </si>
  <si>
    <t>DontAbortOnErrorsThruStep</t>
  </si>
  <si>
    <t>Run Sim?</t>
  </si>
  <si>
    <t>DontAbortOn ErrorsThruStep</t>
  </si>
  <si>
    <t>00300-OfficeMedium_CZ6_Run04</t>
  </si>
  <si>
    <t>RulesetImplementationTests\</t>
  </si>
  <si>
    <t>00200-OfficeSmall_CZ6_Run01</t>
  </si>
  <si>
    <t>00200-OfficeSmall_CZ15_Run02</t>
  </si>
  <si>
    <t>00200-OfficeSmall_CZ6_Run14</t>
  </si>
  <si>
    <t>00200-OfficeSmall_CZ6_Run18</t>
  </si>
  <si>
    <t>00300-OfficeMedium_CZ6_Run10</t>
  </si>
  <si>
    <t>00300-OfficeMedium_CZ6_Run12</t>
  </si>
  <si>
    <t>00300-OfficeMedium_CZ6_Run13</t>
  </si>
  <si>
    <t>00300-OfficeMedium_CZ6_Run19</t>
  </si>
  <si>
    <t>00300-OfficeMedium_CZ6_Run23</t>
  </si>
  <si>
    <t>00400-OfficeLarge_CZ6_Run05</t>
  </si>
  <si>
    <t>00400-OfficeLarge_CZ6_Run06</t>
  </si>
  <si>
    <t>00400-OfficeLarge_CZ6_Run11</t>
  </si>
  <si>
    <t>00400-OfficeLarge_CZ6_Run17</t>
  </si>
  <si>
    <t>00700-HotelSmall_CZ15_Run03</t>
  </si>
  <si>
    <t>00700-HotelSmall_CZ12_Run22</t>
  </si>
  <si>
    <t>ModelRpt_ALL</t>
  </si>
  <si>
    <t>r1009</t>
  </si>
  <si>
    <t>1b-PrimOnly_SnglChlr_VarSpdPump</t>
  </si>
  <si>
    <t>2a-PrimOnly_MultChlr_ConstSpdPump</t>
  </si>
  <si>
    <t>2b-PrimOnly_MultChlr_ConstSpdPumps</t>
  </si>
  <si>
    <t>2c-PrimOnly_MultChlr_VarSpdPump</t>
  </si>
  <si>
    <t>2d-PrimOnly_MultChlr_VarSpdPumps</t>
  </si>
  <si>
    <t>3b-PrimSec_MultChlr_ChlrPumps</t>
  </si>
  <si>
    <t>4a-PrimOnly_MultChlrSeries_PrimPump</t>
  </si>
  <si>
    <t>4b-PrimOnly_MultChlrSeries_ChlrPumps</t>
  </si>
  <si>
    <t>Hydronic Piping Examples</t>
  </si>
  <si>
    <t>1a1-PrimOnly_SnglChlr_ConstSpdPump01</t>
  </si>
  <si>
    <t>1a2-PrimOnly_SnglChlr_ConstSpdPump02</t>
  </si>
  <si>
    <t>3a-PrimSec_MultChlr_PrimPump</t>
  </si>
  <si>
    <t>r1089</t>
  </si>
  <si>
    <t>010012-SchSml-CECStd</t>
  </si>
  <si>
    <t>020012-OffSml-CECStd</t>
  </si>
  <si>
    <t>030012-OffMed-CECStd</t>
  </si>
  <si>
    <t>040012-OffLrg-CECStd</t>
  </si>
  <si>
    <t>050012-RetlMed-CECStd</t>
  </si>
  <si>
    <t>060012-RstntSml-CECStd</t>
  </si>
  <si>
    <t>070012-HotSml-CECStd</t>
  </si>
  <si>
    <t>080012-Whse-CECStd</t>
  </si>
  <si>
    <t>090012-RetlLrg-CECStd</t>
  </si>
  <si>
    <t>010112-SchSml-PSZ</t>
  </si>
  <si>
    <t>010212-SchSml-PVAVAirZnSys</t>
  </si>
  <si>
    <t>010312-SchSml-VAVFluidZnSys</t>
  </si>
  <si>
    <t>040112-OffLrg-VAVPriSec</t>
  </si>
  <si>
    <t>010112-SchSml-PSZ-p-01</t>
  </si>
  <si>
    <t>010112-SchSml-PSZ-p-02</t>
  </si>
  <si>
    <t>010112-SchSml-PSZ-p-03</t>
  </si>
  <si>
    <t>010112-SchSml-PSZ-p-04</t>
  </si>
  <si>
    <t>010112-SchSml-PSZ-p-05</t>
  </si>
  <si>
    <t>010112-SchSml-PSZ-p-06</t>
  </si>
  <si>
    <t>010112-SchSml-PSZ-p-07</t>
  </si>
  <si>
    <t>010112-SchSml-PSZ-p-08</t>
  </si>
  <si>
    <t>010112-SchSml-PSZ-p-09</t>
  </si>
  <si>
    <t>010112-SchSml-PSZ-p-10</t>
  </si>
  <si>
    <t>010112-SchSml-PSZ-p-11</t>
  </si>
  <si>
    <t>010112-SchSml-PSZ-p-12</t>
  </si>
  <si>
    <t>010112-SchSml-PSZ-p-13</t>
  </si>
  <si>
    <t>010112-SchSml-PSZ-p-14</t>
  </si>
  <si>
    <t>010112-SchSml-PSZ-p-15</t>
  </si>
  <si>
    <t>010112-SchSml-PSZ-p-16</t>
  </si>
  <si>
    <t>010112-SchSml-PSZ-p-17</t>
  </si>
  <si>
    <t>010112-SchSml-PSZ-p-18</t>
  </si>
  <si>
    <t>010112-SchSml-PSZ-p-19</t>
  </si>
  <si>
    <t>010112-SchSml-PSZ-p-20</t>
  </si>
  <si>
    <t>010112-SchSml-PSZ-p-21</t>
  </si>
  <si>
    <t>010112-SchSml-PSZ-p-22</t>
  </si>
  <si>
    <t>Issue 383\Input CIBD\</t>
  </si>
  <si>
    <t>Issue 383\010112-SchSml-PSZ-p_r1450\010112-SchSml-PSZ-p_r1450 - batch\</t>
  </si>
  <si>
    <t>010112</t>
  </si>
  <si>
    <t>r1450_IDF</t>
  </si>
  <si>
    <t>020212-OffSml-SimpleGeometry</t>
  </si>
  <si>
    <t>030212-OffMed-SimpleGeometry</t>
  </si>
  <si>
    <t>r1953</t>
  </si>
  <si>
    <t>020006-OffSml-Run01</t>
  </si>
  <si>
    <t>020015-OffSml-Run02</t>
  </si>
  <si>
    <t>070015-HotSml-Run03</t>
  </si>
  <si>
    <t>030006-OffMed-Run04</t>
  </si>
  <si>
    <t>040006-OffLrg-Run05</t>
  </si>
  <si>
    <t>040006-OffLrg-Run06</t>
  </si>
  <si>
    <t>080006-Whse-Run07</t>
  </si>
  <si>
    <t>080006-Whse-Run08</t>
  </si>
  <si>
    <t>040006-OffLrg-Run11</t>
  </si>
  <si>
    <t>030006-OffMed-Run12</t>
  </si>
  <si>
    <t>030006-OffMed-Run13</t>
  </si>
  <si>
    <t>020006-OffSml-Run14</t>
  </si>
  <si>
    <t>080006-Whse-Run15</t>
  </si>
  <si>
    <t>050006-RetlMed-Run16</t>
  </si>
  <si>
    <t>020006-OffSml-Run18</t>
  </si>
  <si>
    <t>080006-Whse-Run21</t>
  </si>
  <si>
    <t>RulesetImplementationTests\Incomplete tests\</t>
  </si>
  <si>
    <t>030006-OffMed-Run23</t>
  </si>
  <si>
    <t>020006-OffSml-Run24</t>
  </si>
  <si>
    <t>020006-OffSml-Run25</t>
  </si>
  <si>
    <t>020006-OffSml-Run26</t>
  </si>
  <si>
    <t>050006-RetlMed-Run27</t>
  </si>
  <si>
    <t>050006-RetlMed-Run28</t>
  </si>
  <si>
    <t>030006-OffMed-Run29</t>
  </si>
  <si>
    <t>030006-OffMed-Run30</t>
  </si>
  <si>
    <t>ParallelSimulations</t>
  </si>
  <si>
    <t>DurationStats</t>
  </si>
  <si>
    <t>SimulationStorage</t>
  </si>
  <si>
    <t>AnalysisStorage</t>
  </si>
  <si>
    <t>BypassValidFileChecks</t>
  </si>
  <si>
    <t>all</t>
  </si>
  <si>
    <t>zp</t>
  </si>
  <si>
    <t>zb</t>
  </si>
  <si>
    <t>ap</t>
  </si>
  <si>
    <t>ab</t>
  </si>
  <si>
    <t>OverrideAutosize</t>
  </si>
  <si>
    <t>StoreResultsToModelInput</t>
  </si>
  <si>
    <t>StandardModelTests\</t>
  </si>
  <si>
    <t>020012S-OffSml-CECStd</t>
  </si>
  <si>
    <t>OtherTests</t>
  </si>
  <si>
    <t>OtherTests\</t>
  </si>
  <si>
    <t>050112-RetlMed-SZVAV</t>
  </si>
  <si>
    <t>050312-RetlMed-Alterations</t>
  </si>
  <si>
    <t>OffLrg-PlenumsFPBsData</t>
  </si>
  <si>
    <t>OffLrg-PrkgExhaust</t>
  </si>
  <si>
    <t>OffSml-PSZ-Evap</t>
  </si>
  <si>
    <t>OffSml-WSHP</t>
  </si>
  <si>
    <t>RetlMed-PVAV-IndirDirEvap</t>
  </si>
  <si>
    <t>RetlSml-DOAS+FPFC</t>
  </si>
  <si>
    <t>StandardModelTests</t>
  </si>
  <si>
    <t>OT</t>
  </si>
  <si>
    <t>OffLrg-PrkgLabKitchen</t>
  </si>
  <si>
    <t>020006S-OffSml-Run01</t>
  </si>
  <si>
    <t>020015S-OffSml-Run02</t>
  </si>
  <si>
    <t>030006S-OffMed-Run04</t>
  </si>
  <si>
    <t>020006S-OffSml-Run14</t>
  </si>
  <si>
    <t>020006S-OffSml-Run18</t>
  </si>
  <si>
    <t>OffLrg-PrkgLab</t>
  </si>
  <si>
    <t>Ruleset Implementation Tests (Complete)</t>
  </si>
  <si>
    <t>RIc</t>
  </si>
  <si>
    <t>RIi</t>
  </si>
  <si>
    <t>r2722</t>
  </si>
  <si>
    <t>Total Runs</t>
  </si>
  <si>
    <t>Formulas</t>
  </si>
  <si>
    <t>Run Title
(user-defined, reported in Results csv file)</t>
  </si>
  <si>
    <t>Input File Name</t>
  </si>
  <si>
    <t>Batch File Name</t>
  </si>
  <si>
    <t>Standard901Tests\</t>
  </si>
  <si>
    <t>020032-OffSml-S901GElectric</t>
  </si>
  <si>
    <t>020032-OffSml-S901GFossil</t>
  </si>
  <si>
    <t>030032-OffMed-S901GElectric</t>
  </si>
  <si>
    <t>070032-HotSml-S901GElectric</t>
  </si>
  <si>
    <t>080032-Whse-S901GFossil</t>
  </si>
  <si>
    <t>T24Std</t>
  </si>
  <si>
    <t>901Std</t>
  </si>
  <si>
    <t>OffSml-Office_SZVAV</t>
  </si>
  <si>
    <t>OffSml-Lab_SZVAV</t>
  </si>
  <si>
    <t>OffSml-CommKit_SZVAV</t>
  </si>
  <si>
    <t>030006-OffMed-Run19</t>
  </si>
  <si>
    <t>040006-OffLrg-Run20</t>
  </si>
  <si>
    <t>070015-HotSml-Run22</t>
  </si>
  <si>
    <t>030012S-OffMed-CECStd</t>
  </si>
  <si>
    <t>Input file</t>
  </si>
  <si>
    <t>0300015-OffMed-Baseline</t>
  </si>
  <si>
    <t>0314015-OffMed-FanPwrBox</t>
  </si>
  <si>
    <t>0312515-OffMed-Plenum</t>
  </si>
  <si>
    <t>0314615-OffMed-LabwExhPVAV</t>
  </si>
  <si>
    <t>0313415-OffMed-LabwExhDOAS</t>
  </si>
  <si>
    <t>0300016-OffMed-Baseline</t>
  </si>
  <si>
    <t>0301916-OffMed-GlazingWindowUSHGC</t>
  </si>
  <si>
    <t>0303216-OffMed-LightingLowLPD</t>
  </si>
  <si>
    <t>0307216-OffMed-HVACPVAV Design</t>
  </si>
  <si>
    <t>0307316-OffMed-HVACPVAV SATControl</t>
  </si>
  <si>
    <t>0307516-OffMed-HVACPVAV EconomizerType</t>
  </si>
  <si>
    <t>0314116-OffMed-FanPwrBox</t>
  </si>
  <si>
    <t>0312616-OffMed-Plenum</t>
  </si>
  <si>
    <t>0314716-OffMed-LabwExhPVAV</t>
  </si>
  <si>
    <t>0313516-OffMed-LabwExhDOAS</t>
  </si>
  <si>
    <t>0300006-OffMed-Baseline</t>
  </si>
  <si>
    <t>0314206-OffMed-FanPwrBox</t>
  </si>
  <si>
    <t>0312706-OffMed-Plenum</t>
  </si>
  <si>
    <t>0314806-OffMed-LabwExhPVAV</t>
  </si>
  <si>
    <t>0313606-OffMed-LabwExhDOAS</t>
  </si>
  <si>
    <t>0500015-RetlMed-Baseline</t>
  </si>
  <si>
    <t>0500115-RetlMed-EnvelopeRoofInsulation</t>
  </si>
  <si>
    <t>0500215-RetlMed-EnvelopeWallInsulation</t>
  </si>
  <si>
    <t>0500315-RetlMed-EnvelopeHeavy</t>
  </si>
  <si>
    <t>0512815-RetlMed-SZVAV</t>
  </si>
  <si>
    <t>0500016-RetlMed-Baseline</t>
  </si>
  <si>
    <t>0512916-RetlMed-SZVAV</t>
  </si>
  <si>
    <t>0500006-RetlMed-Baseline</t>
  </si>
  <si>
    <t>0513006-RetlMed-SZVAV</t>
  </si>
  <si>
    <t>0400015-OffLrg-CRAH</t>
  </si>
  <si>
    <t>0413115-OffLrg-CRAC</t>
  </si>
  <si>
    <t>0400016-OffLrg-CRAH</t>
  </si>
  <si>
    <t>0413216-OffLrg-CRAC</t>
  </si>
  <si>
    <t>0400006-OffLrg-CRAH</t>
  </si>
  <si>
    <t>0413306-OffLrg-CRAC</t>
  </si>
  <si>
    <t>1000015-RetlStrp-BaselinePTAC</t>
  </si>
  <si>
    <t>1010515-RetlStrp-FPFC</t>
  </si>
  <si>
    <t>1014315-RetlStrp-WSHP</t>
  </si>
  <si>
    <t>1000016-RetlStrp-BaselinePTAC</t>
  </si>
  <si>
    <t>1010416-RetlStrp-FPFC</t>
  </si>
  <si>
    <t>1014416-RetlStrp-WSHP</t>
  </si>
  <si>
    <t>1000006-RetlStrp-BaselinePTAC</t>
  </si>
  <si>
    <t>1010606-RetlStrp-FPFC</t>
  </si>
  <si>
    <t>1014506-RetlStrp-WSHP</t>
  </si>
  <si>
    <t>0400007-OffLrg-Baserun</t>
  </si>
  <si>
    <t>0404207-OffLrg-Cont.DimHighVT</t>
  </si>
  <si>
    <t>0404307-OffLrg-StepDim</t>
  </si>
  <si>
    <t>0404407-OffLrg-StepDimHighVT</t>
  </si>
  <si>
    <t>0400016-OffLrg-Baserun</t>
  </si>
  <si>
    <t>0408416-OffLrg-HVACChillerCOP</t>
  </si>
  <si>
    <t>0408516-OffLrg-HVACChWdeltaT</t>
  </si>
  <si>
    <t>1000016-RetlStrp-BaselinePSZ</t>
  </si>
  <si>
    <t>1013816-RetlStrp-EvapCooler</t>
  </si>
  <si>
    <t>1000006-RetlStrp-BaselinePSZ</t>
  </si>
  <si>
    <t>1013906-RetlStrp-EvapCooler</t>
  </si>
  <si>
    <t>1000015-RetlStrp-BaselinePSZ</t>
  </si>
  <si>
    <t>1009215-RetlStrp-HVACPSZ DXCOP</t>
  </si>
  <si>
    <t>1009315-RetlStrp-HVACPSZ HeatEff</t>
  </si>
  <si>
    <t>1009415-RetlStrp-HVACPSZ EconomizerControl</t>
  </si>
  <si>
    <t>1013715-RetlStrp-EvapCooler</t>
  </si>
  <si>
    <t>x</t>
  </si>
  <si>
    <t>0301015-OffMed-FloorSlabInsulation</t>
  </si>
  <si>
    <t>0301215-OffMed-GlazingWindowU</t>
  </si>
  <si>
    <t>0301315-OffMed-GlazingWindowSHGC</t>
  </si>
  <si>
    <t>0301415-OffMed-GlazingWindowUSHGC</t>
  </si>
  <si>
    <t>0301516-OffMed-FloorSlabInsulation</t>
  </si>
  <si>
    <t>0301716-OffMed-GlazingWindowU</t>
  </si>
  <si>
    <t>0301816-OffMed-GlazingWindowSHGC</t>
  </si>
  <si>
    <t>0302006-OffMed-FloorSlabInsulation</t>
  </si>
  <si>
    <t>0302206-OffMed-GlazingWindowU</t>
  </si>
  <si>
    <t>0302306-OffMed-GlazingWindowSHGC</t>
  </si>
  <si>
    <t>0302406-OffMed-GlazingWindowUSHGC</t>
  </si>
  <si>
    <t>0303115-OffMed-LightingHighLPD</t>
  </si>
  <si>
    <t>0303316-OffMed-LightingHighLPD</t>
  </si>
  <si>
    <t>0303406-OffMed-LightingLowLPD</t>
  </si>
  <si>
    <t>0303506-OffMed-LightingHighLPD</t>
  </si>
  <si>
    <t>0303015-OffMed-LightingLowLPD</t>
  </si>
  <si>
    <t>0306815-OffMed-HVACPVAV Design</t>
  </si>
  <si>
    <t>0306915-OffMed-HVACPVAV SATControl</t>
  </si>
  <si>
    <t>0307115-OffMed-HVACPVAV EconomizerType</t>
  </si>
  <si>
    <t>0307606-OffMed-HVACPVAV Design</t>
  </si>
  <si>
    <t>0307906-OffMed-HVACPVAV EconomizerType</t>
  </si>
  <si>
    <t>0307706-OffMed-HVACPVAV SATControl</t>
  </si>
  <si>
    <t>1010115-RetlStrp-HVACPTAC DXCOP</t>
  </si>
  <si>
    <t>1010216-RetlStrp-HVACPTAC DXCOP</t>
  </si>
  <si>
    <t>1010306-RetlStrp-HVACPTAC DXCOP</t>
  </si>
  <si>
    <t>1009516-RetlStrp-HVACPSZ DXCOP</t>
  </si>
  <si>
    <t>1009616-RetlStrp-HVACPSZ HeatEff</t>
  </si>
  <si>
    <t>1009716-RetlStrp-HVACPSZ EconomizerControl</t>
  </si>
  <si>
    <t>1009806-RetlStrp-HVACPSZ DXCOP</t>
  </si>
  <si>
    <t>1009906-RetlStrp-HVACPSZ HeatEff</t>
  </si>
  <si>
    <t>1010006-RetlStrp-HVACPSZ EconomizerControl</t>
  </si>
  <si>
    <t>0402507-OffLrg-WWR20</t>
  </si>
  <si>
    <t>0400001-OffLrg-Baserun</t>
  </si>
  <si>
    <t>0400006-OffLrg-Baserun</t>
  </si>
  <si>
    <t>0402801-OffLrg-WWR20</t>
  </si>
  <si>
    <t>0402901-OffLrg-WWR60</t>
  </si>
  <si>
    <t>0404507-OffLrg-WWR20Cont.DimHighVT</t>
  </si>
  <si>
    <t>0404607-OffLrg-WWR20StepDim</t>
  </si>
  <si>
    <t>0404707-OffLrg-WWR20StepDimHighVT</t>
  </si>
  <si>
    <t>0405101-OffLrg-Cont.DimHighVT</t>
  </si>
  <si>
    <t>0405201-OffLrg-StepDim</t>
  </si>
  <si>
    <t>0405301-OffLrg-StepDimHighVT</t>
  </si>
  <si>
    <t>0400015-OffLrg-Baserun</t>
  </si>
  <si>
    <t>0408015-OffLrg-HVACChillerCOP</t>
  </si>
  <si>
    <t>0408806-OffLrg-HVACChillerCOP</t>
  </si>
  <si>
    <t>0408906-OffLrg-HVACChWDeltaT</t>
  </si>
  <si>
    <t>0405401-OffLrg-WWR20Cont.DimHighVT</t>
  </si>
  <si>
    <t>0405501-OffLrg-WWR20StepDim</t>
  </si>
  <si>
    <t>0405601-OffLrg-WWR20StepDimHighVT</t>
  </si>
  <si>
    <t>0405701-OffLrg-WWR60Cont.DimHighVT</t>
  </si>
  <si>
    <t>0405801-OffLrg-WWR60StepDim</t>
  </si>
  <si>
    <t>0405901-OffLrg-WWR60StepDimHighVT</t>
  </si>
  <si>
    <t>0500616-RetlMed-EnvelopeHeavy</t>
  </si>
  <si>
    <t>0500416-RetlMed-EnvelopeRoofInsulation</t>
  </si>
  <si>
    <t>0500806-RetlMed-EnvelopeWallInsulation</t>
  </si>
  <si>
    <t>0500906-RetlMed-EnvelopeHeavy</t>
  </si>
  <si>
    <t>0500007-RetlMed-Baseline</t>
  </si>
  <si>
    <t>0506007-RetlMed-Daylighting SRRBaseHighVT</t>
  </si>
  <si>
    <t>0506107-RetlMed-Daylighting SRR4.67</t>
  </si>
  <si>
    <t>0506207-RetlMed-Daylighting SRR4.67HighVT</t>
  </si>
  <si>
    <t>0500001-RetlMed-Baseline</t>
  </si>
  <si>
    <t>0506301-RetlMed-Daylighting SRRBaseHighVT</t>
  </si>
  <si>
    <t>0506501-RetlMed-Daylighting SRR4.67HighVT</t>
  </si>
  <si>
    <t>0506401-RetlMed-Daylighting SRR4.67</t>
  </si>
  <si>
    <t>0500516-RetlMed-EnvelopeWallInsulation</t>
  </si>
  <si>
    <t>0500706-RetlMed-EnvelopeRoofInsulation</t>
  </si>
  <si>
    <t>Software Sensitivity Tests</t>
  </si>
  <si>
    <t>SSTs</t>
  </si>
  <si>
    <t>SoftwareSensitivityTests\StreamlinedApprovalSet\</t>
  </si>
  <si>
    <t>ExportHourlyResults_All</t>
  </si>
  <si>
    <t>ComplianceReportPDF</t>
  </si>
  <si>
    <t>ComplianceReportXML</t>
  </si>
  <si>
    <t>Quick Analyis</t>
  </si>
  <si>
    <t>901OT</t>
  </si>
  <si>
    <t>Standard901Tests\Other Tests\Models\</t>
  </si>
  <si>
    <t>HotSml-S901G_Sys2-6</t>
  </si>
  <si>
    <t>OffMed-S901G_Sys2-3-9</t>
  </si>
  <si>
    <t>OffMed-S901G_Sys2-4</t>
  </si>
  <si>
    <t>OffMed-S901G_Sys2-4-10</t>
  </si>
  <si>
    <t>OffMed-S901G_Sys2-9</t>
  </si>
  <si>
    <t>OffMed-S901G_Sys2-10</t>
  </si>
  <si>
    <t>OffMed-S901G_Sys6-9</t>
  </si>
  <si>
    <t>OffMed-S901G_Sys6-10</t>
  </si>
  <si>
    <t>Whse-S901G_Sys3-9-10</t>
  </si>
  <si>
    <t>r2896_trunk</t>
  </si>
  <si>
    <t>030032-OffMed-S901Electric-FenConsTests_Ltg</t>
  </si>
  <si>
    <t>030032-OffMed-S901GElectric-ExtSurfClass</t>
  </si>
  <si>
    <t>080032-Whse-S901GFossil-FensCons</t>
  </si>
  <si>
    <t>080032-Whse-S901GFossil-FensCons-ExtSurfClassTests</t>
  </si>
  <si>
    <t>OffMed-S901G_Sys2-3-Prkg</t>
  </si>
  <si>
    <t>PromptUserUMLHWarning</t>
  </si>
  <si>
    <t>QuickAnalysis</t>
  </si>
  <si>
    <t>Std13</t>
  </si>
  <si>
    <t>040112-OffLrg-AbsorptionChiller</t>
  </si>
  <si>
    <t>040112-OffLrg-Waterside Economizer</t>
  </si>
  <si>
    <t>OffSml-CombDHWSpcHt</t>
  </si>
  <si>
    <t>OffSml-Data_SZVAV</t>
  </si>
  <si>
    <t>030006S-OffMed-Run12</t>
  </si>
  <si>
    <t>030006S-OffMed-Run13</t>
  </si>
  <si>
    <t>050006-RetlMed-Run27_WB</t>
  </si>
  <si>
    <t>050006-Run27_WB</t>
  </si>
  <si>
    <t>RulesetImplementationTests\050006-RetlMed-Run27\050006-RetlMed-Run27_WB.cibd</t>
  </si>
  <si>
    <t>BatchOut_151123_r3835_RIc\050006-RetlMed-Run27_WB.cibd</t>
  </si>
  <si>
    <t>OffSml_T24NVent01</t>
  </si>
  <si>
    <t>OffSml_T24NVent02</t>
  </si>
  <si>
    <t>OffSml_T24NVent03</t>
  </si>
  <si>
    <t>OffSml_T24NVent04</t>
  </si>
  <si>
    <t>OffSml_T24NVent06</t>
  </si>
  <si>
    <t>OffSml_T24NVent07</t>
  </si>
  <si>
    <t>r3964</t>
  </si>
  <si>
    <t>VRFTests</t>
  </si>
  <si>
    <t>r3979</t>
  </si>
  <si>
    <t>VRFTests\</t>
  </si>
  <si>
    <t>T24Other</t>
  </si>
  <si>
    <t>021013-OffSml-VRFSys</t>
  </si>
  <si>
    <t>021113-OffSml-VRFSysHR</t>
  </si>
  <si>
    <t>021213-OffSml-Office_SZHP</t>
  </si>
  <si>
    <t>021015-OffSml-VRFSys</t>
  </si>
  <si>
    <t>021115-OffSml-VRFSysHR</t>
  </si>
  <si>
    <t>021215-OffSml-Office_SZHP</t>
  </si>
  <si>
    <t>021016-OffSml-VRFSys</t>
  </si>
  <si>
    <t>021116-OffSml-VRFSysHR</t>
  </si>
  <si>
    <t>021216-OffSml-Office_SZHP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</si>
</sst>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name val="Calibri"/>
      <family val="2"/>
      <scheme val="minor"/>
    </font>
    <font>
      <sz val="11"/>
      <name val="Calibri"/>
      <family val="2"/>
      <scheme val="minor"/>
    </font>
    <font>
      <b/>
      <sz val="11"/>
      <color rgb="FFFF0000"/>
      <name val="Calibri"/>
      <family val="2"/>
      <scheme val="minor"/>
    </font>
    <font>
      <sz val="8"/>
      <color indexed="81"/>
      <name val="Tahoma"/>
      <family val="2"/>
    </font>
    <font>
      <sz val="11"/>
      <color theme="1" tint="0.499984740745262"/>
      <name val="Calibri"/>
      <family val="2"/>
      <scheme val="minor"/>
    </font>
    <font>
      <sz val="11"/>
      <color theme="0" tint="-0.499984740745262"/>
      <name val="Calibri"/>
      <family val="2"/>
      <scheme val="minor"/>
    </font>
    <font>
      <sz val="11"/>
      <color rgb="FF3F3F76"/>
      <name val="Calibri"/>
      <family val="2"/>
      <scheme val="minor"/>
    </font>
    <font>
      <sz val="9"/>
      <color indexed="81"/>
      <name val="Tahoma"/>
      <family val="2"/>
    </font>
    <font>
      <sz val="11"/>
      <color theme="0" tint="-0.249977111117893"/>
      <name val="Calibri"/>
      <family val="2"/>
      <scheme val="minor"/>
    </font>
    <font>
      <sz val="11"/>
      <color theme="0" tint="-0.34998626667073579"/>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9"/>
      <color indexed="81"/>
      <name val="Tahoma"/>
      <family val="2"/>
    </font>
    <font>
      <sz val="11"/>
      <color rgb="FF000000"/>
      <name val="Calibri"/>
      <family val="2"/>
    </font>
    <font>
      <sz val="11"/>
      <color theme="1"/>
      <name val="Calibri"/>
      <family val="2"/>
      <scheme val="minor"/>
    </font>
    <font>
      <b/>
      <sz val="11"/>
      <color rgb="FF3F3F76"/>
      <name val="Calibri"/>
      <family val="2"/>
      <scheme val="minor"/>
    </font>
    <font>
      <sz val="10"/>
      <color theme="1"/>
      <name val="Calibri"/>
      <family val="2"/>
      <scheme val="minor"/>
    </font>
    <font>
      <sz val="10"/>
      <color theme="0" tint="-0.499984740745262"/>
      <name val="Calibri"/>
      <family val="2"/>
      <scheme val="minor"/>
    </font>
    <font>
      <sz val="10"/>
      <name val="Calibri"/>
      <family val="2"/>
      <scheme val="minor"/>
    </font>
  </fonts>
  <fills count="9">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FFCC99"/>
      </patternFill>
    </fill>
    <fill>
      <patternFill patternType="solid">
        <fgColor theme="0" tint="-0.34998626667073579"/>
        <bgColor indexed="64"/>
      </patternFill>
    </fill>
    <fill>
      <patternFill patternType="solid">
        <fgColor theme="8" tint="0.59999389629810485"/>
        <bgColor indexed="64"/>
      </patternFill>
    </fill>
    <fill>
      <patternFill patternType="solid">
        <fgColor rgb="FFF2F2F2"/>
      </patternFill>
    </fill>
    <fill>
      <patternFill patternType="solid">
        <fgColor rgb="FFFFFFCC"/>
      </patternFill>
    </fill>
  </fills>
  <borders count="3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bottom/>
      <diagonal/>
    </border>
    <border>
      <left/>
      <right style="hair">
        <color indexed="64"/>
      </right>
      <top/>
      <bottom/>
      <diagonal/>
    </border>
    <border>
      <left style="hair">
        <color indexed="64"/>
      </left>
      <right style="hair">
        <color indexed="64"/>
      </right>
      <top/>
      <bottom style="thin">
        <color indexed="64"/>
      </bottom>
      <diagonal/>
    </border>
    <border>
      <left style="hair">
        <color indexed="64"/>
      </left>
      <right style="hair">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rgb="FF7F7F7F"/>
      </right>
      <top style="thin">
        <color rgb="FF7F7F7F"/>
      </top>
      <bottom style="thin">
        <color rgb="FF7F7F7F"/>
      </bottom>
      <diagonal/>
    </border>
    <border>
      <left style="thin">
        <color rgb="FF7F7F7F"/>
      </left>
      <right style="thin">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style="thin">
        <color rgb="FF7F7F7F"/>
      </right>
      <top style="thin">
        <color indexed="64"/>
      </top>
      <bottom style="thin">
        <color rgb="FF7F7F7F"/>
      </bottom>
      <diagonal/>
    </border>
    <border>
      <left style="thin">
        <color rgb="FF7F7F7F"/>
      </left>
      <right style="thin">
        <color rgb="FF7F7F7F"/>
      </right>
      <top style="thin">
        <color indexed="64"/>
      </top>
      <bottom style="thin">
        <color rgb="FF7F7F7F"/>
      </bottom>
      <diagonal/>
    </border>
    <border>
      <left style="thin">
        <color rgb="FF7F7F7F"/>
      </left>
      <right/>
      <top style="thin">
        <color indexed="64"/>
      </top>
      <bottom style="thin">
        <color rgb="FF7F7F7F"/>
      </bottom>
      <diagonal/>
    </border>
    <border>
      <left/>
      <right style="thin">
        <color rgb="FF7F7F7F"/>
      </right>
      <top style="thin">
        <color indexed="64"/>
      </top>
      <bottom style="thin">
        <color rgb="FF7F7F7F"/>
      </bottom>
      <diagonal/>
    </border>
    <border>
      <left style="thin">
        <color rgb="FF7F7F7F"/>
      </left>
      <right style="thin">
        <color indexed="64"/>
      </right>
      <top style="thin">
        <color indexed="64"/>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s>
  <cellStyleXfs count="4">
    <xf numFmtId="0" fontId="0" fillId="0" borderId="0"/>
    <xf numFmtId="0" fontId="7" fillId="4" borderId="12" applyNumberFormat="0" applyAlignment="0" applyProtection="0"/>
    <xf numFmtId="0" fontId="11" fillId="7" borderId="12" applyNumberFormat="0" applyAlignment="0" applyProtection="0"/>
    <xf numFmtId="0" fontId="16" fillId="8" borderId="29" applyNumberFormat="0" applyFont="0" applyAlignment="0" applyProtection="0"/>
  </cellStyleXfs>
  <cellXfs count="106">
    <xf numFmtId="0" fontId="0" fillId="0" borderId="0" xfId="0"/>
    <xf numFmtId="0" fontId="0" fillId="0" borderId="0" xfId="0" applyFont="1"/>
    <xf numFmtId="0" fontId="0" fillId="0" borderId="1" xfId="0" applyFont="1" applyBorder="1"/>
    <xf numFmtId="0" fontId="0" fillId="2" borderId="2" xfId="0" applyFont="1" applyFill="1" applyBorder="1" applyAlignment="1">
      <alignment horizontal="center"/>
    </xf>
    <xf numFmtId="0" fontId="0" fillId="2" borderId="2" xfId="0" applyFont="1" applyFill="1" applyBorder="1"/>
    <xf numFmtId="0" fontId="1" fillId="0" borderId="0" xfId="0" applyFont="1"/>
    <xf numFmtId="0" fontId="0" fillId="0" borderId="3" xfId="0" applyFont="1" applyBorder="1"/>
    <xf numFmtId="0" fontId="0" fillId="0" borderId="3" xfId="0" applyFont="1" applyBorder="1" applyAlignment="1">
      <alignment horizontal="center" vertical="center"/>
    </xf>
    <xf numFmtId="0" fontId="0" fillId="0" borderId="1" xfId="0" applyFont="1" applyBorder="1" applyAlignment="1">
      <alignment horizontal="center" vertical="center"/>
    </xf>
    <xf numFmtId="0" fontId="2" fillId="3" borderId="0" xfId="0" applyFont="1" applyFill="1"/>
    <xf numFmtId="0" fontId="3" fillId="0" borderId="3" xfId="0" applyFont="1" applyBorder="1" applyAlignment="1">
      <alignment horizontal="center"/>
    </xf>
    <xf numFmtId="0" fontId="0" fillId="0" borderId="3" xfId="0" applyFont="1" applyBorder="1" applyAlignment="1">
      <alignment vertical="center"/>
    </xf>
    <xf numFmtId="0" fontId="0" fillId="0" borderId="1" xfId="0" applyFont="1" applyBorder="1" applyAlignment="1">
      <alignment vertical="center"/>
    </xf>
    <xf numFmtId="0" fontId="0" fillId="0" borderId="0" xfId="0" applyFont="1" applyAlignment="1">
      <alignment horizontal="center"/>
    </xf>
    <xf numFmtId="0" fontId="0" fillId="0" borderId="0" xfId="0" applyFont="1" applyAlignment="1">
      <alignment horizontal="right"/>
    </xf>
    <xf numFmtId="0" fontId="2" fillId="0" borderId="0" xfId="0" applyFont="1" applyFill="1" applyAlignment="1">
      <alignment horizontal="center"/>
    </xf>
    <xf numFmtId="0" fontId="0" fillId="0" borderId="0" xfId="0" applyFont="1" applyBorder="1"/>
    <xf numFmtId="0" fontId="0" fillId="0" borderId="4" xfId="0" applyFont="1" applyBorder="1" applyAlignment="1">
      <alignment vertical="center"/>
    </xf>
    <xf numFmtId="0" fontId="0" fillId="0" borderId="5" xfId="0" applyFont="1" applyBorder="1" applyAlignment="1">
      <alignment horizontal="center" vertical="center"/>
    </xf>
    <xf numFmtId="0" fontId="0" fillId="0" borderId="6" xfId="0" applyFont="1" applyBorder="1" applyAlignment="1">
      <alignment horizontal="center" vertical="center"/>
    </xf>
    <xf numFmtId="0" fontId="0" fillId="0" borderId="7" xfId="0" applyFont="1" applyBorder="1" applyAlignment="1">
      <alignment horizontal="center" vertical="center"/>
    </xf>
    <xf numFmtId="0" fontId="0" fillId="0" borderId="10" xfId="0" applyFont="1" applyBorder="1" applyAlignment="1">
      <alignment horizontal="center" vertical="center"/>
    </xf>
    <xf numFmtId="0" fontId="2" fillId="3" borderId="8" xfId="0" applyFont="1" applyFill="1" applyBorder="1" applyAlignment="1">
      <alignment horizontal="center"/>
    </xf>
    <xf numFmtId="0" fontId="2" fillId="3" borderId="9" xfId="0" applyFont="1" applyFill="1" applyBorder="1" applyAlignment="1">
      <alignment horizontal="center"/>
    </xf>
    <xf numFmtId="0" fontId="6" fillId="0" borderId="0" xfId="0" applyFont="1"/>
    <xf numFmtId="0" fontId="6" fillId="0" borderId="0" xfId="0" applyFont="1" applyAlignment="1">
      <alignment horizontal="center"/>
    </xf>
    <xf numFmtId="0" fontId="0" fillId="0" borderId="0" xfId="0" applyFont="1" applyFill="1"/>
    <xf numFmtId="0" fontId="5" fillId="3" borderId="0" xfId="0" applyFont="1" applyFill="1"/>
    <xf numFmtId="0" fontId="7" fillId="4" borderId="12" xfId="1"/>
    <xf numFmtId="0" fontId="2" fillId="5" borderId="11" xfId="0" applyFont="1" applyFill="1" applyBorder="1" applyAlignment="1">
      <alignment horizontal="center"/>
    </xf>
    <xf numFmtId="0" fontId="0" fillId="0" borderId="0" xfId="0" applyFont="1" applyFill="1" applyBorder="1"/>
    <xf numFmtId="0" fontId="9" fillId="0" borderId="0" xfId="0" applyFont="1"/>
    <xf numFmtId="0" fontId="7" fillId="4" borderId="12" xfId="1" applyAlignment="1">
      <alignment horizontal="left"/>
    </xf>
    <xf numFmtId="0" fontId="0" fillId="6" borderId="0" xfId="0" applyFont="1" applyFill="1" applyAlignment="1">
      <alignment horizontal="center"/>
    </xf>
    <xf numFmtId="0" fontId="0" fillId="6" borderId="0" xfId="0" applyFont="1" applyFill="1"/>
    <xf numFmtId="0" fontId="0" fillId="0" borderId="0" xfId="0" applyFont="1" applyFill="1" applyAlignment="1">
      <alignment horizontal="right"/>
    </xf>
    <xf numFmtId="0" fontId="7" fillId="4" borderId="12" xfId="1" applyAlignment="1">
      <alignment horizontal="center"/>
    </xf>
    <xf numFmtId="0" fontId="0" fillId="0" borderId="0" xfId="0" applyFont="1" applyAlignment="1">
      <alignment horizontal="right" indent="1"/>
    </xf>
    <xf numFmtId="0" fontId="0" fillId="0" borderId="0" xfId="0" applyFont="1" applyAlignment="1">
      <alignment horizontal="center"/>
    </xf>
    <xf numFmtId="0" fontId="10" fillId="3" borderId="0" xfId="0" applyFont="1" applyFill="1" applyAlignment="1">
      <alignment horizontal="center"/>
    </xf>
    <xf numFmtId="0" fontId="0" fillId="0" borderId="1" xfId="0" applyFont="1" applyBorder="1" applyAlignment="1">
      <alignment horizontal="center" vertical="center" wrapText="1"/>
    </xf>
    <xf numFmtId="0" fontId="0" fillId="0" borderId="0" xfId="0" applyFont="1" applyAlignment="1">
      <alignment horizontal="right" vertical="center"/>
    </xf>
    <xf numFmtId="0" fontId="0" fillId="0" borderId="0" xfId="0"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vertical="center" wrapText="1"/>
    </xf>
    <xf numFmtId="0" fontId="2" fillId="0" borderId="0" xfId="0" applyFont="1" applyAlignment="1">
      <alignment vertical="center" wrapText="1"/>
    </xf>
    <xf numFmtId="0" fontId="0" fillId="0" borderId="0" xfId="0" applyFont="1" applyAlignment="1">
      <alignment vertical="center"/>
    </xf>
    <xf numFmtId="0" fontId="0" fillId="0" borderId="0" xfId="0" applyFont="1" applyAlignment="1">
      <alignment horizontal="center"/>
    </xf>
    <xf numFmtId="0" fontId="0" fillId="0" borderId="0" xfId="0" applyFont="1" applyAlignment="1">
      <alignment horizontal="center"/>
    </xf>
    <xf numFmtId="0" fontId="0" fillId="0" borderId="0" xfId="0" applyFont="1" applyAlignment="1">
      <alignment horizontal="center"/>
    </xf>
    <xf numFmtId="0" fontId="7" fillId="4" borderId="12" xfId="1" quotePrefix="1" applyAlignment="1">
      <alignment horizontal="left"/>
    </xf>
    <xf numFmtId="0" fontId="0" fillId="0" borderId="0" xfId="0" applyFont="1" applyAlignment="1">
      <alignment horizontal="center"/>
    </xf>
    <xf numFmtId="0" fontId="12" fillId="0" borderId="0" xfId="0" applyFont="1"/>
    <xf numFmtId="0" fontId="11" fillId="7" borderId="12" xfId="2" applyAlignment="1">
      <alignment horizontal="left"/>
    </xf>
    <xf numFmtId="0" fontId="11" fillId="7" borderId="12" xfId="2"/>
    <xf numFmtId="0" fontId="0" fillId="0" borderId="0" xfId="0" applyFont="1" applyAlignment="1">
      <alignment horizontal="center"/>
    </xf>
    <xf numFmtId="0" fontId="0" fillId="0" borderId="0" xfId="0" applyFont="1" applyBorder="1" applyAlignment="1">
      <alignment horizontal="center" vertical="center" wrapText="1"/>
    </xf>
    <xf numFmtId="0" fontId="7" fillId="4" borderId="13" xfId="1" applyBorder="1"/>
    <xf numFmtId="0" fontId="0" fillId="0" borderId="16" xfId="0" applyFont="1" applyBorder="1" applyAlignment="1">
      <alignment horizontal="center" vertical="center" textRotation="90" wrapText="1"/>
    </xf>
    <xf numFmtId="0" fontId="0" fillId="0" borderId="0" xfId="0" applyFont="1" applyBorder="1" applyAlignment="1">
      <alignment horizontal="center" vertical="center" textRotation="90" wrapText="1"/>
    </xf>
    <xf numFmtId="0" fontId="0" fillId="0" borderId="17" xfId="0" applyFont="1" applyBorder="1" applyAlignment="1">
      <alignment horizontal="center" vertical="center" textRotation="90" wrapText="1"/>
    </xf>
    <xf numFmtId="0" fontId="7" fillId="4" borderId="13" xfId="1" applyBorder="1" applyAlignment="1">
      <alignment horizontal="center"/>
    </xf>
    <xf numFmtId="0" fontId="9" fillId="0" borderId="0" xfId="0" applyFont="1" applyAlignment="1">
      <alignment vertical="center"/>
    </xf>
    <xf numFmtId="0" fontId="7" fillId="4" borderId="18" xfId="1" applyBorder="1" applyAlignment="1">
      <alignment horizontal="center"/>
    </xf>
    <xf numFmtId="0" fontId="7" fillId="4" borderId="20" xfId="1" applyBorder="1" applyAlignment="1">
      <alignment horizontal="center"/>
    </xf>
    <xf numFmtId="0" fontId="7" fillId="4" borderId="12" xfId="1" applyBorder="1" applyAlignment="1">
      <alignment horizontal="center"/>
    </xf>
    <xf numFmtId="0" fontId="7" fillId="4" borderId="19" xfId="1" applyBorder="1" applyAlignment="1">
      <alignment horizontal="center"/>
    </xf>
    <xf numFmtId="0" fontId="0" fillId="6" borderId="0" xfId="0" applyFont="1" applyFill="1" applyAlignment="1">
      <alignment horizontal="left"/>
    </xf>
    <xf numFmtId="0" fontId="0" fillId="0" borderId="14" xfId="0" applyFont="1" applyBorder="1" applyAlignment="1">
      <alignment horizontal="center" vertical="center" textRotation="90" wrapText="1"/>
    </xf>
    <xf numFmtId="0" fontId="0" fillId="0" borderId="3" xfId="0" applyFont="1" applyBorder="1" applyAlignment="1">
      <alignment horizontal="center" vertical="center" textRotation="90" wrapText="1"/>
    </xf>
    <xf numFmtId="0" fontId="2" fillId="0" borderId="3" xfId="0" applyFont="1" applyBorder="1" applyAlignment="1">
      <alignment horizontal="center" vertical="center" textRotation="90" wrapText="1"/>
    </xf>
    <xf numFmtId="0" fontId="2" fillId="0" borderId="15" xfId="0" applyFont="1" applyBorder="1" applyAlignment="1">
      <alignment horizontal="center" vertical="center" textRotation="90" wrapText="1"/>
    </xf>
    <xf numFmtId="0" fontId="7" fillId="4" borderId="21" xfId="1" applyBorder="1" applyAlignment="1">
      <alignment horizontal="center"/>
    </xf>
    <xf numFmtId="0" fontId="7" fillId="4" borderId="22" xfId="1" applyBorder="1" applyAlignment="1">
      <alignment horizontal="center"/>
    </xf>
    <xf numFmtId="0" fontId="7" fillId="4" borderId="23" xfId="1" applyBorder="1" applyAlignment="1">
      <alignment horizontal="center"/>
    </xf>
    <xf numFmtId="0" fontId="7" fillId="4" borderId="24" xfId="1" applyBorder="1" applyAlignment="1">
      <alignment horizontal="center"/>
    </xf>
    <xf numFmtId="0" fontId="7" fillId="4" borderId="25" xfId="1" applyBorder="1" applyAlignment="1">
      <alignment horizontal="center"/>
    </xf>
    <xf numFmtId="0" fontId="0" fillId="0" borderId="0" xfId="0" applyFont="1" applyAlignment="1">
      <alignment horizontal="center"/>
    </xf>
    <xf numFmtId="0" fontId="0" fillId="0" borderId="0" xfId="0" applyFont="1" applyAlignment="1">
      <alignment horizontal="left"/>
    </xf>
    <xf numFmtId="0" fontId="0" fillId="0" borderId="0" xfId="0" applyFont="1" applyAlignment="1">
      <alignment horizontal="center"/>
    </xf>
    <xf numFmtId="0" fontId="13" fillId="0" borderId="0" xfId="0" applyFont="1" applyAlignment="1">
      <alignment horizontal="center"/>
    </xf>
    <xf numFmtId="0" fontId="11" fillId="7" borderId="20" xfId="2" applyBorder="1" applyAlignment="1">
      <alignment horizontal="center"/>
    </xf>
    <xf numFmtId="0" fontId="13" fillId="0" borderId="28" xfId="0" applyFont="1" applyBorder="1" applyAlignment="1">
      <alignment horizontal="center"/>
    </xf>
    <xf numFmtId="0" fontId="0" fillId="0" borderId="28" xfId="0" applyFont="1" applyBorder="1" applyAlignment="1">
      <alignment horizontal="center"/>
    </xf>
    <xf numFmtId="0" fontId="13" fillId="0" borderId="1" xfId="0" applyFont="1" applyBorder="1" applyAlignment="1">
      <alignment horizontal="center" vertical="center" wrapText="1"/>
    </xf>
    <xf numFmtId="0" fontId="0" fillId="0" borderId="0" xfId="0" applyFont="1" applyAlignment="1">
      <alignment horizontal="center"/>
    </xf>
    <xf numFmtId="0" fontId="17" fillId="8" borderId="29" xfId="3" applyFont="1" applyAlignment="1">
      <alignment horizontal="center"/>
    </xf>
    <xf numFmtId="0" fontId="17" fillId="8" borderId="30" xfId="3" applyFont="1" applyBorder="1" applyAlignment="1">
      <alignment horizontal="center"/>
    </xf>
    <xf numFmtId="0" fontId="2" fillId="0" borderId="28" xfId="0" applyFont="1" applyBorder="1" applyAlignment="1">
      <alignment horizontal="center" vertical="center" textRotation="90" wrapText="1"/>
    </xf>
    <xf numFmtId="0" fontId="2" fillId="0" borderId="27" xfId="0" applyFont="1" applyBorder="1" applyAlignment="1">
      <alignment horizontal="center" vertical="center" textRotation="90" wrapText="1"/>
    </xf>
    <xf numFmtId="0" fontId="18" fillId="0" borderId="0" xfId="0" applyFont="1"/>
    <xf numFmtId="0" fontId="19" fillId="0" borderId="0" xfId="0" applyFont="1" applyAlignment="1">
      <alignment horizontal="center"/>
    </xf>
    <xf numFmtId="0" fontId="18" fillId="0" borderId="3" xfId="0" applyFont="1" applyBorder="1" applyAlignment="1">
      <alignment horizontal="center" vertical="center"/>
    </xf>
    <xf numFmtId="0" fontId="18" fillId="0" borderId="1" xfId="0" applyFont="1" applyBorder="1" applyAlignment="1">
      <alignment horizontal="center" vertical="center"/>
    </xf>
    <xf numFmtId="0" fontId="20" fillId="3" borderId="0" xfId="0" applyFont="1" applyFill="1"/>
    <xf numFmtId="0" fontId="18" fillId="0" borderId="3" xfId="0" applyFont="1" applyBorder="1"/>
    <xf numFmtId="0" fontId="0" fillId="0" borderId="0" xfId="0" applyFont="1" applyAlignment="1">
      <alignment horizontal="center"/>
    </xf>
    <xf numFmtId="0" fontId="17" fillId="8" borderId="0" xfId="3" applyFont="1" applyBorder="1" applyAlignment="1">
      <alignment horizontal="center"/>
    </xf>
    <xf numFmtId="0" fontId="3" fillId="4" borderId="12" xfId="1" applyFont="1" applyAlignment="1">
      <alignment horizontal="left"/>
    </xf>
    <xf numFmtId="0" fontId="12" fillId="3" borderId="0" xfId="0" applyFont="1" applyFill="1"/>
    <xf numFmtId="0" fontId="0" fillId="0" borderId="0" xfId="0" applyFont="1" applyAlignment="1">
      <alignment horizontal="center"/>
    </xf>
    <xf numFmtId="0" fontId="0" fillId="0" borderId="26" xfId="0" applyFont="1" applyBorder="1" applyAlignment="1">
      <alignment horizontal="center"/>
    </xf>
    <xf numFmtId="0" fontId="0" fillId="0" borderId="2" xfId="0" applyFont="1" applyBorder="1" applyAlignment="1">
      <alignment horizontal="center"/>
    </xf>
    <xf numFmtId="0" fontId="0" fillId="0" borderId="27" xfId="0" applyFont="1" applyBorder="1" applyAlignment="1">
      <alignment horizontal="center"/>
    </xf>
    <xf numFmtId="0" fontId="3" fillId="0" borderId="0" xfId="0" applyFont="1" applyAlignment="1">
      <alignment horizontal="center"/>
    </xf>
    <xf numFmtId="0" fontId="0" fillId="0" borderId="0" xfId="0" applyFont="1" applyAlignment="1">
      <alignment horizontal="center"/>
    </xf>
  </cellXfs>
  <cellStyles count="4">
    <cellStyle name="Calculation" xfId="2" builtinId="22"/>
    <cellStyle name="Input" xfId="1" builtinId="20"/>
    <cellStyle name="Normal" xfId="0" builtinId="0"/>
    <cellStyle name="Note" xfId="3" builtinId="10"/>
  </cellStyles>
  <dxfs count="130">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104775</xdr:colOff>
          <xdr:row>2</xdr:row>
          <xdr:rowOff>9525</xdr:rowOff>
        </xdr:from>
        <xdr:to>
          <xdr:col>13</xdr:col>
          <xdr:colOff>1704975</xdr:colOff>
          <xdr:row>4</xdr:row>
          <xdr:rowOff>9525</xdr:rowOff>
        </xdr:to>
        <xdr:sp macro="" textlink="">
          <xdr:nvSpPr>
            <xdr:cNvPr id="5158" name="Button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104775</xdr:colOff>
          <xdr:row>2</xdr:row>
          <xdr:rowOff>9525</xdr:rowOff>
        </xdr:from>
        <xdr:to>
          <xdr:col>13</xdr:col>
          <xdr:colOff>1704975</xdr:colOff>
          <xdr:row>4</xdr:row>
          <xdr:rowOff>9525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to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1495425</xdr:colOff>
          <xdr:row>2</xdr:row>
          <xdr:rowOff>9525</xdr:rowOff>
        </xdr:from>
        <xdr:to>
          <xdr:col>14</xdr:col>
          <xdr:colOff>952500</xdr:colOff>
          <xdr:row>4</xdr:row>
          <xdr:rowOff>9525</xdr:rowOff>
        </xdr:to>
        <xdr:sp macro="" textlink="">
          <xdr:nvSpPr>
            <xdr:cNvPr id="13330" name="Button 18" hidden="1">
              <a:extLst>
                <a:ext uri="{63B3BB69-23CF-44E3-9099-C40C66FF867C}">
                  <a14:compatExt spid="_x0000_s133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to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8.vml"/><Relationship Id="rId1" Type="http://schemas.openxmlformats.org/officeDocument/2006/relationships/drawing" Target="../drawings/drawing3.xml"/><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Y261"/>
  <sheetViews>
    <sheetView topLeftCell="K1" zoomScale="70" zoomScaleNormal="70" workbookViewId="0">
      <pane ySplit="16" topLeftCell="A17" activePane="bottomLeft" state="frozen"/>
      <selection activeCell="M1" sqref="M1"/>
      <selection pane="bottomLeft" activeCell="M9" sqref="M9"/>
    </sheetView>
  </sheetViews>
  <sheetFormatPr defaultRowHeight="15" outlineLevelCol="1" x14ac:dyDescent="0.25"/>
  <cols>
    <col min="1" max="1" width="9.140625" style="1" customWidth="1"/>
    <col min="2" max="2" width="123.140625" style="1" customWidth="1" outlineLevel="1"/>
    <col min="3" max="3" width="83.140625" style="1" customWidth="1" outlineLevel="1"/>
    <col min="4" max="4" width="74" style="1" customWidth="1" outlineLevel="1"/>
    <col min="5" max="5" width="23.7109375" style="1" customWidth="1" outlineLevel="1"/>
    <col min="6" max="8" width="8.7109375" style="1" customWidth="1" outlineLevel="1"/>
    <col min="9" max="9" width="11.42578125" style="1" customWidth="1" outlineLevel="1"/>
    <col min="10" max="10" width="255.5703125" style="90" customWidth="1" outlineLevel="1"/>
    <col min="11" max="11" width="6.140625" style="51" customWidth="1"/>
    <col min="12" max="12" width="19.5703125" style="51" customWidth="1"/>
    <col min="13" max="13" width="62.28515625" style="51" customWidth="1"/>
    <col min="14" max="14" width="58.28515625" style="1" customWidth="1"/>
    <col min="15" max="15" width="49.140625" style="1" customWidth="1"/>
    <col min="16" max="35" width="7.28515625" style="1" customWidth="1"/>
    <col min="36" max="40" width="5.85546875" style="1" customWidth="1"/>
    <col min="41" max="41" width="5.7109375" style="1" customWidth="1"/>
    <col min="42" max="44" width="5.85546875" style="1" customWidth="1"/>
    <col min="45" max="62" width="9.140625" style="31"/>
    <col min="63" max="63" width="19.85546875" style="31" customWidth="1"/>
    <col min="64" max="64" width="33.28515625" style="31" customWidth="1"/>
    <col min="65" max="75" width="9.140625" style="31"/>
    <col min="76" max="16384" width="9.140625" style="1"/>
  </cols>
  <sheetData>
    <row r="1" spans="1:75" x14ac:dyDescent="0.25">
      <c r="A1" s="5" t="s">
        <v>0</v>
      </c>
    </row>
    <row r="2" spans="1:75" x14ac:dyDescent="0.25">
      <c r="A2" s="1" t="s">
        <v>1</v>
      </c>
    </row>
    <row r="3" spans="1:75" x14ac:dyDescent="0.25">
      <c r="A3" s="1" t="s">
        <v>1</v>
      </c>
      <c r="B3" s="5" t="s">
        <v>2</v>
      </c>
      <c r="C3" s="1" t="s">
        <v>3</v>
      </c>
      <c r="L3" s="82" t="s">
        <v>188</v>
      </c>
      <c r="M3" s="64" t="s">
        <v>44</v>
      </c>
    </row>
    <row r="4" spans="1:75" x14ac:dyDescent="0.25">
      <c r="A4" s="1" t="s">
        <v>1</v>
      </c>
      <c r="L4" s="83">
        <f>SUM(L17:L261)</f>
        <v>133</v>
      </c>
      <c r="M4" s="81" t="s">
        <v>189</v>
      </c>
    </row>
    <row r="5" spans="1:75" x14ac:dyDescent="0.25">
      <c r="A5" s="1" t="s">
        <v>1</v>
      </c>
    </row>
    <row r="6" spans="1:75" x14ac:dyDescent="0.25">
      <c r="A6" s="2" t="s">
        <v>1</v>
      </c>
      <c r="B6" s="2"/>
      <c r="C6" s="30"/>
      <c r="D6" s="30"/>
      <c r="E6" s="16"/>
      <c r="F6" s="16"/>
      <c r="G6" s="16"/>
      <c r="H6" s="16"/>
      <c r="L6" s="36" t="s">
        <v>362</v>
      </c>
      <c r="M6" s="77" t="s">
        <v>175</v>
      </c>
    </row>
    <row r="7" spans="1:75" x14ac:dyDescent="0.25">
      <c r="A7" s="1" t="s">
        <v>4</v>
      </c>
      <c r="B7" s="51" t="s">
        <v>18</v>
      </c>
      <c r="C7" s="30"/>
      <c r="D7" s="30"/>
      <c r="L7" s="37" t="s">
        <v>45</v>
      </c>
      <c r="M7" s="32">
        <v>160331</v>
      </c>
    </row>
    <row r="8" spans="1:75" x14ac:dyDescent="0.25">
      <c r="A8" s="1" t="s">
        <v>5</v>
      </c>
      <c r="B8" s="51" t="s">
        <v>19</v>
      </c>
      <c r="C8" s="30"/>
      <c r="D8" s="30"/>
      <c r="L8" s="14" t="s">
        <v>46</v>
      </c>
      <c r="M8" s="32" t="s">
        <v>379</v>
      </c>
    </row>
    <row r="9" spans="1:75" x14ac:dyDescent="0.25">
      <c r="A9" s="3">
        <v>2</v>
      </c>
      <c r="B9" s="4" t="str">
        <f>M10</f>
        <v>BatchResults_160331_r3964.csv</v>
      </c>
      <c r="C9" s="30" t="s">
        <v>1</v>
      </c>
      <c r="D9" s="30"/>
      <c r="K9" s="85"/>
      <c r="L9" s="14" t="s">
        <v>208</v>
      </c>
      <c r="M9" s="54" t="str">
        <f>"BatchInput_"&amp;M7&amp;"_"&amp;M8&amp;".csv"</f>
        <v>BatchInput_160331_r3964.csv</v>
      </c>
    </row>
    <row r="10" spans="1:75" x14ac:dyDescent="0.25">
      <c r="A10" s="1" t="s">
        <v>1</v>
      </c>
      <c r="D10" s="30"/>
      <c r="E10" s="30"/>
      <c r="F10" s="30"/>
      <c r="G10" s="30"/>
      <c r="H10" s="30"/>
      <c r="I10" s="26"/>
      <c r="L10" s="35" t="s">
        <v>39</v>
      </c>
      <c r="M10" s="54" t="str">
        <f>"BatchResults_"&amp;M7&amp;"_"&amp;M8&amp;".csv"</f>
        <v>BatchResults_160331_r3964.csv</v>
      </c>
      <c r="N10" s="1" t="s">
        <v>48</v>
      </c>
    </row>
    <row r="11" spans="1:75" x14ac:dyDescent="0.25">
      <c r="A11" s="1" t="s">
        <v>1</v>
      </c>
      <c r="L11" s="14" t="s">
        <v>16</v>
      </c>
      <c r="M11" s="28" t="s">
        <v>163</v>
      </c>
      <c r="N11" s="1" t="s">
        <v>47</v>
      </c>
    </row>
    <row r="12" spans="1:75" x14ac:dyDescent="0.25">
      <c r="A12" s="1" t="s">
        <v>1</v>
      </c>
      <c r="L12" s="14" t="s">
        <v>17</v>
      </c>
      <c r="M12" s="54" t="str">
        <f>"BatchOut"&amp;"_"&amp;M7&amp;"_"&amp;M8&amp;"_"&amp;L6&amp;"\"</f>
        <v>BatchOut_160331_r3964_Std13\</v>
      </c>
      <c r="N12" s="1" t="s">
        <v>47</v>
      </c>
      <c r="P12" s="1">
        <v>1</v>
      </c>
      <c r="Q12" s="1">
        <f>P12+1</f>
        <v>2</v>
      </c>
      <c r="R12" s="1">
        <f t="shared" ref="R12:AR12" si="0">Q12+1</f>
        <v>3</v>
      </c>
      <c r="S12" s="1">
        <f t="shared" si="0"/>
        <v>4</v>
      </c>
      <c r="T12" s="1">
        <f t="shared" si="0"/>
        <v>5</v>
      </c>
      <c r="U12" s="1">
        <f t="shared" si="0"/>
        <v>6</v>
      </c>
      <c r="V12" s="1">
        <f t="shared" si="0"/>
        <v>7</v>
      </c>
      <c r="W12" s="1">
        <f t="shared" si="0"/>
        <v>8</v>
      </c>
      <c r="X12" s="1">
        <f t="shared" si="0"/>
        <v>9</v>
      </c>
      <c r="Y12" s="1">
        <f t="shared" si="0"/>
        <v>10</v>
      </c>
      <c r="Z12" s="1">
        <f t="shared" si="0"/>
        <v>11</v>
      </c>
      <c r="AA12" s="1">
        <f t="shared" si="0"/>
        <v>12</v>
      </c>
      <c r="AB12" s="1">
        <f t="shared" si="0"/>
        <v>13</v>
      </c>
      <c r="AC12" s="1">
        <f t="shared" si="0"/>
        <v>14</v>
      </c>
      <c r="AD12" s="1">
        <f t="shared" si="0"/>
        <v>15</v>
      </c>
      <c r="AE12" s="1">
        <f t="shared" ref="AE12" si="1">AD12+1</f>
        <v>16</v>
      </c>
      <c r="AF12" s="1">
        <f t="shared" ref="AF12" si="2">AE12+1</f>
        <v>17</v>
      </c>
      <c r="AG12" s="1">
        <f t="shared" ref="AG12" si="3">AF12+1</f>
        <v>18</v>
      </c>
      <c r="AH12" s="1">
        <f t="shared" ref="AH12" si="4">AG12+1</f>
        <v>19</v>
      </c>
      <c r="AI12" s="1">
        <f t="shared" ref="AI12" si="5">AH12+1</f>
        <v>20</v>
      </c>
      <c r="AJ12" s="1">
        <f t="shared" ref="AJ12" si="6">AI12+1</f>
        <v>21</v>
      </c>
      <c r="AK12" s="1">
        <f t="shared" ref="AK12" si="7">AJ12+1</f>
        <v>22</v>
      </c>
      <c r="AL12" s="1">
        <f t="shared" ref="AL12" si="8">AK12+1</f>
        <v>23</v>
      </c>
      <c r="AM12" s="1">
        <f t="shared" ref="AM12" si="9">AL12+1</f>
        <v>24</v>
      </c>
      <c r="AN12" s="1">
        <f t="shared" ref="AN12" si="10">AM12+1</f>
        <v>25</v>
      </c>
      <c r="AO12" s="1">
        <f t="shared" ref="AO12" si="11">AN12+1</f>
        <v>26</v>
      </c>
      <c r="AP12" s="1">
        <f t="shared" ref="AP12" si="12">AO12+1</f>
        <v>27</v>
      </c>
      <c r="AQ12" s="1">
        <f t="shared" ref="AQ12" si="13">AP12+1</f>
        <v>28</v>
      </c>
      <c r="AR12" s="1">
        <f t="shared" si="0"/>
        <v>29</v>
      </c>
    </row>
    <row r="13" spans="1:75" x14ac:dyDescent="0.25">
      <c r="A13" s="1" t="s">
        <v>1</v>
      </c>
      <c r="L13" s="14" t="s">
        <v>42</v>
      </c>
      <c r="M13" s="54" t="str">
        <f>M12&amp;"XML\"</f>
        <v>BatchOut_160331_r3964_Std13\XML\</v>
      </c>
      <c r="N13" s="1" t="s">
        <v>47</v>
      </c>
      <c r="P13" s="31" t="str">
        <f>P16&amp;","</f>
        <v>SimulationStorage,</v>
      </c>
      <c r="Q13" s="31" t="str">
        <f t="shared" ref="Q13:AE13" si="14">Q16&amp;","</f>
        <v>AnalysisStorage,</v>
      </c>
      <c r="R13" s="31" t="str">
        <f t="shared" si="14"/>
        <v>LogRuleEvaluation,</v>
      </c>
      <c r="S13" s="31" t="str">
        <f t="shared" si="14"/>
        <v>ParallelSimulations,</v>
      </c>
      <c r="T13" s="31" t="str">
        <f t="shared" si="14"/>
        <v>DurationStats,</v>
      </c>
      <c r="U13" s="31" t="str">
        <f t="shared" si="14"/>
        <v>AnalysisThruStep,</v>
      </c>
      <c r="V13" s="31" t="str">
        <f t="shared" si="14"/>
        <v>DontAbortOnErrorsThruStep,</v>
      </c>
      <c r="W13" s="31" t="str">
        <f t="shared" si="14"/>
        <v>BypassValidFileChecks,</v>
      </c>
      <c r="X13" s="31" t="str">
        <f t="shared" si="14"/>
        <v>BypassInputChecks,</v>
      </c>
      <c r="Y13" s="31" t="str">
        <f t="shared" si="14"/>
        <v>BypassUMLHChecks,</v>
      </c>
      <c r="Z13" s="31" t="str">
        <f t="shared" si="14"/>
        <v>BypassCheckSimRules,</v>
      </c>
      <c r="AA13" s="31" t="str">
        <f t="shared" si="14"/>
        <v>BypassCheckCodeRules,</v>
      </c>
      <c r="AB13" s="31" t="str">
        <f t="shared" si="14"/>
        <v>StoreResultsToModelInput,</v>
      </c>
      <c r="AC13" s="31" t="str">
        <f t="shared" si="14"/>
        <v>StoreBEMDetails,</v>
      </c>
      <c r="AD13" s="31" t="str">
        <f t="shared" si="14"/>
        <v>ModelRpt_ALL,</v>
      </c>
      <c r="AE13" s="31" t="str">
        <f t="shared" si="14"/>
        <v>ExportHourlyResults_All,</v>
      </c>
      <c r="AF13" s="31" t="str">
        <f t="shared" ref="AF13:AG13" si="15">AF16&amp;","</f>
        <v>ComplianceReportPDF,</v>
      </c>
      <c r="AG13" s="31" t="str">
        <f t="shared" si="15"/>
        <v>ComplianceReportXML,</v>
      </c>
      <c r="AH13" s="31" t="str">
        <f t="shared" ref="AH13:AI13" si="16">AH16&amp;","</f>
        <v>QuickAnalysis,</v>
      </c>
      <c r="AI13" s="31" t="str">
        <f t="shared" si="16"/>
        <v>PromptUserUMLHWarning,</v>
      </c>
      <c r="AJ13" s="31" t="str">
        <f>$AJ$15&amp;"_"&amp;AJ16&amp;","</f>
        <v>BypassOpenStudio_all,</v>
      </c>
      <c r="AK13" s="31" t="str">
        <f t="shared" ref="AK13:AR13" si="17">$AJ$15&amp;"_"&amp;AK16&amp;","</f>
        <v>BypassOpenStudio_zp,</v>
      </c>
      <c r="AL13" s="31" t="str">
        <f t="shared" si="17"/>
        <v>BypassOpenStudio_zb,</v>
      </c>
      <c r="AM13" s="31" t="str">
        <f t="shared" si="17"/>
        <v>BypassOpenStudio_ap,</v>
      </c>
      <c r="AN13" s="31" t="str">
        <f t="shared" si="17"/>
        <v>BypassOpenStudio_ab,</v>
      </c>
      <c r="AO13" s="31" t="str">
        <f t="shared" si="17"/>
        <v>BypassOpenStudio_zp,</v>
      </c>
      <c r="AP13" s="31" t="str">
        <f t="shared" si="17"/>
        <v>BypassOpenStudio_zb,</v>
      </c>
      <c r="AQ13" s="31" t="str">
        <f t="shared" si="17"/>
        <v>BypassOpenStudio_ap,</v>
      </c>
      <c r="AR13" s="31" t="str">
        <f t="shared" si="17"/>
        <v>BypassOpenStudio_ab,</v>
      </c>
    </row>
    <row r="14" spans="1:75" x14ac:dyDescent="0.25">
      <c r="A14" s="24" t="s">
        <v>25</v>
      </c>
      <c r="B14" s="25">
        <f>COLUMN()</f>
        <v>2</v>
      </c>
      <c r="C14" s="25">
        <f>COLUMN()</f>
        <v>3</v>
      </c>
      <c r="D14" s="25">
        <f>COLUMN()</f>
        <v>4</v>
      </c>
      <c r="E14" s="25">
        <f>COLUMN()</f>
        <v>5</v>
      </c>
      <c r="F14" s="25">
        <f>COLUMN()</f>
        <v>6</v>
      </c>
      <c r="G14" s="25">
        <f>COLUMN()</f>
        <v>7</v>
      </c>
      <c r="H14" s="25">
        <f>COLUMN()</f>
        <v>8</v>
      </c>
      <c r="I14" s="25">
        <f>COLUMN()</f>
        <v>9</v>
      </c>
      <c r="J14" s="91">
        <f>COLUMN()</f>
        <v>10</v>
      </c>
      <c r="L14" s="14"/>
      <c r="M14" s="14"/>
      <c r="N14" s="26"/>
      <c r="P14" s="67" t="s">
        <v>35</v>
      </c>
      <c r="Q14" s="33"/>
      <c r="R14" s="33"/>
      <c r="S14" s="33"/>
      <c r="T14" s="33"/>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row>
    <row r="15" spans="1:75" x14ac:dyDescent="0.25">
      <c r="A15" s="11" t="s">
        <v>14</v>
      </c>
      <c r="B15" s="7" t="s">
        <v>6</v>
      </c>
      <c r="C15" s="7" t="s">
        <v>7</v>
      </c>
      <c r="D15" s="7" t="s">
        <v>40</v>
      </c>
      <c r="E15" s="7"/>
      <c r="F15" s="17" t="s">
        <v>21</v>
      </c>
      <c r="G15" s="7"/>
      <c r="H15" s="18"/>
      <c r="I15" s="7" t="s">
        <v>9</v>
      </c>
      <c r="J15" s="92" t="s">
        <v>12</v>
      </c>
      <c r="K15" s="14"/>
      <c r="L15" s="14"/>
      <c r="N15" s="80"/>
      <c r="O15" s="80"/>
      <c r="P15" s="55"/>
      <c r="Q15" s="55"/>
      <c r="AJ15" s="101" t="s">
        <v>33</v>
      </c>
      <c r="AK15" s="102"/>
      <c r="AL15" s="102"/>
      <c r="AM15" s="102"/>
      <c r="AN15" s="103"/>
      <c r="AO15" s="101" t="s">
        <v>161</v>
      </c>
      <c r="AP15" s="102"/>
      <c r="AQ15" s="102"/>
      <c r="AR15" s="103"/>
    </row>
    <row r="16" spans="1:75" s="46" customFormat="1" ht="148.5" customHeight="1" x14ac:dyDescent="0.25">
      <c r="A16" s="12" t="s">
        <v>15</v>
      </c>
      <c r="B16" s="8" t="s">
        <v>43</v>
      </c>
      <c r="C16" s="8" t="s">
        <v>8</v>
      </c>
      <c r="D16" s="8" t="s">
        <v>41</v>
      </c>
      <c r="E16" s="8" t="s">
        <v>20</v>
      </c>
      <c r="F16" s="19" t="s">
        <v>22</v>
      </c>
      <c r="G16" s="21" t="s">
        <v>23</v>
      </c>
      <c r="H16" s="20" t="s">
        <v>24</v>
      </c>
      <c r="I16" s="8" t="s">
        <v>10</v>
      </c>
      <c r="J16" s="93" t="s">
        <v>13</v>
      </c>
      <c r="K16" s="41"/>
      <c r="L16" s="43" t="s">
        <v>50</v>
      </c>
      <c r="M16" s="43" t="s">
        <v>190</v>
      </c>
      <c r="N16" s="84" t="s">
        <v>191</v>
      </c>
      <c r="O16" s="84" t="s">
        <v>192</v>
      </c>
      <c r="P16" s="68" t="s">
        <v>153</v>
      </c>
      <c r="Q16" s="69" t="s">
        <v>154</v>
      </c>
      <c r="R16" s="69" t="s">
        <v>28</v>
      </c>
      <c r="S16" s="69" t="s">
        <v>151</v>
      </c>
      <c r="T16" s="69" t="s">
        <v>152</v>
      </c>
      <c r="U16" s="69" t="s">
        <v>30</v>
      </c>
      <c r="V16" s="70" t="s">
        <v>49</v>
      </c>
      <c r="W16" s="69" t="s">
        <v>155</v>
      </c>
      <c r="X16" s="69" t="s">
        <v>31</v>
      </c>
      <c r="Y16" s="69" t="s">
        <v>32</v>
      </c>
      <c r="Z16" s="69" t="s">
        <v>36</v>
      </c>
      <c r="AA16" s="69" t="s">
        <v>37</v>
      </c>
      <c r="AB16" s="69" t="s">
        <v>162</v>
      </c>
      <c r="AC16" s="69" t="s">
        <v>38</v>
      </c>
      <c r="AD16" s="88" t="s">
        <v>69</v>
      </c>
      <c r="AE16" s="89" t="s">
        <v>339</v>
      </c>
      <c r="AF16" s="89" t="s">
        <v>340</v>
      </c>
      <c r="AG16" s="89" t="s">
        <v>341</v>
      </c>
      <c r="AH16" s="89" t="s">
        <v>361</v>
      </c>
      <c r="AI16" s="88" t="s">
        <v>360</v>
      </c>
      <c r="AJ16" s="58" t="s">
        <v>156</v>
      </c>
      <c r="AK16" s="59" t="s">
        <v>157</v>
      </c>
      <c r="AL16" s="59" t="s">
        <v>158</v>
      </c>
      <c r="AM16" s="59" t="s">
        <v>159</v>
      </c>
      <c r="AN16" s="60" t="s">
        <v>160</v>
      </c>
      <c r="AO16" s="59" t="s">
        <v>157</v>
      </c>
      <c r="AP16" s="59" t="s">
        <v>158</v>
      </c>
      <c r="AQ16" s="59" t="s">
        <v>159</v>
      </c>
      <c r="AR16" s="60" t="s">
        <v>160</v>
      </c>
      <c r="AS16" s="62">
        <v>1</v>
      </c>
      <c r="AT16" s="62">
        <f>AS16+1</f>
        <v>2</v>
      </c>
      <c r="AU16" s="62">
        <f t="shared" ref="AU16:BG16" si="18">AT16+1</f>
        <v>3</v>
      </c>
      <c r="AV16" s="62">
        <f t="shared" si="18"/>
        <v>4</v>
      </c>
      <c r="AW16" s="62">
        <f t="shared" si="18"/>
        <v>5</v>
      </c>
      <c r="AX16" s="62">
        <f t="shared" si="18"/>
        <v>6</v>
      </c>
      <c r="AY16" s="62">
        <f t="shared" si="18"/>
        <v>7</v>
      </c>
      <c r="AZ16" s="62">
        <f t="shared" si="18"/>
        <v>8</v>
      </c>
      <c r="BA16" s="62">
        <f t="shared" si="18"/>
        <v>9</v>
      </c>
      <c r="BB16" s="62">
        <f t="shared" si="18"/>
        <v>10</v>
      </c>
      <c r="BC16" s="62">
        <f t="shared" si="18"/>
        <v>11</v>
      </c>
      <c r="BD16" s="62">
        <f t="shared" si="18"/>
        <v>12</v>
      </c>
      <c r="BE16" s="62">
        <f t="shared" si="18"/>
        <v>13</v>
      </c>
      <c r="BF16" s="62">
        <f t="shared" si="18"/>
        <v>14</v>
      </c>
      <c r="BG16" s="62">
        <f t="shared" si="18"/>
        <v>15</v>
      </c>
      <c r="BH16" s="62">
        <f t="shared" ref="BH16" si="19">BG16+1</f>
        <v>16</v>
      </c>
      <c r="BI16" s="62">
        <f t="shared" ref="BI16" si="20">BH16+1</f>
        <v>17</v>
      </c>
      <c r="BJ16" s="62">
        <f t="shared" ref="BJ16" si="21">BI16+1</f>
        <v>18</v>
      </c>
      <c r="BK16" s="62">
        <f t="shared" ref="BK16" si="22">BJ16+1</f>
        <v>19</v>
      </c>
      <c r="BL16" s="62">
        <f t="shared" ref="BL16" si="23">BK16+1</f>
        <v>20</v>
      </c>
      <c r="BM16" s="62">
        <f t="shared" ref="BM16" si="24">BL16+1</f>
        <v>21</v>
      </c>
      <c r="BN16" s="62">
        <f t="shared" ref="BN16" si="25">BM16+1</f>
        <v>22</v>
      </c>
      <c r="BO16" s="62">
        <f t="shared" ref="BO16" si="26">BN16+1</f>
        <v>23</v>
      </c>
      <c r="BP16" s="62">
        <f t="shared" ref="BP16" si="27">BO16+1</f>
        <v>24</v>
      </c>
      <c r="BQ16" s="62">
        <f t="shared" ref="BQ16" si="28">BP16+1</f>
        <v>25</v>
      </c>
      <c r="BR16" s="62">
        <f t="shared" ref="BR16" si="29">BQ16+1</f>
        <v>26</v>
      </c>
      <c r="BS16" s="62">
        <f t="shared" ref="BS16" si="30">BR16+1</f>
        <v>27</v>
      </c>
      <c r="BT16" s="62">
        <f t="shared" ref="BT16" si="31">BS16+1</f>
        <v>28</v>
      </c>
      <c r="BU16" s="62">
        <f t="shared" ref="BU16" si="32">BT16+1</f>
        <v>29</v>
      </c>
      <c r="BV16" s="62"/>
      <c r="BW16" s="62"/>
    </row>
    <row r="17" spans="1:77" x14ac:dyDescent="0.25">
      <c r="A17" s="39">
        <f>L17</f>
        <v>1</v>
      </c>
      <c r="B17" s="27" t="str">
        <f xml:space="preserve"> M$11&amp;N17&amp;".cibd"</f>
        <v>StandardModelTests\010012-SchSml-CECStd.cibd</v>
      </c>
      <c r="C17" s="27" t="str">
        <f t="shared" ref="C17:C31" si="33" xml:space="preserve"> M$12 &amp; O17 &amp; ".cibd"</f>
        <v>BatchOut_160331_r3964_Std13\010012-SchSml-CECStd.cibd</v>
      </c>
      <c r="D17" s="27" t="str">
        <f>$M$13</f>
        <v>BatchOut_160331_r3964_Std13\XML\</v>
      </c>
      <c r="E17" s="9" t="str">
        <f>M17</f>
        <v>010012-T24</v>
      </c>
      <c r="F17" s="22"/>
      <c r="G17" s="29"/>
      <c r="H17" s="23"/>
      <c r="I17" s="9" t="s">
        <v>11</v>
      </c>
      <c r="J17" s="94" t="str">
        <f>CONCATENATE(AS17,AT17,AU17,AV17,AW17,AX17,AY17,AZ17,BA17,BB17,BC17,BD17,BE17,BF17,BG17,BH17,BI17,BJ17,BK17,BL17,BM17,BN17,BO17,BP17,BQ17,BR17,BS17,BT17,BU17)</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 s="15" t="s">
        <v>1</v>
      </c>
      <c r="L17" s="36">
        <v>1</v>
      </c>
      <c r="M17" s="32" t="str">
        <f>LEFT(N17,FIND("-",N17))&amp;"T24"&amp;IF(SUM(F17:H17)&gt;0,"_autosize","")</f>
        <v>010012-T24</v>
      </c>
      <c r="N17" s="28" t="s">
        <v>84</v>
      </c>
      <c r="O17" s="57" t="str">
        <f>N17</f>
        <v>010012-SchSml-CECStd</v>
      </c>
      <c r="P17" s="63">
        <v>1</v>
      </c>
      <c r="Q17" s="65">
        <v>1</v>
      </c>
      <c r="R17" s="65">
        <v>0</v>
      </c>
      <c r="S17" s="65">
        <v>1</v>
      </c>
      <c r="T17" s="65">
        <v>0</v>
      </c>
      <c r="U17" s="65">
        <v>8</v>
      </c>
      <c r="V17" s="65">
        <v>8</v>
      </c>
      <c r="W17" s="65">
        <v>1</v>
      </c>
      <c r="X17" s="65">
        <v>0</v>
      </c>
      <c r="Y17" s="65">
        <v>0</v>
      </c>
      <c r="Z17" s="65">
        <v>0</v>
      </c>
      <c r="AA17" s="65">
        <v>0</v>
      </c>
      <c r="AB17" s="65">
        <v>0</v>
      </c>
      <c r="AC17" s="86">
        <v>0</v>
      </c>
      <c r="AD17" s="87">
        <v>0</v>
      </c>
      <c r="AE17" s="87">
        <v>0</v>
      </c>
      <c r="AF17" s="87">
        <v>0</v>
      </c>
      <c r="AG17" s="87">
        <v>0</v>
      </c>
      <c r="AH17" s="87">
        <v>0</v>
      </c>
      <c r="AI17" s="97">
        <v>0</v>
      </c>
      <c r="AJ17" s="63">
        <v>0</v>
      </c>
      <c r="AK17" s="64">
        <v>0</v>
      </c>
      <c r="AL17" s="64">
        <v>0</v>
      </c>
      <c r="AM17" s="65">
        <v>0</v>
      </c>
      <c r="AN17" s="66">
        <v>0</v>
      </c>
      <c r="AO17" s="63">
        <f>IF(AJ17&gt;1,1,0)</f>
        <v>0</v>
      </c>
      <c r="AP17" s="64">
        <v>0</v>
      </c>
      <c r="AQ17" s="65">
        <f>IF(AM17&gt;1,1,0)</f>
        <v>0</v>
      </c>
      <c r="AR17" s="66">
        <f>IF(AN17&gt;1,1,0)</f>
        <v>0</v>
      </c>
      <c r="AS17" s="31" t="str">
        <f t="shared" ref="AS17:BB18" si="34">P$13&amp;P17&amp;","</f>
        <v>SimulationStorage,1,</v>
      </c>
      <c r="AT17" s="31" t="str">
        <f t="shared" si="34"/>
        <v>AnalysisStorage,1,</v>
      </c>
      <c r="AU17" s="31" t="str">
        <f t="shared" si="34"/>
        <v>LogRuleEvaluation,0,</v>
      </c>
      <c r="AV17" s="31" t="str">
        <f t="shared" si="34"/>
        <v>ParallelSimulations,1,</v>
      </c>
      <c r="AW17" s="31" t="str">
        <f t="shared" si="34"/>
        <v>DurationStats,0,</v>
      </c>
      <c r="AX17" s="31" t="str">
        <f t="shared" si="34"/>
        <v>AnalysisThruStep,8,</v>
      </c>
      <c r="AY17" s="31" t="str">
        <f t="shared" si="34"/>
        <v>DontAbortOnErrorsThruStep,8,</v>
      </c>
      <c r="AZ17" s="31" t="str">
        <f t="shared" si="34"/>
        <v>BypassValidFileChecks,1,</v>
      </c>
      <c r="BA17" s="31" t="str">
        <f t="shared" si="34"/>
        <v>BypassInputChecks,0,</v>
      </c>
      <c r="BB17" s="31" t="str">
        <f t="shared" si="34"/>
        <v>BypassUMLHChecks,0,</v>
      </c>
      <c r="BC17" s="31" t="str">
        <f t="shared" ref="BC17:BL18" si="35">Z$13&amp;Z17&amp;","</f>
        <v>BypassCheckSimRules,0,</v>
      </c>
      <c r="BD17" s="31" t="str">
        <f t="shared" si="35"/>
        <v>BypassCheckCodeRules,0,</v>
      </c>
      <c r="BE17" s="31" t="str">
        <f t="shared" si="35"/>
        <v>StoreResultsToModelInput,0,</v>
      </c>
      <c r="BF17" s="31" t="str">
        <f t="shared" si="35"/>
        <v>StoreBEMDetails,0,</v>
      </c>
      <c r="BG17" s="31" t="str">
        <f t="shared" si="35"/>
        <v>ModelRpt_ALL,0,</v>
      </c>
      <c r="BH17" s="31" t="str">
        <f t="shared" si="35"/>
        <v>ExportHourlyResults_All,0,</v>
      </c>
      <c r="BI17" s="31" t="str">
        <f t="shared" si="35"/>
        <v>ComplianceReportPDF,0,</v>
      </c>
      <c r="BJ17" s="31" t="str">
        <f t="shared" si="35"/>
        <v>ComplianceReportXML,0,</v>
      </c>
      <c r="BK17" s="31" t="str">
        <f t="shared" si="35"/>
        <v>QuickAnalysis,0,</v>
      </c>
      <c r="BL17" s="31" t="str">
        <f t="shared" si="35"/>
        <v>PromptUserUMLHWarning,0,</v>
      </c>
      <c r="BM17" s="31" t="str">
        <f t="shared" ref="BM17:BU18" si="36">AJ$13&amp;AJ17&amp;","</f>
        <v>BypassOpenStudio_all,0,</v>
      </c>
      <c r="BN17" s="31" t="str">
        <f t="shared" si="36"/>
        <v>BypassOpenStudio_zp,0,</v>
      </c>
      <c r="BO17" s="31" t="str">
        <f t="shared" si="36"/>
        <v>BypassOpenStudio_zb,0,</v>
      </c>
      <c r="BP17" s="31" t="str">
        <f t="shared" si="36"/>
        <v>BypassOpenStudio_ap,0,</v>
      </c>
      <c r="BQ17" s="31" t="str">
        <f t="shared" si="36"/>
        <v>BypassOpenStudio_ab,0,</v>
      </c>
      <c r="BR17" s="31" t="str">
        <f t="shared" si="36"/>
        <v>BypassOpenStudio_zp,0,</v>
      </c>
      <c r="BS17" s="31" t="str">
        <f t="shared" si="36"/>
        <v>BypassOpenStudio_zb,0,</v>
      </c>
      <c r="BT17" s="31" t="str">
        <f t="shared" si="36"/>
        <v>BypassOpenStudio_ap,0,</v>
      </c>
      <c r="BU17" s="31" t="str">
        <f t="shared" si="36"/>
        <v>BypassOpenStudio_ab,0,</v>
      </c>
    </row>
    <row r="18" spans="1:77" x14ac:dyDescent="0.25">
      <c r="A18" s="39">
        <f t="shared" ref="A18:A31" si="37">L18</f>
        <v>1</v>
      </c>
      <c r="B18" s="27" t="str">
        <f t="shared" ref="B18:B31" si="38" xml:space="preserve"> M$11&amp;N18&amp;".cibd"</f>
        <v>StandardModelTests\020012-OffSml-CECStd.cibd</v>
      </c>
      <c r="C18" s="27" t="str">
        <f t="shared" si="33"/>
        <v>BatchOut_160331_r3964_Std13\020012-OffSml-CECStd.cibd</v>
      </c>
      <c r="D18" s="27" t="str">
        <f t="shared" ref="D18:D31" si="39">$M$13</f>
        <v>BatchOut_160331_r3964_Std13\XML\</v>
      </c>
      <c r="E18" s="9" t="str">
        <f t="shared" ref="E18:E31" si="40">M18</f>
        <v>020012-T24</v>
      </c>
      <c r="F18" s="22"/>
      <c r="G18" s="29"/>
      <c r="H18" s="23"/>
      <c r="I18" s="9" t="s">
        <v>11</v>
      </c>
      <c r="J18" s="94" t="str">
        <f t="shared" ref="J18:J31" si="41">CONCATENATE(AS18,AT18,AU18,AV18,AW18,AX18,AY18,AZ18,BA18,BB18,BC18,BD18,BE18,BF18,BG18,BH18,BI18,BJ18,BK18,BL18,BM18,BN18,BO18,BP18,BQ18,BR18,BS18,BT18,BU18)</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 s="15" t="s">
        <v>1</v>
      </c>
      <c r="L18" s="36">
        <f>L17</f>
        <v>1</v>
      </c>
      <c r="M18" s="32" t="str">
        <f t="shared" ref="M18:M27" si="42">LEFT(N18,FIND("-",N18))&amp;"T24"&amp;IF(SUM(F18:H18)&gt;0,"_autosize","")</f>
        <v>020012-T24</v>
      </c>
      <c r="N18" s="28" t="s">
        <v>85</v>
      </c>
      <c r="O18" s="57" t="str">
        <f t="shared" ref="O18:O26" si="43">N18</f>
        <v>020012-OffSml-CECStd</v>
      </c>
      <c r="P18" s="63">
        <f>P17</f>
        <v>1</v>
      </c>
      <c r="Q18" s="65">
        <f t="shared" ref="Q18:T18" si="44">Q17</f>
        <v>1</v>
      </c>
      <c r="R18" s="65">
        <f t="shared" si="44"/>
        <v>0</v>
      </c>
      <c r="S18" s="65">
        <f t="shared" si="44"/>
        <v>1</v>
      </c>
      <c r="T18" s="65">
        <f t="shared" si="44"/>
        <v>0</v>
      </c>
      <c r="U18" s="65">
        <f>U17</f>
        <v>8</v>
      </c>
      <c r="V18" s="65">
        <f>V17</f>
        <v>8</v>
      </c>
      <c r="W18" s="65">
        <f>W17</f>
        <v>1</v>
      </c>
      <c r="X18" s="65">
        <f t="shared" ref="X18:Y18" si="45">X17</f>
        <v>0</v>
      </c>
      <c r="Y18" s="65">
        <f t="shared" si="45"/>
        <v>0</v>
      </c>
      <c r="Z18" s="65">
        <f t="shared" ref="Z18:AB18" si="46">Z17</f>
        <v>0</v>
      </c>
      <c r="AA18" s="65">
        <f t="shared" si="46"/>
        <v>0</v>
      </c>
      <c r="AB18" s="65">
        <f t="shared" si="46"/>
        <v>0</v>
      </c>
      <c r="AC18" s="65">
        <f t="shared" ref="AC18:AD31" si="47">AC17</f>
        <v>0</v>
      </c>
      <c r="AD18" s="65">
        <f t="shared" ref="AD18:AK18" si="48">AD17</f>
        <v>0</v>
      </c>
      <c r="AE18" s="65">
        <f t="shared" si="48"/>
        <v>0</v>
      </c>
      <c r="AF18" s="65">
        <f t="shared" si="48"/>
        <v>0</v>
      </c>
      <c r="AG18" s="65">
        <f t="shared" si="48"/>
        <v>0</v>
      </c>
      <c r="AH18" s="65">
        <f t="shared" si="48"/>
        <v>0</v>
      </c>
      <c r="AI18" s="65">
        <f t="shared" ref="AI18" si="49">AI17</f>
        <v>0</v>
      </c>
      <c r="AJ18" s="63">
        <f t="shared" si="48"/>
        <v>0</v>
      </c>
      <c r="AK18" s="64">
        <f t="shared" si="48"/>
        <v>0</v>
      </c>
      <c r="AL18" s="64">
        <f t="shared" ref="AL18:AM18" si="50">AL17</f>
        <v>0</v>
      </c>
      <c r="AM18" s="64">
        <f t="shared" si="50"/>
        <v>0</v>
      </c>
      <c r="AN18" s="66">
        <f t="shared" ref="AN18:AR31" si="51">AN17</f>
        <v>0</v>
      </c>
      <c r="AO18" s="63">
        <f>AO17</f>
        <v>0</v>
      </c>
      <c r="AP18" s="64">
        <f>AP17</f>
        <v>0</v>
      </c>
      <c r="AQ18" s="65">
        <f t="shared" ref="AQ18:AR18" si="52">AQ17</f>
        <v>0</v>
      </c>
      <c r="AR18" s="66">
        <f t="shared" si="52"/>
        <v>0</v>
      </c>
      <c r="AS18" s="31" t="str">
        <f t="shared" si="34"/>
        <v>SimulationStorage,1,</v>
      </c>
      <c r="AT18" s="31" t="str">
        <f t="shared" si="34"/>
        <v>AnalysisStorage,1,</v>
      </c>
      <c r="AU18" s="31" t="str">
        <f t="shared" si="34"/>
        <v>LogRuleEvaluation,0,</v>
      </c>
      <c r="AV18" s="31" t="str">
        <f t="shared" si="34"/>
        <v>ParallelSimulations,1,</v>
      </c>
      <c r="AW18" s="31" t="str">
        <f t="shared" si="34"/>
        <v>DurationStats,0,</v>
      </c>
      <c r="AX18" s="31" t="str">
        <f t="shared" si="34"/>
        <v>AnalysisThruStep,8,</v>
      </c>
      <c r="AY18" s="31" t="str">
        <f t="shared" si="34"/>
        <v>DontAbortOnErrorsThruStep,8,</v>
      </c>
      <c r="AZ18" s="31" t="str">
        <f t="shared" si="34"/>
        <v>BypassValidFileChecks,1,</v>
      </c>
      <c r="BA18" s="31" t="str">
        <f t="shared" si="34"/>
        <v>BypassInputChecks,0,</v>
      </c>
      <c r="BB18" s="31" t="str">
        <f t="shared" si="34"/>
        <v>BypassUMLHChecks,0,</v>
      </c>
      <c r="BC18" s="31" t="str">
        <f t="shared" si="35"/>
        <v>BypassCheckSimRules,0,</v>
      </c>
      <c r="BD18" s="31" t="str">
        <f t="shared" si="35"/>
        <v>BypassCheckCodeRules,0,</v>
      </c>
      <c r="BE18" s="31" t="str">
        <f t="shared" si="35"/>
        <v>StoreResultsToModelInput,0,</v>
      </c>
      <c r="BF18" s="31" t="str">
        <f t="shared" si="35"/>
        <v>StoreBEMDetails,0,</v>
      </c>
      <c r="BG18" s="31" t="str">
        <f t="shared" si="35"/>
        <v>ModelRpt_ALL,0,</v>
      </c>
      <c r="BH18" s="31" t="str">
        <f t="shared" si="35"/>
        <v>ExportHourlyResults_All,0,</v>
      </c>
      <c r="BI18" s="31" t="str">
        <f t="shared" si="35"/>
        <v>ComplianceReportPDF,0,</v>
      </c>
      <c r="BJ18" s="31" t="str">
        <f t="shared" si="35"/>
        <v>ComplianceReportXML,0,</v>
      </c>
      <c r="BK18" s="31" t="str">
        <f t="shared" si="35"/>
        <v>QuickAnalysis,0,</v>
      </c>
      <c r="BL18" s="31" t="str">
        <f t="shared" si="35"/>
        <v>PromptUserUMLHWarning,0,</v>
      </c>
      <c r="BM18" s="31" t="str">
        <f t="shared" si="36"/>
        <v>BypassOpenStudio_all,0,</v>
      </c>
      <c r="BN18" s="31" t="str">
        <f t="shared" si="36"/>
        <v>BypassOpenStudio_zp,0,</v>
      </c>
      <c r="BO18" s="31" t="str">
        <f t="shared" si="36"/>
        <v>BypassOpenStudio_zb,0,</v>
      </c>
      <c r="BP18" s="31" t="str">
        <f t="shared" si="36"/>
        <v>BypassOpenStudio_ap,0,</v>
      </c>
      <c r="BQ18" s="31" t="str">
        <f t="shared" si="36"/>
        <v>BypassOpenStudio_ab,0,</v>
      </c>
      <c r="BR18" s="31" t="str">
        <f t="shared" si="36"/>
        <v>BypassOpenStudio_zp,0,</v>
      </c>
      <c r="BS18" s="31" t="str">
        <f t="shared" si="36"/>
        <v>BypassOpenStudio_zb,0,</v>
      </c>
      <c r="BT18" s="31" t="str">
        <f t="shared" si="36"/>
        <v>BypassOpenStudio_ap,0,</v>
      </c>
      <c r="BU18" s="31" t="str">
        <f t="shared" si="36"/>
        <v>BypassOpenStudio_ab,0,</v>
      </c>
      <c r="BX18"/>
      <c r="BY18"/>
    </row>
    <row r="19" spans="1:77" x14ac:dyDescent="0.25">
      <c r="A19" s="39">
        <f t="shared" si="37"/>
        <v>1</v>
      </c>
      <c r="B19" s="27" t="str">
        <f t="shared" si="38"/>
        <v>StandardModelTests\030012-OffMed-CECStd.cibd</v>
      </c>
      <c r="C19" s="27" t="str">
        <f t="shared" si="33"/>
        <v>BatchOut_160331_r3964_Std13\030012-OffMed-CECStd.cibd</v>
      </c>
      <c r="D19" s="27" t="str">
        <f t="shared" si="39"/>
        <v>BatchOut_160331_r3964_Std13\XML\</v>
      </c>
      <c r="E19" s="9" t="str">
        <f t="shared" si="40"/>
        <v>030012-T24</v>
      </c>
      <c r="F19" s="22"/>
      <c r="G19" s="29"/>
      <c r="H19" s="23"/>
      <c r="I19" s="9" t="s">
        <v>11</v>
      </c>
      <c r="J19"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 s="15" t="s">
        <v>1</v>
      </c>
      <c r="L19" s="36">
        <f t="shared" ref="L19:L31" si="53">L18</f>
        <v>1</v>
      </c>
      <c r="M19" s="32" t="str">
        <f t="shared" si="42"/>
        <v>030012-T24</v>
      </c>
      <c r="N19" s="28" t="s">
        <v>86</v>
      </c>
      <c r="O19" s="57" t="str">
        <f t="shared" si="43"/>
        <v>030012-OffMed-CECStd</v>
      </c>
      <c r="P19" s="63">
        <f t="shared" ref="P19:T31" si="54">P18</f>
        <v>1</v>
      </c>
      <c r="Q19" s="65">
        <f t="shared" si="54"/>
        <v>1</v>
      </c>
      <c r="R19" s="65">
        <f t="shared" si="54"/>
        <v>0</v>
      </c>
      <c r="S19" s="65">
        <f t="shared" si="54"/>
        <v>1</v>
      </c>
      <c r="T19" s="65">
        <f t="shared" si="54"/>
        <v>0</v>
      </c>
      <c r="U19" s="65">
        <f t="shared" ref="U19:U31" si="55">U18</f>
        <v>8</v>
      </c>
      <c r="V19" s="65">
        <f t="shared" ref="V19:V31" si="56">V18</f>
        <v>8</v>
      </c>
      <c r="W19" s="65">
        <f t="shared" ref="W19:AB31" si="57">W18</f>
        <v>1</v>
      </c>
      <c r="X19" s="65">
        <f t="shared" si="57"/>
        <v>0</v>
      </c>
      <c r="Y19" s="65">
        <f t="shared" si="57"/>
        <v>0</v>
      </c>
      <c r="Z19" s="65">
        <f t="shared" si="57"/>
        <v>0</v>
      </c>
      <c r="AA19" s="65">
        <f t="shared" si="57"/>
        <v>0</v>
      </c>
      <c r="AB19" s="65">
        <f t="shared" si="57"/>
        <v>0</v>
      </c>
      <c r="AC19" s="65">
        <f t="shared" si="47"/>
        <v>0</v>
      </c>
      <c r="AD19" s="65">
        <f t="shared" si="47"/>
        <v>0</v>
      </c>
      <c r="AE19" s="65">
        <f t="shared" ref="AE19:AF19" si="58">AE18</f>
        <v>0</v>
      </c>
      <c r="AF19" s="65">
        <f t="shared" si="58"/>
        <v>0</v>
      </c>
      <c r="AG19" s="65">
        <f t="shared" ref="AG19:AH19" si="59">AG18</f>
        <v>0</v>
      </c>
      <c r="AH19" s="65">
        <f t="shared" si="59"/>
        <v>0</v>
      </c>
      <c r="AI19" s="65">
        <f t="shared" ref="AI19" si="60">AI18</f>
        <v>0</v>
      </c>
      <c r="AJ19" s="63">
        <f t="shared" ref="AJ19:AJ31" si="61">AJ18</f>
        <v>0</v>
      </c>
      <c r="AK19" s="64">
        <f t="shared" ref="AK19:AM31" si="62">AK18</f>
        <v>0</v>
      </c>
      <c r="AL19" s="64">
        <f t="shared" si="62"/>
        <v>0</v>
      </c>
      <c r="AM19" s="64">
        <f t="shared" si="62"/>
        <v>0</v>
      </c>
      <c r="AN19" s="66">
        <f t="shared" si="51"/>
        <v>0</v>
      </c>
      <c r="AO19" s="63">
        <f t="shared" si="51"/>
        <v>0</v>
      </c>
      <c r="AP19" s="64">
        <f t="shared" si="51"/>
        <v>0</v>
      </c>
      <c r="AQ19" s="65">
        <f t="shared" si="51"/>
        <v>0</v>
      </c>
      <c r="AR19" s="66">
        <f t="shared" si="51"/>
        <v>0</v>
      </c>
      <c r="AS19" s="31" t="str">
        <f t="shared" ref="AS19:AS31" si="63">P$13&amp;P19&amp;","</f>
        <v>SimulationStorage,1,</v>
      </c>
      <c r="AT19" s="31" t="str">
        <f t="shared" ref="AT19:AT31" si="64">Q$13&amp;Q19&amp;","</f>
        <v>AnalysisStorage,1,</v>
      </c>
      <c r="AU19" s="31" t="str">
        <f t="shared" ref="AU19:AU31" si="65">R$13&amp;R19&amp;","</f>
        <v>LogRuleEvaluation,0,</v>
      </c>
      <c r="AV19" s="31" t="str">
        <f t="shared" ref="AV19:AV31" si="66">S$13&amp;S19&amp;","</f>
        <v>ParallelSimulations,1,</v>
      </c>
      <c r="AW19" s="31" t="str">
        <f t="shared" ref="AW19:AW31" si="67">T$13&amp;T19&amp;","</f>
        <v>DurationStats,0,</v>
      </c>
      <c r="AX19" s="31" t="str">
        <f t="shared" ref="AX19:AX31" si="68">U$13&amp;U19&amp;","</f>
        <v>AnalysisThruStep,8,</v>
      </c>
      <c r="AY19" s="31" t="str">
        <f t="shared" ref="AY19:AY31" si="69">V$13&amp;V19&amp;","</f>
        <v>DontAbortOnErrorsThruStep,8,</v>
      </c>
      <c r="AZ19" s="31" t="str">
        <f t="shared" ref="AZ19:AZ31" si="70">W$13&amp;W19&amp;","</f>
        <v>BypassValidFileChecks,1,</v>
      </c>
      <c r="BA19" s="31" t="str">
        <f t="shared" ref="BA19:BA31" si="71">X$13&amp;X19&amp;","</f>
        <v>BypassInputChecks,0,</v>
      </c>
      <c r="BB19" s="31" t="str">
        <f t="shared" ref="BB19:BB31" si="72">Y$13&amp;Y19&amp;","</f>
        <v>BypassUMLHChecks,0,</v>
      </c>
      <c r="BC19" s="31" t="str">
        <f t="shared" ref="BC19:BC31" si="73">Z$13&amp;Z19&amp;","</f>
        <v>BypassCheckSimRules,0,</v>
      </c>
      <c r="BD19" s="31" t="str">
        <f t="shared" ref="BD19:BD31" si="74">AA$13&amp;AA19&amp;","</f>
        <v>BypassCheckCodeRules,0,</v>
      </c>
      <c r="BE19" s="31" t="str">
        <f t="shared" ref="BE19:BE30" si="75">AB$13&amp;AB19&amp;","</f>
        <v>StoreResultsToModelInput,0,</v>
      </c>
      <c r="BF19" s="31" t="str">
        <f t="shared" ref="BF19:BF30" si="76">AC$13&amp;AC19&amp;","</f>
        <v>StoreBEMDetails,0,</v>
      </c>
      <c r="BG19" s="31" t="str">
        <f t="shared" ref="BG19:BG30" si="77">AD$13&amp;AD19&amp;","</f>
        <v>ModelRpt_ALL,0,</v>
      </c>
      <c r="BH19" s="31" t="str">
        <f t="shared" ref="BH19:BH30" si="78">AE$13&amp;AE19&amp;","</f>
        <v>ExportHourlyResults_All,0,</v>
      </c>
      <c r="BI19" s="31" t="str">
        <f t="shared" ref="BI19:BI30" si="79">AF$13&amp;AF19&amp;","</f>
        <v>ComplianceReportPDF,0,</v>
      </c>
      <c r="BJ19" s="31" t="str">
        <f t="shared" ref="BJ19:BJ30" si="80">AG$13&amp;AG19&amp;","</f>
        <v>ComplianceReportXML,0,</v>
      </c>
      <c r="BK19" s="31" t="str">
        <f t="shared" ref="BK19:BK30" si="81">AH$13&amp;AH19&amp;","</f>
        <v>QuickAnalysis,0,</v>
      </c>
      <c r="BL19" s="31" t="str">
        <f t="shared" ref="BL19:BL30" si="82">AI$13&amp;AI19&amp;","</f>
        <v>PromptUserUMLHWarning,0,</v>
      </c>
      <c r="BM19" s="31" t="str">
        <f t="shared" ref="BM19:BM30" si="83">AJ$13&amp;AJ19&amp;","</f>
        <v>BypassOpenStudio_all,0,</v>
      </c>
      <c r="BN19" s="31" t="str">
        <f t="shared" ref="BN19:BN30" si="84">AK$13&amp;AK19&amp;","</f>
        <v>BypassOpenStudio_zp,0,</v>
      </c>
      <c r="BO19" s="31" t="str">
        <f t="shared" ref="BO19:BO30" si="85">AL$13&amp;AL19&amp;","</f>
        <v>BypassOpenStudio_zb,0,</v>
      </c>
      <c r="BP19" s="31" t="str">
        <f t="shared" ref="BP19:BP30" si="86">AM$13&amp;AM19&amp;","</f>
        <v>BypassOpenStudio_ap,0,</v>
      </c>
      <c r="BQ19" s="31" t="str">
        <f t="shared" ref="BQ19:BQ30" si="87">AN$13&amp;AN19&amp;","</f>
        <v>BypassOpenStudio_ab,0,</v>
      </c>
      <c r="BR19" s="31" t="str">
        <f t="shared" ref="BR19:BR30" si="88">AO$13&amp;AO19&amp;","</f>
        <v>BypassOpenStudio_zp,0,</v>
      </c>
      <c r="BS19" s="31" t="str">
        <f t="shared" ref="BS19:BS30" si="89">AP$13&amp;AP19&amp;","</f>
        <v>BypassOpenStudio_zb,0,</v>
      </c>
      <c r="BT19" s="31" t="str">
        <f t="shared" ref="BT19:BT30" si="90">AQ$13&amp;AQ19&amp;","</f>
        <v>BypassOpenStudio_ap,0,</v>
      </c>
      <c r="BU19" s="31" t="str">
        <f t="shared" ref="BU19:BU30" si="91">AR$13&amp;AR19&amp;","</f>
        <v>BypassOpenStudio_ab,0,</v>
      </c>
    </row>
    <row r="20" spans="1:77" x14ac:dyDescent="0.25">
      <c r="A20" s="39">
        <f t="shared" si="37"/>
        <v>1</v>
      </c>
      <c r="B20" s="27" t="str">
        <f t="shared" si="38"/>
        <v>StandardModelTests\040012-OffLrg-CECStd.cibd</v>
      </c>
      <c r="C20" s="27" t="str">
        <f t="shared" si="33"/>
        <v>BatchOut_160331_r3964_Std13\040012-OffLrg-CECStd.cibd</v>
      </c>
      <c r="D20" s="27" t="str">
        <f t="shared" si="39"/>
        <v>BatchOut_160331_r3964_Std13\XML\</v>
      </c>
      <c r="E20" s="9" t="str">
        <f t="shared" si="40"/>
        <v>040012-T24</v>
      </c>
      <c r="F20" s="22"/>
      <c r="G20" s="29"/>
      <c r="H20" s="23"/>
      <c r="I20" s="9" t="s">
        <v>11</v>
      </c>
      <c r="J20"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 s="15" t="s">
        <v>1</v>
      </c>
      <c r="L20" s="36">
        <f t="shared" si="53"/>
        <v>1</v>
      </c>
      <c r="M20" s="32" t="str">
        <f t="shared" si="42"/>
        <v>040012-T24</v>
      </c>
      <c r="N20" s="28" t="s">
        <v>87</v>
      </c>
      <c r="O20" s="57" t="str">
        <f t="shared" si="43"/>
        <v>040012-OffLrg-CECStd</v>
      </c>
      <c r="P20" s="63">
        <f t="shared" si="54"/>
        <v>1</v>
      </c>
      <c r="Q20" s="65">
        <f t="shared" si="54"/>
        <v>1</v>
      </c>
      <c r="R20" s="65">
        <f t="shared" si="54"/>
        <v>0</v>
      </c>
      <c r="S20" s="65">
        <f t="shared" si="54"/>
        <v>1</v>
      </c>
      <c r="T20" s="65">
        <f t="shared" si="54"/>
        <v>0</v>
      </c>
      <c r="U20" s="65">
        <f t="shared" si="55"/>
        <v>8</v>
      </c>
      <c r="V20" s="65">
        <f t="shared" si="56"/>
        <v>8</v>
      </c>
      <c r="W20" s="65">
        <f t="shared" si="57"/>
        <v>1</v>
      </c>
      <c r="X20" s="65">
        <f t="shared" si="57"/>
        <v>0</v>
      </c>
      <c r="Y20" s="65">
        <f t="shared" si="57"/>
        <v>0</v>
      </c>
      <c r="Z20" s="65">
        <f t="shared" si="57"/>
        <v>0</v>
      </c>
      <c r="AA20" s="65">
        <f t="shared" si="57"/>
        <v>0</v>
      </c>
      <c r="AB20" s="65">
        <f t="shared" si="57"/>
        <v>0</v>
      </c>
      <c r="AC20" s="65">
        <f t="shared" si="47"/>
        <v>0</v>
      </c>
      <c r="AD20" s="65">
        <f t="shared" si="47"/>
        <v>0</v>
      </c>
      <c r="AE20" s="65">
        <f t="shared" ref="AE20:AF20" si="92">AE19</f>
        <v>0</v>
      </c>
      <c r="AF20" s="65">
        <f t="shared" si="92"/>
        <v>0</v>
      </c>
      <c r="AG20" s="65">
        <f t="shared" ref="AG20:AH20" si="93">AG19</f>
        <v>0</v>
      </c>
      <c r="AH20" s="65">
        <f t="shared" si="93"/>
        <v>0</v>
      </c>
      <c r="AI20" s="65">
        <f t="shared" ref="AI20" si="94">AI19</f>
        <v>0</v>
      </c>
      <c r="AJ20" s="63">
        <f t="shared" si="61"/>
        <v>0</v>
      </c>
      <c r="AK20" s="64">
        <f t="shared" si="62"/>
        <v>0</v>
      </c>
      <c r="AL20" s="64">
        <f t="shared" si="62"/>
        <v>0</v>
      </c>
      <c r="AM20" s="64">
        <f t="shared" si="62"/>
        <v>0</v>
      </c>
      <c r="AN20" s="66">
        <f t="shared" si="51"/>
        <v>0</v>
      </c>
      <c r="AO20" s="63">
        <f t="shared" si="51"/>
        <v>0</v>
      </c>
      <c r="AP20" s="64">
        <f t="shared" si="51"/>
        <v>0</v>
      </c>
      <c r="AQ20" s="65">
        <f t="shared" si="51"/>
        <v>0</v>
      </c>
      <c r="AR20" s="66">
        <f t="shared" si="51"/>
        <v>0</v>
      </c>
      <c r="AS20" s="31" t="str">
        <f t="shared" si="63"/>
        <v>SimulationStorage,1,</v>
      </c>
      <c r="AT20" s="31" t="str">
        <f t="shared" si="64"/>
        <v>AnalysisStorage,1,</v>
      </c>
      <c r="AU20" s="31" t="str">
        <f t="shared" si="65"/>
        <v>LogRuleEvaluation,0,</v>
      </c>
      <c r="AV20" s="31" t="str">
        <f t="shared" si="66"/>
        <v>ParallelSimulations,1,</v>
      </c>
      <c r="AW20" s="31" t="str">
        <f t="shared" si="67"/>
        <v>DurationStats,0,</v>
      </c>
      <c r="AX20" s="31" t="str">
        <f t="shared" si="68"/>
        <v>AnalysisThruStep,8,</v>
      </c>
      <c r="AY20" s="31" t="str">
        <f t="shared" si="69"/>
        <v>DontAbortOnErrorsThruStep,8,</v>
      </c>
      <c r="AZ20" s="31" t="str">
        <f t="shared" si="70"/>
        <v>BypassValidFileChecks,1,</v>
      </c>
      <c r="BA20" s="31" t="str">
        <f t="shared" si="71"/>
        <v>BypassInputChecks,0,</v>
      </c>
      <c r="BB20" s="31" t="str">
        <f t="shared" si="72"/>
        <v>BypassUMLHChecks,0,</v>
      </c>
      <c r="BC20" s="31" t="str">
        <f t="shared" si="73"/>
        <v>BypassCheckSimRules,0,</v>
      </c>
      <c r="BD20" s="31" t="str">
        <f t="shared" si="74"/>
        <v>BypassCheckCodeRules,0,</v>
      </c>
      <c r="BE20" s="31" t="str">
        <f t="shared" si="75"/>
        <v>StoreResultsToModelInput,0,</v>
      </c>
      <c r="BF20" s="31" t="str">
        <f t="shared" si="76"/>
        <v>StoreBEMDetails,0,</v>
      </c>
      <c r="BG20" s="31" t="str">
        <f t="shared" si="77"/>
        <v>ModelRpt_ALL,0,</v>
      </c>
      <c r="BH20" s="31" t="str">
        <f t="shared" si="78"/>
        <v>ExportHourlyResults_All,0,</v>
      </c>
      <c r="BI20" s="31" t="str">
        <f t="shared" si="79"/>
        <v>ComplianceReportPDF,0,</v>
      </c>
      <c r="BJ20" s="31" t="str">
        <f t="shared" si="80"/>
        <v>ComplianceReportXML,0,</v>
      </c>
      <c r="BK20" s="31" t="str">
        <f t="shared" si="81"/>
        <v>QuickAnalysis,0,</v>
      </c>
      <c r="BL20" s="31" t="str">
        <f t="shared" si="82"/>
        <v>PromptUserUMLHWarning,0,</v>
      </c>
      <c r="BM20" s="31" t="str">
        <f t="shared" si="83"/>
        <v>BypassOpenStudio_all,0,</v>
      </c>
      <c r="BN20" s="31" t="str">
        <f t="shared" si="84"/>
        <v>BypassOpenStudio_zp,0,</v>
      </c>
      <c r="BO20" s="31" t="str">
        <f t="shared" si="85"/>
        <v>BypassOpenStudio_zb,0,</v>
      </c>
      <c r="BP20" s="31" t="str">
        <f t="shared" si="86"/>
        <v>BypassOpenStudio_ap,0,</v>
      </c>
      <c r="BQ20" s="31" t="str">
        <f t="shared" si="87"/>
        <v>BypassOpenStudio_ab,0,</v>
      </c>
      <c r="BR20" s="31" t="str">
        <f t="shared" si="88"/>
        <v>BypassOpenStudio_zp,0,</v>
      </c>
      <c r="BS20" s="31" t="str">
        <f t="shared" si="89"/>
        <v>BypassOpenStudio_zb,0,</v>
      </c>
      <c r="BT20" s="31" t="str">
        <f t="shared" si="90"/>
        <v>BypassOpenStudio_ap,0,</v>
      </c>
      <c r="BU20" s="31" t="str">
        <f t="shared" si="91"/>
        <v>BypassOpenStudio_ab,0,</v>
      </c>
    </row>
    <row r="21" spans="1:77" x14ac:dyDescent="0.25">
      <c r="A21" s="39">
        <f t="shared" si="37"/>
        <v>1</v>
      </c>
      <c r="B21" s="27" t="str">
        <f t="shared" si="38"/>
        <v>StandardModelTests\050012-RetlMed-CECStd.cibd</v>
      </c>
      <c r="C21" s="27" t="str">
        <f t="shared" si="33"/>
        <v>BatchOut_160331_r3964_Std13\050012-RetlMed-CECStd.cibd</v>
      </c>
      <c r="D21" s="27" t="str">
        <f t="shared" si="39"/>
        <v>BatchOut_160331_r3964_Std13\XML\</v>
      </c>
      <c r="E21" s="9" t="str">
        <f t="shared" si="40"/>
        <v>050012-T24</v>
      </c>
      <c r="F21" s="22"/>
      <c r="G21" s="29"/>
      <c r="H21" s="23"/>
      <c r="I21" s="9" t="s">
        <v>11</v>
      </c>
      <c r="J21"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 s="15" t="s">
        <v>1</v>
      </c>
      <c r="L21" s="36">
        <f t="shared" si="53"/>
        <v>1</v>
      </c>
      <c r="M21" s="32" t="str">
        <f t="shared" si="42"/>
        <v>050012-T24</v>
      </c>
      <c r="N21" s="28" t="s">
        <v>88</v>
      </c>
      <c r="O21" s="57" t="str">
        <f t="shared" si="43"/>
        <v>050012-RetlMed-CECStd</v>
      </c>
      <c r="P21" s="63">
        <f t="shared" si="54"/>
        <v>1</v>
      </c>
      <c r="Q21" s="65">
        <f t="shared" si="54"/>
        <v>1</v>
      </c>
      <c r="R21" s="65">
        <f t="shared" si="54"/>
        <v>0</v>
      </c>
      <c r="S21" s="65">
        <f t="shared" si="54"/>
        <v>1</v>
      </c>
      <c r="T21" s="65">
        <f t="shared" si="54"/>
        <v>0</v>
      </c>
      <c r="U21" s="65">
        <f t="shared" si="55"/>
        <v>8</v>
      </c>
      <c r="V21" s="65">
        <f t="shared" si="56"/>
        <v>8</v>
      </c>
      <c r="W21" s="65">
        <f t="shared" si="57"/>
        <v>1</v>
      </c>
      <c r="X21" s="65">
        <f t="shared" si="57"/>
        <v>0</v>
      </c>
      <c r="Y21" s="65">
        <f t="shared" si="57"/>
        <v>0</v>
      </c>
      <c r="Z21" s="65">
        <f t="shared" si="57"/>
        <v>0</v>
      </c>
      <c r="AA21" s="65">
        <f t="shared" si="57"/>
        <v>0</v>
      </c>
      <c r="AB21" s="65">
        <f t="shared" si="57"/>
        <v>0</v>
      </c>
      <c r="AC21" s="65">
        <f t="shared" si="47"/>
        <v>0</v>
      </c>
      <c r="AD21" s="65">
        <f t="shared" si="47"/>
        <v>0</v>
      </c>
      <c r="AE21" s="65">
        <f t="shared" ref="AE21:AF21" si="95">AE20</f>
        <v>0</v>
      </c>
      <c r="AF21" s="65">
        <f t="shared" si="95"/>
        <v>0</v>
      </c>
      <c r="AG21" s="65">
        <f t="shared" ref="AG21:AH21" si="96">AG20</f>
        <v>0</v>
      </c>
      <c r="AH21" s="65">
        <f t="shared" si="96"/>
        <v>0</v>
      </c>
      <c r="AI21" s="65">
        <f t="shared" ref="AI21" si="97">AI20</f>
        <v>0</v>
      </c>
      <c r="AJ21" s="63">
        <f t="shared" si="61"/>
        <v>0</v>
      </c>
      <c r="AK21" s="64">
        <f t="shared" si="62"/>
        <v>0</v>
      </c>
      <c r="AL21" s="64">
        <f t="shared" si="62"/>
        <v>0</v>
      </c>
      <c r="AM21" s="64">
        <f t="shared" si="62"/>
        <v>0</v>
      </c>
      <c r="AN21" s="66">
        <f t="shared" si="51"/>
        <v>0</v>
      </c>
      <c r="AO21" s="63">
        <f t="shared" si="51"/>
        <v>0</v>
      </c>
      <c r="AP21" s="64">
        <f t="shared" si="51"/>
        <v>0</v>
      </c>
      <c r="AQ21" s="65">
        <f t="shared" si="51"/>
        <v>0</v>
      </c>
      <c r="AR21" s="66">
        <f t="shared" si="51"/>
        <v>0</v>
      </c>
      <c r="AS21" s="31" t="str">
        <f t="shared" si="63"/>
        <v>SimulationStorage,1,</v>
      </c>
      <c r="AT21" s="31" t="str">
        <f t="shared" si="64"/>
        <v>AnalysisStorage,1,</v>
      </c>
      <c r="AU21" s="31" t="str">
        <f t="shared" si="65"/>
        <v>LogRuleEvaluation,0,</v>
      </c>
      <c r="AV21" s="31" t="str">
        <f t="shared" si="66"/>
        <v>ParallelSimulations,1,</v>
      </c>
      <c r="AW21" s="31" t="str">
        <f t="shared" si="67"/>
        <v>DurationStats,0,</v>
      </c>
      <c r="AX21" s="31" t="str">
        <f t="shared" si="68"/>
        <v>AnalysisThruStep,8,</v>
      </c>
      <c r="AY21" s="31" t="str">
        <f t="shared" si="69"/>
        <v>DontAbortOnErrorsThruStep,8,</v>
      </c>
      <c r="AZ21" s="31" t="str">
        <f t="shared" si="70"/>
        <v>BypassValidFileChecks,1,</v>
      </c>
      <c r="BA21" s="31" t="str">
        <f t="shared" si="71"/>
        <v>BypassInputChecks,0,</v>
      </c>
      <c r="BB21" s="31" t="str">
        <f t="shared" si="72"/>
        <v>BypassUMLHChecks,0,</v>
      </c>
      <c r="BC21" s="31" t="str">
        <f t="shared" si="73"/>
        <v>BypassCheckSimRules,0,</v>
      </c>
      <c r="BD21" s="31" t="str">
        <f t="shared" si="74"/>
        <v>BypassCheckCodeRules,0,</v>
      </c>
      <c r="BE21" s="31" t="str">
        <f t="shared" si="75"/>
        <v>StoreResultsToModelInput,0,</v>
      </c>
      <c r="BF21" s="31" t="str">
        <f t="shared" si="76"/>
        <v>StoreBEMDetails,0,</v>
      </c>
      <c r="BG21" s="31" t="str">
        <f t="shared" si="77"/>
        <v>ModelRpt_ALL,0,</v>
      </c>
      <c r="BH21" s="31" t="str">
        <f t="shared" si="78"/>
        <v>ExportHourlyResults_All,0,</v>
      </c>
      <c r="BI21" s="31" t="str">
        <f t="shared" si="79"/>
        <v>ComplianceReportPDF,0,</v>
      </c>
      <c r="BJ21" s="31" t="str">
        <f t="shared" si="80"/>
        <v>ComplianceReportXML,0,</v>
      </c>
      <c r="BK21" s="31" t="str">
        <f t="shared" si="81"/>
        <v>QuickAnalysis,0,</v>
      </c>
      <c r="BL21" s="31" t="str">
        <f t="shared" si="82"/>
        <v>PromptUserUMLHWarning,0,</v>
      </c>
      <c r="BM21" s="31" t="str">
        <f t="shared" si="83"/>
        <v>BypassOpenStudio_all,0,</v>
      </c>
      <c r="BN21" s="31" t="str">
        <f t="shared" si="84"/>
        <v>BypassOpenStudio_zp,0,</v>
      </c>
      <c r="BO21" s="31" t="str">
        <f t="shared" si="85"/>
        <v>BypassOpenStudio_zb,0,</v>
      </c>
      <c r="BP21" s="31" t="str">
        <f t="shared" si="86"/>
        <v>BypassOpenStudio_ap,0,</v>
      </c>
      <c r="BQ21" s="31" t="str">
        <f t="shared" si="87"/>
        <v>BypassOpenStudio_ab,0,</v>
      </c>
      <c r="BR21" s="31" t="str">
        <f t="shared" si="88"/>
        <v>BypassOpenStudio_zp,0,</v>
      </c>
      <c r="BS21" s="31" t="str">
        <f t="shared" si="89"/>
        <v>BypassOpenStudio_zb,0,</v>
      </c>
      <c r="BT21" s="31" t="str">
        <f t="shared" si="90"/>
        <v>BypassOpenStudio_ap,0,</v>
      </c>
      <c r="BU21" s="31" t="str">
        <f t="shared" si="91"/>
        <v>BypassOpenStudio_ab,0,</v>
      </c>
    </row>
    <row r="22" spans="1:77" x14ac:dyDescent="0.25">
      <c r="A22" s="39">
        <f t="shared" si="37"/>
        <v>1</v>
      </c>
      <c r="B22" s="27" t="str">
        <f t="shared" si="38"/>
        <v>StandardModelTests\060012-RstntSml-CECStd.cibd</v>
      </c>
      <c r="C22" s="27" t="str">
        <f t="shared" si="33"/>
        <v>BatchOut_160331_r3964_Std13\060012-RstntSml-CECStd.cibd</v>
      </c>
      <c r="D22" s="27" t="str">
        <f t="shared" si="39"/>
        <v>BatchOut_160331_r3964_Std13\XML\</v>
      </c>
      <c r="E22" s="9" t="str">
        <f t="shared" si="40"/>
        <v>060012-T24</v>
      </c>
      <c r="F22" s="22"/>
      <c r="G22" s="29"/>
      <c r="H22" s="23"/>
      <c r="I22" s="9" t="s">
        <v>11</v>
      </c>
      <c r="J22"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 s="15" t="s">
        <v>1</v>
      </c>
      <c r="L22" s="36">
        <f t="shared" si="53"/>
        <v>1</v>
      </c>
      <c r="M22" s="32" t="str">
        <f t="shared" si="42"/>
        <v>060012-T24</v>
      </c>
      <c r="N22" s="28" t="s">
        <v>89</v>
      </c>
      <c r="O22" s="57" t="str">
        <f t="shared" si="43"/>
        <v>060012-RstntSml-CECStd</v>
      </c>
      <c r="P22" s="63">
        <f t="shared" si="54"/>
        <v>1</v>
      </c>
      <c r="Q22" s="65">
        <f t="shared" si="54"/>
        <v>1</v>
      </c>
      <c r="R22" s="65">
        <f t="shared" si="54"/>
        <v>0</v>
      </c>
      <c r="S22" s="65">
        <f t="shared" si="54"/>
        <v>1</v>
      </c>
      <c r="T22" s="65">
        <f t="shared" si="54"/>
        <v>0</v>
      </c>
      <c r="U22" s="65">
        <f t="shared" si="55"/>
        <v>8</v>
      </c>
      <c r="V22" s="65">
        <f t="shared" si="56"/>
        <v>8</v>
      </c>
      <c r="W22" s="65">
        <f t="shared" si="57"/>
        <v>1</v>
      </c>
      <c r="X22" s="65">
        <f t="shared" si="57"/>
        <v>0</v>
      </c>
      <c r="Y22" s="65">
        <f t="shared" si="57"/>
        <v>0</v>
      </c>
      <c r="Z22" s="65">
        <f t="shared" si="57"/>
        <v>0</v>
      </c>
      <c r="AA22" s="65">
        <f t="shared" si="57"/>
        <v>0</v>
      </c>
      <c r="AB22" s="65">
        <f t="shared" si="57"/>
        <v>0</v>
      </c>
      <c r="AC22" s="65">
        <f t="shared" si="47"/>
        <v>0</v>
      </c>
      <c r="AD22" s="65">
        <f t="shared" si="47"/>
        <v>0</v>
      </c>
      <c r="AE22" s="65">
        <f t="shared" ref="AE22:AF22" si="98">AE21</f>
        <v>0</v>
      </c>
      <c r="AF22" s="65">
        <f t="shared" si="98"/>
        <v>0</v>
      </c>
      <c r="AG22" s="65">
        <f t="shared" ref="AG22:AH22" si="99">AG21</f>
        <v>0</v>
      </c>
      <c r="AH22" s="65">
        <f t="shared" si="99"/>
        <v>0</v>
      </c>
      <c r="AI22" s="65">
        <f t="shared" ref="AI22" si="100">AI21</f>
        <v>0</v>
      </c>
      <c r="AJ22" s="63">
        <f t="shared" si="61"/>
        <v>0</v>
      </c>
      <c r="AK22" s="64">
        <f t="shared" si="62"/>
        <v>0</v>
      </c>
      <c r="AL22" s="64">
        <f t="shared" si="62"/>
        <v>0</v>
      </c>
      <c r="AM22" s="64">
        <f t="shared" si="62"/>
        <v>0</v>
      </c>
      <c r="AN22" s="66">
        <f t="shared" si="51"/>
        <v>0</v>
      </c>
      <c r="AO22" s="63">
        <f t="shared" si="51"/>
        <v>0</v>
      </c>
      <c r="AP22" s="64">
        <f t="shared" si="51"/>
        <v>0</v>
      </c>
      <c r="AQ22" s="65">
        <f t="shared" si="51"/>
        <v>0</v>
      </c>
      <c r="AR22" s="66">
        <f t="shared" si="51"/>
        <v>0</v>
      </c>
      <c r="AS22" s="31" t="str">
        <f t="shared" si="63"/>
        <v>SimulationStorage,1,</v>
      </c>
      <c r="AT22" s="31" t="str">
        <f t="shared" si="64"/>
        <v>AnalysisStorage,1,</v>
      </c>
      <c r="AU22" s="31" t="str">
        <f t="shared" si="65"/>
        <v>LogRuleEvaluation,0,</v>
      </c>
      <c r="AV22" s="31" t="str">
        <f t="shared" si="66"/>
        <v>ParallelSimulations,1,</v>
      </c>
      <c r="AW22" s="31" t="str">
        <f t="shared" si="67"/>
        <v>DurationStats,0,</v>
      </c>
      <c r="AX22" s="31" t="str">
        <f t="shared" si="68"/>
        <v>AnalysisThruStep,8,</v>
      </c>
      <c r="AY22" s="31" t="str">
        <f t="shared" si="69"/>
        <v>DontAbortOnErrorsThruStep,8,</v>
      </c>
      <c r="AZ22" s="31" t="str">
        <f t="shared" si="70"/>
        <v>BypassValidFileChecks,1,</v>
      </c>
      <c r="BA22" s="31" t="str">
        <f t="shared" si="71"/>
        <v>BypassInputChecks,0,</v>
      </c>
      <c r="BB22" s="31" t="str">
        <f t="shared" si="72"/>
        <v>BypassUMLHChecks,0,</v>
      </c>
      <c r="BC22" s="31" t="str">
        <f t="shared" si="73"/>
        <v>BypassCheckSimRules,0,</v>
      </c>
      <c r="BD22" s="31" t="str">
        <f t="shared" si="74"/>
        <v>BypassCheckCodeRules,0,</v>
      </c>
      <c r="BE22" s="31" t="str">
        <f t="shared" si="75"/>
        <v>StoreResultsToModelInput,0,</v>
      </c>
      <c r="BF22" s="31" t="str">
        <f t="shared" si="76"/>
        <v>StoreBEMDetails,0,</v>
      </c>
      <c r="BG22" s="31" t="str">
        <f t="shared" si="77"/>
        <v>ModelRpt_ALL,0,</v>
      </c>
      <c r="BH22" s="31" t="str">
        <f t="shared" si="78"/>
        <v>ExportHourlyResults_All,0,</v>
      </c>
      <c r="BI22" s="31" t="str">
        <f t="shared" si="79"/>
        <v>ComplianceReportPDF,0,</v>
      </c>
      <c r="BJ22" s="31" t="str">
        <f t="shared" si="80"/>
        <v>ComplianceReportXML,0,</v>
      </c>
      <c r="BK22" s="31" t="str">
        <f t="shared" si="81"/>
        <v>QuickAnalysis,0,</v>
      </c>
      <c r="BL22" s="31" t="str">
        <f t="shared" si="82"/>
        <v>PromptUserUMLHWarning,0,</v>
      </c>
      <c r="BM22" s="31" t="str">
        <f t="shared" si="83"/>
        <v>BypassOpenStudio_all,0,</v>
      </c>
      <c r="BN22" s="31" t="str">
        <f t="shared" si="84"/>
        <v>BypassOpenStudio_zp,0,</v>
      </c>
      <c r="BO22" s="31" t="str">
        <f t="shared" si="85"/>
        <v>BypassOpenStudio_zb,0,</v>
      </c>
      <c r="BP22" s="31" t="str">
        <f t="shared" si="86"/>
        <v>BypassOpenStudio_ap,0,</v>
      </c>
      <c r="BQ22" s="31" t="str">
        <f t="shared" si="87"/>
        <v>BypassOpenStudio_ab,0,</v>
      </c>
      <c r="BR22" s="31" t="str">
        <f t="shared" si="88"/>
        <v>BypassOpenStudio_zp,0,</v>
      </c>
      <c r="BS22" s="31" t="str">
        <f t="shared" si="89"/>
        <v>BypassOpenStudio_zb,0,</v>
      </c>
      <c r="BT22" s="31" t="str">
        <f t="shared" si="90"/>
        <v>BypassOpenStudio_ap,0,</v>
      </c>
      <c r="BU22" s="31" t="str">
        <f t="shared" si="91"/>
        <v>BypassOpenStudio_ab,0,</v>
      </c>
    </row>
    <row r="23" spans="1:77" x14ac:dyDescent="0.25">
      <c r="A23" s="39">
        <f t="shared" si="37"/>
        <v>1</v>
      </c>
      <c r="B23" s="27" t="str">
        <f t="shared" si="38"/>
        <v>StandardModelTests\070012-HotSml-CECStd.cibd</v>
      </c>
      <c r="C23" s="27" t="str">
        <f t="shared" si="33"/>
        <v>BatchOut_160331_r3964_Std13\070012-HotSml-CECStd.cibd</v>
      </c>
      <c r="D23" s="27" t="str">
        <f t="shared" si="39"/>
        <v>BatchOut_160331_r3964_Std13\XML\</v>
      </c>
      <c r="E23" s="9" t="str">
        <f t="shared" si="40"/>
        <v>070012-T24</v>
      </c>
      <c r="F23" s="22"/>
      <c r="G23" s="29"/>
      <c r="H23" s="23"/>
      <c r="I23" s="9" t="s">
        <v>11</v>
      </c>
      <c r="J23"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 s="15" t="s">
        <v>1</v>
      </c>
      <c r="L23" s="36">
        <f t="shared" si="53"/>
        <v>1</v>
      </c>
      <c r="M23" s="32" t="str">
        <f t="shared" si="42"/>
        <v>070012-T24</v>
      </c>
      <c r="N23" s="28" t="s">
        <v>90</v>
      </c>
      <c r="O23" s="57" t="str">
        <f t="shared" si="43"/>
        <v>070012-HotSml-CECStd</v>
      </c>
      <c r="P23" s="63">
        <f t="shared" si="54"/>
        <v>1</v>
      </c>
      <c r="Q23" s="65">
        <f t="shared" si="54"/>
        <v>1</v>
      </c>
      <c r="R23" s="65">
        <f t="shared" si="54"/>
        <v>0</v>
      </c>
      <c r="S23" s="65">
        <f t="shared" si="54"/>
        <v>1</v>
      </c>
      <c r="T23" s="65">
        <f t="shared" si="54"/>
        <v>0</v>
      </c>
      <c r="U23" s="65">
        <f t="shared" si="55"/>
        <v>8</v>
      </c>
      <c r="V23" s="65">
        <f t="shared" si="56"/>
        <v>8</v>
      </c>
      <c r="W23" s="65">
        <f t="shared" si="57"/>
        <v>1</v>
      </c>
      <c r="X23" s="65">
        <f t="shared" si="57"/>
        <v>0</v>
      </c>
      <c r="Y23" s="65">
        <f t="shared" si="57"/>
        <v>0</v>
      </c>
      <c r="Z23" s="65">
        <f t="shared" si="57"/>
        <v>0</v>
      </c>
      <c r="AA23" s="65">
        <f t="shared" si="57"/>
        <v>0</v>
      </c>
      <c r="AB23" s="65">
        <f t="shared" si="57"/>
        <v>0</v>
      </c>
      <c r="AC23" s="65">
        <f t="shared" si="47"/>
        <v>0</v>
      </c>
      <c r="AD23" s="65">
        <f t="shared" si="47"/>
        <v>0</v>
      </c>
      <c r="AE23" s="65">
        <f t="shared" ref="AE23:AF23" si="101">AE22</f>
        <v>0</v>
      </c>
      <c r="AF23" s="65">
        <f t="shared" si="101"/>
        <v>0</v>
      </c>
      <c r="AG23" s="65">
        <f t="shared" ref="AG23:AH23" si="102">AG22</f>
        <v>0</v>
      </c>
      <c r="AH23" s="65">
        <f t="shared" si="102"/>
        <v>0</v>
      </c>
      <c r="AI23" s="65">
        <f t="shared" ref="AI23" si="103">AI22</f>
        <v>0</v>
      </c>
      <c r="AJ23" s="63">
        <f t="shared" si="61"/>
        <v>0</v>
      </c>
      <c r="AK23" s="64">
        <f t="shared" si="62"/>
        <v>0</v>
      </c>
      <c r="AL23" s="64">
        <f t="shared" si="62"/>
        <v>0</v>
      </c>
      <c r="AM23" s="64">
        <f t="shared" si="62"/>
        <v>0</v>
      </c>
      <c r="AN23" s="66">
        <f t="shared" si="51"/>
        <v>0</v>
      </c>
      <c r="AO23" s="63">
        <f t="shared" si="51"/>
        <v>0</v>
      </c>
      <c r="AP23" s="64">
        <f t="shared" si="51"/>
        <v>0</v>
      </c>
      <c r="AQ23" s="65">
        <f t="shared" si="51"/>
        <v>0</v>
      </c>
      <c r="AR23" s="66">
        <f t="shared" si="51"/>
        <v>0</v>
      </c>
      <c r="AS23" s="31" t="str">
        <f t="shared" si="63"/>
        <v>SimulationStorage,1,</v>
      </c>
      <c r="AT23" s="31" t="str">
        <f t="shared" si="64"/>
        <v>AnalysisStorage,1,</v>
      </c>
      <c r="AU23" s="31" t="str">
        <f t="shared" si="65"/>
        <v>LogRuleEvaluation,0,</v>
      </c>
      <c r="AV23" s="31" t="str">
        <f t="shared" si="66"/>
        <v>ParallelSimulations,1,</v>
      </c>
      <c r="AW23" s="31" t="str">
        <f t="shared" si="67"/>
        <v>DurationStats,0,</v>
      </c>
      <c r="AX23" s="31" t="str">
        <f t="shared" si="68"/>
        <v>AnalysisThruStep,8,</v>
      </c>
      <c r="AY23" s="31" t="str">
        <f t="shared" si="69"/>
        <v>DontAbortOnErrorsThruStep,8,</v>
      </c>
      <c r="AZ23" s="31" t="str">
        <f t="shared" si="70"/>
        <v>BypassValidFileChecks,1,</v>
      </c>
      <c r="BA23" s="31" t="str">
        <f t="shared" si="71"/>
        <v>BypassInputChecks,0,</v>
      </c>
      <c r="BB23" s="31" t="str">
        <f t="shared" si="72"/>
        <v>BypassUMLHChecks,0,</v>
      </c>
      <c r="BC23" s="31" t="str">
        <f t="shared" si="73"/>
        <v>BypassCheckSimRules,0,</v>
      </c>
      <c r="BD23" s="31" t="str">
        <f t="shared" si="74"/>
        <v>BypassCheckCodeRules,0,</v>
      </c>
      <c r="BE23" s="31" t="str">
        <f t="shared" si="75"/>
        <v>StoreResultsToModelInput,0,</v>
      </c>
      <c r="BF23" s="31" t="str">
        <f t="shared" si="76"/>
        <v>StoreBEMDetails,0,</v>
      </c>
      <c r="BG23" s="31" t="str">
        <f t="shared" si="77"/>
        <v>ModelRpt_ALL,0,</v>
      </c>
      <c r="BH23" s="31" t="str">
        <f t="shared" si="78"/>
        <v>ExportHourlyResults_All,0,</v>
      </c>
      <c r="BI23" s="31" t="str">
        <f t="shared" si="79"/>
        <v>ComplianceReportPDF,0,</v>
      </c>
      <c r="BJ23" s="31" t="str">
        <f t="shared" si="80"/>
        <v>ComplianceReportXML,0,</v>
      </c>
      <c r="BK23" s="31" t="str">
        <f t="shared" si="81"/>
        <v>QuickAnalysis,0,</v>
      </c>
      <c r="BL23" s="31" t="str">
        <f t="shared" si="82"/>
        <v>PromptUserUMLHWarning,0,</v>
      </c>
      <c r="BM23" s="31" t="str">
        <f t="shared" si="83"/>
        <v>BypassOpenStudio_all,0,</v>
      </c>
      <c r="BN23" s="31" t="str">
        <f t="shared" si="84"/>
        <v>BypassOpenStudio_zp,0,</v>
      </c>
      <c r="BO23" s="31" t="str">
        <f t="shared" si="85"/>
        <v>BypassOpenStudio_zb,0,</v>
      </c>
      <c r="BP23" s="31" t="str">
        <f t="shared" si="86"/>
        <v>BypassOpenStudio_ap,0,</v>
      </c>
      <c r="BQ23" s="31" t="str">
        <f t="shared" si="87"/>
        <v>BypassOpenStudio_ab,0,</v>
      </c>
      <c r="BR23" s="31" t="str">
        <f t="shared" si="88"/>
        <v>BypassOpenStudio_zp,0,</v>
      </c>
      <c r="BS23" s="31" t="str">
        <f t="shared" si="89"/>
        <v>BypassOpenStudio_zb,0,</v>
      </c>
      <c r="BT23" s="31" t="str">
        <f t="shared" si="90"/>
        <v>BypassOpenStudio_ap,0,</v>
      </c>
      <c r="BU23" s="31" t="str">
        <f t="shared" si="91"/>
        <v>BypassOpenStudio_ab,0,</v>
      </c>
    </row>
    <row r="24" spans="1:77" x14ac:dyDescent="0.25">
      <c r="A24" s="39">
        <f t="shared" si="37"/>
        <v>1</v>
      </c>
      <c r="B24" s="27" t="str">
        <f t="shared" si="38"/>
        <v>StandardModelTests\080012-Whse-CECStd.cibd</v>
      </c>
      <c r="C24" s="27" t="str">
        <f t="shared" si="33"/>
        <v>BatchOut_160331_r3964_Std13\080012-Whse-CECStd.cibd</v>
      </c>
      <c r="D24" s="27" t="str">
        <f t="shared" si="39"/>
        <v>BatchOut_160331_r3964_Std13\XML\</v>
      </c>
      <c r="E24" s="9" t="str">
        <f t="shared" si="40"/>
        <v>080012-T24</v>
      </c>
      <c r="F24" s="22"/>
      <c r="G24" s="29"/>
      <c r="H24" s="23"/>
      <c r="I24" s="9" t="s">
        <v>11</v>
      </c>
      <c r="J24"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 s="15" t="s">
        <v>1</v>
      </c>
      <c r="L24" s="36">
        <f t="shared" si="53"/>
        <v>1</v>
      </c>
      <c r="M24" s="32" t="str">
        <f t="shared" si="42"/>
        <v>080012-T24</v>
      </c>
      <c r="N24" s="28" t="s">
        <v>91</v>
      </c>
      <c r="O24" s="57" t="str">
        <f t="shared" si="43"/>
        <v>080012-Whse-CECStd</v>
      </c>
      <c r="P24" s="63">
        <f t="shared" si="54"/>
        <v>1</v>
      </c>
      <c r="Q24" s="65">
        <f t="shared" si="54"/>
        <v>1</v>
      </c>
      <c r="R24" s="65">
        <f t="shared" si="54"/>
        <v>0</v>
      </c>
      <c r="S24" s="65">
        <f t="shared" si="54"/>
        <v>1</v>
      </c>
      <c r="T24" s="65">
        <f t="shared" si="54"/>
        <v>0</v>
      </c>
      <c r="U24" s="65">
        <f t="shared" si="55"/>
        <v>8</v>
      </c>
      <c r="V24" s="65">
        <f t="shared" si="56"/>
        <v>8</v>
      </c>
      <c r="W24" s="65">
        <f t="shared" si="57"/>
        <v>1</v>
      </c>
      <c r="X24" s="65">
        <f t="shared" si="57"/>
        <v>0</v>
      </c>
      <c r="Y24" s="65">
        <f t="shared" si="57"/>
        <v>0</v>
      </c>
      <c r="Z24" s="65">
        <f t="shared" si="57"/>
        <v>0</v>
      </c>
      <c r="AA24" s="65">
        <f t="shared" si="57"/>
        <v>0</v>
      </c>
      <c r="AB24" s="65">
        <f t="shared" si="57"/>
        <v>0</v>
      </c>
      <c r="AC24" s="65">
        <f t="shared" si="47"/>
        <v>0</v>
      </c>
      <c r="AD24" s="65">
        <f t="shared" si="47"/>
        <v>0</v>
      </c>
      <c r="AE24" s="65">
        <f t="shared" ref="AE24:AF24" si="104">AE23</f>
        <v>0</v>
      </c>
      <c r="AF24" s="65">
        <f t="shared" si="104"/>
        <v>0</v>
      </c>
      <c r="AG24" s="65">
        <f t="shared" ref="AG24:AH24" si="105">AG23</f>
        <v>0</v>
      </c>
      <c r="AH24" s="65">
        <f t="shared" si="105"/>
        <v>0</v>
      </c>
      <c r="AI24" s="65">
        <f t="shared" ref="AI24" si="106">AI23</f>
        <v>0</v>
      </c>
      <c r="AJ24" s="63">
        <f t="shared" si="61"/>
        <v>0</v>
      </c>
      <c r="AK24" s="64">
        <f t="shared" si="62"/>
        <v>0</v>
      </c>
      <c r="AL24" s="64">
        <f t="shared" si="62"/>
        <v>0</v>
      </c>
      <c r="AM24" s="64">
        <f t="shared" si="62"/>
        <v>0</v>
      </c>
      <c r="AN24" s="66">
        <f t="shared" si="51"/>
        <v>0</v>
      </c>
      <c r="AO24" s="63">
        <f t="shared" si="51"/>
        <v>0</v>
      </c>
      <c r="AP24" s="64">
        <f t="shared" si="51"/>
        <v>0</v>
      </c>
      <c r="AQ24" s="65">
        <f t="shared" si="51"/>
        <v>0</v>
      </c>
      <c r="AR24" s="66">
        <f t="shared" si="51"/>
        <v>0</v>
      </c>
      <c r="AS24" s="31" t="str">
        <f t="shared" si="63"/>
        <v>SimulationStorage,1,</v>
      </c>
      <c r="AT24" s="31" t="str">
        <f t="shared" si="64"/>
        <v>AnalysisStorage,1,</v>
      </c>
      <c r="AU24" s="31" t="str">
        <f t="shared" si="65"/>
        <v>LogRuleEvaluation,0,</v>
      </c>
      <c r="AV24" s="31" t="str">
        <f t="shared" si="66"/>
        <v>ParallelSimulations,1,</v>
      </c>
      <c r="AW24" s="31" t="str">
        <f t="shared" si="67"/>
        <v>DurationStats,0,</v>
      </c>
      <c r="AX24" s="31" t="str">
        <f t="shared" si="68"/>
        <v>AnalysisThruStep,8,</v>
      </c>
      <c r="AY24" s="31" t="str">
        <f t="shared" si="69"/>
        <v>DontAbortOnErrorsThruStep,8,</v>
      </c>
      <c r="AZ24" s="31" t="str">
        <f t="shared" si="70"/>
        <v>BypassValidFileChecks,1,</v>
      </c>
      <c r="BA24" s="31" t="str">
        <f t="shared" si="71"/>
        <v>BypassInputChecks,0,</v>
      </c>
      <c r="BB24" s="31" t="str">
        <f t="shared" si="72"/>
        <v>BypassUMLHChecks,0,</v>
      </c>
      <c r="BC24" s="31" t="str">
        <f t="shared" si="73"/>
        <v>BypassCheckSimRules,0,</v>
      </c>
      <c r="BD24" s="31" t="str">
        <f t="shared" si="74"/>
        <v>BypassCheckCodeRules,0,</v>
      </c>
      <c r="BE24" s="31" t="str">
        <f t="shared" si="75"/>
        <v>StoreResultsToModelInput,0,</v>
      </c>
      <c r="BF24" s="31" t="str">
        <f t="shared" si="76"/>
        <v>StoreBEMDetails,0,</v>
      </c>
      <c r="BG24" s="31" t="str">
        <f t="shared" si="77"/>
        <v>ModelRpt_ALL,0,</v>
      </c>
      <c r="BH24" s="31" t="str">
        <f t="shared" si="78"/>
        <v>ExportHourlyResults_All,0,</v>
      </c>
      <c r="BI24" s="31" t="str">
        <f t="shared" si="79"/>
        <v>ComplianceReportPDF,0,</v>
      </c>
      <c r="BJ24" s="31" t="str">
        <f t="shared" si="80"/>
        <v>ComplianceReportXML,0,</v>
      </c>
      <c r="BK24" s="31" t="str">
        <f t="shared" si="81"/>
        <v>QuickAnalysis,0,</v>
      </c>
      <c r="BL24" s="31" t="str">
        <f t="shared" si="82"/>
        <v>PromptUserUMLHWarning,0,</v>
      </c>
      <c r="BM24" s="31" t="str">
        <f t="shared" si="83"/>
        <v>BypassOpenStudio_all,0,</v>
      </c>
      <c r="BN24" s="31" t="str">
        <f t="shared" si="84"/>
        <v>BypassOpenStudio_zp,0,</v>
      </c>
      <c r="BO24" s="31" t="str">
        <f t="shared" si="85"/>
        <v>BypassOpenStudio_zb,0,</v>
      </c>
      <c r="BP24" s="31" t="str">
        <f t="shared" si="86"/>
        <v>BypassOpenStudio_ap,0,</v>
      </c>
      <c r="BQ24" s="31" t="str">
        <f t="shared" si="87"/>
        <v>BypassOpenStudio_ab,0,</v>
      </c>
      <c r="BR24" s="31" t="str">
        <f t="shared" si="88"/>
        <v>BypassOpenStudio_zp,0,</v>
      </c>
      <c r="BS24" s="31" t="str">
        <f t="shared" si="89"/>
        <v>BypassOpenStudio_zb,0,</v>
      </c>
      <c r="BT24" s="31" t="str">
        <f t="shared" si="90"/>
        <v>BypassOpenStudio_ap,0,</v>
      </c>
      <c r="BU24" s="31" t="str">
        <f t="shared" si="91"/>
        <v>BypassOpenStudio_ab,0,</v>
      </c>
    </row>
    <row r="25" spans="1:77" x14ac:dyDescent="0.25">
      <c r="A25" s="39">
        <f t="shared" si="37"/>
        <v>1</v>
      </c>
      <c r="B25" s="27" t="str">
        <f t="shared" si="38"/>
        <v>StandardModelTests\090012-RetlLrg-CECStd.cibd</v>
      </c>
      <c r="C25" s="27" t="str">
        <f t="shared" si="33"/>
        <v>BatchOut_160331_r3964_Std13\090012-RetlLrg-CECStd.cibd</v>
      </c>
      <c r="D25" s="27" t="str">
        <f t="shared" si="39"/>
        <v>BatchOut_160331_r3964_Std13\XML\</v>
      </c>
      <c r="E25" s="9" t="str">
        <f t="shared" si="40"/>
        <v>090012-T24</v>
      </c>
      <c r="F25" s="22"/>
      <c r="G25" s="29"/>
      <c r="H25" s="23"/>
      <c r="I25" s="9" t="s">
        <v>11</v>
      </c>
      <c r="J25"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 s="15" t="s">
        <v>1</v>
      </c>
      <c r="L25" s="36">
        <f t="shared" si="53"/>
        <v>1</v>
      </c>
      <c r="M25" s="32" t="str">
        <f t="shared" si="42"/>
        <v>090012-T24</v>
      </c>
      <c r="N25" s="28" t="s">
        <v>92</v>
      </c>
      <c r="O25" s="57" t="str">
        <f t="shared" si="43"/>
        <v>090012-RetlLrg-CECStd</v>
      </c>
      <c r="P25" s="63">
        <f t="shared" si="54"/>
        <v>1</v>
      </c>
      <c r="Q25" s="65">
        <f t="shared" si="54"/>
        <v>1</v>
      </c>
      <c r="R25" s="65">
        <f t="shared" si="54"/>
        <v>0</v>
      </c>
      <c r="S25" s="65">
        <f t="shared" si="54"/>
        <v>1</v>
      </c>
      <c r="T25" s="65">
        <f t="shared" si="54"/>
        <v>0</v>
      </c>
      <c r="U25" s="65">
        <f t="shared" si="55"/>
        <v>8</v>
      </c>
      <c r="V25" s="65">
        <f t="shared" si="56"/>
        <v>8</v>
      </c>
      <c r="W25" s="65">
        <f t="shared" si="57"/>
        <v>1</v>
      </c>
      <c r="X25" s="65">
        <f t="shared" si="57"/>
        <v>0</v>
      </c>
      <c r="Y25" s="65">
        <f t="shared" si="57"/>
        <v>0</v>
      </c>
      <c r="Z25" s="65">
        <f t="shared" si="57"/>
        <v>0</v>
      </c>
      <c r="AA25" s="65">
        <f t="shared" si="57"/>
        <v>0</v>
      </c>
      <c r="AB25" s="65">
        <f t="shared" si="57"/>
        <v>0</v>
      </c>
      <c r="AC25" s="65">
        <f t="shared" si="47"/>
        <v>0</v>
      </c>
      <c r="AD25" s="65">
        <f t="shared" si="47"/>
        <v>0</v>
      </c>
      <c r="AE25" s="65">
        <f t="shared" ref="AE25:AF25" si="107">AE24</f>
        <v>0</v>
      </c>
      <c r="AF25" s="65">
        <f t="shared" si="107"/>
        <v>0</v>
      </c>
      <c r="AG25" s="65">
        <f t="shared" ref="AG25:AH25" si="108">AG24</f>
        <v>0</v>
      </c>
      <c r="AH25" s="65">
        <f t="shared" si="108"/>
        <v>0</v>
      </c>
      <c r="AI25" s="65">
        <f t="shared" ref="AI25" si="109">AI24</f>
        <v>0</v>
      </c>
      <c r="AJ25" s="63">
        <f t="shared" si="61"/>
        <v>0</v>
      </c>
      <c r="AK25" s="64">
        <f t="shared" si="62"/>
        <v>0</v>
      </c>
      <c r="AL25" s="64">
        <f t="shared" si="62"/>
        <v>0</v>
      </c>
      <c r="AM25" s="64">
        <f t="shared" si="62"/>
        <v>0</v>
      </c>
      <c r="AN25" s="66">
        <f t="shared" si="51"/>
        <v>0</v>
      </c>
      <c r="AO25" s="63">
        <f t="shared" si="51"/>
        <v>0</v>
      </c>
      <c r="AP25" s="64">
        <f t="shared" si="51"/>
        <v>0</v>
      </c>
      <c r="AQ25" s="65">
        <f t="shared" si="51"/>
        <v>0</v>
      </c>
      <c r="AR25" s="66">
        <f t="shared" si="51"/>
        <v>0</v>
      </c>
      <c r="AS25" s="31" t="str">
        <f t="shared" si="63"/>
        <v>SimulationStorage,1,</v>
      </c>
      <c r="AT25" s="31" t="str">
        <f t="shared" si="64"/>
        <v>AnalysisStorage,1,</v>
      </c>
      <c r="AU25" s="31" t="str">
        <f t="shared" si="65"/>
        <v>LogRuleEvaluation,0,</v>
      </c>
      <c r="AV25" s="31" t="str">
        <f t="shared" si="66"/>
        <v>ParallelSimulations,1,</v>
      </c>
      <c r="AW25" s="31" t="str">
        <f t="shared" si="67"/>
        <v>DurationStats,0,</v>
      </c>
      <c r="AX25" s="31" t="str">
        <f t="shared" si="68"/>
        <v>AnalysisThruStep,8,</v>
      </c>
      <c r="AY25" s="31" t="str">
        <f t="shared" si="69"/>
        <v>DontAbortOnErrorsThruStep,8,</v>
      </c>
      <c r="AZ25" s="31" t="str">
        <f t="shared" si="70"/>
        <v>BypassValidFileChecks,1,</v>
      </c>
      <c r="BA25" s="31" t="str">
        <f t="shared" si="71"/>
        <v>BypassInputChecks,0,</v>
      </c>
      <c r="BB25" s="31" t="str">
        <f t="shared" si="72"/>
        <v>BypassUMLHChecks,0,</v>
      </c>
      <c r="BC25" s="31" t="str">
        <f t="shared" si="73"/>
        <v>BypassCheckSimRules,0,</v>
      </c>
      <c r="BD25" s="31" t="str">
        <f t="shared" si="74"/>
        <v>BypassCheckCodeRules,0,</v>
      </c>
      <c r="BE25" s="31" t="str">
        <f t="shared" si="75"/>
        <v>StoreResultsToModelInput,0,</v>
      </c>
      <c r="BF25" s="31" t="str">
        <f t="shared" si="76"/>
        <v>StoreBEMDetails,0,</v>
      </c>
      <c r="BG25" s="31" t="str">
        <f t="shared" si="77"/>
        <v>ModelRpt_ALL,0,</v>
      </c>
      <c r="BH25" s="31" t="str">
        <f t="shared" si="78"/>
        <v>ExportHourlyResults_All,0,</v>
      </c>
      <c r="BI25" s="31" t="str">
        <f t="shared" si="79"/>
        <v>ComplianceReportPDF,0,</v>
      </c>
      <c r="BJ25" s="31" t="str">
        <f t="shared" si="80"/>
        <v>ComplianceReportXML,0,</v>
      </c>
      <c r="BK25" s="31" t="str">
        <f t="shared" si="81"/>
        <v>QuickAnalysis,0,</v>
      </c>
      <c r="BL25" s="31" t="str">
        <f t="shared" si="82"/>
        <v>PromptUserUMLHWarning,0,</v>
      </c>
      <c r="BM25" s="31" t="str">
        <f t="shared" si="83"/>
        <v>BypassOpenStudio_all,0,</v>
      </c>
      <c r="BN25" s="31" t="str">
        <f t="shared" si="84"/>
        <v>BypassOpenStudio_zp,0,</v>
      </c>
      <c r="BO25" s="31" t="str">
        <f t="shared" si="85"/>
        <v>BypassOpenStudio_zb,0,</v>
      </c>
      <c r="BP25" s="31" t="str">
        <f t="shared" si="86"/>
        <v>BypassOpenStudio_ap,0,</v>
      </c>
      <c r="BQ25" s="31" t="str">
        <f t="shared" si="87"/>
        <v>BypassOpenStudio_ab,0,</v>
      </c>
      <c r="BR25" s="31" t="str">
        <f t="shared" si="88"/>
        <v>BypassOpenStudio_zp,0,</v>
      </c>
      <c r="BS25" s="31" t="str">
        <f t="shared" si="89"/>
        <v>BypassOpenStudio_zb,0,</v>
      </c>
      <c r="BT25" s="31" t="str">
        <f t="shared" si="90"/>
        <v>BypassOpenStudio_ap,0,</v>
      </c>
      <c r="BU25" s="31" t="str">
        <f t="shared" si="91"/>
        <v>BypassOpenStudio_ab,0,</v>
      </c>
    </row>
    <row r="26" spans="1:77" x14ac:dyDescent="0.25">
      <c r="A26" s="39">
        <f t="shared" si="37"/>
        <v>1</v>
      </c>
      <c r="B26" s="27" t="str">
        <f t="shared" si="38"/>
        <v>StandardModelTests\020012S-OffSml-CECStd.cibd</v>
      </c>
      <c r="C26" s="27" t="str">
        <f t="shared" si="33"/>
        <v>BatchOut_160331_r3964_Std13\020012S-OffSml-CECStd.cibd</v>
      </c>
      <c r="D26" s="27" t="str">
        <f t="shared" si="39"/>
        <v>BatchOut_160331_r3964_Std13\XML\</v>
      </c>
      <c r="E26" s="9" t="str">
        <f t="shared" si="40"/>
        <v>020012S-T24</v>
      </c>
      <c r="F26" s="22"/>
      <c r="G26" s="29"/>
      <c r="H26" s="23"/>
      <c r="I26" s="9" t="s">
        <v>11</v>
      </c>
      <c r="J26"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 s="15" t="s">
        <v>1</v>
      </c>
      <c r="L26" s="36">
        <f t="shared" si="53"/>
        <v>1</v>
      </c>
      <c r="M26" s="32" t="str">
        <f t="shared" si="42"/>
        <v>020012S-T24</v>
      </c>
      <c r="N26" s="28" t="s">
        <v>164</v>
      </c>
      <c r="O26" s="57" t="str">
        <f t="shared" si="43"/>
        <v>020012S-OffSml-CECStd</v>
      </c>
      <c r="P26" s="63">
        <f t="shared" si="54"/>
        <v>1</v>
      </c>
      <c r="Q26" s="65">
        <f t="shared" si="54"/>
        <v>1</v>
      </c>
      <c r="R26" s="65">
        <f t="shared" si="54"/>
        <v>0</v>
      </c>
      <c r="S26" s="65">
        <f t="shared" si="54"/>
        <v>1</v>
      </c>
      <c r="T26" s="65">
        <f t="shared" si="54"/>
        <v>0</v>
      </c>
      <c r="U26" s="65">
        <f t="shared" si="55"/>
        <v>8</v>
      </c>
      <c r="V26" s="65">
        <f t="shared" si="56"/>
        <v>8</v>
      </c>
      <c r="W26" s="65">
        <f t="shared" si="57"/>
        <v>1</v>
      </c>
      <c r="X26" s="65">
        <f t="shared" si="57"/>
        <v>0</v>
      </c>
      <c r="Y26" s="65">
        <f t="shared" si="57"/>
        <v>0</v>
      </c>
      <c r="Z26" s="65">
        <f t="shared" si="57"/>
        <v>0</v>
      </c>
      <c r="AA26" s="65">
        <f t="shared" si="57"/>
        <v>0</v>
      </c>
      <c r="AB26" s="65">
        <f t="shared" si="57"/>
        <v>0</v>
      </c>
      <c r="AC26" s="65">
        <f t="shared" si="47"/>
        <v>0</v>
      </c>
      <c r="AD26" s="65">
        <f t="shared" si="47"/>
        <v>0</v>
      </c>
      <c r="AE26" s="65">
        <f t="shared" ref="AE26:AF26" si="110">AE25</f>
        <v>0</v>
      </c>
      <c r="AF26" s="65">
        <f t="shared" si="110"/>
        <v>0</v>
      </c>
      <c r="AG26" s="65">
        <f t="shared" ref="AG26:AH26" si="111">AG25</f>
        <v>0</v>
      </c>
      <c r="AH26" s="65">
        <f t="shared" si="111"/>
        <v>0</v>
      </c>
      <c r="AI26" s="65">
        <f t="shared" ref="AI26" si="112">AI25</f>
        <v>0</v>
      </c>
      <c r="AJ26" s="63">
        <f t="shared" si="61"/>
        <v>0</v>
      </c>
      <c r="AK26" s="64">
        <f t="shared" si="62"/>
        <v>0</v>
      </c>
      <c r="AL26" s="64">
        <f t="shared" si="62"/>
        <v>0</v>
      </c>
      <c r="AM26" s="64">
        <f t="shared" si="62"/>
        <v>0</v>
      </c>
      <c r="AN26" s="66">
        <f t="shared" si="51"/>
        <v>0</v>
      </c>
      <c r="AO26" s="63">
        <f t="shared" si="51"/>
        <v>0</v>
      </c>
      <c r="AP26" s="64">
        <f t="shared" si="51"/>
        <v>0</v>
      </c>
      <c r="AQ26" s="65">
        <f t="shared" si="51"/>
        <v>0</v>
      </c>
      <c r="AR26" s="66">
        <f t="shared" si="51"/>
        <v>0</v>
      </c>
      <c r="AS26" s="31" t="str">
        <f t="shared" si="63"/>
        <v>SimulationStorage,1,</v>
      </c>
      <c r="AT26" s="31" t="str">
        <f t="shared" si="64"/>
        <v>AnalysisStorage,1,</v>
      </c>
      <c r="AU26" s="31" t="str">
        <f t="shared" si="65"/>
        <v>LogRuleEvaluation,0,</v>
      </c>
      <c r="AV26" s="31" t="str">
        <f t="shared" si="66"/>
        <v>ParallelSimulations,1,</v>
      </c>
      <c r="AW26" s="31" t="str">
        <f t="shared" si="67"/>
        <v>DurationStats,0,</v>
      </c>
      <c r="AX26" s="31" t="str">
        <f t="shared" si="68"/>
        <v>AnalysisThruStep,8,</v>
      </c>
      <c r="AY26" s="31" t="str">
        <f t="shared" si="69"/>
        <v>DontAbortOnErrorsThruStep,8,</v>
      </c>
      <c r="AZ26" s="31" t="str">
        <f t="shared" si="70"/>
        <v>BypassValidFileChecks,1,</v>
      </c>
      <c r="BA26" s="31" t="str">
        <f t="shared" si="71"/>
        <v>BypassInputChecks,0,</v>
      </c>
      <c r="BB26" s="31" t="str">
        <f t="shared" si="72"/>
        <v>BypassUMLHChecks,0,</v>
      </c>
      <c r="BC26" s="31" t="str">
        <f t="shared" si="73"/>
        <v>BypassCheckSimRules,0,</v>
      </c>
      <c r="BD26" s="31" t="str">
        <f t="shared" si="74"/>
        <v>BypassCheckCodeRules,0,</v>
      </c>
      <c r="BE26" s="31" t="str">
        <f t="shared" si="75"/>
        <v>StoreResultsToModelInput,0,</v>
      </c>
      <c r="BF26" s="31" t="str">
        <f t="shared" si="76"/>
        <v>StoreBEMDetails,0,</v>
      </c>
      <c r="BG26" s="31" t="str">
        <f t="shared" si="77"/>
        <v>ModelRpt_ALL,0,</v>
      </c>
      <c r="BH26" s="31" t="str">
        <f t="shared" si="78"/>
        <v>ExportHourlyResults_All,0,</v>
      </c>
      <c r="BI26" s="31" t="str">
        <f t="shared" si="79"/>
        <v>ComplianceReportPDF,0,</v>
      </c>
      <c r="BJ26" s="31" t="str">
        <f t="shared" si="80"/>
        <v>ComplianceReportXML,0,</v>
      </c>
      <c r="BK26" s="31" t="str">
        <f t="shared" si="81"/>
        <v>QuickAnalysis,0,</v>
      </c>
      <c r="BL26" s="31" t="str">
        <f t="shared" si="82"/>
        <v>PromptUserUMLHWarning,0,</v>
      </c>
      <c r="BM26" s="31" t="str">
        <f t="shared" si="83"/>
        <v>BypassOpenStudio_all,0,</v>
      </c>
      <c r="BN26" s="31" t="str">
        <f t="shared" si="84"/>
        <v>BypassOpenStudio_zp,0,</v>
      </c>
      <c r="BO26" s="31" t="str">
        <f t="shared" si="85"/>
        <v>BypassOpenStudio_zb,0,</v>
      </c>
      <c r="BP26" s="31" t="str">
        <f t="shared" si="86"/>
        <v>BypassOpenStudio_ap,0,</v>
      </c>
      <c r="BQ26" s="31" t="str">
        <f t="shared" si="87"/>
        <v>BypassOpenStudio_ab,0,</v>
      </c>
      <c r="BR26" s="31" t="str">
        <f t="shared" si="88"/>
        <v>BypassOpenStudio_zp,0,</v>
      </c>
      <c r="BS26" s="31" t="str">
        <f t="shared" si="89"/>
        <v>BypassOpenStudio_zb,0,</v>
      </c>
      <c r="BT26" s="31" t="str">
        <f t="shared" si="90"/>
        <v>BypassOpenStudio_ap,0,</v>
      </c>
      <c r="BU26" s="31" t="str">
        <f t="shared" si="91"/>
        <v>BypassOpenStudio_ab,0,</v>
      </c>
    </row>
    <row r="27" spans="1:77" x14ac:dyDescent="0.25">
      <c r="A27" s="39">
        <f t="shared" si="37"/>
        <v>1</v>
      </c>
      <c r="B27" s="27" t="str">
        <f t="shared" si="38"/>
        <v>StandardModelTests\030012S-OffMed-CECStd.cibd</v>
      </c>
      <c r="C27" s="27" t="str">
        <f t="shared" si="33"/>
        <v>BatchOut_160331_r3964_Std13\030012S-OffMed-CECStd.cibd</v>
      </c>
      <c r="D27" s="27" t="str">
        <f t="shared" si="39"/>
        <v>BatchOut_160331_r3964_Std13\XML\</v>
      </c>
      <c r="E27" s="9" t="str">
        <f t="shared" si="40"/>
        <v>030012S-T24</v>
      </c>
      <c r="F27" s="22"/>
      <c r="G27" s="29"/>
      <c r="H27" s="23"/>
      <c r="I27" s="9" t="s">
        <v>11</v>
      </c>
      <c r="J27"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 s="15" t="s">
        <v>1</v>
      </c>
      <c r="L27" s="36">
        <f t="shared" si="53"/>
        <v>1</v>
      </c>
      <c r="M27" s="32" t="str">
        <f t="shared" si="42"/>
        <v>030012S-T24</v>
      </c>
      <c r="N27" s="28" t="s">
        <v>207</v>
      </c>
      <c r="O27" s="57" t="str">
        <f t="shared" ref="O27" si="113">N27</f>
        <v>030012S-OffMed-CECStd</v>
      </c>
      <c r="P27" s="63">
        <f t="shared" si="54"/>
        <v>1</v>
      </c>
      <c r="Q27" s="65">
        <f t="shared" si="54"/>
        <v>1</v>
      </c>
      <c r="R27" s="65">
        <f t="shared" si="54"/>
        <v>0</v>
      </c>
      <c r="S27" s="65">
        <f t="shared" si="54"/>
        <v>1</v>
      </c>
      <c r="T27" s="65">
        <f t="shared" si="54"/>
        <v>0</v>
      </c>
      <c r="U27" s="65">
        <f t="shared" si="55"/>
        <v>8</v>
      </c>
      <c r="V27" s="65">
        <f t="shared" si="56"/>
        <v>8</v>
      </c>
      <c r="W27" s="65">
        <f t="shared" si="57"/>
        <v>1</v>
      </c>
      <c r="X27" s="65">
        <f t="shared" si="57"/>
        <v>0</v>
      </c>
      <c r="Y27" s="65">
        <f t="shared" si="57"/>
        <v>0</v>
      </c>
      <c r="Z27" s="65">
        <f t="shared" si="57"/>
        <v>0</v>
      </c>
      <c r="AA27" s="65">
        <f t="shared" si="57"/>
        <v>0</v>
      </c>
      <c r="AB27" s="65">
        <f t="shared" si="57"/>
        <v>0</v>
      </c>
      <c r="AC27" s="65">
        <f t="shared" si="47"/>
        <v>0</v>
      </c>
      <c r="AD27" s="65">
        <f t="shared" si="47"/>
        <v>0</v>
      </c>
      <c r="AE27" s="65">
        <f t="shared" ref="AE27:AF27" si="114">AE26</f>
        <v>0</v>
      </c>
      <c r="AF27" s="65">
        <f t="shared" si="114"/>
        <v>0</v>
      </c>
      <c r="AG27" s="65">
        <f t="shared" ref="AG27:AH27" si="115">AG26</f>
        <v>0</v>
      </c>
      <c r="AH27" s="65">
        <f t="shared" si="115"/>
        <v>0</v>
      </c>
      <c r="AI27" s="65">
        <f t="shared" ref="AI27" si="116">AI26</f>
        <v>0</v>
      </c>
      <c r="AJ27" s="63">
        <f t="shared" si="61"/>
        <v>0</v>
      </c>
      <c r="AK27" s="64">
        <f t="shared" si="62"/>
        <v>0</v>
      </c>
      <c r="AL27" s="64">
        <f t="shared" si="62"/>
        <v>0</v>
      </c>
      <c r="AM27" s="64">
        <f t="shared" si="62"/>
        <v>0</v>
      </c>
      <c r="AN27" s="66">
        <f t="shared" si="51"/>
        <v>0</v>
      </c>
      <c r="AO27" s="63">
        <f t="shared" si="51"/>
        <v>0</v>
      </c>
      <c r="AP27" s="64">
        <f t="shared" si="51"/>
        <v>0</v>
      </c>
      <c r="AQ27" s="65">
        <f t="shared" si="51"/>
        <v>0</v>
      </c>
      <c r="AR27" s="66">
        <f t="shared" si="51"/>
        <v>0</v>
      </c>
      <c r="AS27" s="31" t="str">
        <f t="shared" si="63"/>
        <v>SimulationStorage,1,</v>
      </c>
      <c r="AT27" s="31" t="str">
        <f t="shared" si="64"/>
        <v>AnalysisStorage,1,</v>
      </c>
      <c r="AU27" s="31" t="str">
        <f t="shared" si="65"/>
        <v>LogRuleEvaluation,0,</v>
      </c>
      <c r="AV27" s="31" t="str">
        <f t="shared" si="66"/>
        <v>ParallelSimulations,1,</v>
      </c>
      <c r="AW27" s="31" t="str">
        <f t="shared" si="67"/>
        <v>DurationStats,0,</v>
      </c>
      <c r="AX27" s="31" t="str">
        <f t="shared" si="68"/>
        <v>AnalysisThruStep,8,</v>
      </c>
      <c r="AY27" s="31" t="str">
        <f t="shared" si="69"/>
        <v>DontAbortOnErrorsThruStep,8,</v>
      </c>
      <c r="AZ27" s="31" t="str">
        <f t="shared" si="70"/>
        <v>BypassValidFileChecks,1,</v>
      </c>
      <c r="BA27" s="31" t="str">
        <f t="shared" si="71"/>
        <v>BypassInputChecks,0,</v>
      </c>
      <c r="BB27" s="31" t="str">
        <f t="shared" si="72"/>
        <v>BypassUMLHChecks,0,</v>
      </c>
      <c r="BC27" s="31" t="str">
        <f t="shared" si="73"/>
        <v>BypassCheckSimRules,0,</v>
      </c>
      <c r="BD27" s="31" t="str">
        <f t="shared" si="74"/>
        <v>BypassCheckCodeRules,0,</v>
      </c>
      <c r="BE27" s="31" t="str">
        <f t="shared" si="75"/>
        <v>StoreResultsToModelInput,0,</v>
      </c>
      <c r="BF27" s="31" t="str">
        <f t="shared" si="76"/>
        <v>StoreBEMDetails,0,</v>
      </c>
      <c r="BG27" s="31" t="str">
        <f t="shared" si="77"/>
        <v>ModelRpt_ALL,0,</v>
      </c>
      <c r="BH27" s="31" t="str">
        <f t="shared" si="78"/>
        <v>ExportHourlyResults_All,0,</v>
      </c>
      <c r="BI27" s="31" t="str">
        <f t="shared" si="79"/>
        <v>ComplianceReportPDF,0,</v>
      </c>
      <c r="BJ27" s="31" t="str">
        <f t="shared" si="80"/>
        <v>ComplianceReportXML,0,</v>
      </c>
      <c r="BK27" s="31" t="str">
        <f t="shared" si="81"/>
        <v>QuickAnalysis,0,</v>
      </c>
      <c r="BL27" s="31" t="str">
        <f t="shared" si="82"/>
        <v>PromptUserUMLHWarning,0,</v>
      </c>
      <c r="BM27" s="31" t="str">
        <f t="shared" si="83"/>
        <v>BypassOpenStudio_all,0,</v>
      </c>
      <c r="BN27" s="31" t="str">
        <f t="shared" si="84"/>
        <v>BypassOpenStudio_zp,0,</v>
      </c>
      <c r="BO27" s="31" t="str">
        <f t="shared" si="85"/>
        <v>BypassOpenStudio_zb,0,</v>
      </c>
      <c r="BP27" s="31" t="str">
        <f t="shared" si="86"/>
        <v>BypassOpenStudio_ap,0,</v>
      </c>
      <c r="BQ27" s="31" t="str">
        <f t="shared" si="87"/>
        <v>BypassOpenStudio_ab,0,</v>
      </c>
      <c r="BR27" s="31" t="str">
        <f t="shared" si="88"/>
        <v>BypassOpenStudio_zp,0,</v>
      </c>
      <c r="BS27" s="31" t="str">
        <f t="shared" si="89"/>
        <v>BypassOpenStudio_zb,0,</v>
      </c>
      <c r="BT27" s="31" t="str">
        <f t="shared" si="90"/>
        <v>BypassOpenStudio_ap,0,</v>
      </c>
      <c r="BU27" s="31" t="str">
        <f t="shared" si="91"/>
        <v>BypassOpenStudio_ab,0,</v>
      </c>
    </row>
    <row r="28" spans="1:77" x14ac:dyDescent="0.25">
      <c r="A28" s="39">
        <f t="shared" si="37"/>
        <v>0</v>
      </c>
      <c r="B28" s="27" t="str">
        <f t="shared" si="38"/>
        <v>StandardModelTests\.cibd</v>
      </c>
      <c r="C28" s="27" t="str">
        <f t="shared" si="33"/>
        <v>BatchOut_160331_r3964_Std13\.cibd</v>
      </c>
      <c r="D28" s="27" t="str">
        <f t="shared" si="39"/>
        <v>BatchOut_160331_r3964_Std13\XML\</v>
      </c>
      <c r="E28" s="9" t="str">
        <f t="shared" si="40"/>
        <v/>
      </c>
      <c r="F28" s="22"/>
      <c r="G28" s="29"/>
      <c r="H28" s="23"/>
      <c r="I28" s="9" t="s">
        <v>11</v>
      </c>
      <c r="J28"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 s="15" t="s">
        <v>1</v>
      </c>
      <c r="L28" s="36">
        <v>0</v>
      </c>
      <c r="M28" s="32" t="str">
        <f t="shared" ref="M28:M31" si="117">LEFT(N28,6)&amp;IF(SUM(F28:H28)&gt;0,"_autosize","")</f>
        <v/>
      </c>
      <c r="N28" s="28"/>
      <c r="O28" s="57"/>
      <c r="P28" s="63">
        <f t="shared" si="54"/>
        <v>1</v>
      </c>
      <c r="Q28" s="65">
        <f t="shared" si="54"/>
        <v>1</v>
      </c>
      <c r="R28" s="65">
        <f t="shared" si="54"/>
        <v>0</v>
      </c>
      <c r="S28" s="65">
        <f t="shared" si="54"/>
        <v>1</v>
      </c>
      <c r="T28" s="65">
        <f t="shared" si="54"/>
        <v>0</v>
      </c>
      <c r="U28" s="65">
        <f t="shared" si="55"/>
        <v>8</v>
      </c>
      <c r="V28" s="65">
        <f t="shared" si="56"/>
        <v>8</v>
      </c>
      <c r="W28" s="65">
        <f t="shared" si="57"/>
        <v>1</v>
      </c>
      <c r="X28" s="65">
        <f t="shared" si="57"/>
        <v>0</v>
      </c>
      <c r="Y28" s="65">
        <f t="shared" si="57"/>
        <v>0</v>
      </c>
      <c r="Z28" s="65">
        <f t="shared" si="57"/>
        <v>0</v>
      </c>
      <c r="AA28" s="65">
        <f t="shared" si="57"/>
        <v>0</v>
      </c>
      <c r="AB28" s="65">
        <f t="shared" si="57"/>
        <v>0</v>
      </c>
      <c r="AC28" s="65">
        <f t="shared" si="47"/>
        <v>0</v>
      </c>
      <c r="AD28" s="65">
        <f t="shared" si="47"/>
        <v>0</v>
      </c>
      <c r="AE28" s="65">
        <f t="shared" ref="AE28:AF28" si="118">AE27</f>
        <v>0</v>
      </c>
      <c r="AF28" s="65">
        <f t="shared" si="118"/>
        <v>0</v>
      </c>
      <c r="AG28" s="65">
        <f t="shared" ref="AG28:AH28" si="119">AG27</f>
        <v>0</v>
      </c>
      <c r="AH28" s="65">
        <f t="shared" si="119"/>
        <v>0</v>
      </c>
      <c r="AI28" s="65">
        <f t="shared" ref="AI28" si="120">AI27</f>
        <v>0</v>
      </c>
      <c r="AJ28" s="63">
        <f t="shared" si="61"/>
        <v>0</v>
      </c>
      <c r="AK28" s="64">
        <f t="shared" si="62"/>
        <v>0</v>
      </c>
      <c r="AL28" s="64">
        <f t="shared" si="62"/>
        <v>0</v>
      </c>
      <c r="AM28" s="64">
        <f t="shared" si="62"/>
        <v>0</v>
      </c>
      <c r="AN28" s="66">
        <f t="shared" si="51"/>
        <v>0</v>
      </c>
      <c r="AO28" s="63">
        <f t="shared" si="51"/>
        <v>0</v>
      </c>
      <c r="AP28" s="64">
        <f t="shared" si="51"/>
        <v>0</v>
      </c>
      <c r="AQ28" s="65">
        <f t="shared" si="51"/>
        <v>0</v>
      </c>
      <c r="AR28" s="66">
        <f t="shared" si="51"/>
        <v>0</v>
      </c>
      <c r="AS28" s="31" t="str">
        <f t="shared" si="63"/>
        <v>SimulationStorage,1,</v>
      </c>
      <c r="AT28" s="31" t="str">
        <f t="shared" si="64"/>
        <v>AnalysisStorage,1,</v>
      </c>
      <c r="AU28" s="31" t="str">
        <f t="shared" si="65"/>
        <v>LogRuleEvaluation,0,</v>
      </c>
      <c r="AV28" s="31" t="str">
        <f t="shared" si="66"/>
        <v>ParallelSimulations,1,</v>
      </c>
      <c r="AW28" s="31" t="str">
        <f t="shared" si="67"/>
        <v>DurationStats,0,</v>
      </c>
      <c r="AX28" s="31" t="str">
        <f t="shared" si="68"/>
        <v>AnalysisThruStep,8,</v>
      </c>
      <c r="AY28" s="31" t="str">
        <f t="shared" si="69"/>
        <v>DontAbortOnErrorsThruStep,8,</v>
      </c>
      <c r="AZ28" s="31" t="str">
        <f t="shared" si="70"/>
        <v>BypassValidFileChecks,1,</v>
      </c>
      <c r="BA28" s="31" t="str">
        <f t="shared" si="71"/>
        <v>BypassInputChecks,0,</v>
      </c>
      <c r="BB28" s="31" t="str">
        <f t="shared" si="72"/>
        <v>BypassUMLHChecks,0,</v>
      </c>
      <c r="BC28" s="31" t="str">
        <f t="shared" si="73"/>
        <v>BypassCheckSimRules,0,</v>
      </c>
      <c r="BD28" s="31" t="str">
        <f t="shared" si="74"/>
        <v>BypassCheckCodeRules,0,</v>
      </c>
      <c r="BE28" s="31" t="str">
        <f t="shared" si="75"/>
        <v>StoreResultsToModelInput,0,</v>
      </c>
      <c r="BF28" s="31" t="str">
        <f t="shared" si="76"/>
        <v>StoreBEMDetails,0,</v>
      </c>
      <c r="BG28" s="31" t="str">
        <f t="shared" si="77"/>
        <v>ModelRpt_ALL,0,</v>
      </c>
      <c r="BH28" s="31" t="str">
        <f t="shared" si="78"/>
        <v>ExportHourlyResults_All,0,</v>
      </c>
      <c r="BI28" s="31" t="str">
        <f t="shared" si="79"/>
        <v>ComplianceReportPDF,0,</v>
      </c>
      <c r="BJ28" s="31" t="str">
        <f t="shared" si="80"/>
        <v>ComplianceReportXML,0,</v>
      </c>
      <c r="BK28" s="31" t="str">
        <f t="shared" si="81"/>
        <v>QuickAnalysis,0,</v>
      </c>
      <c r="BL28" s="31" t="str">
        <f t="shared" si="82"/>
        <v>PromptUserUMLHWarning,0,</v>
      </c>
      <c r="BM28" s="31" t="str">
        <f t="shared" si="83"/>
        <v>BypassOpenStudio_all,0,</v>
      </c>
      <c r="BN28" s="31" t="str">
        <f t="shared" si="84"/>
        <v>BypassOpenStudio_zp,0,</v>
      </c>
      <c r="BO28" s="31" t="str">
        <f t="shared" si="85"/>
        <v>BypassOpenStudio_zb,0,</v>
      </c>
      <c r="BP28" s="31" t="str">
        <f t="shared" si="86"/>
        <v>BypassOpenStudio_ap,0,</v>
      </c>
      <c r="BQ28" s="31" t="str">
        <f t="shared" si="87"/>
        <v>BypassOpenStudio_ab,0,</v>
      </c>
      <c r="BR28" s="31" t="str">
        <f t="shared" si="88"/>
        <v>BypassOpenStudio_zp,0,</v>
      </c>
      <c r="BS28" s="31" t="str">
        <f t="shared" si="89"/>
        <v>BypassOpenStudio_zb,0,</v>
      </c>
      <c r="BT28" s="31" t="str">
        <f t="shared" si="90"/>
        <v>BypassOpenStudio_ap,0,</v>
      </c>
      <c r="BU28" s="31" t="str">
        <f t="shared" si="91"/>
        <v>BypassOpenStudio_ab,0,</v>
      </c>
    </row>
    <row r="29" spans="1:77" x14ac:dyDescent="0.25">
      <c r="A29" s="39">
        <f>L29</f>
        <v>0</v>
      </c>
      <c r="B29" s="27" t="str">
        <f t="shared" si="38"/>
        <v>StandardModelTests\.cibd</v>
      </c>
      <c r="C29" s="27" t="str">
        <f xml:space="preserve"> M$12 &amp; O29 &amp; ".cibd"</f>
        <v>BatchOut_160331_r3964_Std13\.cibd</v>
      </c>
      <c r="D29" s="27" t="str">
        <f t="shared" si="39"/>
        <v>BatchOut_160331_r3964_Std13\XML\</v>
      </c>
      <c r="E29" s="9" t="str">
        <f t="shared" si="40"/>
        <v/>
      </c>
      <c r="F29" s="22"/>
      <c r="G29" s="29"/>
      <c r="H29" s="23"/>
      <c r="I29" s="9" t="s">
        <v>11</v>
      </c>
      <c r="J29"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 s="15" t="s">
        <v>1</v>
      </c>
      <c r="L29" s="36">
        <f t="shared" si="53"/>
        <v>0</v>
      </c>
      <c r="M29" s="32" t="str">
        <f t="shared" ref="M29" si="121">LEFT(N29,6)&amp;IF(SUM(F29:H29)&gt;0,"_autosize","")</f>
        <v/>
      </c>
      <c r="N29" s="28"/>
      <c r="O29" s="57"/>
      <c r="P29" s="63">
        <f t="shared" si="54"/>
        <v>1</v>
      </c>
      <c r="Q29" s="65">
        <f t="shared" si="54"/>
        <v>1</v>
      </c>
      <c r="R29" s="65">
        <f t="shared" si="54"/>
        <v>0</v>
      </c>
      <c r="S29" s="65">
        <f t="shared" si="54"/>
        <v>1</v>
      </c>
      <c r="T29" s="65">
        <f t="shared" si="54"/>
        <v>0</v>
      </c>
      <c r="U29" s="65">
        <f t="shared" si="55"/>
        <v>8</v>
      </c>
      <c r="V29" s="65">
        <f t="shared" si="56"/>
        <v>8</v>
      </c>
      <c r="W29" s="65">
        <f t="shared" si="57"/>
        <v>1</v>
      </c>
      <c r="X29" s="65">
        <f t="shared" si="57"/>
        <v>0</v>
      </c>
      <c r="Y29" s="65">
        <f t="shared" si="57"/>
        <v>0</v>
      </c>
      <c r="Z29" s="65">
        <f t="shared" si="57"/>
        <v>0</v>
      </c>
      <c r="AA29" s="65">
        <f t="shared" si="57"/>
        <v>0</v>
      </c>
      <c r="AB29" s="65">
        <f t="shared" si="57"/>
        <v>0</v>
      </c>
      <c r="AC29" s="65">
        <f t="shared" si="47"/>
        <v>0</v>
      </c>
      <c r="AD29" s="65">
        <f t="shared" si="47"/>
        <v>0</v>
      </c>
      <c r="AE29" s="65">
        <f t="shared" ref="AE29:AF29" si="122">AE28</f>
        <v>0</v>
      </c>
      <c r="AF29" s="65">
        <f t="shared" si="122"/>
        <v>0</v>
      </c>
      <c r="AG29" s="65">
        <f t="shared" ref="AG29:AH29" si="123">AG28</f>
        <v>0</v>
      </c>
      <c r="AH29" s="65">
        <f t="shared" si="123"/>
        <v>0</v>
      </c>
      <c r="AI29" s="65">
        <f t="shared" ref="AI29" si="124">AI28</f>
        <v>0</v>
      </c>
      <c r="AJ29" s="63">
        <f t="shared" si="61"/>
        <v>0</v>
      </c>
      <c r="AK29" s="64">
        <f t="shared" si="62"/>
        <v>0</v>
      </c>
      <c r="AL29" s="64">
        <f t="shared" si="62"/>
        <v>0</v>
      </c>
      <c r="AM29" s="64">
        <f t="shared" si="62"/>
        <v>0</v>
      </c>
      <c r="AN29" s="66">
        <f t="shared" si="51"/>
        <v>0</v>
      </c>
      <c r="AO29" s="63">
        <f t="shared" si="51"/>
        <v>0</v>
      </c>
      <c r="AP29" s="64">
        <f t="shared" si="51"/>
        <v>0</v>
      </c>
      <c r="AQ29" s="65">
        <f t="shared" si="51"/>
        <v>0</v>
      </c>
      <c r="AR29" s="66">
        <f t="shared" si="51"/>
        <v>0</v>
      </c>
      <c r="AS29" s="31" t="str">
        <f t="shared" ref="AS29:BD30" si="125">P$13&amp;P29&amp;","</f>
        <v>SimulationStorage,1,</v>
      </c>
      <c r="AT29" s="31" t="str">
        <f t="shared" si="125"/>
        <v>AnalysisStorage,1,</v>
      </c>
      <c r="AU29" s="31" t="str">
        <f t="shared" si="125"/>
        <v>LogRuleEvaluation,0,</v>
      </c>
      <c r="AV29" s="31" t="str">
        <f t="shared" si="125"/>
        <v>ParallelSimulations,1,</v>
      </c>
      <c r="AW29" s="31" t="str">
        <f t="shared" si="125"/>
        <v>DurationStats,0,</v>
      </c>
      <c r="AX29" s="31" t="str">
        <f t="shared" si="125"/>
        <v>AnalysisThruStep,8,</v>
      </c>
      <c r="AY29" s="31" t="str">
        <f t="shared" si="125"/>
        <v>DontAbortOnErrorsThruStep,8,</v>
      </c>
      <c r="AZ29" s="31" t="str">
        <f t="shared" si="125"/>
        <v>BypassValidFileChecks,1,</v>
      </c>
      <c r="BA29" s="31" t="str">
        <f t="shared" si="125"/>
        <v>BypassInputChecks,0,</v>
      </c>
      <c r="BB29" s="31" t="str">
        <f t="shared" si="125"/>
        <v>BypassUMLHChecks,0,</v>
      </c>
      <c r="BC29" s="31" t="str">
        <f t="shared" si="125"/>
        <v>BypassCheckSimRules,0,</v>
      </c>
      <c r="BD29" s="31" t="str">
        <f t="shared" si="125"/>
        <v>BypassCheckCodeRules,0,</v>
      </c>
      <c r="BE29" s="31" t="str">
        <f t="shared" si="75"/>
        <v>StoreResultsToModelInput,0,</v>
      </c>
      <c r="BF29" s="31" t="str">
        <f t="shared" si="76"/>
        <v>StoreBEMDetails,0,</v>
      </c>
      <c r="BG29" s="31" t="str">
        <f t="shared" si="77"/>
        <v>ModelRpt_ALL,0,</v>
      </c>
      <c r="BH29" s="31" t="str">
        <f t="shared" si="78"/>
        <v>ExportHourlyResults_All,0,</v>
      </c>
      <c r="BI29" s="31" t="str">
        <f t="shared" si="79"/>
        <v>ComplianceReportPDF,0,</v>
      </c>
      <c r="BJ29" s="31" t="str">
        <f t="shared" si="80"/>
        <v>ComplianceReportXML,0,</v>
      </c>
      <c r="BK29" s="31" t="str">
        <f t="shared" si="81"/>
        <v>QuickAnalysis,0,</v>
      </c>
      <c r="BL29" s="31" t="str">
        <f t="shared" si="82"/>
        <v>PromptUserUMLHWarning,0,</v>
      </c>
      <c r="BM29" s="31" t="str">
        <f t="shared" si="83"/>
        <v>BypassOpenStudio_all,0,</v>
      </c>
      <c r="BN29" s="31" t="str">
        <f t="shared" si="84"/>
        <v>BypassOpenStudio_zp,0,</v>
      </c>
      <c r="BO29" s="31" t="str">
        <f t="shared" si="85"/>
        <v>BypassOpenStudio_zb,0,</v>
      </c>
      <c r="BP29" s="31" t="str">
        <f t="shared" si="86"/>
        <v>BypassOpenStudio_ap,0,</v>
      </c>
      <c r="BQ29" s="31" t="str">
        <f t="shared" si="87"/>
        <v>BypassOpenStudio_ab,0,</v>
      </c>
      <c r="BR29" s="31" t="str">
        <f t="shared" si="88"/>
        <v>BypassOpenStudio_zp,0,</v>
      </c>
      <c r="BS29" s="31" t="str">
        <f t="shared" si="89"/>
        <v>BypassOpenStudio_zb,0,</v>
      </c>
      <c r="BT29" s="31" t="str">
        <f t="shared" si="90"/>
        <v>BypassOpenStudio_ap,0,</v>
      </c>
      <c r="BU29" s="31" t="str">
        <f t="shared" si="91"/>
        <v>BypassOpenStudio_ab,0,</v>
      </c>
    </row>
    <row r="30" spans="1:77" x14ac:dyDescent="0.25">
      <c r="A30" s="39">
        <f>L30</f>
        <v>0</v>
      </c>
      <c r="B30" s="27" t="str">
        <f t="shared" si="38"/>
        <v>StandardModelTests\.cibd</v>
      </c>
      <c r="C30" s="27" t="str">
        <f xml:space="preserve"> M$12 &amp; O30 &amp; ".cibd"</f>
        <v>BatchOut_160331_r3964_Std13\.cibd</v>
      </c>
      <c r="D30" s="27" t="str">
        <f t="shared" si="39"/>
        <v>BatchOut_160331_r3964_Std13\XML\</v>
      </c>
      <c r="E30" s="9" t="str">
        <f t="shared" si="40"/>
        <v/>
      </c>
      <c r="F30" s="22"/>
      <c r="G30" s="29"/>
      <c r="H30" s="23"/>
      <c r="I30" s="9" t="s">
        <v>11</v>
      </c>
      <c r="J30"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 s="15" t="s">
        <v>1</v>
      </c>
      <c r="L30" s="36">
        <f t="shared" si="53"/>
        <v>0</v>
      </c>
      <c r="M30" s="32" t="str">
        <f t="shared" ref="M30" si="126">LEFT(N30,6)&amp;IF(SUM(F30:H30)&gt;0,"_autosize","")</f>
        <v/>
      </c>
      <c r="N30" s="28"/>
      <c r="O30" s="57"/>
      <c r="P30" s="63">
        <f t="shared" si="54"/>
        <v>1</v>
      </c>
      <c r="Q30" s="65">
        <f t="shared" si="54"/>
        <v>1</v>
      </c>
      <c r="R30" s="65">
        <f t="shared" si="54"/>
        <v>0</v>
      </c>
      <c r="S30" s="65">
        <f t="shared" si="54"/>
        <v>1</v>
      </c>
      <c r="T30" s="65">
        <f t="shared" si="54"/>
        <v>0</v>
      </c>
      <c r="U30" s="65">
        <f t="shared" si="55"/>
        <v>8</v>
      </c>
      <c r="V30" s="65">
        <f t="shared" si="56"/>
        <v>8</v>
      </c>
      <c r="W30" s="65">
        <f t="shared" si="57"/>
        <v>1</v>
      </c>
      <c r="X30" s="65">
        <f t="shared" si="57"/>
        <v>0</v>
      </c>
      <c r="Y30" s="65">
        <f t="shared" si="57"/>
        <v>0</v>
      </c>
      <c r="Z30" s="65">
        <f t="shared" si="57"/>
        <v>0</v>
      </c>
      <c r="AA30" s="65">
        <f t="shared" si="57"/>
        <v>0</v>
      </c>
      <c r="AB30" s="65">
        <f t="shared" si="57"/>
        <v>0</v>
      </c>
      <c r="AC30" s="65">
        <f t="shared" si="47"/>
        <v>0</v>
      </c>
      <c r="AD30" s="65">
        <f t="shared" si="47"/>
        <v>0</v>
      </c>
      <c r="AE30" s="65">
        <f t="shared" ref="AE30:AF30" si="127">AE29</f>
        <v>0</v>
      </c>
      <c r="AF30" s="65">
        <f t="shared" si="127"/>
        <v>0</v>
      </c>
      <c r="AG30" s="65">
        <f t="shared" ref="AG30:AH30" si="128">AG29</f>
        <v>0</v>
      </c>
      <c r="AH30" s="65">
        <f t="shared" si="128"/>
        <v>0</v>
      </c>
      <c r="AI30" s="65">
        <f t="shared" ref="AI30" si="129">AI29</f>
        <v>0</v>
      </c>
      <c r="AJ30" s="63">
        <f t="shared" si="61"/>
        <v>0</v>
      </c>
      <c r="AK30" s="64">
        <f t="shared" si="62"/>
        <v>0</v>
      </c>
      <c r="AL30" s="64">
        <f t="shared" si="62"/>
        <v>0</v>
      </c>
      <c r="AM30" s="64">
        <f t="shared" si="62"/>
        <v>0</v>
      </c>
      <c r="AN30" s="66">
        <f t="shared" si="51"/>
        <v>0</v>
      </c>
      <c r="AO30" s="63">
        <f t="shared" si="51"/>
        <v>0</v>
      </c>
      <c r="AP30" s="64">
        <f t="shared" si="51"/>
        <v>0</v>
      </c>
      <c r="AQ30" s="65">
        <f t="shared" si="51"/>
        <v>0</v>
      </c>
      <c r="AR30" s="66">
        <f t="shared" si="51"/>
        <v>0</v>
      </c>
      <c r="AS30" s="31" t="str">
        <f t="shared" si="125"/>
        <v>SimulationStorage,1,</v>
      </c>
      <c r="AT30" s="31" t="str">
        <f t="shared" si="125"/>
        <v>AnalysisStorage,1,</v>
      </c>
      <c r="AU30" s="31" t="str">
        <f t="shared" si="125"/>
        <v>LogRuleEvaluation,0,</v>
      </c>
      <c r="AV30" s="31" t="str">
        <f t="shared" si="125"/>
        <v>ParallelSimulations,1,</v>
      </c>
      <c r="AW30" s="31" t="str">
        <f t="shared" si="125"/>
        <v>DurationStats,0,</v>
      </c>
      <c r="AX30" s="31" t="str">
        <f t="shared" si="125"/>
        <v>AnalysisThruStep,8,</v>
      </c>
      <c r="AY30" s="31" t="str">
        <f t="shared" si="125"/>
        <v>DontAbortOnErrorsThruStep,8,</v>
      </c>
      <c r="AZ30" s="31" t="str">
        <f t="shared" si="125"/>
        <v>BypassValidFileChecks,1,</v>
      </c>
      <c r="BA30" s="31" t="str">
        <f t="shared" si="125"/>
        <v>BypassInputChecks,0,</v>
      </c>
      <c r="BB30" s="31" t="str">
        <f t="shared" si="125"/>
        <v>BypassUMLHChecks,0,</v>
      </c>
      <c r="BC30" s="31" t="str">
        <f t="shared" si="125"/>
        <v>BypassCheckSimRules,0,</v>
      </c>
      <c r="BD30" s="31" t="str">
        <f t="shared" si="125"/>
        <v>BypassCheckCodeRules,0,</v>
      </c>
      <c r="BE30" s="31" t="str">
        <f t="shared" si="75"/>
        <v>StoreResultsToModelInput,0,</v>
      </c>
      <c r="BF30" s="31" t="str">
        <f t="shared" si="76"/>
        <v>StoreBEMDetails,0,</v>
      </c>
      <c r="BG30" s="31" t="str">
        <f t="shared" si="77"/>
        <v>ModelRpt_ALL,0,</v>
      </c>
      <c r="BH30" s="31" t="str">
        <f t="shared" si="78"/>
        <v>ExportHourlyResults_All,0,</v>
      </c>
      <c r="BI30" s="31" t="str">
        <f t="shared" si="79"/>
        <v>ComplianceReportPDF,0,</v>
      </c>
      <c r="BJ30" s="31" t="str">
        <f t="shared" si="80"/>
        <v>ComplianceReportXML,0,</v>
      </c>
      <c r="BK30" s="31" t="str">
        <f t="shared" si="81"/>
        <v>QuickAnalysis,0,</v>
      </c>
      <c r="BL30" s="31" t="str">
        <f t="shared" si="82"/>
        <v>PromptUserUMLHWarning,0,</v>
      </c>
      <c r="BM30" s="31" t="str">
        <f t="shared" si="83"/>
        <v>BypassOpenStudio_all,0,</v>
      </c>
      <c r="BN30" s="31" t="str">
        <f t="shared" si="84"/>
        <v>BypassOpenStudio_zp,0,</v>
      </c>
      <c r="BO30" s="31" t="str">
        <f t="shared" si="85"/>
        <v>BypassOpenStudio_zb,0,</v>
      </c>
      <c r="BP30" s="31" t="str">
        <f t="shared" si="86"/>
        <v>BypassOpenStudio_ap,0,</v>
      </c>
      <c r="BQ30" s="31" t="str">
        <f t="shared" si="87"/>
        <v>BypassOpenStudio_ab,0,</v>
      </c>
      <c r="BR30" s="31" t="str">
        <f t="shared" si="88"/>
        <v>BypassOpenStudio_zp,0,</v>
      </c>
      <c r="BS30" s="31" t="str">
        <f t="shared" si="89"/>
        <v>BypassOpenStudio_zb,0,</v>
      </c>
      <c r="BT30" s="31" t="str">
        <f t="shared" si="90"/>
        <v>BypassOpenStudio_ap,0,</v>
      </c>
      <c r="BU30" s="31" t="str">
        <f t="shared" si="91"/>
        <v>BypassOpenStudio_ab,0,</v>
      </c>
    </row>
    <row r="31" spans="1:77" x14ac:dyDescent="0.25">
      <c r="A31" s="39">
        <f t="shared" si="37"/>
        <v>0</v>
      </c>
      <c r="B31" s="27" t="str">
        <f t="shared" si="38"/>
        <v>StandardModelTests\.cibd</v>
      </c>
      <c r="C31" s="27" t="str">
        <f t="shared" si="33"/>
        <v>BatchOut_160331_r3964_Std13\.cibd</v>
      </c>
      <c r="D31" s="27" t="str">
        <f t="shared" si="39"/>
        <v>BatchOut_160331_r3964_Std13\XML\</v>
      </c>
      <c r="E31" s="9" t="str">
        <f t="shared" si="40"/>
        <v/>
      </c>
      <c r="F31" s="22"/>
      <c r="G31" s="29"/>
      <c r="H31" s="23"/>
      <c r="I31" s="9" t="s">
        <v>11</v>
      </c>
      <c r="J31" s="94" t="str">
        <f t="shared" si="41"/>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 s="15" t="s">
        <v>1</v>
      </c>
      <c r="L31" s="36">
        <f t="shared" si="53"/>
        <v>0</v>
      </c>
      <c r="M31" s="32" t="str">
        <f t="shared" si="117"/>
        <v/>
      </c>
      <c r="N31" s="28"/>
      <c r="O31" s="57"/>
      <c r="P31" s="63">
        <f t="shared" si="54"/>
        <v>1</v>
      </c>
      <c r="Q31" s="65">
        <f t="shared" si="54"/>
        <v>1</v>
      </c>
      <c r="R31" s="65">
        <f t="shared" si="54"/>
        <v>0</v>
      </c>
      <c r="S31" s="65">
        <f t="shared" si="54"/>
        <v>1</v>
      </c>
      <c r="T31" s="65">
        <f t="shared" si="54"/>
        <v>0</v>
      </c>
      <c r="U31" s="65">
        <f t="shared" si="55"/>
        <v>8</v>
      </c>
      <c r="V31" s="65">
        <f t="shared" si="56"/>
        <v>8</v>
      </c>
      <c r="W31" s="65">
        <f t="shared" si="57"/>
        <v>1</v>
      </c>
      <c r="X31" s="65">
        <f t="shared" si="57"/>
        <v>0</v>
      </c>
      <c r="Y31" s="65">
        <f t="shared" si="57"/>
        <v>0</v>
      </c>
      <c r="Z31" s="65">
        <f t="shared" si="57"/>
        <v>0</v>
      </c>
      <c r="AA31" s="65">
        <f t="shared" si="57"/>
        <v>0</v>
      </c>
      <c r="AB31" s="65">
        <f t="shared" si="57"/>
        <v>0</v>
      </c>
      <c r="AC31" s="65">
        <f t="shared" si="47"/>
        <v>0</v>
      </c>
      <c r="AD31" s="65">
        <f t="shared" si="47"/>
        <v>0</v>
      </c>
      <c r="AE31" s="65">
        <f t="shared" ref="AE31:AF31" si="130">AE30</f>
        <v>0</v>
      </c>
      <c r="AF31" s="65">
        <f t="shared" si="130"/>
        <v>0</v>
      </c>
      <c r="AG31" s="65">
        <f t="shared" ref="AG31:AH31" si="131">AG30</f>
        <v>0</v>
      </c>
      <c r="AH31" s="65">
        <f t="shared" si="131"/>
        <v>0</v>
      </c>
      <c r="AI31" s="65">
        <f t="shared" ref="AI31" si="132">AI30</f>
        <v>0</v>
      </c>
      <c r="AJ31" s="63">
        <f t="shared" si="61"/>
        <v>0</v>
      </c>
      <c r="AK31" s="64">
        <f t="shared" si="62"/>
        <v>0</v>
      </c>
      <c r="AL31" s="64">
        <f t="shared" si="62"/>
        <v>0</v>
      </c>
      <c r="AM31" s="64">
        <f t="shared" si="62"/>
        <v>0</v>
      </c>
      <c r="AN31" s="66">
        <f t="shared" si="51"/>
        <v>0</v>
      </c>
      <c r="AO31" s="63">
        <f t="shared" si="51"/>
        <v>0</v>
      </c>
      <c r="AP31" s="64">
        <f t="shared" si="51"/>
        <v>0</v>
      </c>
      <c r="AQ31" s="65">
        <f t="shared" si="51"/>
        <v>0</v>
      </c>
      <c r="AR31" s="66">
        <f t="shared" si="51"/>
        <v>0</v>
      </c>
      <c r="AS31" s="31" t="str">
        <f t="shared" si="63"/>
        <v>SimulationStorage,1,</v>
      </c>
      <c r="AT31" s="31" t="str">
        <f t="shared" si="64"/>
        <v>AnalysisStorage,1,</v>
      </c>
      <c r="AU31" s="31" t="str">
        <f t="shared" si="65"/>
        <v>LogRuleEvaluation,0,</v>
      </c>
      <c r="AV31" s="31" t="str">
        <f t="shared" si="66"/>
        <v>ParallelSimulations,1,</v>
      </c>
      <c r="AW31" s="31" t="str">
        <f t="shared" si="67"/>
        <v>DurationStats,0,</v>
      </c>
      <c r="AX31" s="31" t="str">
        <f t="shared" si="68"/>
        <v>AnalysisThruStep,8,</v>
      </c>
      <c r="AY31" s="31" t="str">
        <f t="shared" si="69"/>
        <v>DontAbortOnErrorsThruStep,8,</v>
      </c>
      <c r="AZ31" s="31" t="str">
        <f t="shared" si="70"/>
        <v>BypassValidFileChecks,1,</v>
      </c>
      <c r="BA31" s="31" t="str">
        <f t="shared" si="71"/>
        <v>BypassInputChecks,0,</v>
      </c>
      <c r="BB31" s="31" t="str">
        <f t="shared" si="72"/>
        <v>BypassUMLHChecks,0,</v>
      </c>
      <c r="BC31" s="31" t="str">
        <f t="shared" si="73"/>
        <v>BypassCheckSimRules,0,</v>
      </c>
      <c r="BD31" s="31" t="str">
        <f t="shared" si="74"/>
        <v>BypassCheckCodeRules,0,</v>
      </c>
      <c r="BE31" s="31" t="str">
        <f>AB$13&amp;AB31&amp;","</f>
        <v>StoreResultsToModelInput,0,</v>
      </c>
      <c r="BF31" s="31" t="str">
        <f>AC$13&amp;AC31&amp;","</f>
        <v>StoreBEMDetails,0,</v>
      </c>
      <c r="BG31" s="31" t="str">
        <f>AD$13&amp;AD31&amp;","</f>
        <v>ModelRpt_ALL,0,</v>
      </c>
      <c r="BH31" s="31" t="str">
        <f t="shared" ref="BH31" si="133">AE$13&amp;AE31&amp;","</f>
        <v>ExportHourlyResults_All,0,</v>
      </c>
      <c r="BI31" s="31" t="str">
        <f t="shared" ref="BI31" si="134">AF$13&amp;AF31&amp;","</f>
        <v>ComplianceReportPDF,0,</v>
      </c>
      <c r="BJ31" s="31" t="str">
        <f t="shared" ref="BJ31" si="135">AG$13&amp;AG31&amp;","</f>
        <v>ComplianceReportXML,0,</v>
      </c>
      <c r="BK31" s="31" t="str">
        <f t="shared" ref="BK31:BL31" si="136">AH$13&amp;AH31&amp;","</f>
        <v>QuickAnalysis,0,</v>
      </c>
      <c r="BL31" s="31" t="str">
        <f t="shared" si="136"/>
        <v>PromptUserUMLHWarning,0,</v>
      </c>
      <c r="BM31" s="31" t="str">
        <f t="shared" ref="BM31" si="137">AJ$13&amp;AJ31&amp;","</f>
        <v>BypassOpenStudio_all,0,</v>
      </c>
      <c r="BN31" s="31" t="str">
        <f t="shared" ref="BN31" si="138">AK$13&amp;AK31&amp;","</f>
        <v>BypassOpenStudio_zp,0,</v>
      </c>
      <c r="BO31" s="31" t="str">
        <f t="shared" ref="BO31" si="139">AL$13&amp;AL31&amp;","</f>
        <v>BypassOpenStudio_zb,0,</v>
      </c>
      <c r="BP31" s="31" t="str">
        <f t="shared" ref="BP31" si="140">AM$13&amp;AM31&amp;","</f>
        <v>BypassOpenStudio_ap,0,</v>
      </c>
      <c r="BQ31" s="31" t="str">
        <f t="shared" ref="BQ31" si="141">AN$13&amp;AN31&amp;","</f>
        <v>BypassOpenStudio_ab,0,</v>
      </c>
      <c r="BR31" s="31" t="str">
        <f t="shared" ref="BR31" si="142">AO$13&amp;AO31&amp;","</f>
        <v>BypassOpenStudio_zp,0,</v>
      </c>
      <c r="BS31" s="31" t="str">
        <f t="shared" ref="BS31" si="143">AP$13&amp;AP31&amp;","</f>
        <v>BypassOpenStudio_zb,0,</v>
      </c>
      <c r="BT31" s="31" t="str">
        <f t="shared" ref="BT31" si="144">AQ$13&amp;AQ31&amp;","</f>
        <v>BypassOpenStudio_ap,0,</v>
      </c>
      <c r="BU31" s="31" t="str">
        <f t="shared" ref="BU31" si="145">AR$13&amp;AR31&amp;","</f>
        <v>BypassOpenStudio_ab,0,</v>
      </c>
    </row>
    <row r="32" spans="1:77" customFormat="1" x14ac:dyDescent="0.25">
      <c r="A32" t="s">
        <v>1</v>
      </c>
      <c r="J32" s="90"/>
      <c r="K32" s="15"/>
      <c r="L32" s="77"/>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row>
    <row r="33" spans="1:75" x14ac:dyDescent="0.25">
      <c r="A33" s="1" t="s">
        <v>1</v>
      </c>
      <c r="B33"/>
      <c r="C33"/>
      <c r="D33" s="30"/>
      <c r="E33" s="16"/>
      <c r="F33" s="16"/>
      <c r="G33" s="16"/>
      <c r="H33" s="16"/>
      <c r="K33" s="15"/>
      <c r="L33" s="36" t="s">
        <v>176</v>
      </c>
      <c r="M33" s="78" t="s">
        <v>165</v>
      </c>
    </row>
    <row r="34" spans="1:75" x14ac:dyDescent="0.25">
      <c r="A34" s="1" t="s">
        <v>1</v>
      </c>
      <c r="B34"/>
      <c r="C34"/>
      <c r="D34" s="30"/>
      <c r="K34" s="15"/>
      <c r="L34" s="37" t="s">
        <v>45</v>
      </c>
      <c r="M34" s="53">
        <f>$M$7</f>
        <v>160331</v>
      </c>
    </row>
    <row r="35" spans="1:75" x14ac:dyDescent="0.25">
      <c r="A35" s="1" t="s">
        <v>1</v>
      </c>
      <c r="B35"/>
      <c r="C35"/>
      <c r="D35" s="30"/>
      <c r="K35" s="15"/>
      <c r="L35" s="14" t="s">
        <v>46</v>
      </c>
      <c r="M35" s="53" t="str">
        <f>$M$8</f>
        <v>r3964</v>
      </c>
      <c r="N35" s="52"/>
    </row>
    <row r="36" spans="1:75" x14ac:dyDescent="0.25">
      <c r="A36" s="1" t="s">
        <v>1</v>
      </c>
      <c r="B36"/>
      <c r="C36"/>
      <c r="D36" s="30"/>
      <c r="E36" s="30"/>
      <c r="F36" s="30"/>
      <c r="G36" s="30"/>
      <c r="H36" s="30"/>
      <c r="I36" s="26"/>
      <c r="K36" s="15"/>
      <c r="L36" s="35" t="s">
        <v>39</v>
      </c>
      <c r="M36" s="53" t="str">
        <f>$M$10</f>
        <v>BatchResults_160331_r3964.csv</v>
      </c>
      <c r="N36" s="1" t="s">
        <v>48</v>
      </c>
    </row>
    <row r="37" spans="1:75" x14ac:dyDescent="0.25">
      <c r="A37" s="1" t="s">
        <v>1</v>
      </c>
      <c r="K37" s="15"/>
      <c r="L37" s="14" t="s">
        <v>16</v>
      </c>
      <c r="M37" s="28" t="s">
        <v>166</v>
      </c>
      <c r="N37" s="1" t="s">
        <v>47</v>
      </c>
      <c r="AJ37" s="104"/>
      <c r="AK37" s="104"/>
      <c r="AL37" s="104"/>
      <c r="AM37" s="104"/>
      <c r="AN37" s="104"/>
      <c r="AO37" s="104"/>
      <c r="AP37" s="104"/>
      <c r="AQ37" s="104"/>
      <c r="AR37" s="104"/>
    </row>
    <row r="38" spans="1:75" x14ac:dyDescent="0.25">
      <c r="A38" s="1" t="s">
        <v>1</v>
      </c>
      <c r="K38" s="15"/>
      <c r="L38" s="14" t="s">
        <v>17</v>
      </c>
      <c r="M38" s="54" t="str">
        <f>"BatchOut"&amp;"_"&amp;M34&amp;"_"&amp;M35&amp;"_"&amp;L33&amp;"\"</f>
        <v>BatchOut_160331_r3964_OT\</v>
      </c>
      <c r="N38" s="1" t="s">
        <v>47</v>
      </c>
    </row>
    <row r="39" spans="1:75" x14ac:dyDescent="0.25">
      <c r="A39" s="1" t="s">
        <v>1</v>
      </c>
      <c r="K39" s="15"/>
      <c r="L39" s="14" t="s">
        <v>42</v>
      </c>
      <c r="M39" s="54" t="str">
        <f>M38&amp;"XML\"</f>
        <v>BatchOut_160331_r3964_OT\XML\</v>
      </c>
      <c r="N39" s="1" t="s">
        <v>47</v>
      </c>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row>
    <row r="40" spans="1:75" s="46" customFormat="1" x14ac:dyDescent="0.25">
      <c r="A40" s="12" t="s">
        <v>1</v>
      </c>
      <c r="B40" s="8"/>
      <c r="C40" s="8"/>
      <c r="D40" s="8"/>
      <c r="E40" s="8"/>
      <c r="F40" s="19"/>
      <c r="G40" s="21"/>
      <c r="H40" s="20"/>
      <c r="I40" s="8"/>
      <c r="J40" s="93"/>
      <c r="K40" s="15"/>
      <c r="L40" s="42"/>
      <c r="M40" s="43"/>
      <c r="N40" s="40"/>
      <c r="O40" s="40"/>
      <c r="P40" s="56"/>
      <c r="Q40" s="56"/>
      <c r="R40" s="44"/>
      <c r="S40" s="44"/>
      <c r="T40" s="44"/>
      <c r="U40" s="44"/>
      <c r="V40" s="45"/>
      <c r="W40" s="44"/>
      <c r="X40" s="44"/>
      <c r="Y40" s="44"/>
      <c r="Z40" s="44"/>
      <c r="AA40" s="44"/>
      <c r="AB40" s="44"/>
      <c r="AC40" s="44"/>
      <c r="AD40" s="45"/>
      <c r="AE40" s="45"/>
      <c r="AF40" s="45"/>
      <c r="AG40" s="45"/>
      <c r="AH40" s="45"/>
      <c r="AI40" s="45"/>
      <c r="AJ40" s="43"/>
      <c r="AK40" s="43"/>
      <c r="AL40" s="43"/>
      <c r="AM40" s="43"/>
      <c r="AN40" s="43"/>
      <c r="AO40" s="43"/>
      <c r="AP40" s="43"/>
      <c r="AQ40" s="43"/>
      <c r="AR40" s="43"/>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c r="BW40" s="62"/>
    </row>
    <row r="41" spans="1:75" x14ac:dyDescent="0.25">
      <c r="A41" s="39">
        <f t="shared" ref="A41:A68" si="146">L41</f>
        <v>1</v>
      </c>
      <c r="B41" s="27" t="str">
        <f>M$37&amp;N41&amp;".cibd"</f>
        <v>OtherTests\010112-SchSml-PSZ.cibd</v>
      </c>
      <c r="C41" s="27" t="str">
        <f xml:space="preserve"> M$38 &amp; O41 &amp; ".cibd"</f>
        <v>BatchOut_160331_r3964_OT\010112-SchSml-PSZ.cibd</v>
      </c>
      <c r="D41" s="27" t="str">
        <f>$M$39</f>
        <v>BatchOut_160331_r3964_OT\XML\</v>
      </c>
      <c r="E41" s="9" t="str">
        <f>M41</f>
        <v>010112-SchSml-PSZ</v>
      </c>
      <c r="F41" s="22"/>
      <c r="G41" s="29"/>
      <c r="H41" s="23" t="str">
        <f>IF(F41&gt;1,1,"")</f>
        <v/>
      </c>
      <c r="I41" s="9" t="s">
        <v>11</v>
      </c>
      <c r="J41" s="94" t="str">
        <f t="shared" ref="J41:J68" si="147">CONCATENATE(AS41,AT41,AU41,AV41,AW41,AX41,AY41,AZ41,BA41,BB41,BC41,BD41,BE41,BF41,BG41,BH41,BI41,BJ41,BK41,BL41,BM41,BN41,BO41,BP41,BQ41,BR41,BS41,BT41,BU41)</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 s="15" t="s">
        <v>1</v>
      </c>
      <c r="L41" s="36">
        <f>L17</f>
        <v>1</v>
      </c>
      <c r="M41" s="32" t="str">
        <f t="shared" ref="M41:M46" si="148">N41</f>
        <v>010112-SchSml-PSZ</v>
      </c>
      <c r="N41" s="28" t="s">
        <v>93</v>
      </c>
      <c r="O41" s="28" t="str">
        <f t="shared" ref="O41:O49" si="149">N41</f>
        <v>010112-SchSml-PSZ</v>
      </c>
      <c r="P41" s="36">
        <f>P$17</f>
        <v>1</v>
      </c>
      <c r="Q41" s="36">
        <f t="shared" ref="Q41:AR41" si="150">Q$17</f>
        <v>1</v>
      </c>
      <c r="R41" s="36">
        <f t="shared" si="150"/>
        <v>0</v>
      </c>
      <c r="S41" s="36">
        <f t="shared" si="150"/>
        <v>1</v>
      </c>
      <c r="T41" s="36">
        <f t="shared" si="150"/>
        <v>0</v>
      </c>
      <c r="U41" s="36">
        <f t="shared" si="150"/>
        <v>8</v>
      </c>
      <c r="V41" s="36">
        <f t="shared" si="150"/>
        <v>8</v>
      </c>
      <c r="W41" s="36">
        <f t="shared" si="150"/>
        <v>1</v>
      </c>
      <c r="X41" s="36">
        <f t="shared" si="150"/>
        <v>0</v>
      </c>
      <c r="Y41" s="36">
        <f t="shared" si="150"/>
        <v>0</v>
      </c>
      <c r="Z41" s="36">
        <f t="shared" si="150"/>
        <v>0</v>
      </c>
      <c r="AA41" s="36">
        <f t="shared" si="150"/>
        <v>0</v>
      </c>
      <c r="AB41" s="36">
        <f t="shared" si="150"/>
        <v>0</v>
      </c>
      <c r="AC41" s="36">
        <f t="shared" si="150"/>
        <v>0</v>
      </c>
      <c r="AD41" s="36">
        <f t="shared" si="150"/>
        <v>0</v>
      </c>
      <c r="AE41" s="36">
        <f t="shared" si="150"/>
        <v>0</v>
      </c>
      <c r="AF41" s="36">
        <f t="shared" si="150"/>
        <v>0</v>
      </c>
      <c r="AG41" s="36">
        <f t="shared" si="150"/>
        <v>0</v>
      </c>
      <c r="AH41" s="36">
        <f t="shared" si="150"/>
        <v>0</v>
      </c>
      <c r="AI41" s="36">
        <f t="shared" si="150"/>
        <v>0</v>
      </c>
      <c r="AJ41" s="36">
        <f t="shared" si="150"/>
        <v>0</v>
      </c>
      <c r="AK41" s="36">
        <f t="shared" si="150"/>
        <v>0</v>
      </c>
      <c r="AL41" s="36">
        <f t="shared" si="150"/>
        <v>0</v>
      </c>
      <c r="AM41" s="36">
        <f t="shared" si="150"/>
        <v>0</v>
      </c>
      <c r="AN41" s="36">
        <f t="shared" si="150"/>
        <v>0</v>
      </c>
      <c r="AO41" s="36">
        <f t="shared" si="150"/>
        <v>0</v>
      </c>
      <c r="AP41" s="36">
        <f t="shared" si="150"/>
        <v>0</v>
      </c>
      <c r="AQ41" s="36">
        <f t="shared" si="150"/>
        <v>0</v>
      </c>
      <c r="AR41" s="36">
        <f t="shared" si="150"/>
        <v>0</v>
      </c>
      <c r="AS41" s="31" t="str">
        <f t="shared" ref="AS41:AS68" si="151">P$13&amp;P41&amp;","</f>
        <v>SimulationStorage,1,</v>
      </c>
      <c r="AT41" s="31" t="str">
        <f t="shared" ref="AT41:AT68" si="152">Q$13&amp;Q41&amp;","</f>
        <v>AnalysisStorage,1,</v>
      </c>
      <c r="AU41" s="31" t="str">
        <f t="shared" ref="AU41:AU68" si="153">R$13&amp;R41&amp;","</f>
        <v>LogRuleEvaluation,0,</v>
      </c>
      <c r="AV41" s="31" t="str">
        <f t="shared" ref="AV41:AV68" si="154">S$13&amp;S41&amp;","</f>
        <v>ParallelSimulations,1,</v>
      </c>
      <c r="AW41" s="31" t="str">
        <f t="shared" ref="AW41:AW68" si="155">T$13&amp;T41&amp;","</f>
        <v>DurationStats,0,</v>
      </c>
      <c r="AX41" s="31" t="str">
        <f t="shared" ref="AX41:AX68" si="156">U$13&amp;U41&amp;","</f>
        <v>AnalysisThruStep,8,</v>
      </c>
      <c r="AY41" s="31" t="str">
        <f t="shared" ref="AY41:AY68" si="157">V$13&amp;V41&amp;","</f>
        <v>DontAbortOnErrorsThruStep,8,</v>
      </c>
      <c r="AZ41" s="31" t="str">
        <f t="shared" ref="AZ41:AZ68" si="158">W$13&amp;W41&amp;","</f>
        <v>BypassValidFileChecks,1,</v>
      </c>
      <c r="BA41" s="31" t="str">
        <f t="shared" ref="BA41:BA68" si="159">X$13&amp;X41&amp;","</f>
        <v>BypassInputChecks,0,</v>
      </c>
      <c r="BB41" s="31" t="str">
        <f t="shared" ref="BB41:BB68" si="160">Y$13&amp;Y41&amp;","</f>
        <v>BypassUMLHChecks,0,</v>
      </c>
      <c r="BC41" s="31" t="str">
        <f t="shared" ref="BC41:BC68" si="161">Z$13&amp;Z41&amp;","</f>
        <v>BypassCheckSimRules,0,</v>
      </c>
      <c r="BD41" s="31" t="str">
        <f t="shared" ref="BD41:BD68" si="162">AA$13&amp;AA41&amp;","</f>
        <v>BypassCheckCodeRules,0,</v>
      </c>
      <c r="BE41" s="31" t="str">
        <f t="shared" ref="BE41:BE68" si="163">AB$13&amp;AB41&amp;","</f>
        <v>StoreResultsToModelInput,0,</v>
      </c>
      <c r="BF41" s="31" t="str">
        <f t="shared" ref="BF41:BF68" si="164">AC$13&amp;AC41&amp;","</f>
        <v>StoreBEMDetails,0,</v>
      </c>
      <c r="BG41" s="31" t="str">
        <f t="shared" ref="BG41:BG68" si="165">AD$13&amp;AD41&amp;","</f>
        <v>ModelRpt_ALL,0,</v>
      </c>
      <c r="BH41" s="31" t="str">
        <f t="shared" ref="BH41:BH68" si="166">AE$13&amp;AE41&amp;","</f>
        <v>ExportHourlyResults_All,0,</v>
      </c>
      <c r="BI41" s="31" t="str">
        <f t="shared" ref="BI41:BI68" si="167">AF$13&amp;AF41&amp;","</f>
        <v>ComplianceReportPDF,0,</v>
      </c>
      <c r="BJ41" s="31" t="str">
        <f t="shared" ref="BJ41:BJ68" si="168">AG$13&amp;AG41&amp;","</f>
        <v>ComplianceReportXML,0,</v>
      </c>
      <c r="BK41" s="31" t="str">
        <f t="shared" ref="BK41:BL68" si="169">AH$13&amp;AH41&amp;","</f>
        <v>QuickAnalysis,0,</v>
      </c>
      <c r="BL41" s="31" t="str">
        <f t="shared" si="169"/>
        <v>PromptUserUMLHWarning,0,</v>
      </c>
      <c r="BM41" s="31" t="str">
        <f t="shared" ref="BM41:BM68" si="170">AJ$13&amp;AJ41&amp;","</f>
        <v>BypassOpenStudio_all,0,</v>
      </c>
      <c r="BN41" s="31" t="str">
        <f t="shared" ref="BN41:BN68" si="171">AK$13&amp;AK41&amp;","</f>
        <v>BypassOpenStudio_zp,0,</v>
      </c>
      <c r="BO41" s="31" t="str">
        <f t="shared" ref="BO41:BO68" si="172">AL$13&amp;AL41&amp;","</f>
        <v>BypassOpenStudio_zb,0,</v>
      </c>
      <c r="BP41" s="31" t="str">
        <f t="shared" ref="BP41:BP68" si="173">AM$13&amp;AM41&amp;","</f>
        <v>BypassOpenStudio_ap,0,</v>
      </c>
      <c r="BQ41" s="31" t="str">
        <f t="shared" ref="BQ41:BQ68" si="174">AN$13&amp;AN41&amp;","</f>
        <v>BypassOpenStudio_ab,0,</v>
      </c>
      <c r="BR41" s="31" t="str">
        <f t="shared" ref="BR41:BR68" si="175">AO$13&amp;AO41&amp;","</f>
        <v>BypassOpenStudio_zp,0,</v>
      </c>
      <c r="BS41" s="31" t="str">
        <f t="shared" ref="BS41:BS68" si="176">AP$13&amp;AP41&amp;","</f>
        <v>BypassOpenStudio_zb,0,</v>
      </c>
      <c r="BT41" s="31" t="str">
        <f t="shared" ref="BT41:BT68" si="177">AQ$13&amp;AQ41&amp;","</f>
        <v>BypassOpenStudio_ap,0,</v>
      </c>
      <c r="BU41" s="31" t="str">
        <f t="shared" ref="BU41:BU68" si="178">AR$13&amp;AR41&amp;","</f>
        <v>BypassOpenStudio_ab,0,</v>
      </c>
    </row>
    <row r="42" spans="1:75" x14ac:dyDescent="0.25">
      <c r="A42" s="39">
        <f t="shared" si="146"/>
        <v>1</v>
      </c>
      <c r="B42" s="27" t="str">
        <f t="shared" ref="B42:B68" si="179">M$37&amp;N42&amp;".cibd"</f>
        <v>OtherTests\010212-SchSml-PVAVAirZnSys.cibd</v>
      </c>
      <c r="C42" s="27" t="str">
        <f t="shared" ref="C42:C68" si="180" xml:space="preserve"> M$38 &amp; O42 &amp; ".cibd"</f>
        <v>BatchOut_160331_r3964_OT\010212-SchSml-PVAVAirZnSys.cibd</v>
      </c>
      <c r="D42" s="27" t="str">
        <f t="shared" ref="D42:D68" si="181">$M$39</f>
        <v>BatchOut_160331_r3964_OT\XML\</v>
      </c>
      <c r="E42" s="9" t="str">
        <f t="shared" ref="E42:E68" si="182">M42</f>
        <v>010212-SchSml-PVAVAirZnSys</v>
      </c>
      <c r="F42" s="22"/>
      <c r="G42" s="29"/>
      <c r="H42" s="23" t="str">
        <f>IF(F42&gt;1,1,"")</f>
        <v/>
      </c>
      <c r="I42" s="9" t="s">
        <v>11</v>
      </c>
      <c r="J42"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2" s="15" t="s">
        <v>1</v>
      </c>
      <c r="L42" s="36">
        <f>L41</f>
        <v>1</v>
      </c>
      <c r="M42" s="32" t="str">
        <f t="shared" si="148"/>
        <v>010212-SchSml-PVAVAirZnSys</v>
      </c>
      <c r="N42" s="28" t="s">
        <v>94</v>
      </c>
      <c r="O42" s="57" t="str">
        <f t="shared" si="149"/>
        <v>010212-SchSml-PVAVAirZnSys</v>
      </c>
      <c r="P42" s="63">
        <f>P41</f>
        <v>1</v>
      </c>
      <c r="Q42" s="65">
        <f t="shared" ref="Q42:T42" si="183">Q41</f>
        <v>1</v>
      </c>
      <c r="R42" s="65">
        <f t="shared" si="183"/>
        <v>0</v>
      </c>
      <c r="S42" s="65">
        <f t="shared" si="183"/>
        <v>1</v>
      </c>
      <c r="T42" s="65">
        <f t="shared" si="183"/>
        <v>0</v>
      </c>
      <c r="U42" s="65">
        <f>U41</f>
        <v>8</v>
      </c>
      <c r="V42" s="65">
        <f>V41</f>
        <v>8</v>
      </c>
      <c r="W42" s="65">
        <f>W41</f>
        <v>1</v>
      </c>
      <c r="X42" s="65">
        <f t="shared" ref="X42:Y42" si="184">X41</f>
        <v>0</v>
      </c>
      <c r="Y42" s="65">
        <f t="shared" si="184"/>
        <v>0</v>
      </c>
      <c r="Z42" s="65">
        <f>Z41</f>
        <v>0</v>
      </c>
      <c r="AA42" s="65">
        <f>AA41</f>
        <v>0</v>
      </c>
      <c r="AB42" s="65">
        <f>AB41</f>
        <v>0</v>
      </c>
      <c r="AC42" s="65">
        <f t="shared" ref="AC42:AR54" si="185">AC41</f>
        <v>0</v>
      </c>
      <c r="AD42" s="61">
        <f t="shared" ref="AD42:AK42" si="186">AD41</f>
        <v>0</v>
      </c>
      <c r="AE42" s="61">
        <f t="shared" si="186"/>
        <v>0</v>
      </c>
      <c r="AF42" s="61">
        <f t="shared" si="186"/>
        <v>0</v>
      </c>
      <c r="AG42" s="61">
        <f t="shared" si="186"/>
        <v>0</v>
      </c>
      <c r="AH42" s="61">
        <f t="shared" si="186"/>
        <v>0</v>
      </c>
      <c r="AI42" s="61">
        <f t="shared" ref="AI42" si="187">AI41</f>
        <v>0</v>
      </c>
      <c r="AJ42" s="63">
        <f t="shared" si="186"/>
        <v>0</v>
      </c>
      <c r="AK42" s="64">
        <f t="shared" si="186"/>
        <v>0</v>
      </c>
      <c r="AL42" s="64">
        <f t="shared" ref="AL42:AN42" si="188">AL41</f>
        <v>0</v>
      </c>
      <c r="AM42" s="64">
        <f t="shared" si="188"/>
        <v>0</v>
      </c>
      <c r="AN42" s="66">
        <f t="shared" si="188"/>
        <v>0</v>
      </c>
      <c r="AO42" s="63">
        <f>AO41</f>
        <v>0</v>
      </c>
      <c r="AP42" s="64">
        <f>AP41</f>
        <v>0</v>
      </c>
      <c r="AQ42" s="65">
        <f t="shared" ref="AQ42:AR42" si="189">AQ41</f>
        <v>0</v>
      </c>
      <c r="AR42" s="66">
        <f t="shared" si="189"/>
        <v>0</v>
      </c>
      <c r="AS42" s="31" t="str">
        <f t="shared" si="151"/>
        <v>SimulationStorage,1,</v>
      </c>
      <c r="AT42" s="31" t="str">
        <f t="shared" si="152"/>
        <v>AnalysisStorage,1,</v>
      </c>
      <c r="AU42" s="31" t="str">
        <f t="shared" si="153"/>
        <v>LogRuleEvaluation,0,</v>
      </c>
      <c r="AV42" s="31" t="str">
        <f t="shared" si="154"/>
        <v>ParallelSimulations,1,</v>
      </c>
      <c r="AW42" s="31" t="str">
        <f t="shared" si="155"/>
        <v>DurationStats,0,</v>
      </c>
      <c r="AX42" s="31" t="str">
        <f t="shared" si="156"/>
        <v>AnalysisThruStep,8,</v>
      </c>
      <c r="AY42" s="31" t="str">
        <f t="shared" si="157"/>
        <v>DontAbortOnErrorsThruStep,8,</v>
      </c>
      <c r="AZ42" s="31" t="str">
        <f t="shared" si="158"/>
        <v>BypassValidFileChecks,1,</v>
      </c>
      <c r="BA42" s="31" t="str">
        <f t="shared" si="159"/>
        <v>BypassInputChecks,0,</v>
      </c>
      <c r="BB42" s="31" t="str">
        <f t="shared" si="160"/>
        <v>BypassUMLHChecks,0,</v>
      </c>
      <c r="BC42" s="31" t="str">
        <f t="shared" si="161"/>
        <v>BypassCheckSimRules,0,</v>
      </c>
      <c r="BD42" s="31" t="str">
        <f t="shared" si="162"/>
        <v>BypassCheckCodeRules,0,</v>
      </c>
      <c r="BE42" s="31" t="str">
        <f t="shared" si="163"/>
        <v>StoreResultsToModelInput,0,</v>
      </c>
      <c r="BF42" s="31" t="str">
        <f t="shared" si="164"/>
        <v>StoreBEMDetails,0,</v>
      </c>
      <c r="BG42" s="31" t="str">
        <f t="shared" si="165"/>
        <v>ModelRpt_ALL,0,</v>
      </c>
      <c r="BH42" s="31" t="str">
        <f t="shared" si="166"/>
        <v>ExportHourlyResults_All,0,</v>
      </c>
      <c r="BI42" s="31" t="str">
        <f t="shared" si="167"/>
        <v>ComplianceReportPDF,0,</v>
      </c>
      <c r="BJ42" s="31" t="str">
        <f t="shared" si="168"/>
        <v>ComplianceReportXML,0,</v>
      </c>
      <c r="BK42" s="31" t="str">
        <f t="shared" si="169"/>
        <v>QuickAnalysis,0,</v>
      </c>
      <c r="BL42" s="31" t="str">
        <f t="shared" si="169"/>
        <v>PromptUserUMLHWarning,0,</v>
      </c>
      <c r="BM42" s="31" t="str">
        <f t="shared" si="170"/>
        <v>BypassOpenStudio_all,0,</v>
      </c>
      <c r="BN42" s="31" t="str">
        <f t="shared" si="171"/>
        <v>BypassOpenStudio_zp,0,</v>
      </c>
      <c r="BO42" s="31" t="str">
        <f t="shared" si="172"/>
        <v>BypassOpenStudio_zb,0,</v>
      </c>
      <c r="BP42" s="31" t="str">
        <f t="shared" si="173"/>
        <v>BypassOpenStudio_ap,0,</v>
      </c>
      <c r="BQ42" s="31" t="str">
        <f t="shared" si="174"/>
        <v>BypassOpenStudio_ab,0,</v>
      </c>
      <c r="BR42" s="31" t="str">
        <f t="shared" si="175"/>
        <v>BypassOpenStudio_zp,0,</v>
      </c>
      <c r="BS42" s="31" t="str">
        <f t="shared" si="176"/>
        <v>BypassOpenStudio_zb,0,</v>
      </c>
      <c r="BT42" s="31" t="str">
        <f t="shared" si="177"/>
        <v>BypassOpenStudio_ap,0,</v>
      </c>
      <c r="BU42" s="31" t="str">
        <f t="shared" si="178"/>
        <v>BypassOpenStudio_ab,0,</v>
      </c>
    </row>
    <row r="43" spans="1:75" x14ac:dyDescent="0.25">
      <c r="A43" s="39">
        <f t="shared" si="146"/>
        <v>1</v>
      </c>
      <c r="B43" s="27" t="str">
        <f t="shared" si="179"/>
        <v>OtherTests\010312-SchSml-VAVFluidZnSys.cibd</v>
      </c>
      <c r="C43" s="27" t="str">
        <f t="shared" si="180"/>
        <v>BatchOut_160331_r3964_OT\010312-SchSml-VAVFluidZnSys.cibd</v>
      </c>
      <c r="D43" s="27" t="str">
        <f t="shared" si="181"/>
        <v>BatchOut_160331_r3964_OT\XML\</v>
      </c>
      <c r="E43" s="9" t="str">
        <f t="shared" si="182"/>
        <v>010312-SchSml-VAVFluidZnSys</v>
      </c>
      <c r="F43" s="22"/>
      <c r="G43" s="29"/>
      <c r="H43" s="23" t="str">
        <f>IF(F43&gt;1,1,"")</f>
        <v/>
      </c>
      <c r="I43" s="9" t="s">
        <v>11</v>
      </c>
      <c r="J43"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3" s="15" t="s">
        <v>1</v>
      </c>
      <c r="L43" s="36">
        <f t="shared" ref="L43:L65" si="190">L42</f>
        <v>1</v>
      </c>
      <c r="M43" s="32" t="str">
        <f t="shared" si="148"/>
        <v>010312-SchSml-VAVFluidZnSys</v>
      </c>
      <c r="N43" s="28" t="s">
        <v>95</v>
      </c>
      <c r="O43" s="57" t="str">
        <f t="shared" si="149"/>
        <v>010312-SchSml-VAVFluidZnSys</v>
      </c>
      <c r="P43" s="63">
        <f t="shared" ref="P43:T54" si="191">P42</f>
        <v>1</v>
      </c>
      <c r="Q43" s="65">
        <f t="shared" si="191"/>
        <v>1</v>
      </c>
      <c r="R43" s="65">
        <f t="shared" si="191"/>
        <v>0</v>
      </c>
      <c r="S43" s="65">
        <f t="shared" si="191"/>
        <v>1</v>
      </c>
      <c r="T43" s="65">
        <f t="shared" si="191"/>
        <v>0</v>
      </c>
      <c r="U43" s="65">
        <f t="shared" ref="U43:U54" si="192">U42</f>
        <v>8</v>
      </c>
      <c r="V43" s="65">
        <f t="shared" ref="V43:V54" si="193">V42</f>
        <v>8</v>
      </c>
      <c r="W43" s="65">
        <f t="shared" ref="W43:Y54" si="194">W42</f>
        <v>1</v>
      </c>
      <c r="X43" s="65">
        <f t="shared" si="194"/>
        <v>0</v>
      </c>
      <c r="Y43" s="65">
        <f t="shared" si="194"/>
        <v>0</v>
      </c>
      <c r="Z43" s="65">
        <f t="shared" ref="Z43:Z54" si="195">Z42</f>
        <v>0</v>
      </c>
      <c r="AA43" s="65">
        <f t="shared" ref="AA43:AA54" si="196">AA42</f>
        <v>0</v>
      </c>
      <c r="AB43" s="65">
        <f t="shared" ref="AB43:AB54" si="197">AB42</f>
        <v>0</v>
      </c>
      <c r="AC43" s="65">
        <f t="shared" si="185"/>
        <v>0</v>
      </c>
      <c r="AD43" s="61">
        <f t="shared" si="185"/>
        <v>0</v>
      </c>
      <c r="AE43" s="61">
        <f t="shared" ref="AE43:AF43" si="198">AE42</f>
        <v>0</v>
      </c>
      <c r="AF43" s="61">
        <f t="shared" si="198"/>
        <v>0</v>
      </c>
      <c r="AG43" s="61">
        <f t="shared" ref="AG43:AH43" si="199">AG42</f>
        <v>0</v>
      </c>
      <c r="AH43" s="61">
        <f t="shared" si="199"/>
        <v>0</v>
      </c>
      <c r="AI43" s="61">
        <f t="shared" ref="AI43" si="200">AI42</f>
        <v>0</v>
      </c>
      <c r="AJ43" s="63">
        <f t="shared" si="185"/>
        <v>0</v>
      </c>
      <c r="AK43" s="64">
        <f t="shared" si="185"/>
        <v>0</v>
      </c>
      <c r="AL43" s="64">
        <f t="shared" si="185"/>
        <v>0</v>
      </c>
      <c r="AM43" s="64">
        <f t="shared" si="185"/>
        <v>0</v>
      </c>
      <c r="AN43" s="66">
        <f t="shared" si="185"/>
        <v>0</v>
      </c>
      <c r="AO43" s="63">
        <f t="shared" si="185"/>
        <v>0</v>
      </c>
      <c r="AP43" s="64">
        <f t="shared" si="185"/>
        <v>0</v>
      </c>
      <c r="AQ43" s="65">
        <f t="shared" si="185"/>
        <v>0</v>
      </c>
      <c r="AR43" s="66">
        <f t="shared" si="185"/>
        <v>0</v>
      </c>
      <c r="AS43" s="31" t="str">
        <f t="shared" si="151"/>
        <v>SimulationStorage,1,</v>
      </c>
      <c r="AT43" s="31" t="str">
        <f t="shared" si="152"/>
        <v>AnalysisStorage,1,</v>
      </c>
      <c r="AU43" s="31" t="str">
        <f t="shared" si="153"/>
        <v>LogRuleEvaluation,0,</v>
      </c>
      <c r="AV43" s="31" t="str">
        <f t="shared" si="154"/>
        <v>ParallelSimulations,1,</v>
      </c>
      <c r="AW43" s="31" t="str">
        <f t="shared" si="155"/>
        <v>DurationStats,0,</v>
      </c>
      <c r="AX43" s="31" t="str">
        <f t="shared" si="156"/>
        <v>AnalysisThruStep,8,</v>
      </c>
      <c r="AY43" s="31" t="str">
        <f t="shared" si="157"/>
        <v>DontAbortOnErrorsThruStep,8,</v>
      </c>
      <c r="AZ43" s="31" t="str">
        <f t="shared" si="158"/>
        <v>BypassValidFileChecks,1,</v>
      </c>
      <c r="BA43" s="31" t="str">
        <f t="shared" si="159"/>
        <v>BypassInputChecks,0,</v>
      </c>
      <c r="BB43" s="31" t="str">
        <f t="shared" si="160"/>
        <v>BypassUMLHChecks,0,</v>
      </c>
      <c r="BC43" s="31" t="str">
        <f t="shared" si="161"/>
        <v>BypassCheckSimRules,0,</v>
      </c>
      <c r="BD43" s="31" t="str">
        <f t="shared" si="162"/>
        <v>BypassCheckCodeRules,0,</v>
      </c>
      <c r="BE43" s="31" t="str">
        <f t="shared" si="163"/>
        <v>StoreResultsToModelInput,0,</v>
      </c>
      <c r="BF43" s="31" t="str">
        <f t="shared" si="164"/>
        <v>StoreBEMDetails,0,</v>
      </c>
      <c r="BG43" s="31" t="str">
        <f t="shared" si="165"/>
        <v>ModelRpt_ALL,0,</v>
      </c>
      <c r="BH43" s="31" t="str">
        <f t="shared" si="166"/>
        <v>ExportHourlyResults_All,0,</v>
      </c>
      <c r="BI43" s="31" t="str">
        <f t="shared" si="167"/>
        <v>ComplianceReportPDF,0,</v>
      </c>
      <c r="BJ43" s="31" t="str">
        <f t="shared" si="168"/>
        <v>ComplianceReportXML,0,</v>
      </c>
      <c r="BK43" s="31" t="str">
        <f t="shared" si="169"/>
        <v>QuickAnalysis,0,</v>
      </c>
      <c r="BL43" s="31" t="str">
        <f t="shared" si="169"/>
        <v>PromptUserUMLHWarning,0,</v>
      </c>
      <c r="BM43" s="31" t="str">
        <f t="shared" si="170"/>
        <v>BypassOpenStudio_all,0,</v>
      </c>
      <c r="BN43" s="31" t="str">
        <f t="shared" si="171"/>
        <v>BypassOpenStudio_zp,0,</v>
      </c>
      <c r="BO43" s="31" t="str">
        <f t="shared" si="172"/>
        <v>BypassOpenStudio_zb,0,</v>
      </c>
      <c r="BP43" s="31" t="str">
        <f t="shared" si="173"/>
        <v>BypassOpenStudio_ap,0,</v>
      </c>
      <c r="BQ43" s="31" t="str">
        <f t="shared" si="174"/>
        <v>BypassOpenStudio_ab,0,</v>
      </c>
      <c r="BR43" s="31" t="str">
        <f t="shared" si="175"/>
        <v>BypassOpenStudio_zp,0,</v>
      </c>
      <c r="BS43" s="31" t="str">
        <f t="shared" si="176"/>
        <v>BypassOpenStudio_zb,0,</v>
      </c>
      <c r="BT43" s="31" t="str">
        <f t="shared" si="177"/>
        <v>BypassOpenStudio_ap,0,</v>
      </c>
      <c r="BU43" s="31" t="str">
        <f t="shared" si="178"/>
        <v>BypassOpenStudio_ab,0,</v>
      </c>
    </row>
    <row r="44" spans="1:75" x14ac:dyDescent="0.25">
      <c r="A44" s="39">
        <f t="shared" si="146"/>
        <v>1</v>
      </c>
      <c r="B44" s="27" t="str">
        <f t="shared" si="179"/>
        <v>OtherTests\040112-OffLrg-AbsorptionChiller.cibd</v>
      </c>
      <c r="C44" s="27" t="str">
        <f t="shared" si="180"/>
        <v>BatchOut_160331_r3964_OT\040112-OffLrg-AbsorptionChiller.cibd</v>
      </c>
      <c r="D44" s="27" t="str">
        <f t="shared" si="181"/>
        <v>BatchOut_160331_r3964_OT\XML\</v>
      </c>
      <c r="E44" s="9" t="str">
        <f t="shared" si="182"/>
        <v>040112-OffLrg-AbsorptionChiller</v>
      </c>
      <c r="F44" s="22"/>
      <c r="G44" s="29"/>
      <c r="H44" s="23"/>
      <c r="I44" s="9" t="s">
        <v>11</v>
      </c>
      <c r="J44"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4" s="15" t="s">
        <v>1</v>
      </c>
      <c r="L44" s="36">
        <f t="shared" si="190"/>
        <v>1</v>
      </c>
      <c r="M44" s="32" t="str">
        <f t="shared" si="148"/>
        <v>040112-OffLrg-AbsorptionChiller</v>
      </c>
      <c r="N44" s="28" t="s">
        <v>363</v>
      </c>
      <c r="O44" s="57" t="str">
        <f t="shared" si="149"/>
        <v>040112-OffLrg-AbsorptionChiller</v>
      </c>
      <c r="P44" s="63">
        <f t="shared" si="191"/>
        <v>1</v>
      </c>
      <c r="Q44" s="65">
        <f t="shared" si="191"/>
        <v>1</v>
      </c>
      <c r="R44" s="65">
        <f t="shared" si="191"/>
        <v>0</v>
      </c>
      <c r="S44" s="65">
        <f t="shared" si="191"/>
        <v>1</v>
      </c>
      <c r="T44" s="65">
        <f t="shared" si="191"/>
        <v>0</v>
      </c>
      <c r="U44" s="65">
        <f t="shared" si="192"/>
        <v>8</v>
      </c>
      <c r="V44" s="65">
        <f t="shared" si="193"/>
        <v>8</v>
      </c>
      <c r="W44" s="65">
        <f t="shared" si="194"/>
        <v>1</v>
      </c>
      <c r="X44" s="65">
        <f t="shared" si="194"/>
        <v>0</v>
      </c>
      <c r="Y44" s="65">
        <f t="shared" si="194"/>
        <v>0</v>
      </c>
      <c r="Z44" s="65">
        <f t="shared" si="195"/>
        <v>0</v>
      </c>
      <c r="AA44" s="65">
        <f t="shared" si="196"/>
        <v>0</v>
      </c>
      <c r="AB44" s="65">
        <f t="shared" si="197"/>
        <v>0</v>
      </c>
      <c r="AC44" s="65">
        <f t="shared" si="185"/>
        <v>0</v>
      </c>
      <c r="AD44" s="61">
        <f t="shared" si="185"/>
        <v>0</v>
      </c>
      <c r="AE44" s="61">
        <f t="shared" ref="AE44:AF44" si="201">AE43</f>
        <v>0</v>
      </c>
      <c r="AF44" s="61">
        <f t="shared" si="201"/>
        <v>0</v>
      </c>
      <c r="AG44" s="61">
        <f t="shared" ref="AG44:AH44" si="202">AG43</f>
        <v>0</v>
      </c>
      <c r="AH44" s="61">
        <f t="shared" si="202"/>
        <v>0</v>
      </c>
      <c r="AI44" s="61">
        <f t="shared" ref="AI44" si="203">AI43</f>
        <v>0</v>
      </c>
      <c r="AJ44" s="63">
        <f t="shared" si="185"/>
        <v>0</v>
      </c>
      <c r="AK44" s="64">
        <f t="shared" si="185"/>
        <v>0</v>
      </c>
      <c r="AL44" s="64">
        <f t="shared" si="185"/>
        <v>0</v>
      </c>
      <c r="AM44" s="64">
        <f t="shared" si="185"/>
        <v>0</v>
      </c>
      <c r="AN44" s="66">
        <f t="shared" si="185"/>
        <v>0</v>
      </c>
      <c r="AO44" s="63">
        <f t="shared" si="185"/>
        <v>0</v>
      </c>
      <c r="AP44" s="64">
        <f t="shared" si="185"/>
        <v>0</v>
      </c>
      <c r="AQ44" s="65">
        <f t="shared" si="185"/>
        <v>0</v>
      </c>
      <c r="AR44" s="66">
        <f t="shared" si="185"/>
        <v>0</v>
      </c>
      <c r="AS44" s="31" t="str">
        <f t="shared" si="151"/>
        <v>SimulationStorage,1,</v>
      </c>
      <c r="AT44" s="31" t="str">
        <f t="shared" si="152"/>
        <v>AnalysisStorage,1,</v>
      </c>
      <c r="AU44" s="31" t="str">
        <f t="shared" si="153"/>
        <v>LogRuleEvaluation,0,</v>
      </c>
      <c r="AV44" s="31" t="str">
        <f t="shared" si="154"/>
        <v>ParallelSimulations,1,</v>
      </c>
      <c r="AW44" s="31" t="str">
        <f t="shared" si="155"/>
        <v>DurationStats,0,</v>
      </c>
      <c r="AX44" s="31" t="str">
        <f t="shared" si="156"/>
        <v>AnalysisThruStep,8,</v>
      </c>
      <c r="AY44" s="31" t="str">
        <f t="shared" si="157"/>
        <v>DontAbortOnErrorsThruStep,8,</v>
      </c>
      <c r="AZ44" s="31" t="str">
        <f t="shared" si="158"/>
        <v>BypassValidFileChecks,1,</v>
      </c>
      <c r="BA44" s="31" t="str">
        <f t="shared" si="159"/>
        <v>BypassInputChecks,0,</v>
      </c>
      <c r="BB44" s="31" t="str">
        <f t="shared" si="160"/>
        <v>BypassUMLHChecks,0,</v>
      </c>
      <c r="BC44" s="31" t="str">
        <f t="shared" si="161"/>
        <v>BypassCheckSimRules,0,</v>
      </c>
      <c r="BD44" s="31" t="str">
        <f t="shared" si="162"/>
        <v>BypassCheckCodeRules,0,</v>
      </c>
      <c r="BE44" s="31" t="str">
        <f t="shared" si="163"/>
        <v>StoreResultsToModelInput,0,</v>
      </c>
      <c r="BF44" s="31" t="str">
        <f t="shared" si="164"/>
        <v>StoreBEMDetails,0,</v>
      </c>
      <c r="BG44" s="31" t="str">
        <f t="shared" si="165"/>
        <v>ModelRpt_ALL,0,</v>
      </c>
      <c r="BH44" s="31" t="str">
        <f t="shared" si="166"/>
        <v>ExportHourlyResults_All,0,</v>
      </c>
      <c r="BI44" s="31" t="str">
        <f t="shared" si="167"/>
        <v>ComplianceReportPDF,0,</v>
      </c>
      <c r="BJ44" s="31" t="str">
        <f t="shared" si="168"/>
        <v>ComplianceReportXML,0,</v>
      </c>
      <c r="BK44" s="31" t="str">
        <f t="shared" si="169"/>
        <v>QuickAnalysis,0,</v>
      </c>
      <c r="BL44" s="31" t="str">
        <f t="shared" si="169"/>
        <v>PromptUserUMLHWarning,0,</v>
      </c>
      <c r="BM44" s="31" t="str">
        <f t="shared" si="170"/>
        <v>BypassOpenStudio_all,0,</v>
      </c>
      <c r="BN44" s="31" t="str">
        <f t="shared" si="171"/>
        <v>BypassOpenStudio_zp,0,</v>
      </c>
      <c r="BO44" s="31" t="str">
        <f t="shared" si="172"/>
        <v>BypassOpenStudio_zb,0,</v>
      </c>
      <c r="BP44" s="31" t="str">
        <f t="shared" si="173"/>
        <v>BypassOpenStudio_ap,0,</v>
      </c>
      <c r="BQ44" s="31" t="str">
        <f t="shared" si="174"/>
        <v>BypassOpenStudio_ab,0,</v>
      </c>
      <c r="BR44" s="31" t="str">
        <f t="shared" si="175"/>
        <v>BypassOpenStudio_zp,0,</v>
      </c>
      <c r="BS44" s="31" t="str">
        <f t="shared" si="176"/>
        <v>BypassOpenStudio_zb,0,</v>
      </c>
      <c r="BT44" s="31" t="str">
        <f t="shared" si="177"/>
        <v>BypassOpenStudio_ap,0,</v>
      </c>
      <c r="BU44" s="31" t="str">
        <f t="shared" si="178"/>
        <v>BypassOpenStudio_ab,0,</v>
      </c>
    </row>
    <row r="45" spans="1:75" x14ac:dyDescent="0.25">
      <c r="A45" s="39">
        <f t="shared" si="146"/>
        <v>1</v>
      </c>
      <c r="B45" s="27" t="str">
        <f t="shared" si="179"/>
        <v>OtherTests\040112-OffLrg-VAVPriSec.cibd</v>
      </c>
      <c r="C45" s="27" t="str">
        <f t="shared" si="180"/>
        <v>BatchOut_160331_r3964_OT\040112-OffLrg-VAVPriSec.cibd</v>
      </c>
      <c r="D45" s="27" t="str">
        <f t="shared" si="181"/>
        <v>BatchOut_160331_r3964_OT\XML\</v>
      </c>
      <c r="E45" s="9" t="str">
        <f t="shared" si="182"/>
        <v>040112-OffLrg-VAVPriSec</v>
      </c>
      <c r="F45" s="22"/>
      <c r="G45" s="29"/>
      <c r="H45" s="23"/>
      <c r="I45" s="9" t="s">
        <v>11</v>
      </c>
      <c r="J45"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5" s="15" t="s">
        <v>1</v>
      </c>
      <c r="L45" s="36">
        <f t="shared" si="190"/>
        <v>1</v>
      </c>
      <c r="M45" s="32" t="str">
        <f t="shared" si="148"/>
        <v>040112-OffLrg-VAVPriSec</v>
      </c>
      <c r="N45" s="28" t="s">
        <v>96</v>
      </c>
      <c r="O45" s="57" t="str">
        <f t="shared" si="149"/>
        <v>040112-OffLrg-VAVPriSec</v>
      </c>
      <c r="P45" s="63">
        <f t="shared" si="191"/>
        <v>1</v>
      </c>
      <c r="Q45" s="65">
        <f t="shared" si="191"/>
        <v>1</v>
      </c>
      <c r="R45" s="65">
        <f t="shared" si="191"/>
        <v>0</v>
      </c>
      <c r="S45" s="65">
        <f t="shared" si="191"/>
        <v>1</v>
      </c>
      <c r="T45" s="65">
        <f t="shared" si="191"/>
        <v>0</v>
      </c>
      <c r="U45" s="65">
        <f t="shared" si="192"/>
        <v>8</v>
      </c>
      <c r="V45" s="65">
        <f t="shared" si="193"/>
        <v>8</v>
      </c>
      <c r="W45" s="65">
        <f t="shared" si="194"/>
        <v>1</v>
      </c>
      <c r="X45" s="65">
        <f t="shared" si="194"/>
        <v>0</v>
      </c>
      <c r="Y45" s="65">
        <f t="shared" si="194"/>
        <v>0</v>
      </c>
      <c r="Z45" s="65">
        <f t="shared" si="195"/>
        <v>0</v>
      </c>
      <c r="AA45" s="65">
        <f t="shared" si="196"/>
        <v>0</v>
      </c>
      <c r="AB45" s="65">
        <f t="shared" si="197"/>
        <v>0</v>
      </c>
      <c r="AC45" s="65">
        <f t="shared" si="185"/>
        <v>0</v>
      </c>
      <c r="AD45" s="61">
        <f t="shared" si="185"/>
        <v>0</v>
      </c>
      <c r="AE45" s="61">
        <f t="shared" ref="AE45:AF45" si="204">AE44</f>
        <v>0</v>
      </c>
      <c r="AF45" s="61">
        <f t="shared" si="204"/>
        <v>0</v>
      </c>
      <c r="AG45" s="61">
        <f t="shared" ref="AG45:AH45" si="205">AG44</f>
        <v>0</v>
      </c>
      <c r="AH45" s="61">
        <f t="shared" si="205"/>
        <v>0</v>
      </c>
      <c r="AI45" s="61">
        <f t="shared" ref="AI45" si="206">AI44</f>
        <v>0</v>
      </c>
      <c r="AJ45" s="63">
        <f t="shared" si="185"/>
        <v>0</v>
      </c>
      <c r="AK45" s="64">
        <f t="shared" si="185"/>
        <v>0</v>
      </c>
      <c r="AL45" s="64">
        <f t="shared" si="185"/>
        <v>0</v>
      </c>
      <c r="AM45" s="64">
        <f t="shared" si="185"/>
        <v>0</v>
      </c>
      <c r="AN45" s="66">
        <f t="shared" si="185"/>
        <v>0</v>
      </c>
      <c r="AO45" s="63">
        <f t="shared" si="185"/>
        <v>0</v>
      </c>
      <c r="AP45" s="64">
        <f t="shared" si="185"/>
        <v>0</v>
      </c>
      <c r="AQ45" s="65">
        <f t="shared" si="185"/>
        <v>0</v>
      </c>
      <c r="AR45" s="66">
        <f t="shared" si="185"/>
        <v>0</v>
      </c>
      <c r="AS45" s="31" t="str">
        <f t="shared" si="151"/>
        <v>SimulationStorage,1,</v>
      </c>
      <c r="AT45" s="31" t="str">
        <f t="shared" si="152"/>
        <v>AnalysisStorage,1,</v>
      </c>
      <c r="AU45" s="31" t="str">
        <f t="shared" si="153"/>
        <v>LogRuleEvaluation,0,</v>
      </c>
      <c r="AV45" s="31" t="str">
        <f t="shared" si="154"/>
        <v>ParallelSimulations,1,</v>
      </c>
      <c r="AW45" s="31" t="str">
        <f t="shared" si="155"/>
        <v>DurationStats,0,</v>
      </c>
      <c r="AX45" s="31" t="str">
        <f t="shared" si="156"/>
        <v>AnalysisThruStep,8,</v>
      </c>
      <c r="AY45" s="31" t="str">
        <f t="shared" si="157"/>
        <v>DontAbortOnErrorsThruStep,8,</v>
      </c>
      <c r="AZ45" s="31" t="str">
        <f t="shared" si="158"/>
        <v>BypassValidFileChecks,1,</v>
      </c>
      <c r="BA45" s="31" t="str">
        <f t="shared" si="159"/>
        <v>BypassInputChecks,0,</v>
      </c>
      <c r="BB45" s="31" t="str">
        <f t="shared" si="160"/>
        <v>BypassUMLHChecks,0,</v>
      </c>
      <c r="BC45" s="31" t="str">
        <f t="shared" si="161"/>
        <v>BypassCheckSimRules,0,</v>
      </c>
      <c r="BD45" s="31" t="str">
        <f t="shared" si="162"/>
        <v>BypassCheckCodeRules,0,</v>
      </c>
      <c r="BE45" s="31" t="str">
        <f t="shared" si="163"/>
        <v>StoreResultsToModelInput,0,</v>
      </c>
      <c r="BF45" s="31" t="str">
        <f t="shared" si="164"/>
        <v>StoreBEMDetails,0,</v>
      </c>
      <c r="BG45" s="31" t="str">
        <f t="shared" si="165"/>
        <v>ModelRpt_ALL,0,</v>
      </c>
      <c r="BH45" s="31" t="str">
        <f t="shared" si="166"/>
        <v>ExportHourlyResults_All,0,</v>
      </c>
      <c r="BI45" s="31" t="str">
        <f t="shared" si="167"/>
        <v>ComplianceReportPDF,0,</v>
      </c>
      <c r="BJ45" s="31" t="str">
        <f t="shared" si="168"/>
        <v>ComplianceReportXML,0,</v>
      </c>
      <c r="BK45" s="31" t="str">
        <f t="shared" si="169"/>
        <v>QuickAnalysis,0,</v>
      </c>
      <c r="BL45" s="31" t="str">
        <f t="shared" si="169"/>
        <v>PromptUserUMLHWarning,0,</v>
      </c>
      <c r="BM45" s="31" t="str">
        <f t="shared" si="170"/>
        <v>BypassOpenStudio_all,0,</v>
      </c>
      <c r="BN45" s="31" t="str">
        <f t="shared" si="171"/>
        <v>BypassOpenStudio_zp,0,</v>
      </c>
      <c r="BO45" s="31" t="str">
        <f t="shared" si="172"/>
        <v>BypassOpenStudio_zb,0,</v>
      </c>
      <c r="BP45" s="31" t="str">
        <f t="shared" si="173"/>
        <v>BypassOpenStudio_ap,0,</v>
      </c>
      <c r="BQ45" s="31" t="str">
        <f t="shared" si="174"/>
        <v>BypassOpenStudio_ab,0,</v>
      </c>
      <c r="BR45" s="31" t="str">
        <f t="shared" si="175"/>
        <v>BypassOpenStudio_zp,0,</v>
      </c>
      <c r="BS45" s="31" t="str">
        <f t="shared" si="176"/>
        <v>BypassOpenStudio_zb,0,</v>
      </c>
      <c r="BT45" s="31" t="str">
        <f t="shared" si="177"/>
        <v>BypassOpenStudio_ap,0,</v>
      </c>
      <c r="BU45" s="31" t="str">
        <f t="shared" si="178"/>
        <v>BypassOpenStudio_ab,0,</v>
      </c>
    </row>
    <row r="46" spans="1:75" x14ac:dyDescent="0.25">
      <c r="A46" s="39">
        <f t="shared" si="146"/>
        <v>1</v>
      </c>
      <c r="B46" s="27" t="str">
        <f t="shared" si="179"/>
        <v>OtherTests\040112-OffLrg-Waterside Economizer.cibd</v>
      </c>
      <c r="C46" s="27" t="str">
        <f t="shared" si="180"/>
        <v>BatchOut_160331_r3964_OT\040112-OffLrg-Waterside Economizer.cibd</v>
      </c>
      <c r="D46" s="27" t="str">
        <f t="shared" si="181"/>
        <v>BatchOut_160331_r3964_OT\XML\</v>
      </c>
      <c r="E46" s="9" t="str">
        <f t="shared" si="182"/>
        <v>040112-OffLrg-Waterside Economizer</v>
      </c>
      <c r="F46" s="22"/>
      <c r="G46" s="29"/>
      <c r="H46" s="23" t="str">
        <f>IF(F46&gt;1,1,"")</f>
        <v/>
      </c>
      <c r="I46" s="9" t="s">
        <v>11</v>
      </c>
      <c r="J46"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6" s="15" t="s">
        <v>1</v>
      </c>
      <c r="L46" s="36">
        <f t="shared" si="190"/>
        <v>1</v>
      </c>
      <c r="M46" s="32" t="str">
        <f t="shared" si="148"/>
        <v>040112-OffLrg-Waterside Economizer</v>
      </c>
      <c r="N46" s="28" t="s">
        <v>364</v>
      </c>
      <c r="O46" s="57" t="str">
        <f t="shared" si="149"/>
        <v>040112-OffLrg-Waterside Economizer</v>
      </c>
      <c r="P46" s="63">
        <f t="shared" si="191"/>
        <v>1</v>
      </c>
      <c r="Q46" s="65">
        <f t="shared" si="191"/>
        <v>1</v>
      </c>
      <c r="R46" s="65">
        <f t="shared" si="191"/>
        <v>0</v>
      </c>
      <c r="S46" s="65">
        <f t="shared" si="191"/>
        <v>1</v>
      </c>
      <c r="T46" s="65">
        <f t="shared" si="191"/>
        <v>0</v>
      </c>
      <c r="U46" s="65">
        <f t="shared" si="192"/>
        <v>8</v>
      </c>
      <c r="V46" s="65">
        <f t="shared" si="193"/>
        <v>8</v>
      </c>
      <c r="W46" s="65">
        <f t="shared" si="194"/>
        <v>1</v>
      </c>
      <c r="X46" s="65">
        <f t="shared" si="194"/>
        <v>0</v>
      </c>
      <c r="Y46" s="65">
        <f t="shared" si="194"/>
        <v>0</v>
      </c>
      <c r="Z46" s="65">
        <f t="shared" si="195"/>
        <v>0</v>
      </c>
      <c r="AA46" s="65">
        <f t="shared" si="196"/>
        <v>0</v>
      </c>
      <c r="AB46" s="65">
        <f t="shared" si="197"/>
        <v>0</v>
      </c>
      <c r="AC46" s="65">
        <f t="shared" si="185"/>
        <v>0</v>
      </c>
      <c r="AD46" s="61">
        <f t="shared" si="185"/>
        <v>0</v>
      </c>
      <c r="AE46" s="61">
        <f t="shared" ref="AE46:AF46" si="207">AE45</f>
        <v>0</v>
      </c>
      <c r="AF46" s="61">
        <f t="shared" si="207"/>
        <v>0</v>
      </c>
      <c r="AG46" s="61">
        <f t="shared" ref="AG46:AH46" si="208">AG45</f>
        <v>0</v>
      </c>
      <c r="AH46" s="61">
        <f t="shared" si="208"/>
        <v>0</v>
      </c>
      <c r="AI46" s="61">
        <f t="shared" ref="AI46" si="209">AI45</f>
        <v>0</v>
      </c>
      <c r="AJ46" s="63">
        <f t="shared" si="185"/>
        <v>0</v>
      </c>
      <c r="AK46" s="64">
        <f t="shared" si="185"/>
        <v>0</v>
      </c>
      <c r="AL46" s="64">
        <f t="shared" si="185"/>
        <v>0</v>
      </c>
      <c r="AM46" s="64">
        <f t="shared" si="185"/>
        <v>0</v>
      </c>
      <c r="AN46" s="66">
        <f t="shared" si="185"/>
        <v>0</v>
      </c>
      <c r="AO46" s="63">
        <f t="shared" si="185"/>
        <v>0</v>
      </c>
      <c r="AP46" s="64">
        <f t="shared" si="185"/>
        <v>0</v>
      </c>
      <c r="AQ46" s="65">
        <f t="shared" si="185"/>
        <v>0</v>
      </c>
      <c r="AR46" s="66">
        <f t="shared" si="185"/>
        <v>0</v>
      </c>
      <c r="AS46" s="31" t="str">
        <f t="shared" si="151"/>
        <v>SimulationStorage,1,</v>
      </c>
      <c r="AT46" s="31" t="str">
        <f t="shared" si="152"/>
        <v>AnalysisStorage,1,</v>
      </c>
      <c r="AU46" s="31" t="str">
        <f t="shared" si="153"/>
        <v>LogRuleEvaluation,0,</v>
      </c>
      <c r="AV46" s="31" t="str">
        <f t="shared" si="154"/>
        <v>ParallelSimulations,1,</v>
      </c>
      <c r="AW46" s="31" t="str">
        <f t="shared" si="155"/>
        <v>DurationStats,0,</v>
      </c>
      <c r="AX46" s="31" t="str">
        <f t="shared" si="156"/>
        <v>AnalysisThruStep,8,</v>
      </c>
      <c r="AY46" s="31" t="str">
        <f t="shared" si="157"/>
        <v>DontAbortOnErrorsThruStep,8,</v>
      </c>
      <c r="AZ46" s="31" t="str">
        <f t="shared" si="158"/>
        <v>BypassValidFileChecks,1,</v>
      </c>
      <c r="BA46" s="31" t="str">
        <f t="shared" si="159"/>
        <v>BypassInputChecks,0,</v>
      </c>
      <c r="BB46" s="31" t="str">
        <f t="shared" si="160"/>
        <v>BypassUMLHChecks,0,</v>
      </c>
      <c r="BC46" s="31" t="str">
        <f t="shared" si="161"/>
        <v>BypassCheckSimRules,0,</v>
      </c>
      <c r="BD46" s="31" t="str">
        <f t="shared" si="162"/>
        <v>BypassCheckCodeRules,0,</v>
      </c>
      <c r="BE46" s="31" t="str">
        <f t="shared" si="163"/>
        <v>StoreResultsToModelInput,0,</v>
      </c>
      <c r="BF46" s="31" t="str">
        <f t="shared" si="164"/>
        <v>StoreBEMDetails,0,</v>
      </c>
      <c r="BG46" s="31" t="str">
        <f t="shared" si="165"/>
        <v>ModelRpt_ALL,0,</v>
      </c>
      <c r="BH46" s="31" t="str">
        <f t="shared" si="166"/>
        <v>ExportHourlyResults_All,0,</v>
      </c>
      <c r="BI46" s="31" t="str">
        <f t="shared" si="167"/>
        <v>ComplianceReportPDF,0,</v>
      </c>
      <c r="BJ46" s="31" t="str">
        <f t="shared" si="168"/>
        <v>ComplianceReportXML,0,</v>
      </c>
      <c r="BK46" s="31" t="str">
        <f t="shared" si="169"/>
        <v>QuickAnalysis,0,</v>
      </c>
      <c r="BL46" s="31" t="str">
        <f t="shared" si="169"/>
        <v>PromptUserUMLHWarning,0,</v>
      </c>
      <c r="BM46" s="31" t="str">
        <f t="shared" si="170"/>
        <v>BypassOpenStudio_all,0,</v>
      </c>
      <c r="BN46" s="31" t="str">
        <f t="shared" si="171"/>
        <v>BypassOpenStudio_zp,0,</v>
      </c>
      <c r="BO46" s="31" t="str">
        <f t="shared" si="172"/>
        <v>BypassOpenStudio_zb,0,</v>
      </c>
      <c r="BP46" s="31" t="str">
        <f t="shared" si="173"/>
        <v>BypassOpenStudio_ap,0,</v>
      </c>
      <c r="BQ46" s="31" t="str">
        <f t="shared" si="174"/>
        <v>BypassOpenStudio_ab,0,</v>
      </c>
      <c r="BR46" s="31" t="str">
        <f t="shared" si="175"/>
        <v>BypassOpenStudio_zp,0,</v>
      </c>
      <c r="BS46" s="31" t="str">
        <f t="shared" si="176"/>
        <v>BypassOpenStudio_zb,0,</v>
      </c>
      <c r="BT46" s="31" t="str">
        <f t="shared" si="177"/>
        <v>BypassOpenStudio_ap,0,</v>
      </c>
      <c r="BU46" s="31" t="str">
        <f t="shared" si="178"/>
        <v>BypassOpenStudio_ab,0,</v>
      </c>
    </row>
    <row r="47" spans="1:75" x14ac:dyDescent="0.25">
      <c r="A47" s="39">
        <f t="shared" si="146"/>
        <v>1</v>
      </c>
      <c r="B47" s="27" t="str">
        <f t="shared" si="179"/>
        <v>OtherTests\050112-RetlMed-SZVAV.cibd</v>
      </c>
      <c r="C47" s="27" t="str">
        <f t="shared" si="180"/>
        <v>BatchOut_160331_r3964_OT\050112-RetlMed-SZVAV.cibd</v>
      </c>
      <c r="D47" s="27" t="str">
        <f t="shared" si="181"/>
        <v>BatchOut_160331_r3964_OT\XML\</v>
      </c>
      <c r="E47" s="9" t="str">
        <f t="shared" si="182"/>
        <v>050112-RetlMed-SZVAV</v>
      </c>
      <c r="F47" s="22"/>
      <c r="G47" s="29"/>
      <c r="H47" s="23"/>
      <c r="I47" s="9" t="s">
        <v>11</v>
      </c>
      <c r="J47"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7" s="15" t="s">
        <v>1</v>
      </c>
      <c r="L47" s="36">
        <f t="shared" si="190"/>
        <v>1</v>
      </c>
      <c r="M47" s="32" t="str">
        <f>N47</f>
        <v>050112-RetlMed-SZVAV</v>
      </c>
      <c r="N47" s="28" t="s">
        <v>167</v>
      </c>
      <c r="O47" s="57" t="str">
        <f t="shared" si="149"/>
        <v>050112-RetlMed-SZVAV</v>
      </c>
      <c r="P47" s="63">
        <f t="shared" si="191"/>
        <v>1</v>
      </c>
      <c r="Q47" s="65">
        <f t="shared" si="191"/>
        <v>1</v>
      </c>
      <c r="R47" s="65">
        <f t="shared" si="191"/>
        <v>0</v>
      </c>
      <c r="S47" s="65">
        <f t="shared" si="191"/>
        <v>1</v>
      </c>
      <c r="T47" s="65">
        <f t="shared" si="191"/>
        <v>0</v>
      </c>
      <c r="U47" s="65">
        <f t="shared" si="192"/>
        <v>8</v>
      </c>
      <c r="V47" s="65">
        <f t="shared" si="193"/>
        <v>8</v>
      </c>
      <c r="W47" s="65">
        <f t="shared" si="194"/>
        <v>1</v>
      </c>
      <c r="X47" s="65">
        <f t="shared" si="194"/>
        <v>0</v>
      </c>
      <c r="Y47" s="65">
        <f t="shared" si="194"/>
        <v>0</v>
      </c>
      <c r="Z47" s="65">
        <f t="shared" si="195"/>
        <v>0</v>
      </c>
      <c r="AA47" s="65">
        <f t="shared" si="196"/>
        <v>0</v>
      </c>
      <c r="AB47" s="65">
        <f t="shared" si="197"/>
        <v>0</v>
      </c>
      <c r="AC47" s="65">
        <f t="shared" si="185"/>
        <v>0</v>
      </c>
      <c r="AD47" s="61">
        <f t="shared" si="185"/>
        <v>0</v>
      </c>
      <c r="AE47" s="61">
        <f t="shared" ref="AE47:AF47" si="210">AE46</f>
        <v>0</v>
      </c>
      <c r="AF47" s="61">
        <f t="shared" si="210"/>
        <v>0</v>
      </c>
      <c r="AG47" s="61">
        <f t="shared" ref="AG47:AH47" si="211">AG46</f>
        <v>0</v>
      </c>
      <c r="AH47" s="61">
        <f t="shared" si="211"/>
        <v>0</v>
      </c>
      <c r="AI47" s="61">
        <f t="shared" ref="AI47" si="212">AI46</f>
        <v>0</v>
      </c>
      <c r="AJ47" s="63">
        <f t="shared" si="185"/>
        <v>0</v>
      </c>
      <c r="AK47" s="64">
        <f t="shared" si="185"/>
        <v>0</v>
      </c>
      <c r="AL47" s="64">
        <f t="shared" si="185"/>
        <v>0</v>
      </c>
      <c r="AM47" s="64">
        <f t="shared" si="185"/>
        <v>0</v>
      </c>
      <c r="AN47" s="66">
        <f t="shared" si="185"/>
        <v>0</v>
      </c>
      <c r="AO47" s="63">
        <f t="shared" si="185"/>
        <v>0</v>
      </c>
      <c r="AP47" s="64">
        <f t="shared" si="185"/>
        <v>0</v>
      </c>
      <c r="AQ47" s="65">
        <f t="shared" si="185"/>
        <v>0</v>
      </c>
      <c r="AR47" s="66">
        <f t="shared" si="185"/>
        <v>0</v>
      </c>
      <c r="AS47" s="31" t="str">
        <f t="shared" si="151"/>
        <v>SimulationStorage,1,</v>
      </c>
      <c r="AT47" s="31" t="str">
        <f t="shared" si="152"/>
        <v>AnalysisStorage,1,</v>
      </c>
      <c r="AU47" s="31" t="str">
        <f t="shared" si="153"/>
        <v>LogRuleEvaluation,0,</v>
      </c>
      <c r="AV47" s="31" t="str">
        <f t="shared" si="154"/>
        <v>ParallelSimulations,1,</v>
      </c>
      <c r="AW47" s="31" t="str">
        <f t="shared" si="155"/>
        <v>DurationStats,0,</v>
      </c>
      <c r="AX47" s="31" t="str">
        <f t="shared" si="156"/>
        <v>AnalysisThruStep,8,</v>
      </c>
      <c r="AY47" s="31" t="str">
        <f t="shared" si="157"/>
        <v>DontAbortOnErrorsThruStep,8,</v>
      </c>
      <c r="AZ47" s="31" t="str">
        <f t="shared" si="158"/>
        <v>BypassValidFileChecks,1,</v>
      </c>
      <c r="BA47" s="31" t="str">
        <f t="shared" si="159"/>
        <v>BypassInputChecks,0,</v>
      </c>
      <c r="BB47" s="31" t="str">
        <f t="shared" si="160"/>
        <v>BypassUMLHChecks,0,</v>
      </c>
      <c r="BC47" s="31" t="str">
        <f t="shared" si="161"/>
        <v>BypassCheckSimRules,0,</v>
      </c>
      <c r="BD47" s="31" t="str">
        <f t="shared" si="162"/>
        <v>BypassCheckCodeRules,0,</v>
      </c>
      <c r="BE47" s="31" t="str">
        <f t="shared" si="163"/>
        <v>StoreResultsToModelInput,0,</v>
      </c>
      <c r="BF47" s="31" t="str">
        <f t="shared" si="164"/>
        <v>StoreBEMDetails,0,</v>
      </c>
      <c r="BG47" s="31" t="str">
        <f t="shared" si="165"/>
        <v>ModelRpt_ALL,0,</v>
      </c>
      <c r="BH47" s="31" t="str">
        <f t="shared" si="166"/>
        <v>ExportHourlyResults_All,0,</v>
      </c>
      <c r="BI47" s="31" t="str">
        <f t="shared" si="167"/>
        <v>ComplianceReportPDF,0,</v>
      </c>
      <c r="BJ47" s="31" t="str">
        <f t="shared" si="168"/>
        <v>ComplianceReportXML,0,</v>
      </c>
      <c r="BK47" s="31" t="str">
        <f t="shared" si="169"/>
        <v>QuickAnalysis,0,</v>
      </c>
      <c r="BL47" s="31" t="str">
        <f t="shared" si="169"/>
        <v>PromptUserUMLHWarning,0,</v>
      </c>
      <c r="BM47" s="31" t="str">
        <f t="shared" si="170"/>
        <v>BypassOpenStudio_all,0,</v>
      </c>
      <c r="BN47" s="31" t="str">
        <f t="shared" si="171"/>
        <v>BypassOpenStudio_zp,0,</v>
      </c>
      <c r="BO47" s="31" t="str">
        <f t="shared" si="172"/>
        <v>BypassOpenStudio_zb,0,</v>
      </c>
      <c r="BP47" s="31" t="str">
        <f t="shared" si="173"/>
        <v>BypassOpenStudio_ap,0,</v>
      </c>
      <c r="BQ47" s="31" t="str">
        <f t="shared" si="174"/>
        <v>BypassOpenStudio_ab,0,</v>
      </c>
      <c r="BR47" s="31" t="str">
        <f t="shared" si="175"/>
        <v>BypassOpenStudio_zp,0,</v>
      </c>
      <c r="BS47" s="31" t="str">
        <f t="shared" si="176"/>
        <v>BypassOpenStudio_zb,0,</v>
      </c>
      <c r="BT47" s="31" t="str">
        <f t="shared" si="177"/>
        <v>BypassOpenStudio_ap,0,</v>
      </c>
      <c r="BU47" s="31" t="str">
        <f t="shared" si="178"/>
        <v>BypassOpenStudio_ab,0,</v>
      </c>
    </row>
    <row r="48" spans="1:75" x14ac:dyDescent="0.25">
      <c r="A48" s="39">
        <f t="shared" si="146"/>
        <v>1</v>
      </c>
      <c r="B48" s="27" t="str">
        <f t="shared" si="179"/>
        <v>OtherTests\050312-RetlMed-Alterations.cibd</v>
      </c>
      <c r="C48" s="27" t="str">
        <f t="shared" si="180"/>
        <v>BatchOut_160331_r3964_OT\050312-RetlMed-Alterations.cibd</v>
      </c>
      <c r="D48" s="27" t="str">
        <f t="shared" si="181"/>
        <v>BatchOut_160331_r3964_OT\XML\</v>
      </c>
      <c r="E48" s="9" t="str">
        <f t="shared" si="182"/>
        <v>050312-RetlMed-Alterations</v>
      </c>
      <c r="F48" s="22"/>
      <c r="G48" s="29"/>
      <c r="H48" s="23" t="str">
        <f>IF(F48&gt;1,1,"")</f>
        <v/>
      </c>
      <c r="I48" s="9" t="s">
        <v>11</v>
      </c>
      <c r="J48"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8" s="15" t="s">
        <v>1</v>
      </c>
      <c r="L48" s="36">
        <f t="shared" si="190"/>
        <v>1</v>
      </c>
      <c r="M48" s="32" t="str">
        <f t="shared" ref="M48:M57" si="213">N48</f>
        <v>050312-RetlMed-Alterations</v>
      </c>
      <c r="N48" s="28" t="s">
        <v>168</v>
      </c>
      <c r="O48" s="57" t="str">
        <f t="shared" si="149"/>
        <v>050312-RetlMed-Alterations</v>
      </c>
      <c r="P48" s="63">
        <f t="shared" si="191"/>
        <v>1</v>
      </c>
      <c r="Q48" s="65">
        <f t="shared" si="191"/>
        <v>1</v>
      </c>
      <c r="R48" s="65">
        <f t="shared" si="191"/>
        <v>0</v>
      </c>
      <c r="S48" s="65">
        <f t="shared" si="191"/>
        <v>1</v>
      </c>
      <c r="T48" s="65">
        <f t="shared" si="191"/>
        <v>0</v>
      </c>
      <c r="U48" s="65">
        <f t="shared" si="192"/>
        <v>8</v>
      </c>
      <c r="V48" s="65">
        <f t="shared" si="193"/>
        <v>8</v>
      </c>
      <c r="W48" s="65">
        <f t="shared" si="194"/>
        <v>1</v>
      </c>
      <c r="X48" s="65">
        <f t="shared" si="194"/>
        <v>0</v>
      </c>
      <c r="Y48" s="65">
        <f t="shared" si="194"/>
        <v>0</v>
      </c>
      <c r="Z48" s="65">
        <f t="shared" si="195"/>
        <v>0</v>
      </c>
      <c r="AA48" s="65">
        <f t="shared" si="196"/>
        <v>0</v>
      </c>
      <c r="AB48" s="65">
        <f t="shared" si="197"/>
        <v>0</v>
      </c>
      <c r="AC48" s="65">
        <f t="shared" si="185"/>
        <v>0</v>
      </c>
      <c r="AD48" s="61">
        <f t="shared" si="185"/>
        <v>0</v>
      </c>
      <c r="AE48" s="61">
        <f t="shared" ref="AE48:AF48" si="214">AE47</f>
        <v>0</v>
      </c>
      <c r="AF48" s="61">
        <f t="shared" si="214"/>
        <v>0</v>
      </c>
      <c r="AG48" s="61">
        <f t="shared" ref="AG48:AH48" si="215">AG47</f>
        <v>0</v>
      </c>
      <c r="AH48" s="61">
        <f t="shared" si="215"/>
        <v>0</v>
      </c>
      <c r="AI48" s="61">
        <f t="shared" ref="AI48" si="216">AI47</f>
        <v>0</v>
      </c>
      <c r="AJ48" s="63">
        <f t="shared" si="185"/>
        <v>0</v>
      </c>
      <c r="AK48" s="64">
        <f t="shared" si="185"/>
        <v>0</v>
      </c>
      <c r="AL48" s="64">
        <f t="shared" si="185"/>
        <v>0</v>
      </c>
      <c r="AM48" s="64">
        <f t="shared" si="185"/>
        <v>0</v>
      </c>
      <c r="AN48" s="66">
        <f t="shared" si="185"/>
        <v>0</v>
      </c>
      <c r="AO48" s="63">
        <f t="shared" si="185"/>
        <v>0</v>
      </c>
      <c r="AP48" s="64">
        <f t="shared" si="185"/>
        <v>0</v>
      </c>
      <c r="AQ48" s="65">
        <f t="shared" si="185"/>
        <v>0</v>
      </c>
      <c r="AR48" s="66">
        <f t="shared" si="185"/>
        <v>0</v>
      </c>
      <c r="AS48" s="31" t="str">
        <f t="shared" si="151"/>
        <v>SimulationStorage,1,</v>
      </c>
      <c r="AT48" s="31" t="str">
        <f t="shared" si="152"/>
        <v>AnalysisStorage,1,</v>
      </c>
      <c r="AU48" s="31" t="str">
        <f t="shared" si="153"/>
        <v>LogRuleEvaluation,0,</v>
      </c>
      <c r="AV48" s="31" t="str">
        <f t="shared" si="154"/>
        <v>ParallelSimulations,1,</v>
      </c>
      <c r="AW48" s="31" t="str">
        <f t="shared" si="155"/>
        <v>DurationStats,0,</v>
      </c>
      <c r="AX48" s="31" t="str">
        <f t="shared" si="156"/>
        <v>AnalysisThruStep,8,</v>
      </c>
      <c r="AY48" s="31" t="str">
        <f t="shared" si="157"/>
        <v>DontAbortOnErrorsThruStep,8,</v>
      </c>
      <c r="AZ48" s="31" t="str">
        <f t="shared" si="158"/>
        <v>BypassValidFileChecks,1,</v>
      </c>
      <c r="BA48" s="31" t="str">
        <f t="shared" si="159"/>
        <v>BypassInputChecks,0,</v>
      </c>
      <c r="BB48" s="31" t="str">
        <f t="shared" si="160"/>
        <v>BypassUMLHChecks,0,</v>
      </c>
      <c r="BC48" s="31" t="str">
        <f t="shared" si="161"/>
        <v>BypassCheckSimRules,0,</v>
      </c>
      <c r="BD48" s="31" t="str">
        <f t="shared" si="162"/>
        <v>BypassCheckCodeRules,0,</v>
      </c>
      <c r="BE48" s="31" t="str">
        <f t="shared" si="163"/>
        <v>StoreResultsToModelInput,0,</v>
      </c>
      <c r="BF48" s="31" t="str">
        <f t="shared" si="164"/>
        <v>StoreBEMDetails,0,</v>
      </c>
      <c r="BG48" s="31" t="str">
        <f t="shared" si="165"/>
        <v>ModelRpt_ALL,0,</v>
      </c>
      <c r="BH48" s="31" t="str">
        <f t="shared" si="166"/>
        <v>ExportHourlyResults_All,0,</v>
      </c>
      <c r="BI48" s="31" t="str">
        <f t="shared" si="167"/>
        <v>ComplianceReportPDF,0,</v>
      </c>
      <c r="BJ48" s="31" t="str">
        <f t="shared" si="168"/>
        <v>ComplianceReportXML,0,</v>
      </c>
      <c r="BK48" s="31" t="str">
        <f t="shared" si="169"/>
        <v>QuickAnalysis,0,</v>
      </c>
      <c r="BL48" s="31" t="str">
        <f t="shared" si="169"/>
        <v>PromptUserUMLHWarning,0,</v>
      </c>
      <c r="BM48" s="31" t="str">
        <f t="shared" si="170"/>
        <v>BypassOpenStudio_all,0,</v>
      </c>
      <c r="BN48" s="31" t="str">
        <f t="shared" si="171"/>
        <v>BypassOpenStudio_zp,0,</v>
      </c>
      <c r="BO48" s="31" t="str">
        <f t="shared" si="172"/>
        <v>BypassOpenStudio_zb,0,</v>
      </c>
      <c r="BP48" s="31" t="str">
        <f t="shared" si="173"/>
        <v>BypassOpenStudio_ap,0,</v>
      </c>
      <c r="BQ48" s="31" t="str">
        <f t="shared" si="174"/>
        <v>BypassOpenStudio_ab,0,</v>
      </c>
      <c r="BR48" s="31" t="str">
        <f t="shared" si="175"/>
        <v>BypassOpenStudio_zp,0,</v>
      </c>
      <c r="BS48" s="31" t="str">
        <f t="shared" si="176"/>
        <v>BypassOpenStudio_zb,0,</v>
      </c>
      <c r="BT48" s="31" t="str">
        <f t="shared" si="177"/>
        <v>BypassOpenStudio_ap,0,</v>
      </c>
      <c r="BU48" s="31" t="str">
        <f t="shared" si="178"/>
        <v>BypassOpenStudio_ab,0,</v>
      </c>
    </row>
    <row r="49" spans="1:73" x14ac:dyDescent="0.25">
      <c r="A49" s="39">
        <f t="shared" ref="A49:A50" si="217">L49</f>
        <v>1</v>
      </c>
      <c r="B49" s="27" t="str">
        <f t="shared" si="179"/>
        <v>OtherTests\OffLrg-PlenumsFPBsData.cibd</v>
      </c>
      <c r="C49" s="27" t="str">
        <f t="shared" si="180"/>
        <v>BatchOut_160331_r3964_OT\OffLrg-PlenumsFPBsData.cibd</v>
      </c>
      <c r="D49" s="27" t="str">
        <f t="shared" si="181"/>
        <v>BatchOut_160331_r3964_OT\XML\</v>
      </c>
      <c r="E49" s="9" t="str">
        <f t="shared" ref="E49:E50" si="218">M49</f>
        <v>OffLrg-PlenumsFPBsData</v>
      </c>
      <c r="F49" s="22"/>
      <c r="G49" s="29"/>
      <c r="H49" s="23"/>
      <c r="I49" s="9" t="s">
        <v>11</v>
      </c>
      <c r="J49"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9" s="15" t="s">
        <v>1</v>
      </c>
      <c r="L49" s="36">
        <f t="shared" si="190"/>
        <v>1</v>
      </c>
      <c r="M49" s="32" t="str">
        <f t="shared" si="213"/>
        <v>OffLrg-PlenumsFPBsData</v>
      </c>
      <c r="N49" s="28" t="s">
        <v>169</v>
      </c>
      <c r="O49" s="57" t="str">
        <f t="shared" si="149"/>
        <v>OffLrg-PlenumsFPBsData</v>
      </c>
      <c r="P49" s="63">
        <f t="shared" si="191"/>
        <v>1</v>
      </c>
      <c r="Q49" s="65">
        <f t="shared" si="191"/>
        <v>1</v>
      </c>
      <c r="R49" s="65">
        <f t="shared" si="191"/>
        <v>0</v>
      </c>
      <c r="S49" s="65">
        <f t="shared" si="191"/>
        <v>1</v>
      </c>
      <c r="T49" s="65">
        <f t="shared" si="191"/>
        <v>0</v>
      </c>
      <c r="U49" s="65">
        <f t="shared" si="192"/>
        <v>8</v>
      </c>
      <c r="V49" s="65">
        <f t="shared" si="193"/>
        <v>8</v>
      </c>
      <c r="W49" s="65">
        <f t="shared" si="194"/>
        <v>1</v>
      </c>
      <c r="X49" s="65">
        <f t="shared" si="194"/>
        <v>0</v>
      </c>
      <c r="Y49" s="65">
        <f t="shared" si="194"/>
        <v>0</v>
      </c>
      <c r="Z49" s="65">
        <f t="shared" si="195"/>
        <v>0</v>
      </c>
      <c r="AA49" s="65">
        <f t="shared" si="196"/>
        <v>0</v>
      </c>
      <c r="AB49" s="65">
        <f t="shared" si="197"/>
        <v>0</v>
      </c>
      <c r="AC49" s="65">
        <f t="shared" si="185"/>
        <v>0</v>
      </c>
      <c r="AD49" s="61">
        <f t="shared" si="185"/>
        <v>0</v>
      </c>
      <c r="AE49" s="61">
        <f t="shared" ref="AE49:AF49" si="219">AE48</f>
        <v>0</v>
      </c>
      <c r="AF49" s="61">
        <f t="shared" si="219"/>
        <v>0</v>
      </c>
      <c r="AG49" s="61">
        <f t="shared" ref="AG49:AH49" si="220">AG48</f>
        <v>0</v>
      </c>
      <c r="AH49" s="61">
        <f t="shared" si="220"/>
        <v>0</v>
      </c>
      <c r="AI49" s="61">
        <f t="shared" ref="AI49" si="221">AI48</f>
        <v>0</v>
      </c>
      <c r="AJ49" s="63">
        <f t="shared" si="185"/>
        <v>0</v>
      </c>
      <c r="AK49" s="64">
        <f t="shared" si="185"/>
        <v>0</v>
      </c>
      <c r="AL49" s="64">
        <f t="shared" si="185"/>
        <v>0</v>
      </c>
      <c r="AM49" s="64">
        <f t="shared" si="185"/>
        <v>0</v>
      </c>
      <c r="AN49" s="66">
        <f t="shared" si="185"/>
        <v>0</v>
      </c>
      <c r="AO49" s="63">
        <f t="shared" si="185"/>
        <v>0</v>
      </c>
      <c r="AP49" s="64">
        <f t="shared" si="185"/>
        <v>0</v>
      </c>
      <c r="AQ49" s="65">
        <f t="shared" si="185"/>
        <v>0</v>
      </c>
      <c r="AR49" s="66">
        <f t="shared" si="185"/>
        <v>0</v>
      </c>
      <c r="AS49" s="31" t="str">
        <f t="shared" ref="AS49:AS50" si="222">P$13&amp;P49&amp;","</f>
        <v>SimulationStorage,1,</v>
      </c>
      <c r="AT49" s="31" t="str">
        <f t="shared" ref="AT49:AT50" si="223">Q$13&amp;Q49&amp;","</f>
        <v>AnalysisStorage,1,</v>
      </c>
      <c r="AU49" s="31" t="str">
        <f t="shared" ref="AU49:AU50" si="224">R$13&amp;R49&amp;","</f>
        <v>LogRuleEvaluation,0,</v>
      </c>
      <c r="AV49" s="31" t="str">
        <f t="shared" ref="AV49:AV50" si="225">S$13&amp;S49&amp;","</f>
        <v>ParallelSimulations,1,</v>
      </c>
      <c r="AW49" s="31" t="str">
        <f t="shared" ref="AW49:AW50" si="226">T$13&amp;T49&amp;","</f>
        <v>DurationStats,0,</v>
      </c>
      <c r="AX49" s="31" t="str">
        <f t="shared" ref="AX49:AX50" si="227">U$13&amp;U49&amp;","</f>
        <v>AnalysisThruStep,8,</v>
      </c>
      <c r="AY49" s="31" t="str">
        <f t="shared" ref="AY49:AY50" si="228">V$13&amp;V49&amp;","</f>
        <v>DontAbortOnErrorsThruStep,8,</v>
      </c>
      <c r="AZ49" s="31" t="str">
        <f t="shared" ref="AZ49:AZ50" si="229">W$13&amp;W49&amp;","</f>
        <v>BypassValidFileChecks,1,</v>
      </c>
      <c r="BA49" s="31" t="str">
        <f t="shared" ref="BA49:BA50" si="230">X$13&amp;X49&amp;","</f>
        <v>BypassInputChecks,0,</v>
      </c>
      <c r="BB49" s="31" t="str">
        <f t="shared" ref="BB49:BB50" si="231">Y$13&amp;Y49&amp;","</f>
        <v>BypassUMLHChecks,0,</v>
      </c>
      <c r="BC49" s="31" t="str">
        <f t="shared" ref="BC49:BC50" si="232">Z$13&amp;Z49&amp;","</f>
        <v>BypassCheckSimRules,0,</v>
      </c>
      <c r="BD49" s="31" t="str">
        <f t="shared" ref="BD49:BD50" si="233">AA$13&amp;AA49&amp;","</f>
        <v>BypassCheckCodeRules,0,</v>
      </c>
      <c r="BE49" s="31" t="str">
        <f t="shared" si="163"/>
        <v>StoreResultsToModelInput,0,</v>
      </c>
      <c r="BF49" s="31" t="str">
        <f t="shared" si="164"/>
        <v>StoreBEMDetails,0,</v>
      </c>
      <c r="BG49" s="31" t="str">
        <f t="shared" si="165"/>
        <v>ModelRpt_ALL,0,</v>
      </c>
      <c r="BH49" s="31" t="str">
        <f t="shared" si="166"/>
        <v>ExportHourlyResults_All,0,</v>
      </c>
      <c r="BI49" s="31" t="str">
        <f t="shared" si="167"/>
        <v>ComplianceReportPDF,0,</v>
      </c>
      <c r="BJ49" s="31" t="str">
        <f t="shared" si="168"/>
        <v>ComplianceReportXML,0,</v>
      </c>
      <c r="BK49" s="31" t="str">
        <f t="shared" si="169"/>
        <v>QuickAnalysis,0,</v>
      </c>
      <c r="BL49" s="31" t="str">
        <f t="shared" si="169"/>
        <v>PromptUserUMLHWarning,0,</v>
      </c>
      <c r="BM49" s="31" t="str">
        <f t="shared" si="170"/>
        <v>BypassOpenStudio_all,0,</v>
      </c>
      <c r="BN49" s="31" t="str">
        <f t="shared" si="171"/>
        <v>BypassOpenStudio_zp,0,</v>
      </c>
      <c r="BO49" s="31" t="str">
        <f t="shared" si="172"/>
        <v>BypassOpenStudio_zb,0,</v>
      </c>
      <c r="BP49" s="31" t="str">
        <f t="shared" si="173"/>
        <v>BypassOpenStudio_ap,0,</v>
      </c>
      <c r="BQ49" s="31" t="str">
        <f t="shared" si="174"/>
        <v>BypassOpenStudio_ab,0,</v>
      </c>
      <c r="BR49" s="31" t="str">
        <f t="shared" si="175"/>
        <v>BypassOpenStudio_zp,0,</v>
      </c>
      <c r="BS49" s="31" t="str">
        <f t="shared" si="176"/>
        <v>BypassOpenStudio_zb,0,</v>
      </c>
      <c r="BT49" s="31" t="str">
        <f t="shared" si="177"/>
        <v>BypassOpenStudio_ap,0,</v>
      </c>
      <c r="BU49" s="31" t="str">
        <f t="shared" si="178"/>
        <v>BypassOpenStudio_ab,0,</v>
      </c>
    </row>
    <row r="50" spans="1:73" x14ac:dyDescent="0.25">
      <c r="A50" s="39">
        <f t="shared" si="217"/>
        <v>1</v>
      </c>
      <c r="B50" s="27" t="str">
        <f t="shared" si="179"/>
        <v>OtherTests\OffLrg-PrkgExhaust.cibd</v>
      </c>
      <c r="C50" s="27" t="str">
        <f t="shared" si="180"/>
        <v>BatchOut_160331_r3964_OT\OffLrg-PrkgExhaust.cibd</v>
      </c>
      <c r="D50" s="27" t="str">
        <f t="shared" si="181"/>
        <v>BatchOut_160331_r3964_OT\XML\</v>
      </c>
      <c r="E50" s="9" t="str">
        <f t="shared" si="218"/>
        <v>OffLrg-PrkgExhaust</v>
      </c>
      <c r="F50" s="22"/>
      <c r="G50" s="29"/>
      <c r="H50" s="23"/>
      <c r="I50" s="9" t="s">
        <v>11</v>
      </c>
      <c r="J50"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0" s="15" t="s">
        <v>1</v>
      </c>
      <c r="L50" s="36">
        <f>L49</f>
        <v>1</v>
      </c>
      <c r="M50" s="32" t="str">
        <f t="shared" si="213"/>
        <v>OffLrg-PrkgExhaust</v>
      </c>
      <c r="N50" s="28" t="s">
        <v>170</v>
      </c>
      <c r="O50" s="57" t="str">
        <f t="shared" ref="O50:O54" si="234">N50</f>
        <v>OffLrg-PrkgExhaust</v>
      </c>
      <c r="P50" s="63">
        <f t="shared" ref="P50:AR50" si="235">P49</f>
        <v>1</v>
      </c>
      <c r="Q50" s="65">
        <f t="shared" si="235"/>
        <v>1</v>
      </c>
      <c r="R50" s="65">
        <f t="shared" si="235"/>
        <v>0</v>
      </c>
      <c r="S50" s="65">
        <f t="shared" si="235"/>
        <v>1</v>
      </c>
      <c r="T50" s="65">
        <f t="shared" si="235"/>
        <v>0</v>
      </c>
      <c r="U50" s="65">
        <f t="shared" si="235"/>
        <v>8</v>
      </c>
      <c r="V50" s="65">
        <f t="shared" si="235"/>
        <v>8</v>
      </c>
      <c r="W50" s="65">
        <f t="shared" si="235"/>
        <v>1</v>
      </c>
      <c r="X50" s="65">
        <f t="shared" si="235"/>
        <v>0</v>
      </c>
      <c r="Y50" s="65">
        <f t="shared" si="235"/>
        <v>0</v>
      </c>
      <c r="Z50" s="65">
        <f t="shared" si="235"/>
        <v>0</v>
      </c>
      <c r="AA50" s="65">
        <f t="shared" si="235"/>
        <v>0</v>
      </c>
      <c r="AB50" s="65">
        <f t="shared" si="235"/>
        <v>0</v>
      </c>
      <c r="AC50" s="65">
        <f t="shared" si="235"/>
        <v>0</v>
      </c>
      <c r="AD50" s="61">
        <f t="shared" si="235"/>
        <v>0</v>
      </c>
      <c r="AE50" s="61">
        <f t="shared" ref="AE50:AF50" si="236">AE49</f>
        <v>0</v>
      </c>
      <c r="AF50" s="61">
        <f t="shared" si="236"/>
        <v>0</v>
      </c>
      <c r="AG50" s="61">
        <f t="shared" ref="AG50:AH50" si="237">AG49</f>
        <v>0</v>
      </c>
      <c r="AH50" s="61">
        <f t="shared" si="237"/>
        <v>0</v>
      </c>
      <c r="AI50" s="61">
        <f t="shared" ref="AI50" si="238">AI49</f>
        <v>0</v>
      </c>
      <c r="AJ50" s="63">
        <f t="shared" si="235"/>
        <v>0</v>
      </c>
      <c r="AK50" s="64">
        <f t="shared" si="235"/>
        <v>0</v>
      </c>
      <c r="AL50" s="64">
        <f t="shared" si="235"/>
        <v>0</v>
      </c>
      <c r="AM50" s="64">
        <f t="shared" si="235"/>
        <v>0</v>
      </c>
      <c r="AN50" s="66">
        <f t="shared" si="235"/>
        <v>0</v>
      </c>
      <c r="AO50" s="63">
        <f t="shared" si="235"/>
        <v>0</v>
      </c>
      <c r="AP50" s="64">
        <f t="shared" si="235"/>
        <v>0</v>
      </c>
      <c r="AQ50" s="65">
        <f t="shared" si="235"/>
        <v>0</v>
      </c>
      <c r="AR50" s="66">
        <f t="shared" si="235"/>
        <v>0</v>
      </c>
      <c r="AS50" s="31" t="str">
        <f t="shared" si="222"/>
        <v>SimulationStorage,1,</v>
      </c>
      <c r="AT50" s="31" t="str">
        <f t="shared" si="223"/>
        <v>AnalysisStorage,1,</v>
      </c>
      <c r="AU50" s="31" t="str">
        <f t="shared" si="224"/>
        <v>LogRuleEvaluation,0,</v>
      </c>
      <c r="AV50" s="31" t="str">
        <f t="shared" si="225"/>
        <v>ParallelSimulations,1,</v>
      </c>
      <c r="AW50" s="31" t="str">
        <f t="shared" si="226"/>
        <v>DurationStats,0,</v>
      </c>
      <c r="AX50" s="31" t="str">
        <f t="shared" si="227"/>
        <v>AnalysisThruStep,8,</v>
      </c>
      <c r="AY50" s="31" t="str">
        <f t="shared" si="228"/>
        <v>DontAbortOnErrorsThruStep,8,</v>
      </c>
      <c r="AZ50" s="31" t="str">
        <f t="shared" si="229"/>
        <v>BypassValidFileChecks,1,</v>
      </c>
      <c r="BA50" s="31" t="str">
        <f t="shared" si="230"/>
        <v>BypassInputChecks,0,</v>
      </c>
      <c r="BB50" s="31" t="str">
        <f t="shared" si="231"/>
        <v>BypassUMLHChecks,0,</v>
      </c>
      <c r="BC50" s="31" t="str">
        <f t="shared" si="232"/>
        <v>BypassCheckSimRules,0,</v>
      </c>
      <c r="BD50" s="31" t="str">
        <f t="shared" si="233"/>
        <v>BypassCheckCodeRules,0,</v>
      </c>
      <c r="BE50" s="31" t="str">
        <f t="shared" si="163"/>
        <v>StoreResultsToModelInput,0,</v>
      </c>
      <c r="BF50" s="31" t="str">
        <f t="shared" si="164"/>
        <v>StoreBEMDetails,0,</v>
      </c>
      <c r="BG50" s="31" t="str">
        <f t="shared" si="165"/>
        <v>ModelRpt_ALL,0,</v>
      </c>
      <c r="BH50" s="31" t="str">
        <f t="shared" si="166"/>
        <v>ExportHourlyResults_All,0,</v>
      </c>
      <c r="BI50" s="31" t="str">
        <f t="shared" si="167"/>
        <v>ComplianceReportPDF,0,</v>
      </c>
      <c r="BJ50" s="31" t="str">
        <f t="shared" si="168"/>
        <v>ComplianceReportXML,0,</v>
      </c>
      <c r="BK50" s="31" t="str">
        <f t="shared" si="169"/>
        <v>QuickAnalysis,0,</v>
      </c>
      <c r="BL50" s="31" t="str">
        <f t="shared" si="169"/>
        <v>PromptUserUMLHWarning,0,</v>
      </c>
      <c r="BM50" s="31" t="str">
        <f t="shared" si="170"/>
        <v>BypassOpenStudio_all,0,</v>
      </c>
      <c r="BN50" s="31" t="str">
        <f t="shared" si="171"/>
        <v>BypassOpenStudio_zp,0,</v>
      </c>
      <c r="BO50" s="31" t="str">
        <f t="shared" si="172"/>
        <v>BypassOpenStudio_zb,0,</v>
      </c>
      <c r="BP50" s="31" t="str">
        <f t="shared" si="173"/>
        <v>BypassOpenStudio_ap,0,</v>
      </c>
      <c r="BQ50" s="31" t="str">
        <f t="shared" si="174"/>
        <v>BypassOpenStudio_ab,0,</v>
      </c>
      <c r="BR50" s="31" t="str">
        <f t="shared" si="175"/>
        <v>BypassOpenStudio_zp,0,</v>
      </c>
      <c r="BS50" s="31" t="str">
        <f t="shared" si="176"/>
        <v>BypassOpenStudio_zb,0,</v>
      </c>
      <c r="BT50" s="31" t="str">
        <f t="shared" si="177"/>
        <v>BypassOpenStudio_ap,0,</v>
      </c>
      <c r="BU50" s="31" t="str">
        <f t="shared" si="178"/>
        <v>BypassOpenStudio_ab,0,</v>
      </c>
    </row>
    <row r="51" spans="1:73" x14ac:dyDescent="0.25">
      <c r="A51" s="39">
        <f t="shared" si="146"/>
        <v>1</v>
      </c>
      <c r="B51" s="27" t="str">
        <f t="shared" si="179"/>
        <v>OtherTests\OffLrg-PrkgLab.cibd</v>
      </c>
      <c r="C51" s="27" t="str">
        <f t="shared" si="180"/>
        <v>BatchOut_160331_r3964_OT\OffLrg-PrkgLab.cibd</v>
      </c>
      <c r="D51" s="27" t="str">
        <f t="shared" si="181"/>
        <v>BatchOut_160331_r3964_OT\XML\</v>
      </c>
      <c r="E51" s="9" t="str">
        <f t="shared" si="182"/>
        <v>OffLrg-PrkgLab</v>
      </c>
      <c r="F51" s="22"/>
      <c r="G51" s="29"/>
      <c r="H51" s="23"/>
      <c r="I51" s="9" t="s">
        <v>11</v>
      </c>
      <c r="J51"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1" s="15" t="s">
        <v>1</v>
      </c>
      <c r="L51" s="36">
        <f t="shared" si="190"/>
        <v>1</v>
      </c>
      <c r="M51" s="32" t="str">
        <f t="shared" si="213"/>
        <v>OffLrg-PrkgLab</v>
      </c>
      <c r="N51" s="28" t="s">
        <v>183</v>
      </c>
      <c r="O51" s="57" t="str">
        <f t="shared" si="234"/>
        <v>OffLrg-PrkgLab</v>
      </c>
      <c r="P51" s="63">
        <f t="shared" si="191"/>
        <v>1</v>
      </c>
      <c r="Q51" s="65">
        <f t="shared" si="191"/>
        <v>1</v>
      </c>
      <c r="R51" s="65">
        <f t="shared" si="191"/>
        <v>0</v>
      </c>
      <c r="S51" s="65">
        <f t="shared" si="191"/>
        <v>1</v>
      </c>
      <c r="T51" s="65">
        <f t="shared" si="191"/>
        <v>0</v>
      </c>
      <c r="U51" s="65">
        <f t="shared" si="192"/>
        <v>8</v>
      </c>
      <c r="V51" s="65">
        <f t="shared" si="193"/>
        <v>8</v>
      </c>
      <c r="W51" s="65">
        <f t="shared" si="194"/>
        <v>1</v>
      </c>
      <c r="X51" s="65">
        <f t="shared" si="194"/>
        <v>0</v>
      </c>
      <c r="Y51" s="65">
        <f t="shared" si="194"/>
        <v>0</v>
      </c>
      <c r="Z51" s="65">
        <f t="shared" si="195"/>
        <v>0</v>
      </c>
      <c r="AA51" s="65">
        <f t="shared" si="196"/>
        <v>0</v>
      </c>
      <c r="AB51" s="65">
        <f t="shared" si="197"/>
        <v>0</v>
      </c>
      <c r="AC51" s="65">
        <f t="shared" si="185"/>
        <v>0</v>
      </c>
      <c r="AD51" s="61">
        <f t="shared" si="185"/>
        <v>0</v>
      </c>
      <c r="AE51" s="61">
        <f t="shared" ref="AE51:AF51" si="239">AE50</f>
        <v>0</v>
      </c>
      <c r="AF51" s="61">
        <f t="shared" si="239"/>
        <v>0</v>
      </c>
      <c r="AG51" s="61">
        <f t="shared" ref="AG51:AH51" si="240">AG50</f>
        <v>0</v>
      </c>
      <c r="AH51" s="61">
        <f t="shared" si="240"/>
        <v>0</v>
      </c>
      <c r="AI51" s="61">
        <f t="shared" ref="AI51" si="241">AI50</f>
        <v>0</v>
      </c>
      <c r="AJ51" s="63">
        <f t="shared" si="185"/>
        <v>0</v>
      </c>
      <c r="AK51" s="64">
        <f t="shared" si="185"/>
        <v>0</v>
      </c>
      <c r="AL51" s="64">
        <f t="shared" si="185"/>
        <v>0</v>
      </c>
      <c r="AM51" s="64">
        <f t="shared" si="185"/>
        <v>0</v>
      </c>
      <c r="AN51" s="66">
        <f t="shared" si="185"/>
        <v>0</v>
      </c>
      <c r="AO51" s="63">
        <f t="shared" si="185"/>
        <v>0</v>
      </c>
      <c r="AP51" s="64">
        <f t="shared" si="185"/>
        <v>0</v>
      </c>
      <c r="AQ51" s="65">
        <f t="shared" si="185"/>
        <v>0</v>
      </c>
      <c r="AR51" s="66">
        <f t="shared" si="185"/>
        <v>0</v>
      </c>
      <c r="AS51" s="31" t="str">
        <f t="shared" si="151"/>
        <v>SimulationStorage,1,</v>
      </c>
      <c r="AT51" s="31" t="str">
        <f t="shared" si="152"/>
        <v>AnalysisStorage,1,</v>
      </c>
      <c r="AU51" s="31" t="str">
        <f t="shared" si="153"/>
        <v>LogRuleEvaluation,0,</v>
      </c>
      <c r="AV51" s="31" t="str">
        <f t="shared" si="154"/>
        <v>ParallelSimulations,1,</v>
      </c>
      <c r="AW51" s="31" t="str">
        <f t="shared" si="155"/>
        <v>DurationStats,0,</v>
      </c>
      <c r="AX51" s="31" t="str">
        <f t="shared" si="156"/>
        <v>AnalysisThruStep,8,</v>
      </c>
      <c r="AY51" s="31" t="str">
        <f t="shared" si="157"/>
        <v>DontAbortOnErrorsThruStep,8,</v>
      </c>
      <c r="AZ51" s="31" t="str">
        <f t="shared" si="158"/>
        <v>BypassValidFileChecks,1,</v>
      </c>
      <c r="BA51" s="31" t="str">
        <f t="shared" si="159"/>
        <v>BypassInputChecks,0,</v>
      </c>
      <c r="BB51" s="31" t="str">
        <f t="shared" si="160"/>
        <v>BypassUMLHChecks,0,</v>
      </c>
      <c r="BC51" s="31" t="str">
        <f t="shared" si="161"/>
        <v>BypassCheckSimRules,0,</v>
      </c>
      <c r="BD51" s="31" t="str">
        <f t="shared" si="162"/>
        <v>BypassCheckCodeRules,0,</v>
      </c>
      <c r="BE51" s="31" t="str">
        <f t="shared" si="163"/>
        <v>StoreResultsToModelInput,0,</v>
      </c>
      <c r="BF51" s="31" t="str">
        <f t="shared" si="164"/>
        <v>StoreBEMDetails,0,</v>
      </c>
      <c r="BG51" s="31" t="str">
        <f t="shared" si="165"/>
        <v>ModelRpt_ALL,0,</v>
      </c>
      <c r="BH51" s="31" t="str">
        <f t="shared" si="166"/>
        <v>ExportHourlyResults_All,0,</v>
      </c>
      <c r="BI51" s="31" t="str">
        <f t="shared" si="167"/>
        <v>ComplianceReportPDF,0,</v>
      </c>
      <c r="BJ51" s="31" t="str">
        <f t="shared" si="168"/>
        <v>ComplianceReportXML,0,</v>
      </c>
      <c r="BK51" s="31" t="str">
        <f t="shared" si="169"/>
        <v>QuickAnalysis,0,</v>
      </c>
      <c r="BL51" s="31" t="str">
        <f t="shared" si="169"/>
        <v>PromptUserUMLHWarning,0,</v>
      </c>
      <c r="BM51" s="31" t="str">
        <f t="shared" si="170"/>
        <v>BypassOpenStudio_all,0,</v>
      </c>
      <c r="BN51" s="31" t="str">
        <f t="shared" si="171"/>
        <v>BypassOpenStudio_zp,0,</v>
      </c>
      <c r="BO51" s="31" t="str">
        <f t="shared" si="172"/>
        <v>BypassOpenStudio_zb,0,</v>
      </c>
      <c r="BP51" s="31" t="str">
        <f t="shared" si="173"/>
        <v>BypassOpenStudio_ap,0,</v>
      </c>
      <c r="BQ51" s="31" t="str">
        <f t="shared" si="174"/>
        <v>BypassOpenStudio_ab,0,</v>
      </c>
      <c r="BR51" s="31" t="str">
        <f t="shared" si="175"/>
        <v>BypassOpenStudio_zp,0,</v>
      </c>
      <c r="BS51" s="31" t="str">
        <f t="shared" si="176"/>
        <v>BypassOpenStudio_zb,0,</v>
      </c>
      <c r="BT51" s="31" t="str">
        <f t="shared" si="177"/>
        <v>BypassOpenStudio_ap,0,</v>
      </c>
      <c r="BU51" s="31" t="str">
        <f t="shared" si="178"/>
        <v>BypassOpenStudio_ab,0,</v>
      </c>
    </row>
    <row r="52" spans="1:73" x14ac:dyDescent="0.25">
      <c r="A52" s="39">
        <f t="shared" ref="A52:A54" si="242">L52</f>
        <v>1</v>
      </c>
      <c r="B52" s="27" t="str">
        <f t="shared" si="179"/>
        <v>OtherTests\OffLrg-PrkgLabKitchen.cibd</v>
      </c>
      <c r="C52" s="27" t="str">
        <f t="shared" si="180"/>
        <v>BatchOut_160331_r3964_OT\OffLrg-PrkgLabKitchen.cibd</v>
      </c>
      <c r="D52" s="27" t="str">
        <f t="shared" si="181"/>
        <v>BatchOut_160331_r3964_OT\XML\</v>
      </c>
      <c r="E52" s="9" t="str">
        <f t="shared" ref="E52:E54" si="243">M52</f>
        <v>OffLrg-PrkgLabKitchen</v>
      </c>
      <c r="F52" s="22"/>
      <c r="G52" s="29"/>
      <c r="H52" s="23" t="str">
        <f>IF(F52&gt;1,1,"")</f>
        <v/>
      </c>
      <c r="I52" s="9" t="s">
        <v>11</v>
      </c>
      <c r="J52"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2" s="15" t="s">
        <v>1</v>
      </c>
      <c r="L52" s="36">
        <f t="shared" si="190"/>
        <v>1</v>
      </c>
      <c r="M52" s="32" t="str">
        <f t="shared" si="213"/>
        <v>OffLrg-PrkgLabKitchen</v>
      </c>
      <c r="N52" s="28" t="s">
        <v>177</v>
      </c>
      <c r="O52" s="57" t="str">
        <f t="shared" si="234"/>
        <v>OffLrg-PrkgLabKitchen</v>
      </c>
      <c r="P52" s="63">
        <f t="shared" si="191"/>
        <v>1</v>
      </c>
      <c r="Q52" s="65">
        <f t="shared" si="191"/>
        <v>1</v>
      </c>
      <c r="R52" s="65">
        <f t="shared" si="191"/>
        <v>0</v>
      </c>
      <c r="S52" s="65">
        <f t="shared" si="191"/>
        <v>1</v>
      </c>
      <c r="T52" s="65">
        <f t="shared" si="191"/>
        <v>0</v>
      </c>
      <c r="U52" s="65">
        <f t="shared" si="192"/>
        <v>8</v>
      </c>
      <c r="V52" s="65">
        <f t="shared" si="193"/>
        <v>8</v>
      </c>
      <c r="W52" s="65">
        <f t="shared" si="194"/>
        <v>1</v>
      </c>
      <c r="X52" s="65">
        <f t="shared" si="194"/>
        <v>0</v>
      </c>
      <c r="Y52" s="65">
        <f t="shared" si="194"/>
        <v>0</v>
      </c>
      <c r="Z52" s="65">
        <f t="shared" si="195"/>
        <v>0</v>
      </c>
      <c r="AA52" s="65">
        <f t="shared" si="196"/>
        <v>0</v>
      </c>
      <c r="AB52" s="65">
        <f t="shared" si="197"/>
        <v>0</v>
      </c>
      <c r="AC52" s="65">
        <f t="shared" si="185"/>
        <v>0</v>
      </c>
      <c r="AD52" s="61">
        <f t="shared" si="185"/>
        <v>0</v>
      </c>
      <c r="AE52" s="61">
        <f t="shared" ref="AE52:AF52" si="244">AE51</f>
        <v>0</v>
      </c>
      <c r="AF52" s="61">
        <f t="shared" si="244"/>
        <v>0</v>
      </c>
      <c r="AG52" s="61">
        <f t="shared" ref="AG52:AH52" si="245">AG51</f>
        <v>0</v>
      </c>
      <c r="AH52" s="61">
        <f t="shared" si="245"/>
        <v>0</v>
      </c>
      <c r="AI52" s="61">
        <f t="shared" ref="AI52" si="246">AI51</f>
        <v>0</v>
      </c>
      <c r="AJ52" s="63">
        <f t="shared" si="185"/>
        <v>0</v>
      </c>
      <c r="AK52" s="64">
        <f t="shared" si="185"/>
        <v>0</v>
      </c>
      <c r="AL52" s="64">
        <f t="shared" si="185"/>
        <v>0</v>
      </c>
      <c r="AM52" s="64">
        <f t="shared" si="185"/>
        <v>0</v>
      </c>
      <c r="AN52" s="66">
        <f t="shared" si="185"/>
        <v>0</v>
      </c>
      <c r="AO52" s="63">
        <f t="shared" si="185"/>
        <v>0</v>
      </c>
      <c r="AP52" s="64">
        <f t="shared" si="185"/>
        <v>0</v>
      </c>
      <c r="AQ52" s="65">
        <f t="shared" si="185"/>
        <v>0</v>
      </c>
      <c r="AR52" s="66">
        <f t="shared" si="185"/>
        <v>0</v>
      </c>
      <c r="AS52" s="31" t="str">
        <f t="shared" ref="AS52:AS54" si="247">P$13&amp;P52&amp;","</f>
        <v>SimulationStorage,1,</v>
      </c>
      <c r="AT52" s="31" t="str">
        <f t="shared" ref="AT52:AT54" si="248">Q$13&amp;Q52&amp;","</f>
        <v>AnalysisStorage,1,</v>
      </c>
      <c r="AU52" s="31" t="str">
        <f t="shared" ref="AU52:AU54" si="249">R$13&amp;R52&amp;","</f>
        <v>LogRuleEvaluation,0,</v>
      </c>
      <c r="AV52" s="31" t="str">
        <f t="shared" ref="AV52:AV54" si="250">S$13&amp;S52&amp;","</f>
        <v>ParallelSimulations,1,</v>
      </c>
      <c r="AW52" s="31" t="str">
        <f t="shared" ref="AW52:AW54" si="251">T$13&amp;T52&amp;","</f>
        <v>DurationStats,0,</v>
      </c>
      <c r="AX52" s="31" t="str">
        <f t="shared" ref="AX52:AX54" si="252">U$13&amp;U52&amp;","</f>
        <v>AnalysisThruStep,8,</v>
      </c>
      <c r="AY52" s="31" t="str">
        <f t="shared" ref="AY52:AY54" si="253">V$13&amp;V52&amp;","</f>
        <v>DontAbortOnErrorsThruStep,8,</v>
      </c>
      <c r="AZ52" s="31" t="str">
        <f t="shared" ref="AZ52:AZ54" si="254">W$13&amp;W52&amp;","</f>
        <v>BypassValidFileChecks,1,</v>
      </c>
      <c r="BA52" s="31" t="str">
        <f t="shared" ref="BA52:BA54" si="255">X$13&amp;X52&amp;","</f>
        <v>BypassInputChecks,0,</v>
      </c>
      <c r="BB52" s="31" t="str">
        <f t="shared" ref="BB52:BB54" si="256">Y$13&amp;Y52&amp;","</f>
        <v>BypassUMLHChecks,0,</v>
      </c>
      <c r="BC52" s="31" t="str">
        <f t="shared" ref="BC52:BC54" si="257">Z$13&amp;Z52&amp;","</f>
        <v>BypassCheckSimRules,0,</v>
      </c>
      <c r="BD52" s="31" t="str">
        <f t="shared" ref="BD52:BD54" si="258">AA$13&amp;AA52&amp;","</f>
        <v>BypassCheckCodeRules,0,</v>
      </c>
      <c r="BE52" s="31" t="str">
        <f t="shared" si="163"/>
        <v>StoreResultsToModelInput,0,</v>
      </c>
      <c r="BF52" s="31" t="str">
        <f t="shared" si="164"/>
        <v>StoreBEMDetails,0,</v>
      </c>
      <c r="BG52" s="31" t="str">
        <f t="shared" si="165"/>
        <v>ModelRpt_ALL,0,</v>
      </c>
      <c r="BH52" s="31" t="str">
        <f t="shared" si="166"/>
        <v>ExportHourlyResults_All,0,</v>
      </c>
      <c r="BI52" s="31" t="str">
        <f t="shared" si="167"/>
        <v>ComplianceReportPDF,0,</v>
      </c>
      <c r="BJ52" s="31" t="str">
        <f t="shared" si="168"/>
        <v>ComplianceReportXML,0,</v>
      </c>
      <c r="BK52" s="31" t="str">
        <f t="shared" si="169"/>
        <v>QuickAnalysis,0,</v>
      </c>
      <c r="BL52" s="31" t="str">
        <f t="shared" si="169"/>
        <v>PromptUserUMLHWarning,0,</v>
      </c>
      <c r="BM52" s="31" t="str">
        <f t="shared" si="170"/>
        <v>BypassOpenStudio_all,0,</v>
      </c>
      <c r="BN52" s="31" t="str">
        <f t="shared" si="171"/>
        <v>BypassOpenStudio_zp,0,</v>
      </c>
      <c r="BO52" s="31" t="str">
        <f t="shared" si="172"/>
        <v>BypassOpenStudio_zb,0,</v>
      </c>
      <c r="BP52" s="31" t="str">
        <f t="shared" si="173"/>
        <v>BypassOpenStudio_ap,0,</v>
      </c>
      <c r="BQ52" s="31" t="str">
        <f t="shared" si="174"/>
        <v>BypassOpenStudio_ab,0,</v>
      </c>
      <c r="BR52" s="31" t="str">
        <f t="shared" si="175"/>
        <v>BypassOpenStudio_zp,0,</v>
      </c>
      <c r="BS52" s="31" t="str">
        <f t="shared" si="176"/>
        <v>BypassOpenStudio_zb,0,</v>
      </c>
      <c r="BT52" s="31" t="str">
        <f t="shared" si="177"/>
        <v>BypassOpenStudio_ap,0,</v>
      </c>
      <c r="BU52" s="31" t="str">
        <f t="shared" si="178"/>
        <v>BypassOpenStudio_ab,0,</v>
      </c>
    </row>
    <row r="53" spans="1:73" x14ac:dyDescent="0.25">
      <c r="A53" s="39">
        <f t="shared" si="242"/>
        <v>1</v>
      </c>
      <c r="B53" s="27" t="str">
        <f t="shared" si="179"/>
        <v>OtherTests\OffSml-CombDHWSpcHt.cibd</v>
      </c>
      <c r="C53" s="27" t="str">
        <f t="shared" si="180"/>
        <v>BatchOut_160331_r3964_OT\OffSml-CombDHWSpcHt.cibd</v>
      </c>
      <c r="D53" s="27" t="str">
        <f t="shared" si="181"/>
        <v>BatchOut_160331_r3964_OT\XML\</v>
      </c>
      <c r="E53" s="9" t="str">
        <f t="shared" si="243"/>
        <v>OffSml-CombDHWSpcHt</v>
      </c>
      <c r="F53" s="22"/>
      <c r="G53" s="29"/>
      <c r="H53" s="23"/>
      <c r="I53" s="9" t="s">
        <v>11</v>
      </c>
      <c r="J53"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3" s="15" t="s">
        <v>1</v>
      </c>
      <c r="L53" s="36">
        <f t="shared" si="190"/>
        <v>1</v>
      </c>
      <c r="M53" s="32" t="str">
        <f t="shared" si="213"/>
        <v>OffSml-CombDHWSpcHt</v>
      </c>
      <c r="N53" s="28" t="s">
        <v>365</v>
      </c>
      <c r="O53" s="57" t="str">
        <f t="shared" si="234"/>
        <v>OffSml-CombDHWSpcHt</v>
      </c>
      <c r="P53" s="63">
        <f t="shared" si="191"/>
        <v>1</v>
      </c>
      <c r="Q53" s="65">
        <f t="shared" si="191"/>
        <v>1</v>
      </c>
      <c r="R53" s="65">
        <f t="shared" si="191"/>
        <v>0</v>
      </c>
      <c r="S53" s="65">
        <f t="shared" si="191"/>
        <v>1</v>
      </c>
      <c r="T53" s="65">
        <f t="shared" si="191"/>
        <v>0</v>
      </c>
      <c r="U53" s="65">
        <f t="shared" si="192"/>
        <v>8</v>
      </c>
      <c r="V53" s="65">
        <f t="shared" si="193"/>
        <v>8</v>
      </c>
      <c r="W53" s="65">
        <f t="shared" si="194"/>
        <v>1</v>
      </c>
      <c r="X53" s="65">
        <f t="shared" si="194"/>
        <v>0</v>
      </c>
      <c r="Y53" s="65">
        <f t="shared" si="194"/>
        <v>0</v>
      </c>
      <c r="Z53" s="65">
        <f t="shared" si="195"/>
        <v>0</v>
      </c>
      <c r="AA53" s="65">
        <f t="shared" si="196"/>
        <v>0</v>
      </c>
      <c r="AB53" s="65">
        <f t="shared" si="197"/>
        <v>0</v>
      </c>
      <c r="AC53" s="65">
        <f t="shared" si="185"/>
        <v>0</v>
      </c>
      <c r="AD53" s="61">
        <f t="shared" si="185"/>
        <v>0</v>
      </c>
      <c r="AE53" s="61">
        <f t="shared" ref="AE53:AF53" si="259">AE52</f>
        <v>0</v>
      </c>
      <c r="AF53" s="61">
        <f t="shared" si="259"/>
        <v>0</v>
      </c>
      <c r="AG53" s="61">
        <f t="shared" ref="AG53:AH53" si="260">AG52</f>
        <v>0</v>
      </c>
      <c r="AH53" s="61">
        <f t="shared" si="260"/>
        <v>0</v>
      </c>
      <c r="AI53" s="61">
        <f t="shared" ref="AI53" si="261">AI52</f>
        <v>0</v>
      </c>
      <c r="AJ53" s="63">
        <f t="shared" si="185"/>
        <v>0</v>
      </c>
      <c r="AK53" s="64">
        <f t="shared" si="185"/>
        <v>0</v>
      </c>
      <c r="AL53" s="64">
        <f t="shared" si="185"/>
        <v>0</v>
      </c>
      <c r="AM53" s="64">
        <f t="shared" si="185"/>
        <v>0</v>
      </c>
      <c r="AN53" s="66">
        <f t="shared" si="185"/>
        <v>0</v>
      </c>
      <c r="AO53" s="63">
        <f t="shared" si="185"/>
        <v>0</v>
      </c>
      <c r="AP53" s="64">
        <f t="shared" si="185"/>
        <v>0</v>
      </c>
      <c r="AQ53" s="65">
        <f t="shared" si="185"/>
        <v>0</v>
      </c>
      <c r="AR53" s="66">
        <f t="shared" si="185"/>
        <v>0</v>
      </c>
      <c r="AS53" s="31" t="str">
        <f t="shared" si="247"/>
        <v>SimulationStorage,1,</v>
      </c>
      <c r="AT53" s="31" t="str">
        <f t="shared" si="248"/>
        <v>AnalysisStorage,1,</v>
      </c>
      <c r="AU53" s="31" t="str">
        <f t="shared" si="249"/>
        <v>LogRuleEvaluation,0,</v>
      </c>
      <c r="AV53" s="31" t="str">
        <f t="shared" si="250"/>
        <v>ParallelSimulations,1,</v>
      </c>
      <c r="AW53" s="31" t="str">
        <f t="shared" si="251"/>
        <v>DurationStats,0,</v>
      </c>
      <c r="AX53" s="31" t="str">
        <f t="shared" si="252"/>
        <v>AnalysisThruStep,8,</v>
      </c>
      <c r="AY53" s="31" t="str">
        <f t="shared" si="253"/>
        <v>DontAbortOnErrorsThruStep,8,</v>
      </c>
      <c r="AZ53" s="31" t="str">
        <f t="shared" si="254"/>
        <v>BypassValidFileChecks,1,</v>
      </c>
      <c r="BA53" s="31" t="str">
        <f t="shared" si="255"/>
        <v>BypassInputChecks,0,</v>
      </c>
      <c r="BB53" s="31" t="str">
        <f t="shared" si="256"/>
        <v>BypassUMLHChecks,0,</v>
      </c>
      <c r="BC53" s="31" t="str">
        <f t="shared" si="257"/>
        <v>BypassCheckSimRules,0,</v>
      </c>
      <c r="BD53" s="31" t="str">
        <f t="shared" si="258"/>
        <v>BypassCheckCodeRules,0,</v>
      </c>
      <c r="BE53" s="31" t="str">
        <f t="shared" si="163"/>
        <v>StoreResultsToModelInput,0,</v>
      </c>
      <c r="BF53" s="31" t="str">
        <f t="shared" si="164"/>
        <v>StoreBEMDetails,0,</v>
      </c>
      <c r="BG53" s="31" t="str">
        <f t="shared" si="165"/>
        <v>ModelRpt_ALL,0,</v>
      </c>
      <c r="BH53" s="31" t="str">
        <f t="shared" si="166"/>
        <v>ExportHourlyResults_All,0,</v>
      </c>
      <c r="BI53" s="31" t="str">
        <f t="shared" si="167"/>
        <v>ComplianceReportPDF,0,</v>
      </c>
      <c r="BJ53" s="31" t="str">
        <f t="shared" si="168"/>
        <v>ComplianceReportXML,0,</v>
      </c>
      <c r="BK53" s="31" t="str">
        <f t="shared" si="169"/>
        <v>QuickAnalysis,0,</v>
      </c>
      <c r="BL53" s="31" t="str">
        <f t="shared" si="169"/>
        <v>PromptUserUMLHWarning,0,</v>
      </c>
      <c r="BM53" s="31" t="str">
        <f t="shared" si="170"/>
        <v>BypassOpenStudio_all,0,</v>
      </c>
      <c r="BN53" s="31" t="str">
        <f t="shared" si="171"/>
        <v>BypassOpenStudio_zp,0,</v>
      </c>
      <c r="BO53" s="31" t="str">
        <f t="shared" si="172"/>
        <v>BypassOpenStudio_zb,0,</v>
      </c>
      <c r="BP53" s="31" t="str">
        <f t="shared" si="173"/>
        <v>BypassOpenStudio_ap,0,</v>
      </c>
      <c r="BQ53" s="31" t="str">
        <f t="shared" si="174"/>
        <v>BypassOpenStudio_ab,0,</v>
      </c>
      <c r="BR53" s="31" t="str">
        <f t="shared" si="175"/>
        <v>BypassOpenStudio_zp,0,</v>
      </c>
      <c r="BS53" s="31" t="str">
        <f t="shared" si="176"/>
        <v>BypassOpenStudio_zb,0,</v>
      </c>
      <c r="BT53" s="31" t="str">
        <f t="shared" si="177"/>
        <v>BypassOpenStudio_ap,0,</v>
      </c>
      <c r="BU53" s="31" t="str">
        <f t="shared" si="178"/>
        <v>BypassOpenStudio_ab,0,</v>
      </c>
    </row>
    <row r="54" spans="1:73" x14ac:dyDescent="0.25">
      <c r="A54" s="39">
        <f t="shared" si="242"/>
        <v>1</v>
      </c>
      <c r="B54" s="27" t="str">
        <f t="shared" si="179"/>
        <v>OtherTests\OffSml-CommKit_SZVAV.cibd</v>
      </c>
      <c r="C54" s="27" t="str">
        <f t="shared" si="180"/>
        <v>BatchOut_160331_r3964_OT\OffSml-CommKit_SZVAV.cibd</v>
      </c>
      <c r="D54" s="27" t="str">
        <f t="shared" si="181"/>
        <v>BatchOut_160331_r3964_OT\XML\</v>
      </c>
      <c r="E54" s="9" t="str">
        <f t="shared" si="243"/>
        <v>OffSml-CommKit_SZVAV</v>
      </c>
      <c r="F54" s="22"/>
      <c r="G54" s="29"/>
      <c r="H54" s="23"/>
      <c r="I54" s="9" t="s">
        <v>11</v>
      </c>
      <c r="J54"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4" s="15" t="s">
        <v>1</v>
      </c>
      <c r="L54" s="36">
        <f t="shared" si="190"/>
        <v>1</v>
      </c>
      <c r="M54" s="32" t="str">
        <f t="shared" si="213"/>
        <v>OffSml-CommKit_SZVAV</v>
      </c>
      <c r="N54" s="28" t="s">
        <v>203</v>
      </c>
      <c r="O54" s="57" t="str">
        <f t="shared" si="234"/>
        <v>OffSml-CommKit_SZVAV</v>
      </c>
      <c r="P54" s="63">
        <f t="shared" si="191"/>
        <v>1</v>
      </c>
      <c r="Q54" s="65">
        <f t="shared" si="191"/>
        <v>1</v>
      </c>
      <c r="R54" s="65">
        <f t="shared" si="191"/>
        <v>0</v>
      </c>
      <c r="S54" s="65">
        <f t="shared" si="191"/>
        <v>1</v>
      </c>
      <c r="T54" s="65">
        <f t="shared" si="191"/>
        <v>0</v>
      </c>
      <c r="U54" s="65">
        <f t="shared" si="192"/>
        <v>8</v>
      </c>
      <c r="V54" s="65">
        <f t="shared" si="193"/>
        <v>8</v>
      </c>
      <c r="W54" s="65">
        <f t="shared" si="194"/>
        <v>1</v>
      </c>
      <c r="X54" s="65">
        <f t="shared" si="194"/>
        <v>0</v>
      </c>
      <c r="Y54" s="65">
        <f t="shared" si="194"/>
        <v>0</v>
      </c>
      <c r="Z54" s="65">
        <f t="shared" si="195"/>
        <v>0</v>
      </c>
      <c r="AA54" s="65">
        <f t="shared" si="196"/>
        <v>0</v>
      </c>
      <c r="AB54" s="65">
        <f t="shared" si="197"/>
        <v>0</v>
      </c>
      <c r="AC54" s="65">
        <f t="shared" si="185"/>
        <v>0</v>
      </c>
      <c r="AD54" s="61">
        <f t="shared" si="185"/>
        <v>0</v>
      </c>
      <c r="AE54" s="61">
        <f t="shared" ref="AE54:AF54" si="262">AE53</f>
        <v>0</v>
      </c>
      <c r="AF54" s="61">
        <f t="shared" si="262"/>
        <v>0</v>
      </c>
      <c r="AG54" s="61">
        <f t="shared" ref="AG54:AH54" si="263">AG53</f>
        <v>0</v>
      </c>
      <c r="AH54" s="61">
        <f t="shared" si="263"/>
        <v>0</v>
      </c>
      <c r="AI54" s="61">
        <f t="shared" ref="AI54" si="264">AI53</f>
        <v>0</v>
      </c>
      <c r="AJ54" s="63">
        <f t="shared" si="185"/>
        <v>0</v>
      </c>
      <c r="AK54" s="64">
        <f t="shared" si="185"/>
        <v>0</v>
      </c>
      <c r="AL54" s="64">
        <f t="shared" si="185"/>
        <v>0</v>
      </c>
      <c r="AM54" s="64">
        <f t="shared" si="185"/>
        <v>0</v>
      </c>
      <c r="AN54" s="66">
        <f t="shared" si="185"/>
        <v>0</v>
      </c>
      <c r="AO54" s="63">
        <f t="shared" si="185"/>
        <v>0</v>
      </c>
      <c r="AP54" s="64">
        <f t="shared" si="185"/>
        <v>0</v>
      </c>
      <c r="AQ54" s="65">
        <f t="shared" si="185"/>
        <v>0</v>
      </c>
      <c r="AR54" s="66">
        <f t="shared" si="185"/>
        <v>0</v>
      </c>
      <c r="AS54" s="31" t="str">
        <f t="shared" si="247"/>
        <v>SimulationStorage,1,</v>
      </c>
      <c r="AT54" s="31" t="str">
        <f t="shared" si="248"/>
        <v>AnalysisStorage,1,</v>
      </c>
      <c r="AU54" s="31" t="str">
        <f t="shared" si="249"/>
        <v>LogRuleEvaluation,0,</v>
      </c>
      <c r="AV54" s="31" t="str">
        <f t="shared" si="250"/>
        <v>ParallelSimulations,1,</v>
      </c>
      <c r="AW54" s="31" t="str">
        <f t="shared" si="251"/>
        <v>DurationStats,0,</v>
      </c>
      <c r="AX54" s="31" t="str">
        <f t="shared" si="252"/>
        <v>AnalysisThruStep,8,</v>
      </c>
      <c r="AY54" s="31" t="str">
        <f t="shared" si="253"/>
        <v>DontAbortOnErrorsThruStep,8,</v>
      </c>
      <c r="AZ54" s="31" t="str">
        <f t="shared" si="254"/>
        <v>BypassValidFileChecks,1,</v>
      </c>
      <c r="BA54" s="31" t="str">
        <f t="shared" si="255"/>
        <v>BypassInputChecks,0,</v>
      </c>
      <c r="BB54" s="31" t="str">
        <f t="shared" si="256"/>
        <v>BypassUMLHChecks,0,</v>
      </c>
      <c r="BC54" s="31" t="str">
        <f t="shared" si="257"/>
        <v>BypassCheckSimRules,0,</v>
      </c>
      <c r="BD54" s="31" t="str">
        <f t="shared" si="258"/>
        <v>BypassCheckCodeRules,0,</v>
      </c>
      <c r="BE54" s="31" t="str">
        <f t="shared" si="163"/>
        <v>StoreResultsToModelInput,0,</v>
      </c>
      <c r="BF54" s="31" t="str">
        <f t="shared" si="164"/>
        <v>StoreBEMDetails,0,</v>
      </c>
      <c r="BG54" s="31" t="str">
        <f t="shared" si="165"/>
        <v>ModelRpt_ALL,0,</v>
      </c>
      <c r="BH54" s="31" t="str">
        <f t="shared" si="166"/>
        <v>ExportHourlyResults_All,0,</v>
      </c>
      <c r="BI54" s="31" t="str">
        <f t="shared" si="167"/>
        <v>ComplianceReportPDF,0,</v>
      </c>
      <c r="BJ54" s="31" t="str">
        <f t="shared" si="168"/>
        <v>ComplianceReportXML,0,</v>
      </c>
      <c r="BK54" s="31" t="str">
        <f t="shared" si="169"/>
        <v>QuickAnalysis,0,</v>
      </c>
      <c r="BL54" s="31" t="str">
        <f t="shared" si="169"/>
        <v>PromptUserUMLHWarning,0,</v>
      </c>
      <c r="BM54" s="31" t="str">
        <f t="shared" si="170"/>
        <v>BypassOpenStudio_all,0,</v>
      </c>
      <c r="BN54" s="31" t="str">
        <f t="shared" si="171"/>
        <v>BypassOpenStudio_zp,0,</v>
      </c>
      <c r="BO54" s="31" t="str">
        <f t="shared" si="172"/>
        <v>BypassOpenStudio_zb,0,</v>
      </c>
      <c r="BP54" s="31" t="str">
        <f t="shared" si="173"/>
        <v>BypassOpenStudio_ap,0,</v>
      </c>
      <c r="BQ54" s="31" t="str">
        <f t="shared" si="174"/>
        <v>BypassOpenStudio_ab,0,</v>
      </c>
      <c r="BR54" s="31" t="str">
        <f t="shared" si="175"/>
        <v>BypassOpenStudio_zp,0,</v>
      </c>
      <c r="BS54" s="31" t="str">
        <f t="shared" si="176"/>
        <v>BypassOpenStudio_zb,0,</v>
      </c>
      <c r="BT54" s="31" t="str">
        <f t="shared" si="177"/>
        <v>BypassOpenStudio_ap,0,</v>
      </c>
      <c r="BU54" s="31" t="str">
        <f t="shared" si="178"/>
        <v>BypassOpenStudio_ab,0,</v>
      </c>
    </row>
    <row r="55" spans="1:73" x14ac:dyDescent="0.25">
      <c r="A55" s="39">
        <f t="shared" ref="A55:A63" si="265">L55</f>
        <v>1</v>
      </c>
      <c r="B55" s="27" t="str">
        <f t="shared" si="179"/>
        <v>OtherTests\OffSml-Data_SZVAV.cibd</v>
      </c>
      <c r="C55" s="27" t="str">
        <f t="shared" si="180"/>
        <v>BatchOut_160331_r3964_OT\OffSml-Data_SZVAV.cibd</v>
      </c>
      <c r="D55" s="27" t="str">
        <f t="shared" si="181"/>
        <v>BatchOut_160331_r3964_OT\XML\</v>
      </c>
      <c r="E55" s="9" t="str">
        <f t="shared" ref="E55:E63" si="266">M55</f>
        <v>OffSml-Data_SZVAV</v>
      </c>
      <c r="F55" s="22"/>
      <c r="G55" s="29"/>
      <c r="H55" s="23" t="str">
        <f>IF(F55&gt;1,1,"")</f>
        <v/>
      </c>
      <c r="I55" s="9" t="s">
        <v>11</v>
      </c>
      <c r="J55"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5" s="15" t="s">
        <v>1</v>
      </c>
      <c r="L55" s="36">
        <f t="shared" si="190"/>
        <v>1</v>
      </c>
      <c r="M55" s="32" t="str">
        <f t="shared" si="213"/>
        <v>OffSml-Data_SZVAV</v>
      </c>
      <c r="N55" s="28" t="s">
        <v>366</v>
      </c>
      <c r="O55" s="57" t="str">
        <f t="shared" ref="O55:O63" si="267">N55</f>
        <v>OffSml-Data_SZVAV</v>
      </c>
      <c r="P55" s="63">
        <f t="shared" ref="P55:P56" si="268">P54</f>
        <v>1</v>
      </c>
      <c r="Q55" s="65">
        <f t="shared" ref="Q55:Q57" si="269">Q54</f>
        <v>1</v>
      </c>
      <c r="R55" s="65">
        <f t="shared" ref="R55:R57" si="270">R54</f>
        <v>0</v>
      </c>
      <c r="S55" s="65">
        <f t="shared" ref="S55:S57" si="271">S54</f>
        <v>1</v>
      </c>
      <c r="T55" s="65">
        <f t="shared" ref="T55:T57" si="272">T54</f>
        <v>0</v>
      </c>
      <c r="U55" s="65">
        <f t="shared" ref="U55:V65" si="273">U54</f>
        <v>8</v>
      </c>
      <c r="V55" s="65">
        <f t="shared" ref="V55:Y65" si="274">V54</f>
        <v>8</v>
      </c>
      <c r="W55" s="65">
        <f t="shared" ref="W55:W57" si="275">W54</f>
        <v>1</v>
      </c>
      <c r="X55" s="65">
        <f t="shared" ref="X55:AR65" si="276">X54</f>
        <v>0</v>
      </c>
      <c r="Y55" s="65">
        <f t="shared" ref="Y55:Y56" si="277">Y54</f>
        <v>0</v>
      </c>
      <c r="Z55" s="65">
        <f t="shared" ref="Z55:Z56" si="278">Z54</f>
        <v>0</v>
      </c>
      <c r="AA55" s="65">
        <f t="shared" ref="AA55:AA56" si="279">AA54</f>
        <v>0</v>
      </c>
      <c r="AB55" s="65">
        <f t="shared" ref="AB55:AR56" si="280">AB54</f>
        <v>0</v>
      </c>
      <c r="AC55" s="65">
        <f t="shared" si="280"/>
        <v>0</v>
      </c>
      <c r="AD55" s="61">
        <f t="shared" si="280"/>
        <v>0</v>
      </c>
      <c r="AE55" s="61">
        <f t="shared" ref="AE55:AF55" si="281">AE54</f>
        <v>0</v>
      </c>
      <c r="AF55" s="61">
        <f t="shared" si="281"/>
        <v>0</v>
      </c>
      <c r="AG55" s="61">
        <f t="shared" ref="AG55:AH55" si="282">AG54</f>
        <v>0</v>
      </c>
      <c r="AH55" s="61">
        <f t="shared" si="282"/>
        <v>0</v>
      </c>
      <c r="AI55" s="61">
        <f t="shared" ref="AI55" si="283">AI54</f>
        <v>0</v>
      </c>
      <c r="AJ55" s="63">
        <f t="shared" si="280"/>
        <v>0</v>
      </c>
      <c r="AK55" s="64">
        <f t="shared" si="280"/>
        <v>0</v>
      </c>
      <c r="AL55" s="64">
        <f t="shared" si="280"/>
        <v>0</v>
      </c>
      <c r="AM55" s="64">
        <f t="shared" si="280"/>
        <v>0</v>
      </c>
      <c r="AN55" s="66">
        <f t="shared" si="280"/>
        <v>0</v>
      </c>
      <c r="AO55" s="63">
        <f t="shared" si="280"/>
        <v>0</v>
      </c>
      <c r="AP55" s="64">
        <f t="shared" si="280"/>
        <v>0</v>
      </c>
      <c r="AQ55" s="65">
        <f t="shared" si="280"/>
        <v>0</v>
      </c>
      <c r="AR55" s="66">
        <f t="shared" si="280"/>
        <v>0</v>
      </c>
      <c r="AS55" s="31" t="str">
        <f t="shared" ref="AS55:AS63" si="284">P$13&amp;P55&amp;","</f>
        <v>SimulationStorage,1,</v>
      </c>
      <c r="AT55" s="31" t="str">
        <f t="shared" ref="AT55:AT63" si="285">Q$13&amp;Q55&amp;","</f>
        <v>AnalysisStorage,1,</v>
      </c>
      <c r="AU55" s="31" t="str">
        <f t="shared" ref="AU55:AU63" si="286">R$13&amp;R55&amp;","</f>
        <v>LogRuleEvaluation,0,</v>
      </c>
      <c r="AV55" s="31" t="str">
        <f t="shared" ref="AV55:AV63" si="287">S$13&amp;S55&amp;","</f>
        <v>ParallelSimulations,1,</v>
      </c>
      <c r="AW55" s="31" t="str">
        <f t="shared" ref="AW55:AW63" si="288">T$13&amp;T55&amp;","</f>
        <v>DurationStats,0,</v>
      </c>
      <c r="AX55" s="31" t="str">
        <f t="shared" ref="AX55:AX63" si="289">U$13&amp;U55&amp;","</f>
        <v>AnalysisThruStep,8,</v>
      </c>
      <c r="AY55" s="31" t="str">
        <f t="shared" ref="AY55:AY63" si="290">V$13&amp;V55&amp;","</f>
        <v>DontAbortOnErrorsThruStep,8,</v>
      </c>
      <c r="AZ55" s="31" t="str">
        <f t="shared" ref="AZ55:AZ63" si="291">W$13&amp;W55&amp;","</f>
        <v>BypassValidFileChecks,1,</v>
      </c>
      <c r="BA55" s="31" t="str">
        <f t="shared" ref="BA55:BA63" si="292">X$13&amp;X55&amp;","</f>
        <v>BypassInputChecks,0,</v>
      </c>
      <c r="BB55" s="31" t="str">
        <f t="shared" ref="BB55:BB63" si="293">Y$13&amp;Y55&amp;","</f>
        <v>BypassUMLHChecks,0,</v>
      </c>
      <c r="BC55" s="31" t="str">
        <f t="shared" ref="BC55:BC63" si="294">Z$13&amp;Z55&amp;","</f>
        <v>BypassCheckSimRules,0,</v>
      </c>
      <c r="BD55" s="31" t="str">
        <f t="shared" ref="BD55:BD63" si="295">AA$13&amp;AA55&amp;","</f>
        <v>BypassCheckCodeRules,0,</v>
      </c>
      <c r="BE55" s="31" t="str">
        <f t="shared" si="163"/>
        <v>StoreResultsToModelInput,0,</v>
      </c>
      <c r="BF55" s="31" t="str">
        <f t="shared" si="164"/>
        <v>StoreBEMDetails,0,</v>
      </c>
      <c r="BG55" s="31" t="str">
        <f t="shared" si="165"/>
        <v>ModelRpt_ALL,0,</v>
      </c>
      <c r="BH55" s="31" t="str">
        <f t="shared" si="166"/>
        <v>ExportHourlyResults_All,0,</v>
      </c>
      <c r="BI55" s="31" t="str">
        <f t="shared" si="167"/>
        <v>ComplianceReportPDF,0,</v>
      </c>
      <c r="BJ55" s="31" t="str">
        <f t="shared" si="168"/>
        <v>ComplianceReportXML,0,</v>
      </c>
      <c r="BK55" s="31" t="str">
        <f t="shared" si="169"/>
        <v>QuickAnalysis,0,</v>
      </c>
      <c r="BL55" s="31" t="str">
        <f t="shared" si="169"/>
        <v>PromptUserUMLHWarning,0,</v>
      </c>
      <c r="BM55" s="31" t="str">
        <f t="shared" si="170"/>
        <v>BypassOpenStudio_all,0,</v>
      </c>
      <c r="BN55" s="31" t="str">
        <f t="shared" si="171"/>
        <v>BypassOpenStudio_zp,0,</v>
      </c>
      <c r="BO55" s="31" t="str">
        <f t="shared" si="172"/>
        <v>BypassOpenStudio_zb,0,</v>
      </c>
      <c r="BP55" s="31" t="str">
        <f t="shared" si="173"/>
        <v>BypassOpenStudio_ap,0,</v>
      </c>
      <c r="BQ55" s="31" t="str">
        <f t="shared" si="174"/>
        <v>BypassOpenStudio_ab,0,</v>
      </c>
      <c r="BR55" s="31" t="str">
        <f t="shared" si="175"/>
        <v>BypassOpenStudio_zp,0,</v>
      </c>
      <c r="BS55" s="31" t="str">
        <f t="shared" si="176"/>
        <v>BypassOpenStudio_zb,0,</v>
      </c>
      <c r="BT55" s="31" t="str">
        <f t="shared" si="177"/>
        <v>BypassOpenStudio_ap,0,</v>
      </c>
      <c r="BU55" s="31" t="str">
        <f t="shared" si="178"/>
        <v>BypassOpenStudio_ab,0,</v>
      </c>
    </row>
    <row r="56" spans="1:73" x14ac:dyDescent="0.25">
      <c r="A56" s="39">
        <f t="shared" si="265"/>
        <v>1</v>
      </c>
      <c r="B56" s="27" t="str">
        <f t="shared" si="179"/>
        <v>OtherTests\OffSml-Lab_SZVAV.cibd</v>
      </c>
      <c r="C56" s="27" t="str">
        <f t="shared" si="180"/>
        <v>BatchOut_160331_r3964_OT\OffSml-Lab_SZVAV.cibd</v>
      </c>
      <c r="D56" s="27" t="str">
        <f t="shared" si="181"/>
        <v>BatchOut_160331_r3964_OT\XML\</v>
      </c>
      <c r="E56" s="9" t="str">
        <f t="shared" si="266"/>
        <v>OffSml-Lab_SZVAV</v>
      </c>
      <c r="F56" s="22"/>
      <c r="G56" s="29"/>
      <c r="H56" s="23"/>
      <c r="I56" s="9" t="s">
        <v>11</v>
      </c>
      <c r="J56"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6" s="15" t="s">
        <v>1</v>
      </c>
      <c r="L56" s="36">
        <f t="shared" si="190"/>
        <v>1</v>
      </c>
      <c r="M56" s="32" t="str">
        <f t="shared" si="213"/>
        <v>OffSml-Lab_SZVAV</v>
      </c>
      <c r="N56" s="32" t="s">
        <v>202</v>
      </c>
      <c r="O56" s="57" t="str">
        <f t="shared" si="267"/>
        <v>OffSml-Lab_SZVAV</v>
      </c>
      <c r="P56" s="63">
        <f t="shared" si="268"/>
        <v>1</v>
      </c>
      <c r="Q56" s="65">
        <f t="shared" si="269"/>
        <v>1</v>
      </c>
      <c r="R56" s="65">
        <f t="shared" si="270"/>
        <v>0</v>
      </c>
      <c r="S56" s="65">
        <f t="shared" si="271"/>
        <v>1</v>
      </c>
      <c r="T56" s="65">
        <f t="shared" si="272"/>
        <v>0</v>
      </c>
      <c r="U56" s="65">
        <f t="shared" si="273"/>
        <v>8</v>
      </c>
      <c r="V56" s="65">
        <f t="shared" si="274"/>
        <v>8</v>
      </c>
      <c r="W56" s="65">
        <f t="shared" si="275"/>
        <v>1</v>
      </c>
      <c r="X56" s="65">
        <f t="shared" si="276"/>
        <v>0</v>
      </c>
      <c r="Y56" s="65">
        <f t="shared" si="277"/>
        <v>0</v>
      </c>
      <c r="Z56" s="65">
        <f t="shared" si="278"/>
        <v>0</v>
      </c>
      <c r="AA56" s="65">
        <f t="shared" si="279"/>
        <v>0</v>
      </c>
      <c r="AB56" s="65">
        <f t="shared" si="280"/>
        <v>0</v>
      </c>
      <c r="AC56" s="65">
        <f t="shared" si="280"/>
        <v>0</v>
      </c>
      <c r="AD56" s="61">
        <f t="shared" si="280"/>
        <v>0</v>
      </c>
      <c r="AE56" s="61">
        <f t="shared" ref="AE56:AF56" si="296">AE55</f>
        <v>0</v>
      </c>
      <c r="AF56" s="61">
        <f t="shared" si="296"/>
        <v>0</v>
      </c>
      <c r="AG56" s="61">
        <f t="shared" ref="AG56:AH56" si="297">AG55</f>
        <v>0</v>
      </c>
      <c r="AH56" s="61">
        <f t="shared" si="297"/>
        <v>0</v>
      </c>
      <c r="AI56" s="61">
        <f t="shared" ref="AI56" si="298">AI55</f>
        <v>0</v>
      </c>
      <c r="AJ56" s="63">
        <f t="shared" si="280"/>
        <v>0</v>
      </c>
      <c r="AK56" s="64">
        <f t="shared" si="280"/>
        <v>0</v>
      </c>
      <c r="AL56" s="64">
        <f t="shared" si="280"/>
        <v>0</v>
      </c>
      <c r="AM56" s="64">
        <f t="shared" si="280"/>
        <v>0</v>
      </c>
      <c r="AN56" s="66">
        <f t="shared" si="280"/>
        <v>0</v>
      </c>
      <c r="AO56" s="63">
        <f t="shared" si="280"/>
        <v>0</v>
      </c>
      <c r="AP56" s="64">
        <f t="shared" si="280"/>
        <v>0</v>
      </c>
      <c r="AQ56" s="65">
        <f t="shared" si="280"/>
        <v>0</v>
      </c>
      <c r="AR56" s="66">
        <f t="shared" si="280"/>
        <v>0</v>
      </c>
      <c r="AS56" s="31" t="str">
        <f t="shared" si="284"/>
        <v>SimulationStorage,1,</v>
      </c>
      <c r="AT56" s="31" t="str">
        <f t="shared" si="285"/>
        <v>AnalysisStorage,1,</v>
      </c>
      <c r="AU56" s="31" t="str">
        <f t="shared" si="286"/>
        <v>LogRuleEvaluation,0,</v>
      </c>
      <c r="AV56" s="31" t="str">
        <f t="shared" si="287"/>
        <v>ParallelSimulations,1,</v>
      </c>
      <c r="AW56" s="31" t="str">
        <f t="shared" si="288"/>
        <v>DurationStats,0,</v>
      </c>
      <c r="AX56" s="31" t="str">
        <f t="shared" si="289"/>
        <v>AnalysisThruStep,8,</v>
      </c>
      <c r="AY56" s="31" t="str">
        <f t="shared" si="290"/>
        <v>DontAbortOnErrorsThruStep,8,</v>
      </c>
      <c r="AZ56" s="31" t="str">
        <f t="shared" si="291"/>
        <v>BypassValidFileChecks,1,</v>
      </c>
      <c r="BA56" s="31" t="str">
        <f t="shared" si="292"/>
        <v>BypassInputChecks,0,</v>
      </c>
      <c r="BB56" s="31" t="str">
        <f t="shared" si="293"/>
        <v>BypassUMLHChecks,0,</v>
      </c>
      <c r="BC56" s="31" t="str">
        <f t="shared" si="294"/>
        <v>BypassCheckSimRules,0,</v>
      </c>
      <c r="BD56" s="31" t="str">
        <f t="shared" si="295"/>
        <v>BypassCheckCodeRules,0,</v>
      </c>
      <c r="BE56" s="31" t="str">
        <f t="shared" si="163"/>
        <v>StoreResultsToModelInput,0,</v>
      </c>
      <c r="BF56" s="31" t="str">
        <f t="shared" si="164"/>
        <v>StoreBEMDetails,0,</v>
      </c>
      <c r="BG56" s="31" t="str">
        <f t="shared" si="165"/>
        <v>ModelRpt_ALL,0,</v>
      </c>
      <c r="BH56" s="31" t="str">
        <f t="shared" si="166"/>
        <v>ExportHourlyResults_All,0,</v>
      </c>
      <c r="BI56" s="31" t="str">
        <f t="shared" si="167"/>
        <v>ComplianceReportPDF,0,</v>
      </c>
      <c r="BJ56" s="31" t="str">
        <f t="shared" si="168"/>
        <v>ComplianceReportXML,0,</v>
      </c>
      <c r="BK56" s="31" t="str">
        <f t="shared" si="169"/>
        <v>QuickAnalysis,0,</v>
      </c>
      <c r="BL56" s="31" t="str">
        <f t="shared" si="169"/>
        <v>PromptUserUMLHWarning,0,</v>
      </c>
      <c r="BM56" s="31" t="str">
        <f t="shared" si="170"/>
        <v>BypassOpenStudio_all,0,</v>
      </c>
      <c r="BN56" s="31" t="str">
        <f t="shared" si="171"/>
        <v>BypassOpenStudio_zp,0,</v>
      </c>
      <c r="BO56" s="31" t="str">
        <f t="shared" si="172"/>
        <v>BypassOpenStudio_zb,0,</v>
      </c>
      <c r="BP56" s="31" t="str">
        <f t="shared" si="173"/>
        <v>BypassOpenStudio_ap,0,</v>
      </c>
      <c r="BQ56" s="31" t="str">
        <f t="shared" si="174"/>
        <v>BypassOpenStudio_ab,0,</v>
      </c>
      <c r="BR56" s="31" t="str">
        <f t="shared" si="175"/>
        <v>BypassOpenStudio_zp,0,</v>
      </c>
      <c r="BS56" s="31" t="str">
        <f t="shared" si="176"/>
        <v>BypassOpenStudio_zb,0,</v>
      </c>
      <c r="BT56" s="31" t="str">
        <f t="shared" si="177"/>
        <v>BypassOpenStudio_ap,0,</v>
      </c>
      <c r="BU56" s="31" t="str">
        <f t="shared" si="178"/>
        <v>BypassOpenStudio_ab,0,</v>
      </c>
    </row>
    <row r="57" spans="1:73" x14ac:dyDescent="0.25">
      <c r="A57" s="39">
        <f t="shared" si="265"/>
        <v>1</v>
      </c>
      <c r="B57" s="27" t="str">
        <f t="shared" si="179"/>
        <v>OtherTests\OffSml-Office_SZVAV.cibd</v>
      </c>
      <c r="C57" s="27" t="str">
        <f t="shared" si="180"/>
        <v>BatchOut_160331_r3964_OT\OffSml-Office_SZVAV.cibd</v>
      </c>
      <c r="D57" s="27" t="str">
        <f t="shared" si="181"/>
        <v>BatchOut_160331_r3964_OT\XML\</v>
      </c>
      <c r="E57" s="9" t="str">
        <f t="shared" si="266"/>
        <v>OffSml-Office_SZVAV</v>
      </c>
      <c r="F57" s="22"/>
      <c r="G57" s="29"/>
      <c r="H57" s="23"/>
      <c r="I57" s="9" t="s">
        <v>11</v>
      </c>
      <c r="J57"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7" s="15" t="s">
        <v>1</v>
      </c>
      <c r="L57" s="36">
        <f t="shared" si="190"/>
        <v>1</v>
      </c>
      <c r="M57" s="32" t="str">
        <f t="shared" si="213"/>
        <v>OffSml-Office_SZVAV</v>
      </c>
      <c r="N57" s="28" t="s">
        <v>201</v>
      </c>
      <c r="O57" s="57" t="str">
        <f t="shared" si="267"/>
        <v>OffSml-Office_SZVAV</v>
      </c>
      <c r="P57" s="63">
        <f>P56</f>
        <v>1</v>
      </c>
      <c r="Q57" s="65">
        <f t="shared" si="269"/>
        <v>1</v>
      </c>
      <c r="R57" s="65">
        <f t="shared" si="270"/>
        <v>0</v>
      </c>
      <c r="S57" s="65">
        <f t="shared" si="271"/>
        <v>1</v>
      </c>
      <c r="T57" s="65">
        <f t="shared" si="272"/>
        <v>0</v>
      </c>
      <c r="U57" s="65">
        <f t="shared" si="273"/>
        <v>8</v>
      </c>
      <c r="V57" s="65">
        <f t="shared" si="274"/>
        <v>8</v>
      </c>
      <c r="W57" s="65">
        <f t="shared" si="275"/>
        <v>1</v>
      </c>
      <c r="X57" s="65">
        <f t="shared" si="276"/>
        <v>0</v>
      </c>
      <c r="Y57" s="65">
        <f t="shared" si="276"/>
        <v>0</v>
      </c>
      <c r="Z57" s="65">
        <f t="shared" si="276"/>
        <v>0</v>
      </c>
      <c r="AA57" s="65">
        <f t="shared" si="276"/>
        <v>0</v>
      </c>
      <c r="AB57" s="65">
        <f t="shared" si="276"/>
        <v>0</v>
      </c>
      <c r="AC57" s="65">
        <f t="shared" si="276"/>
        <v>0</v>
      </c>
      <c r="AD57" s="61">
        <f t="shared" si="276"/>
        <v>0</v>
      </c>
      <c r="AE57" s="61">
        <f t="shared" ref="AE57:AF57" si="299">AE56</f>
        <v>0</v>
      </c>
      <c r="AF57" s="61">
        <f t="shared" si="299"/>
        <v>0</v>
      </c>
      <c r="AG57" s="61">
        <f t="shared" ref="AG57:AH57" si="300">AG56</f>
        <v>0</v>
      </c>
      <c r="AH57" s="61">
        <f t="shared" si="300"/>
        <v>0</v>
      </c>
      <c r="AI57" s="61">
        <f t="shared" ref="AI57:AR65" si="301">AI56</f>
        <v>0</v>
      </c>
      <c r="AJ57" s="63">
        <f t="shared" si="276"/>
        <v>0</v>
      </c>
      <c r="AK57" s="64">
        <f t="shared" si="276"/>
        <v>0</v>
      </c>
      <c r="AL57" s="64">
        <f t="shared" si="276"/>
        <v>0</v>
      </c>
      <c r="AM57" s="64">
        <f t="shared" si="276"/>
        <v>0</v>
      </c>
      <c r="AN57" s="66">
        <f t="shared" si="276"/>
        <v>0</v>
      </c>
      <c r="AO57" s="63">
        <f t="shared" si="276"/>
        <v>0</v>
      </c>
      <c r="AP57" s="64">
        <f t="shared" si="276"/>
        <v>0</v>
      </c>
      <c r="AQ57" s="65">
        <f t="shared" si="276"/>
        <v>0</v>
      </c>
      <c r="AR57" s="66">
        <f t="shared" si="276"/>
        <v>0</v>
      </c>
      <c r="AS57" s="31" t="str">
        <f t="shared" si="284"/>
        <v>SimulationStorage,1,</v>
      </c>
      <c r="AT57" s="31" t="str">
        <f t="shared" si="285"/>
        <v>AnalysisStorage,1,</v>
      </c>
      <c r="AU57" s="31" t="str">
        <f t="shared" si="286"/>
        <v>LogRuleEvaluation,0,</v>
      </c>
      <c r="AV57" s="31" t="str">
        <f t="shared" si="287"/>
        <v>ParallelSimulations,1,</v>
      </c>
      <c r="AW57" s="31" t="str">
        <f t="shared" si="288"/>
        <v>DurationStats,0,</v>
      </c>
      <c r="AX57" s="31" t="str">
        <f t="shared" si="289"/>
        <v>AnalysisThruStep,8,</v>
      </c>
      <c r="AY57" s="31" t="str">
        <f t="shared" si="290"/>
        <v>DontAbortOnErrorsThruStep,8,</v>
      </c>
      <c r="AZ57" s="31" t="str">
        <f t="shared" si="291"/>
        <v>BypassValidFileChecks,1,</v>
      </c>
      <c r="BA57" s="31" t="str">
        <f t="shared" si="292"/>
        <v>BypassInputChecks,0,</v>
      </c>
      <c r="BB57" s="31" t="str">
        <f t="shared" si="293"/>
        <v>BypassUMLHChecks,0,</v>
      </c>
      <c r="BC57" s="31" t="str">
        <f t="shared" si="294"/>
        <v>BypassCheckSimRules,0,</v>
      </c>
      <c r="BD57" s="31" t="str">
        <f t="shared" si="295"/>
        <v>BypassCheckCodeRules,0,</v>
      </c>
      <c r="BE57" s="31" t="str">
        <f t="shared" si="163"/>
        <v>StoreResultsToModelInput,0,</v>
      </c>
      <c r="BF57" s="31" t="str">
        <f t="shared" si="164"/>
        <v>StoreBEMDetails,0,</v>
      </c>
      <c r="BG57" s="31" t="str">
        <f t="shared" si="165"/>
        <v>ModelRpt_ALL,0,</v>
      </c>
      <c r="BH57" s="31" t="str">
        <f t="shared" si="166"/>
        <v>ExportHourlyResults_All,0,</v>
      </c>
      <c r="BI57" s="31" t="str">
        <f t="shared" si="167"/>
        <v>ComplianceReportPDF,0,</v>
      </c>
      <c r="BJ57" s="31" t="str">
        <f t="shared" si="168"/>
        <v>ComplianceReportXML,0,</v>
      </c>
      <c r="BK57" s="31" t="str">
        <f t="shared" si="169"/>
        <v>QuickAnalysis,0,</v>
      </c>
      <c r="BL57" s="31" t="str">
        <f t="shared" si="169"/>
        <v>PromptUserUMLHWarning,0,</v>
      </c>
      <c r="BM57" s="31" t="str">
        <f t="shared" si="170"/>
        <v>BypassOpenStudio_all,0,</v>
      </c>
      <c r="BN57" s="31" t="str">
        <f t="shared" si="171"/>
        <v>BypassOpenStudio_zp,0,</v>
      </c>
      <c r="BO57" s="31" t="str">
        <f t="shared" si="172"/>
        <v>BypassOpenStudio_zb,0,</v>
      </c>
      <c r="BP57" s="31" t="str">
        <f t="shared" si="173"/>
        <v>BypassOpenStudio_ap,0,</v>
      </c>
      <c r="BQ57" s="31" t="str">
        <f t="shared" si="174"/>
        <v>BypassOpenStudio_ab,0,</v>
      </c>
      <c r="BR57" s="31" t="str">
        <f t="shared" si="175"/>
        <v>BypassOpenStudio_zp,0,</v>
      </c>
      <c r="BS57" s="31" t="str">
        <f t="shared" si="176"/>
        <v>BypassOpenStudio_zb,0,</v>
      </c>
      <c r="BT57" s="31" t="str">
        <f t="shared" si="177"/>
        <v>BypassOpenStudio_ap,0,</v>
      </c>
      <c r="BU57" s="31" t="str">
        <f t="shared" si="178"/>
        <v>BypassOpenStudio_ab,0,</v>
      </c>
    </row>
    <row r="58" spans="1:73" x14ac:dyDescent="0.25">
      <c r="A58" s="39">
        <f t="shared" si="265"/>
        <v>1</v>
      </c>
      <c r="B58" s="27" t="str">
        <f t="shared" ref="B58:B67" si="302">M$37&amp;N58&amp;".cibd"</f>
        <v>OtherTests\OffSml-PSZ-Evap.cibd</v>
      </c>
      <c r="C58" s="27" t="str">
        <f t="shared" ref="C58:C67" si="303" xml:space="preserve"> M$38 &amp; O58 &amp; ".cibd"</f>
        <v>BatchOut_160331_r3964_OT\OffSml-PSZ-Evap.cibd</v>
      </c>
      <c r="D58" s="27" t="str">
        <f t="shared" si="181"/>
        <v>BatchOut_160331_r3964_OT\XML\</v>
      </c>
      <c r="E58" s="9" t="str">
        <f t="shared" si="266"/>
        <v>OffSml-PSZ-Evap</v>
      </c>
      <c r="F58" s="22"/>
      <c r="G58" s="29"/>
      <c r="H58" s="23"/>
      <c r="I58" s="9" t="s">
        <v>11</v>
      </c>
      <c r="J58" s="94" t="str">
        <f t="shared" ref="J58:J67" si="304">CONCATENATE(AS58,AT58,AU58,AV58,AW58,AX58,AY58,AZ58,BA58,BB58,BC58,BD58,BE58,BF58,BG58,BH58,BI58,BJ58,BK58,BL58,BM58,BN58,BO58,BP58,BQ58,BR58,BS58,BT58,BU58)</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8" s="15" t="s">
        <v>1</v>
      </c>
      <c r="L58" s="36">
        <f t="shared" si="190"/>
        <v>1</v>
      </c>
      <c r="M58" s="32" t="str">
        <f t="shared" ref="M58:M67" si="305">N58</f>
        <v>OffSml-PSZ-Evap</v>
      </c>
      <c r="N58" s="28" t="s">
        <v>171</v>
      </c>
      <c r="O58" s="57" t="str">
        <f t="shared" si="267"/>
        <v>OffSml-PSZ-Evap</v>
      </c>
      <c r="P58" s="63">
        <f t="shared" ref="P58:T58" si="306">P57</f>
        <v>1</v>
      </c>
      <c r="Q58" s="65">
        <f t="shared" si="306"/>
        <v>1</v>
      </c>
      <c r="R58" s="65">
        <f t="shared" si="306"/>
        <v>0</v>
      </c>
      <c r="S58" s="65">
        <f t="shared" si="306"/>
        <v>1</v>
      </c>
      <c r="T58" s="65">
        <f t="shared" si="306"/>
        <v>0</v>
      </c>
      <c r="U58" s="65">
        <f t="shared" si="273"/>
        <v>8</v>
      </c>
      <c r="V58" s="65">
        <f t="shared" si="274"/>
        <v>8</v>
      </c>
      <c r="W58" s="65">
        <f t="shared" si="274"/>
        <v>1</v>
      </c>
      <c r="X58" s="65">
        <f t="shared" si="274"/>
        <v>0</v>
      </c>
      <c r="Y58" s="65">
        <f t="shared" si="274"/>
        <v>0</v>
      </c>
      <c r="Z58" s="65">
        <f t="shared" si="276"/>
        <v>0</v>
      </c>
      <c r="AA58" s="65">
        <f t="shared" si="276"/>
        <v>0</v>
      </c>
      <c r="AB58" s="65">
        <f t="shared" si="276"/>
        <v>0</v>
      </c>
      <c r="AC58" s="65">
        <f t="shared" si="276"/>
        <v>0</v>
      </c>
      <c r="AD58" s="61">
        <f t="shared" si="276"/>
        <v>0</v>
      </c>
      <c r="AE58" s="61">
        <f t="shared" si="276"/>
        <v>0</v>
      </c>
      <c r="AF58" s="61">
        <f t="shared" si="276"/>
        <v>0</v>
      </c>
      <c r="AG58" s="61">
        <f t="shared" si="276"/>
        <v>0</v>
      </c>
      <c r="AH58" s="61">
        <f t="shared" si="276"/>
        <v>0</v>
      </c>
      <c r="AI58" s="61">
        <f t="shared" si="301"/>
        <v>0</v>
      </c>
      <c r="AJ58" s="63">
        <f t="shared" si="301"/>
        <v>0</v>
      </c>
      <c r="AK58" s="64">
        <f t="shared" si="301"/>
        <v>0</v>
      </c>
      <c r="AL58" s="64">
        <f t="shared" si="301"/>
        <v>0</v>
      </c>
      <c r="AM58" s="64">
        <f t="shared" si="301"/>
        <v>0</v>
      </c>
      <c r="AN58" s="66">
        <f t="shared" si="301"/>
        <v>0</v>
      </c>
      <c r="AO58" s="63">
        <f t="shared" si="301"/>
        <v>0</v>
      </c>
      <c r="AP58" s="64">
        <f t="shared" si="301"/>
        <v>0</v>
      </c>
      <c r="AQ58" s="65">
        <f t="shared" si="301"/>
        <v>0</v>
      </c>
      <c r="AR58" s="66">
        <f t="shared" si="301"/>
        <v>0</v>
      </c>
      <c r="AS58" s="31" t="str">
        <f t="shared" si="284"/>
        <v>SimulationStorage,1,</v>
      </c>
      <c r="AT58" s="31" t="str">
        <f t="shared" si="285"/>
        <v>AnalysisStorage,1,</v>
      </c>
      <c r="AU58" s="31" t="str">
        <f t="shared" si="286"/>
        <v>LogRuleEvaluation,0,</v>
      </c>
      <c r="AV58" s="31" t="str">
        <f t="shared" si="287"/>
        <v>ParallelSimulations,1,</v>
      </c>
      <c r="AW58" s="31" t="str">
        <f t="shared" si="288"/>
        <v>DurationStats,0,</v>
      </c>
      <c r="AX58" s="31" t="str">
        <f t="shared" si="289"/>
        <v>AnalysisThruStep,8,</v>
      </c>
      <c r="AY58" s="31" t="str">
        <f t="shared" si="290"/>
        <v>DontAbortOnErrorsThruStep,8,</v>
      </c>
      <c r="AZ58" s="31" t="str">
        <f t="shared" si="291"/>
        <v>BypassValidFileChecks,1,</v>
      </c>
      <c r="BA58" s="31" t="str">
        <f t="shared" si="292"/>
        <v>BypassInputChecks,0,</v>
      </c>
      <c r="BB58" s="31" t="str">
        <f t="shared" si="293"/>
        <v>BypassUMLHChecks,0,</v>
      </c>
      <c r="BC58" s="31" t="str">
        <f t="shared" si="294"/>
        <v>BypassCheckSimRules,0,</v>
      </c>
      <c r="BD58" s="31" t="str">
        <f t="shared" si="295"/>
        <v>BypassCheckCodeRules,0,</v>
      </c>
      <c r="BE58" s="31" t="str">
        <f t="shared" ref="BE58:BE67" si="307">AB$13&amp;AB58&amp;","</f>
        <v>StoreResultsToModelInput,0,</v>
      </c>
      <c r="BF58" s="31" t="str">
        <f t="shared" ref="BF58:BF67" si="308">AC$13&amp;AC58&amp;","</f>
        <v>StoreBEMDetails,0,</v>
      </c>
      <c r="BG58" s="31" t="str">
        <f t="shared" ref="BG58:BG67" si="309">AD$13&amp;AD58&amp;","</f>
        <v>ModelRpt_ALL,0,</v>
      </c>
      <c r="BH58" s="31" t="str">
        <f t="shared" ref="BH58:BH67" si="310">AE$13&amp;AE58&amp;","</f>
        <v>ExportHourlyResults_All,0,</v>
      </c>
      <c r="BI58" s="31" t="str">
        <f t="shared" ref="BI58:BI67" si="311">AF$13&amp;AF58&amp;","</f>
        <v>ComplianceReportPDF,0,</v>
      </c>
      <c r="BJ58" s="31" t="str">
        <f t="shared" ref="BJ58:BJ67" si="312">AG$13&amp;AG58&amp;","</f>
        <v>ComplianceReportXML,0,</v>
      </c>
      <c r="BK58" s="31" t="str">
        <f t="shared" ref="BK58:BK67" si="313">AH$13&amp;AH58&amp;","</f>
        <v>QuickAnalysis,0,</v>
      </c>
      <c r="BL58" s="31" t="str">
        <f t="shared" ref="BL58:BL67" si="314">AI$13&amp;AI58&amp;","</f>
        <v>PromptUserUMLHWarning,0,</v>
      </c>
      <c r="BM58" s="31" t="str">
        <f t="shared" ref="BM58:BM67" si="315">AJ$13&amp;AJ58&amp;","</f>
        <v>BypassOpenStudio_all,0,</v>
      </c>
      <c r="BN58" s="31" t="str">
        <f t="shared" ref="BN58:BN67" si="316">AK$13&amp;AK58&amp;","</f>
        <v>BypassOpenStudio_zp,0,</v>
      </c>
      <c r="BO58" s="31" t="str">
        <f t="shared" ref="BO58:BO67" si="317">AL$13&amp;AL58&amp;","</f>
        <v>BypassOpenStudio_zb,0,</v>
      </c>
      <c r="BP58" s="31" t="str">
        <f t="shared" ref="BP58:BP67" si="318">AM$13&amp;AM58&amp;","</f>
        <v>BypassOpenStudio_ap,0,</v>
      </c>
      <c r="BQ58" s="31" t="str">
        <f t="shared" ref="BQ58:BQ67" si="319">AN$13&amp;AN58&amp;","</f>
        <v>BypassOpenStudio_ab,0,</v>
      </c>
      <c r="BR58" s="31" t="str">
        <f t="shared" ref="BR58:BR67" si="320">AO$13&amp;AO58&amp;","</f>
        <v>BypassOpenStudio_zp,0,</v>
      </c>
      <c r="BS58" s="31" t="str">
        <f t="shared" ref="BS58:BS67" si="321">AP$13&amp;AP58&amp;","</f>
        <v>BypassOpenStudio_zb,0,</v>
      </c>
      <c r="BT58" s="31" t="str">
        <f t="shared" ref="BT58:BT67" si="322">AQ$13&amp;AQ58&amp;","</f>
        <v>BypassOpenStudio_ap,0,</v>
      </c>
      <c r="BU58" s="31" t="str">
        <f t="shared" ref="BU58:BU67" si="323">AR$13&amp;AR58&amp;","</f>
        <v>BypassOpenStudio_ab,0,</v>
      </c>
    </row>
    <row r="59" spans="1:73" x14ac:dyDescent="0.25">
      <c r="A59" s="39">
        <f t="shared" si="265"/>
        <v>1</v>
      </c>
      <c r="B59" s="27" t="str">
        <f t="shared" si="302"/>
        <v>OtherTests\OffSml-WSHP.cibd</v>
      </c>
      <c r="C59" s="27" t="str">
        <f t="shared" si="303"/>
        <v>BatchOut_160331_r3964_OT\OffSml-WSHP.cibd</v>
      </c>
      <c r="D59" s="27" t="str">
        <f t="shared" si="181"/>
        <v>BatchOut_160331_r3964_OT\XML\</v>
      </c>
      <c r="E59" s="9" t="str">
        <f t="shared" si="266"/>
        <v>OffSml-WSHP</v>
      </c>
      <c r="F59" s="22"/>
      <c r="G59" s="29"/>
      <c r="H59" s="23"/>
      <c r="I59" s="9" t="s">
        <v>11</v>
      </c>
      <c r="J59" s="94" t="str">
        <f t="shared" si="30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9" s="15" t="s">
        <v>1</v>
      </c>
      <c r="L59" s="36">
        <f>L58</f>
        <v>1</v>
      </c>
      <c r="M59" s="32" t="str">
        <f t="shared" si="305"/>
        <v>OffSml-WSHP</v>
      </c>
      <c r="N59" s="28" t="s">
        <v>172</v>
      </c>
      <c r="O59" s="57" t="str">
        <f t="shared" si="267"/>
        <v>OffSml-WSHP</v>
      </c>
      <c r="P59" s="63">
        <f t="shared" ref="P59:AH59" si="324">P58</f>
        <v>1</v>
      </c>
      <c r="Q59" s="65">
        <f t="shared" si="324"/>
        <v>1</v>
      </c>
      <c r="R59" s="65">
        <f t="shared" si="324"/>
        <v>0</v>
      </c>
      <c r="S59" s="65">
        <f t="shared" si="324"/>
        <v>1</v>
      </c>
      <c r="T59" s="65">
        <f t="shared" si="324"/>
        <v>0</v>
      </c>
      <c r="U59" s="65">
        <f t="shared" si="324"/>
        <v>8</v>
      </c>
      <c r="V59" s="65">
        <f t="shared" si="324"/>
        <v>8</v>
      </c>
      <c r="W59" s="65">
        <f t="shared" si="324"/>
        <v>1</v>
      </c>
      <c r="X59" s="65">
        <f t="shared" si="324"/>
        <v>0</v>
      </c>
      <c r="Y59" s="65">
        <f t="shared" si="324"/>
        <v>0</v>
      </c>
      <c r="Z59" s="65">
        <f t="shared" si="324"/>
        <v>0</v>
      </c>
      <c r="AA59" s="65">
        <f t="shared" si="324"/>
        <v>0</v>
      </c>
      <c r="AB59" s="65">
        <f t="shared" si="324"/>
        <v>0</v>
      </c>
      <c r="AC59" s="65">
        <f t="shared" si="324"/>
        <v>0</v>
      </c>
      <c r="AD59" s="61">
        <f t="shared" si="324"/>
        <v>0</v>
      </c>
      <c r="AE59" s="61">
        <f t="shared" si="324"/>
        <v>0</v>
      </c>
      <c r="AF59" s="61">
        <f t="shared" si="324"/>
        <v>0</v>
      </c>
      <c r="AG59" s="61">
        <f t="shared" si="324"/>
        <v>0</v>
      </c>
      <c r="AH59" s="61">
        <f t="shared" si="324"/>
        <v>0</v>
      </c>
      <c r="AI59" s="61">
        <f t="shared" si="301"/>
        <v>0</v>
      </c>
      <c r="AJ59" s="63">
        <f t="shared" si="301"/>
        <v>0</v>
      </c>
      <c r="AK59" s="64">
        <f t="shared" si="301"/>
        <v>0</v>
      </c>
      <c r="AL59" s="64">
        <f t="shared" si="301"/>
        <v>0</v>
      </c>
      <c r="AM59" s="64">
        <f t="shared" si="301"/>
        <v>0</v>
      </c>
      <c r="AN59" s="66">
        <f t="shared" si="301"/>
        <v>0</v>
      </c>
      <c r="AO59" s="63">
        <f t="shared" si="301"/>
        <v>0</v>
      </c>
      <c r="AP59" s="64">
        <f t="shared" si="301"/>
        <v>0</v>
      </c>
      <c r="AQ59" s="65">
        <f t="shared" si="301"/>
        <v>0</v>
      </c>
      <c r="AR59" s="66">
        <f t="shared" si="301"/>
        <v>0</v>
      </c>
      <c r="AS59" s="31" t="str">
        <f t="shared" si="284"/>
        <v>SimulationStorage,1,</v>
      </c>
      <c r="AT59" s="31" t="str">
        <f t="shared" si="285"/>
        <v>AnalysisStorage,1,</v>
      </c>
      <c r="AU59" s="31" t="str">
        <f t="shared" si="286"/>
        <v>LogRuleEvaluation,0,</v>
      </c>
      <c r="AV59" s="31" t="str">
        <f t="shared" si="287"/>
        <v>ParallelSimulations,1,</v>
      </c>
      <c r="AW59" s="31" t="str">
        <f t="shared" si="288"/>
        <v>DurationStats,0,</v>
      </c>
      <c r="AX59" s="31" t="str">
        <f t="shared" si="289"/>
        <v>AnalysisThruStep,8,</v>
      </c>
      <c r="AY59" s="31" t="str">
        <f t="shared" si="290"/>
        <v>DontAbortOnErrorsThruStep,8,</v>
      </c>
      <c r="AZ59" s="31" t="str">
        <f t="shared" si="291"/>
        <v>BypassValidFileChecks,1,</v>
      </c>
      <c r="BA59" s="31" t="str">
        <f t="shared" si="292"/>
        <v>BypassInputChecks,0,</v>
      </c>
      <c r="BB59" s="31" t="str">
        <f t="shared" si="293"/>
        <v>BypassUMLHChecks,0,</v>
      </c>
      <c r="BC59" s="31" t="str">
        <f t="shared" si="294"/>
        <v>BypassCheckSimRules,0,</v>
      </c>
      <c r="BD59" s="31" t="str">
        <f t="shared" si="295"/>
        <v>BypassCheckCodeRules,0,</v>
      </c>
      <c r="BE59" s="31" t="str">
        <f t="shared" si="307"/>
        <v>StoreResultsToModelInput,0,</v>
      </c>
      <c r="BF59" s="31" t="str">
        <f t="shared" si="308"/>
        <v>StoreBEMDetails,0,</v>
      </c>
      <c r="BG59" s="31" t="str">
        <f t="shared" si="309"/>
        <v>ModelRpt_ALL,0,</v>
      </c>
      <c r="BH59" s="31" t="str">
        <f t="shared" si="310"/>
        <v>ExportHourlyResults_All,0,</v>
      </c>
      <c r="BI59" s="31" t="str">
        <f t="shared" si="311"/>
        <v>ComplianceReportPDF,0,</v>
      </c>
      <c r="BJ59" s="31" t="str">
        <f t="shared" si="312"/>
        <v>ComplianceReportXML,0,</v>
      </c>
      <c r="BK59" s="31" t="str">
        <f t="shared" si="313"/>
        <v>QuickAnalysis,0,</v>
      </c>
      <c r="BL59" s="31" t="str">
        <f t="shared" si="314"/>
        <v>PromptUserUMLHWarning,0,</v>
      </c>
      <c r="BM59" s="31" t="str">
        <f t="shared" si="315"/>
        <v>BypassOpenStudio_all,0,</v>
      </c>
      <c r="BN59" s="31" t="str">
        <f t="shared" si="316"/>
        <v>BypassOpenStudio_zp,0,</v>
      </c>
      <c r="BO59" s="31" t="str">
        <f t="shared" si="317"/>
        <v>BypassOpenStudio_zb,0,</v>
      </c>
      <c r="BP59" s="31" t="str">
        <f t="shared" si="318"/>
        <v>BypassOpenStudio_ap,0,</v>
      </c>
      <c r="BQ59" s="31" t="str">
        <f t="shared" si="319"/>
        <v>BypassOpenStudio_ab,0,</v>
      </c>
      <c r="BR59" s="31" t="str">
        <f t="shared" si="320"/>
        <v>BypassOpenStudio_zp,0,</v>
      </c>
      <c r="BS59" s="31" t="str">
        <f t="shared" si="321"/>
        <v>BypassOpenStudio_zb,0,</v>
      </c>
      <c r="BT59" s="31" t="str">
        <f t="shared" si="322"/>
        <v>BypassOpenStudio_ap,0,</v>
      </c>
      <c r="BU59" s="31" t="str">
        <f t="shared" si="323"/>
        <v>BypassOpenStudio_ab,0,</v>
      </c>
    </row>
    <row r="60" spans="1:73" x14ac:dyDescent="0.25">
      <c r="A60" s="39">
        <f t="shared" si="265"/>
        <v>1</v>
      </c>
      <c r="B60" s="27" t="str">
        <f t="shared" si="302"/>
        <v>OtherTests\RetlMed-PVAV-IndirDirEvap.cibd</v>
      </c>
      <c r="C60" s="27" t="str">
        <f t="shared" si="303"/>
        <v>BatchOut_160331_r3964_OT\RetlMed-PVAV-IndirDirEvap.cibd</v>
      </c>
      <c r="D60" s="27" t="str">
        <f t="shared" si="181"/>
        <v>BatchOut_160331_r3964_OT\XML\</v>
      </c>
      <c r="E60" s="9" t="str">
        <f t="shared" si="266"/>
        <v>RetlMed-PVAV-IndirDirEvap</v>
      </c>
      <c r="F60" s="22"/>
      <c r="G60" s="29"/>
      <c r="H60" s="23"/>
      <c r="I60" s="9" t="s">
        <v>11</v>
      </c>
      <c r="J60" s="94" t="str">
        <f t="shared" si="30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0" s="15" t="s">
        <v>1</v>
      </c>
      <c r="L60" s="36">
        <f t="shared" si="190"/>
        <v>1</v>
      </c>
      <c r="M60" s="32" t="str">
        <f t="shared" si="305"/>
        <v>RetlMed-PVAV-IndirDirEvap</v>
      </c>
      <c r="N60" s="28" t="s">
        <v>173</v>
      </c>
      <c r="O60" s="57" t="str">
        <f t="shared" si="267"/>
        <v>RetlMed-PVAV-IndirDirEvap</v>
      </c>
      <c r="P60" s="63">
        <f t="shared" ref="P60:T60" si="325">P59</f>
        <v>1</v>
      </c>
      <c r="Q60" s="65">
        <f t="shared" si="325"/>
        <v>1</v>
      </c>
      <c r="R60" s="65">
        <f t="shared" si="325"/>
        <v>0</v>
      </c>
      <c r="S60" s="65">
        <f t="shared" si="325"/>
        <v>1</v>
      </c>
      <c r="T60" s="65">
        <f t="shared" si="325"/>
        <v>0</v>
      </c>
      <c r="U60" s="65">
        <f t="shared" si="273"/>
        <v>8</v>
      </c>
      <c r="V60" s="65">
        <f t="shared" si="274"/>
        <v>8</v>
      </c>
      <c r="W60" s="65">
        <f t="shared" si="274"/>
        <v>1</v>
      </c>
      <c r="X60" s="65">
        <f t="shared" si="274"/>
        <v>0</v>
      </c>
      <c r="Y60" s="65">
        <f t="shared" si="274"/>
        <v>0</v>
      </c>
      <c r="Z60" s="65">
        <f t="shared" si="276"/>
        <v>0</v>
      </c>
      <c r="AA60" s="65">
        <f t="shared" si="276"/>
        <v>0</v>
      </c>
      <c r="AB60" s="65">
        <f t="shared" si="276"/>
        <v>0</v>
      </c>
      <c r="AC60" s="65">
        <f t="shared" si="276"/>
        <v>0</v>
      </c>
      <c r="AD60" s="61">
        <f t="shared" si="276"/>
        <v>0</v>
      </c>
      <c r="AE60" s="61">
        <f t="shared" si="276"/>
        <v>0</v>
      </c>
      <c r="AF60" s="61">
        <f t="shared" si="276"/>
        <v>0</v>
      </c>
      <c r="AG60" s="61">
        <f t="shared" si="276"/>
        <v>0</v>
      </c>
      <c r="AH60" s="61">
        <f t="shared" si="276"/>
        <v>0</v>
      </c>
      <c r="AI60" s="61">
        <f t="shared" si="301"/>
        <v>0</v>
      </c>
      <c r="AJ60" s="63">
        <f t="shared" si="301"/>
        <v>0</v>
      </c>
      <c r="AK60" s="64">
        <f t="shared" si="301"/>
        <v>0</v>
      </c>
      <c r="AL60" s="64">
        <f t="shared" si="301"/>
        <v>0</v>
      </c>
      <c r="AM60" s="64">
        <f t="shared" si="301"/>
        <v>0</v>
      </c>
      <c r="AN60" s="66">
        <f t="shared" si="301"/>
        <v>0</v>
      </c>
      <c r="AO60" s="63">
        <f t="shared" si="301"/>
        <v>0</v>
      </c>
      <c r="AP60" s="64">
        <f t="shared" si="301"/>
        <v>0</v>
      </c>
      <c r="AQ60" s="65">
        <f t="shared" si="301"/>
        <v>0</v>
      </c>
      <c r="AR60" s="66">
        <f t="shared" si="301"/>
        <v>0</v>
      </c>
      <c r="AS60" s="31" t="str">
        <f t="shared" si="284"/>
        <v>SimulationStorage,1,</v>
      </c>
      <c r="AT60" s="31" t="str">
        <f t="shared" si="285"/>
        <v>AnalysisStorage,1,</v>
      </c>
      <c r="AU60" s="31" t="str">
        <f t="shared" si="286"/>
        <v>LogRuleEvaluation,0,</v>
      </c>
      <c r="AV60" s="31" t="str">
        <f t="shared" si="287"/>
        <v>ParallelSimulations,1,</v>
      </c>
      <c r="AW60" s="31" t="str">
        <f t="shared" si="288"/>
        <v>DurationStats,0,</v>
      </c>
      <c r="AX60" s="31" t="str">
        <f t="shared" si="289"/>
        <v>AnalysisThruStep,8,</v>
      </c>
      <c r="AY60" s="31" t="str">
        <f t="shared" si="290"/>
        <v>DontAbortOnErrorsThruStep,8,</v>
      </c>
      <c r="AZ60" s="31" t="str">
        <f t="shared" si="291"/>
        <v>BypassValidFileChecks,1,</v>
      </c>
      <c r="BA60" s="31" t="str">
        <f t="shared" si="292"/>
        <v>BypassInputChecks,0,</v>
      </c>
      <c r="BB60" s="31" t="str">
        <f t="shared" si="293"/>
        <v>BypassUMLHChecks,0,</v>
      </c>
      <c r="BC60" s="31" t="str">
        <f t="shared" si="294"/>
        <v>BypassCheckSimRules,0,</v>
      </c>
      <c r="BD60" s="31" t="str">
        <f t="shared" si="295"/>
        <v>BypassCheckCodeRules,0,</v>
      </c>
      <c r="BE60" s="31" t="str">
        <f t="shared" si="307"/>
        <v>StoreResultsToModelInput,0,</v>
      </c>
      <c r="BF60" s="31" t="str">
        <f t="shared" si="308"/>
        <v>StoreBEMDetails,0,</v>
      </c>
      <c r="BG60" s="31" t="str">
        <f t="shared" si="309"/>
        <v>ModelRpt_ALL,0,</v>
      </c>
      <c r="BH60" s="31" t="str">
        <f t="shared" si="310"/>
        <v>ExportHourlyResults_All,0,</v>
      </c>
      <c r="BI60" s="31" t="str">
        <f t="shared" si="311"/>
        <v>ComplianceReportPDF,0,</v>
      </c>
      <c r="BJ60" s="31" t="str">
        <f t="shared" si="312"/>
        <v>ComplianceReportXML,0,</v>
      </c>
      <c r="BK60" s="31" t="str">
        <f t="shared" si="313"/>
        <v>QuickAnalysis,0,</v>
      </c>
      <c r="BL60" s="31" t="str">
        <f t="shared" si="314"/>
        <v>PromptUserUMLHWarning,0,</v>
      </c>
      <c r="BM60" s="31" t="str">
        <f t="shared" si="315"/>
        <v>BypassOpenStudio_all,0,</v>
      </c>
      <c r="BN60" s="31" t="str">
        <f t="shared" si="316"/>
        <v>BypassOpenStudio_zp,0,</v>
      </c>
      <c r="BO60" s="31" t="str">
        <f t="shared" si="317"/>
        <v>BypassOpenStudio_zb,0,</v>
      </c>
      <c r="BP60" s="31" t="str">
        <f t="shared" si="318"/>
        <v>BypassOpenStudio_ap,0,</v>
      </c>
      <c r="BQ60" s="31" t="str">
        <f t="shared" si="319"/>
        <v>BypassOpenStudio_ab,0,</v>
      </c>
      <c r="BR60" s="31" t="str">
        <f t="shared" si="320"/>
        <v>BypassOpenStudio_zp,0,</v>
      </c>
      <c r="BS60" s="31" t="str">
        <f t="shared" si="321"/>
        <v>BypassOpenStudio_zb,0,</v>
      </c>
      <c r="BT60" s="31" t="str">
        <f t="shared" si="322"/>
        <v>BypassOpenStudio_ap,0,</v>
      </c>
      <c r="BU60" s="31" t="str">
        <f t="shared" si="323"/>
        <v>BypassOpenStudio_ab,0,</v>
      </c>
    </row>
    <row r="61" spans="1:73" x14ac:dyDescent="0.25">
      <c r="A61" s="39">
        <f t="shared" si="265"/>
        <v>1</v>
      </c>
      <c r="B61" s="27" t="str">
        <f t="shared" si="302"/>
        <v>OtherTests\RetlSml-DOAS+FPFC.cibd</v>
      </c>
      <c r="C61" s="27" t="str">
        <f t="shared" si="303"/>
        <v>BatchOut_160331_r3964_OT\RetlSml-DOAS+FPFC.cibd</v>
      </c>
      <c r="D61" s="27" t="str">
        <f t="shared" si="181"/>
        <v>BatchOut_160331_r3964_OT\XML\</v>
      </c>
      <c r="E61" s="9" t="str">
        <f t="shared" si="266"/>
        <v>RetlSml-DOAS+FPFC</v>
      </c>
      <c r="F61" s="22"/>
      <c r="G61" s="29"/>
      <c r="H61" s="23" t="str">
        <f>IF(F61&gt;1,1,"")</f>
        <v/>
      </c>
      <c r="I61" s="9" t="s">
        <v>11</v>
      </c>
      <c r="J61" s="94" t="str">
        <f t="shared" si="30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1" s="15" t="s">
        <v>1</v>
      </c>
      <c r="L61" s="36">
        <f t="shared" si="190"/>
        <v>1</v>
      </c>
      <c r="M61" s="32" t="str">
        <f t="shared" si="305"/>
        <v>RetlSml-DOAS+FPFC</v>
      </c>
      <c r="N61" s="28" t="s">
        <v>174</v>
      </c>
      <c r="O61" s="57" t="str">
        <f t="shared" si="267"/>
        <v>RetlSml-DOAS+FPFC</v>
      </c>
      <c r="P61" s="63">
        <f t="shared" ref="P61:T61" si="326">P60</f>
        <v>1</v>
      </c>
      <c r="Q61" s="65">
        <f t="shared" si="326"/>
        <v>1</v>
      </c>
      <c r="R61" s="65">
        <f t="shared" si="326"/>
        <v>0</v>
      </c>
      <c r="S61" s="65">
        <f t="shared" si="326"/>
        <v>1</v>
      </c>
      <c r="T61" s="65">
        <f t="shared" si="326"/>
        <v>0</v>
      </c>
      <c r="U61" s="65">
        <f t="shared" si="273"/>
        <v>8</v>
      </c>
      <c r="V61" s="65">
        <f t="shared" si="274"/>
        <v>8</v>
      </c>
      <c r="W61" s="65">
        <f t="shared" si="274"/>
        <v>1</v>
      </c>
      <c r="X61" s="65">
        <f t="shared" si="274"/>
        <v>0</v>
      </c>
      <c r="Y61" s="65">
        <f t="shared" si="274"/>
        <v>0</v>
      </c>
      <c r="Z61" s="65">
        <f t="shared" si="276"/>
        <v>0</v>
      </c>
      <c r="AA61" s="65">
        <f t="shared" si="276"/>
        <v>0</v>
      </c>
      <c r="AB61" s="65">
        <f t="shared" si="276"/>
        <v>0</v>
      </c>
      <c r="AC61" s="65">
        <f t="shared" si="276"/>
        <v>0</v>
      </c>
      <c r="AD61" s="61">
        <f t="shared" si="276"/>
        <v>0</v>
      </c>
      <c r="AE61" s="61">
        <f t="shared" si="276"/>
        <v>0</v>
      </c>
      <c r="AF61" s="61">
        <f t="shared" si="276"/>
        <v>0</v>
      </c>
      <c r="AG61" s="61">
        <f t="shared" si="276"/>
        <v>0</v>
      </c>
      <c r="AH61" s="61">
        <f t="shared" si="276"/>
        <v>0</v>
      </c>
      <c r="AI61" s="61">
        <f t="shared" si="301"/>
        <v>0</v>
      </c>
      <c r="AJ61" s="63">
        <f t="shared" si="301"/>
        <v>0</v>
      </c>
      <c r="AK61" s="64">
        <f t="shared" si="301"/>
        <v>0</v>
      </c>
      <c r="AL61" s="64">
        <f t="shared" si="301"/>
        <v>0</v>
      </c>
      <c r="AM61" s="64">
        <f t="shared" si="301"/>
        <v>0</v>
      </c>
      <c r="AN61" s="66">
        <f t="shared" si="301"/>
        <v>0</v>
      </c>
      <c r="AO61" s="63">
        <f t="shared" si="301"/>
        <v>0</v>
      </c>
      <c r="AP61" s="64">
        <f t="shared" si="301"/>
        <v>0</v>
      </c>
      <c r="AQ61" s="65">
        <f t="shared" si="301"/>
        <v>0</v>
      </c>
      <c r="AR61" s="66">
        <f t="shared" si="301"/>
        <v>0</v>
      </c>
      <c r="AS61" s="31" t="str">
        <f t="shared" si="284"/>
        <v>SimulationStorage,1,</v>
      </c>
      <c r="AT61" s="31" t="str">
        <f t="shared" si="285"/>
        <v>AnalysisStorage,1,</v>
      </c>
      <c r="AU61" s="31" t="str">
        <f t="shared" si="286"/>
        <v>LogRuleEvaluation,0,</v>
      </c>
      <c r="AV61" s="31" t="str">
        <f t="shared" si="287"/>
        <v>ParallelSimulations,1,</v>
      </c>
      <c r="AW61" s="31" t="str">
        <f t="shared" si="288"/>
        <v>DurationStats,0,</v>
      </c>
      <c r="AX61" s="31" t="str">
        <f t="shared" si="289"/>
        <v>AnalysisThruStep,8,</v>
      </c>
      <c r="AY61" s="31" t="str">
        <f t="shared" si="290"/>
        <v>DontAbortOnErrorsThruStep,8,</v>
      </c>
      <c r="AZ61" s="31" t="str">
        <f t="shared" si="291"/>
        <v>BypassValidFileChecks,1,</v>
      </c>
      <c r="BA61" s="31" t="str">
        <f t="shared" si="292"/>
        <v>BypassInputChecks,0,</v>
      </c>
      <c r="BB61" s="31" t="str">
        <f t="shared" si="293"/>
        <v>BypassUMLHChecks,0,</v>
      </c>
      <c r="BC61" s="31" t="str">
        <f t="shared" si="294"/>
        <v>BypassCheckSimRules,0,</v>
      </c>
      <c r="BD61" s="31" t="str">
        <f t="shared" si="295"/>
        <v>BypassCheckCodeRules,0,</v>
      </c>
      <c r="BE61" s="31" t="str">
        <f t="shared" si="307"/>
        <v>StoreResultsToModelInput,0,</v>
      </c>
      <c r="BF61" s="31" t="str">
        <f t="shared" si="308"/>
        <v>StoreBEMDetails,0,</v>
      </c>
      <c r="BG61" s="31" t="str">
        <f t="shared" si="309"/>
        <v>ModelRpt_ALL,0,</v>
      </c>
      <c r="BH61" s="31" t="str">
        <f t="shared" si="310"/>
        <v>ExportHourlyResults_All,0,</v>
      </c>
      <c r="BI61" s="31" t="str">
        <f t="shared" si="311"/>
        <v>ComplianceReportPDF,0,</v>
      </c>
      <c r="BJ61" s="31" t="str">
        <f t="shared" si="312"/>
        <v>ComplianceReportXML,0,</v>
      </c>
      <c r="BK61" s="31" t="str">
        <f t="shared" si="313"/>
        <v>QuickAnalysis,0,</v>
      </c>
      <c r="BL61" s="31" t="str">
        <f t="shared" si="314"/>
        <v>PromptUserUMLHWarning,0,</v>
      </c>
      <c r="BM61" s="31" t="str">
        <f t="shared" si="315"/>
        <v>BypassOpenStudio_all,0,</v>
      </c>
      <c r="BN61" s="31" t="str">
        <f t="shared" si="316"/>
        <v>BypassOpenStudio_zp,0,</v>
      </c>
      <c r="BO61" s="31" t="str">
        <f t="shared" si="317"/>
        <v>BypassOpenStudio_zb,0,</v>
      </c>
      <c r="BP61" s="31" t="str">
        <f t="shared" si="318"/>
        <v>BypassOpenStudio_ap,0,</v>
      </c>
      <c r="BQ61" s="31" t="str">
        <f t="shared" si="319"/>
        <v>BypassOpenStudio_ab,0,</v>
      </c>
      <c r="BR61" s="31" t="str">
        <f t="shared" si="320"/>
        <v>BypassOpenStudio_zp,0,</v>
      </c>
      <c r="BS61" s="31" t="str">
        <f t="shared" si="321"/>
        <v>BypassOpenStudio_zb,0,</v>
      </c>
      <c r="BT61" s="31" t="str">
        <f t="shared" si="322"/>
        <v>BypassOpenStudio_ap,0,</v>
      </c>
      <c r="BU61" s="31" t="str">
        <f t="shared" si="323"/>
        <v>BypassOpenStudio_ab,0,</v>
      </c>
    </row>
    <row r="62" spans="1:73" x14ac:dyDescent="0.25">
      <c r="A62" s="39">
        <f t="shared" si="265"/>
        <v>1</v>
      </c>
      <c r="B62" s="27" t="str">
        <f t="shared" si="302"/>
        <v>OtherTests\OffSml_T24NVent01.cibd</v>
      </c>
      <c r="C62" s="27" t="str">
        <f t="shared" si="303"/>
        <v>BatchOut_160331_r3964_OT\OffSml_T24NVent01.cibd</v>
      </c>
      <c r="D62" s="27" t="str">
        <f t="shared" si="181"/>
        <v>BatchOut_160331_r3964_OT\XML\</v>
      </c>
      <c r="E62" s="9" t="str">
        <f t="shared" si="266"/>
        <v>OffSml_T24NVent01</v>
      </c>
      <c r="F62" s="22"/>
      <c r="G62" s="29"/>
      <c r="H62" s="23"/>
      <c r="I62" s="9" t="s">
        <v>11</v>
      </c>
      <c r="J62" s="94" t="str">
        <f t="shared" si="30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2" s="15" t="s">
        <v>1</v>
      </c>
      <c r="L62" s="36">
        <f t="shared" si="190"/>
        <v>1</v>
      </c>
      <c r="M62" s="32" t="str">
        <f t="shared" si="305"/>
        <v>OffSml_T24NVent01</v>
      </c>
      <c r="N62" s="28" t="s">
        <v>373</v>
      </c>
      <c r="O62" s="57" t="str">
        <f t="shared" si="267"/>
        <v>OffSml_T24NVent01</v>
      </c>
      <c r="P62" s="63">
        <f t="shared" ref="P62:T62" si="327">P61</f>
        <v>1</v>
      </c>
      <c r="Q62" s="65">
        <f t="shared" si="327"/>
        <v>1</v>
      </c>
      <c r="R62" s="65">
        <f t="shared" si="327"/>
        <v>0</v>
      </c>
      <c r="S62" s="65">
        <f t="shared" si="327"/>
        <v>1</v>
      </c>
      <c r="T62" s="65">
        <f t="shared" si="327"/>
        <v>0</v>
      </c>
      <c r="U62" s="65">
        <f t="shared" si="273"/>
        <v>8</v>
      </c>
      <c r="V62" s="65">
        <f t="shared" si="274"/>
        <v>8</v>
      </c>
      <c r="W62" s="65">
        <f t="shared" si="274"/>
        <v>1</v>
      </c>
      <c r="X62" s="65">
        <f t="shared" si="274"/>
        <v>0</v>
      </c>
      <c r="Y62" s="65">
        <f t="shared" si="274"/>
        <v>0</v>
      </c>
      <c r="Z62" s="65">
        <f t="shared" si="276"/>
        <v>0</v>
      </c>
      <c r="AA62" s="65">
        <f t="shared" si="276"/>
        <v>0</v>
      </c>
      <c r="AB62" s="65">
        <f t="shared" si="276"/>
        <v>0</v>
      </c>
      <c r="AC62" s="65">
        <f t="shared" si="276"/>
        <v>0</v>
      </c>
      <c r="AD62" s="61">
        <f t="shared" si="276"/>
        <v>0</v>
      </c>
      <c r="AE62" s="61">
        <f t="shared" si="276"/>
        <v>0</v>
      </c>
      <c r="AF62" s="61">
        <f t="shared" si="276"/>
        <v>0</v>
      </c>
      <c r="AG62" s="61">
        <f t="shared" si="276"/>
        <v>0</v>
      </c>
      <c r="AH62" s="61">
        <f t="shared" si="276"/>
        <v>0</v>
      </c>
      <c r="AI62" s="61">
        <f t="shared" si="301"/>
        <v>0</v>
      </c>
      <c r="AJ62" s="63">
        <f t="shared" si="301"/>
        <v>0</v>
      </c>
      <c r="AK62" s="64">
        <f t="shared" si="301"/>
        <v>0</v>
      </c>
      <c r="AL62" s="64">
        <f t="shared" si="301"/>
        <v>0</v>
      </c>
      <c r="AM62" s="64">
        <f t="shared" si="301"/>
        <v>0</v>
      </c>
      <c r="AN62" s="66">
        <f t="shared" si="301"/>
        <v>0</v>
      </c>
      <c r="AO62" s="63">
        <f t="shared" si="301"/>
        <v>0</v>
      </c>
      <c r="AP62" s="64">
        <f t="shared" si="301"/>
        <v>0</v>
      </c>
      <c r="AQ62" s="65">
        <f t="shared" si="301"/>
        <v>0</v>
      </c>
      <c r="AR62" s="66">
        <f t="shared" si="301"/>
        <v>0</v>
      </c>
      <c r="AS62" s="31" t="str">
        <f t="shared" si="284"/>
        <v>SimulationStorage,1,</v>
      </c>
      <c r="AT62" s="31" t="str">
        <f t="shared" si="285"/>
        <v>AnalysisStorage,1,</v>
      </c>
      <c r="AU62" s="31" t="str">
        <f t="shared" si="286"/>
        <v>LogRuleEvaluation,0,</v>
      </c>
      <c r="AV62" s="31" t="str">
        <f t="shared" si="287"/>
        <v>ParallelSimulations,1,</v>
      </c>
      <c r="AW62" s="31" t="str">
        <f t="shared" si="288"/>
        <v>DurationStats,0,</v>
      </c>
      <c r="AX62" s="31" t="str">
        <f t="shared" si="289"/>
        <v>AnalysisThruStep,8,</v>
      </c>
      <c r="AY62" s="31" t="str">
        <f t="shared" si="290"/>
        <v>DontAbortOnErrorsThruStep,8,</v>
      </c>
      <c r="AZ62" s="31" t="str">
        <f t="shared" si="291"/>
        <v>BypassValidFileChecks,1,</v>
      </c>
      <c r="BA62" s="31" t="str">
        <f t="shared" si="292"/>
        <v>BypassInputChecks,0,</v>
      </c>
      <c r="BB62" s="31" t="str">
        <f t="shared" si="293"/>
        <v>BypassUMLHChecks,0,</v>
      </c>
      <c r="BC62" s="31" t="str">
        <f t="shared" si="294"/>
        <v>BypassCheckSimRules,0,</v>
      </c>
      <c r="BD62" s="31" t="str">
        <f t="shared" si="295"/>
        <v>BypassCheckCodeRules,0,</v>
      </c>
      <c r="BE62" s="31" t="str">
        <f t="shared" si="307"/>
        <v>StoreResultsToModelInput,0,</v>
      </c>
      <c r="BF62" s="31" t="str">
        <f t="shared" si="308"/>
        <v>StoreBEMDetails,0,</v>
      </c>
      <c r="BG62" s="31" t="str">
        <f t="shared" si="309"/>
        <v>ModelRpt_ALL,0,</v>
      </c>
      <c r="BH62" s="31" t="str">
        <f t="shared" si="310"/>
        <v>ExportHourlyResults_All,0,</v>
      </c>
      <c r="BI62" s="31" t="str">
        <f t="shared" si="311"/>
        <v>ComplianceReportPDF,0,</v>
      </c>
      <c r="BJ62" s="31" t="str">
        <f t="shared" si="312"/>
        <v>ComplianceReportXML,0,</v>
      </c>
      <c r="BK62" s="31" t="str">
        <f t="shared" si="313"/>
        <v>QuickAnalysis,0,</v>
      </c>
      <c r="BL62" s="31" t="str">
        <f t="shared" si="314"/>
        <v>PromptUserUMLHWarning,0,</v>
      </c>
      <c r="BM62" s="31" t="str">
        <f t="shared" si="315"/>
        <v>BypassOpenStudio_all,0,</v>
      </c>
      <c r="BN62" s="31" t="str">
        <f t="shared" si="316"/>
        <v>BypassOpenStudio_zp,0,</v>
      </c>
      <c r="BO62" s="31" t="str">
        <f t="shared" si="317"/>
        <v>BypassOpenStudio_zb,0,</v>
      </c>
      <c r="BP62" s="31" t="str">
        <f t="shared" si="318"/>
        <v>BypassOpenStudio_ap,0,</v>
      </c>
      <c r="BQ62" s="31" t="str">
        <f t="shared" si="319"/>
        <v>BypassOpenStudio_ab,0,</v>
      </c>
      <c r="BR62" s="31" t="str">
        <f t="shared" si="320"/>
        <v>BypassOpenStudio_zp,0,</v>
      </c>
      <c r="BS62" s="31" t="str">
        <f t="shared" si="321"/>
        <v>BypassOpenStudio_zb,0,</v>
      </c>
      <c r="BT62" s="31" t="str">
        <f t="shared" si="322"/>
        <v>BypassOpenStudio_ap,0,</v>
      </c>
      <c r="BU62" s="31" t="str">
        <f t="shared" si="323"/>
        <v>BypassOpenStudio_ab,0,</v>
      </c>
    </row>
    <row r="63" spans="1:73" x14ac:dyDescent="0.25">
      <c r="A63" s="39">
        <f t="shared" si="265"/>
        <v>1</v>
      </c>
      <c r="B63" s="27" t="str">
        <f t="shared" si="302"/>
        <v>OtherTests\OffSml_T24NVent02.cibd</v>
      </c>
      <c r="C63" s="27" t="str">
        <f t="shared" si="303"/>
        <v>BatchOut_160331_r3964_OT\OffSml_T24NVent02.cibd</v>
      </c>
      <c r="D63" s="27" t="str">
        <f t="shared" si="181"/>
        <v>BatchOut_160331_r3964_OT\XML\</v>
      </c>
      <c r="E63" s="9" t="str">
        <f t="shared" si="266"/>
        <v>OffSml_T24NVent02</v>
      </c>
      <c r="F63" s="22"/>
      <c r="G63" s="29"/>
      <c r="H63" s="23"/>
      <c r="I63" s="9" t="s">
        <v>11</v>
      </c>
      <c r="J63" s="94" t="str">
        <f t="shared" si="30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3" s="15" t="s">
        <v>1</v>
      </c>
      <c r="L63" s="36">
        <f t="shared" si="190"/>
        <v>1</v>
      </c>
      <c r="M63" s="32" t="str">
        <f t="shared" si="305"/>
        <v>OffSml_T24NVent02</v>
      </c>
      <c r="N63" s="28" t="s">
        <v>374</v>
      </c>
      <c r="O63" s="57" t="str">
        <f t="shared" si="267"/>
        <v>OffSml_T24NVent02</v>
      </c>
      <c r="P63" s="63">
        <f t="shared" ref="P63:T65" si="328">P62</f>
        <v>1</v>
      </c>
      <c r="Q63" s="65">
        <f t="shared" si="328"/>
        <v>1</v>
      </c>
      <c r="R63" s="65">
        <f t="shared" si="328"/>
        <v>0</v>
      </c>
      <c r="S63" s="65">
        <f t="shared" si="328"/>
        <v>1</v>
      </c>
      <c r="T63" s="65">
        <f t="shared" si="328"/>
        <v>0</v>
      </c>
      <c r="U63" s="65">
        <f t="shared" si="273"/>
        <v>8</v>
      </c>
      <c r="V63" s="65">
        <f t="shared" si="274"/>
        <v>8</v>
      </c>
      <c r="W63" s="65">
        <f t="shared" si="274"/>
        <v>1</v>
      </c>
      <c r="X63" s="65">
        <f t="shared" si="274"/>
        <v>0</v>
      </c>
      <c r="Y63" s="65">
        <f t="shared" si="274"/>
        <v>0</v>
      </c>
      <c r="Z63" s="65">
        <f t="shared" si="276"/>
        <v>0</v>
      </c>
      <c r="AA63" s="65">
        <f t="shared" si="276"/>
        <v>0</v>
      </c>
      <c r="AB63" s="65">
        <f t="shared" si="276"/>
        <v>0</v>
      </c>
      <c r="AC63" s="65">
        <f t="shared" si="276"/>
        <v>0</v>
      </c>
      <c r="AD63" s="61">
        <f t="shared" si="276"/>
        <v>0</v>
      </c>
      <c r="AE63" s="61">
        <f t="shared" si="276"/>
        <v>0</v>
      </c>
      <c r="AF63" s="61">
        <f t="shared" si="276"/>
        <v>0</v>
      </c>
      <c r="AG63" s="61">
        <f t="shared" si="276"/>
        <v>0</v>
      </c>
      <c r="AH63" s="61">
        <f t="shared" si="276"/>
        <v>0</v>
      </c>
      <c r="AI63" s="61">
        <f t="shared" si="301"/>
        <v>0</v>
      </c>
      <c r="AJ63" s="63">
        <f t="shared" si="301"/>
        <v>0</v>
      </c>
      <c r="AK63" s="64">
        <f t="shared" si="301"/>
        <v>0</v>
      </c>
      <c r="AL63" s="64">
        <f t="shared" si="301"/>
        <v>0</v>
      </c>
      <c r="AM63" s="64">
        <f t="shared" si="301"/>
        <v>0</v>
      </c>
      <c r="AN63" s="66">
        <f t="shared" si="301"/>
        <v>0</v>
      </c>
      <c r="AO63" s="63">
        <f t="shared" si="301"/>
        <v>0</v>
      </c>
      <c r="AP63" s="64">
        <f t="shared" si="301"/>
        <v>0</v>
      </c>
      <c r="AQ63" s="65">
        <f t="shared" si="301"/>
        <v>0</v>
      </c>
      <c r="AR63" s="66">
        <f t="shared" si="301"/>
        <v>0</v>
      </c>
      <c r="AS63" s="31" t="str">
        <f t="shared" si="284"/>
        <v>SimulationStorage,1,</v>
      </c>
      <c r="AT63" s="31" t="str">
        <f t="shared" si="285"/>
        <v>AnalysisStorage,1,</v>
      </c>
      <c r="AU63" s="31" t="str">
        <f t="shared" si="286"/>
        <v>LogRuleEvaluation,0,</v>
      </c>
      <c r="AV63" s="31" t="str">
        <f t="shared" si="287"/>
        <v>ParallelSimulations,1,</v>
      </c>
      <c r="AW63" s="31" t="str">
        <f t="shared" si="288"/>
        <v>DurationStats,0,</v>
      </c>
      <c r="AX63" s="31" t="str">
        <f t="shared" si="289"/>
        <v>AnalysisThruStep,8,</v>
      </c>
      <c r="AY63" s="31" t="str">
        <f t="shared" si="290"/>
        <v>DontAbortOnErrorsThruStep,8,</v>
      </c>
      <c r="AZ63" s="31" t="str">
        <f t="shared" si="291"/>
        <v>BypassValidFileChecks,1,</v>
      </c>
      <c r="BA63" s="31" t="str">
        <f t="shared" si="292"/>
        <v>BypassInputChecks,0,</v>
      </c>
      <c r="BB63" s="31" t="str">
        <f t="shared" si="293"/>
        <v>BypassUMLHChecks,0,</v>
      </c>
      <c r="BC63" s="31" t="str">
        <f t="shared" si="294"/>
        <v>BypassCheckSimRules,0,</v>
      </c>
      <c r="BD63" s="31" t="str">
        <f t="shared" si="295"/>
        <v>BypassCheckCodeRules,0,</v>
      </c>
      <c r="BE63" s="31" t="str">
        <f t="shared" si="307"/>
        <v>StoreResultsToModelInput,0,</v>
      </c>
      <c r="BF63" s="31" t="str">
        <f t="shared" si="308"/>
        <v>StoreBEMDetails,0,</v>
      </c>
      <c r="BG63" s="31" t="str">
        <f t="shared" si="309"/>
        <v>ModelRpt_ALL,0,</v>
      </c>
      <c r="BH63" s="31" t="str">
        <f t="shared" si="310"/>
        <v>ExportHourlyResults_All,0,</v>
      </c>
      <c r="BI63" s="31" t="str">
        <f t="shared" si="311"/>
        <v>ComplianceReportPDF,0,</v>
      </c>
      <c r="BJ63" s="31" t="str">
        <f t="shared" si="312"/>
        <v>ComplianceReportXML,0,</v>
      </c>
      <c r="BK63" s="31" t="str">
        <f t="shared" si="313"/>
        <v>QuickAnalysis,0,</v>
      </c>
      <c r="BL63" s="31" t="str">
        <f t="shared" si="314"/>
        <v>PromptUserUMLHWarning,0,</v>
      </c>
      <c r="BM63" s="31" t="str">
        <f t="shared" si="315"/>
        <v>BypassOpenStudio_all,0,</v>
      </c>
      <c r="BN63" s="31" t="str">
        <f t="shared" si="316"/>
        <v>BypassOpenStudio_zp,0,</v>
      </c>
      <c r="BO63" s="31" t="str">
        <f t="shared" si="317"/>
        <v>BypassOpenStudio_zb,0,</v>
      </c>
      <c r="BP63" s="31" t="str">
        <f t="shared" si="318"/>
        <v>BypassOpenStudio_ap,0,</v>
      </c>
      <c r="BQ63" s="31" t="str">
        <f t="shared" si="319"/>
        <v>BypassOpenStudio_ab,0,</v>
      </c>
      <c r="BR63" s="31" t="str">
        <f t="shared" si="320"/>
        <v>BypassOpenStudio_zp,0,</v>
      </c>
      <c r="BS63" s="31" t="str">
        <f t="shared" si="321"/>
        <v>BypassOpenStudio_zb,0,</v>
      </c>
      <c r="BT63" s="31" t="str">
        <f t="shared" si="322"/>
        <v>BypassOpenStudio_ap,0,</v>
      </c>
      <c r="BU63" s="31" t="str">
        <f t="shared" si="323"/>
        <v>BypassOpenStudio_ab,0,</v>
      </c>
    </row>
    <row r="64" spans="1:73" x14ac:dyDescent="0.25">
      <c r="A64" s="39">
        <f t="shared" ref="A64:A67" si="329">L64</f>
        <v>1</v>
      </c>
      <c r="B64" s="27" t="str">
        <f t="shared" si="302"/>
        <v>OtherTests\OffSml_T24NVent03.cibd</v>
      </c>
      <c r="C64" s="27" t="str">
        <f t="shared" si="303"/>
        <v>BatchOut_160331_r3964_OT\OffSml_T24NVent03.cibd</v>
      </c>
      <c r="D64" s="27" t="str">
        <f t="shared" si="181"/>
        <v>BatchOut_160331_r3964_OT\XML\</v>
      </c>
      <c r="E64" s="9" t="str">
        <f t="shared" ref="E64:E67" si="330">M64</f>
        <v>OffSml_T24NVent03</v>
      </c>
      <c r="F64" s="22"/>
      <c r="G64" s="29"/>
      <c r="H64" s="23" t="str">
        <f>IF(F64&gt;1,1,"")</f>
        <v/>
      </c>
      <c r="I64" s="9" t="s">
        <v>11</v>
      </c>
      <c r="J64" s="94" t="str">
        <f t="shared" si="30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4" s="15" t="s">
        <v>1</v>
      </c>
      <c r="L64" s="36">
        <f t="shared" si="190"/>
        <v>1</v>
      </c>
      <c r="M64" s="32" t="str">
        <f t="shared" si="305"/>
        <v>OffSml_T24NVent03</v>
      </c>
      <c r="N64" s="28" t="s">
        <v>375</v>
      </c>
      <c r="O64" s="57" t="str">
        <f t="shared" ref="O64:O67" si="331">N64</f>
        <v>OffSml_T24NVent03</v>
      </c>
      <c r="P64" s="63">
        <f t="shared" si="328"/>
        <v>1</v>
      </c>
      <c r="Q64" s="65">
        <f t="shared" si="328"/>
        <v>1</v>
      </c>
      <c r="R64" s="65">
        <f t="shared" si="328"/>
        <v>0</v>
      </c>
      <c r="S64" s="65">
        <f t="shared" si="328"/>
        <v>1</v>
      </c>
      <c r="T64" s="65">
        <f t="shared" si="328"/>
        <v>0</v>
      </c>
      <c r="U64" s="65">
        <f t="shared" si="273"/>
        <v>8</v>
      </c>
      <c r="V64" s="65">
        <f t="shared" si="273"/>
        <v>8</v>
      </c>
      <c r="W64" s="65">
        <f t="shared" si="274"/>
        <v>1</v>
      </c>
      <c r="X64" s="65">
        <f t="shared" si="274"/>
        <v>0</v>
      </c>
      <c r="Y64" s="65">
        <f t="shared" si="274"/>
        <v>0</v>
      </c>
      <c r="Z64" s="65">
        <f t="shared" si="276"/>
        <v>0</v>
      </c>
      <c r="AA64" s="65">
        <f t="shared" si="276"/>
        <v>0</v>
      </c>
      <c r="AB64" s="65">
        <f t="shared" si="276"/>
        <v>0</v>
      </c>
      <c r="AC64" s="65">
        <f t="shared" si="276"/>
        <v>0</v>
      </c>
      <c r="AD64" s="61">
        <f t="shared" si="276"/>
        <v>0</v>
      </c>
      <c r="AE64" s="61">
        <f t="shared" si="276"/>
        <v>0</v>
      </c>
      <c r="AF64" s="61">
        <f t="shared" si="276"/>
        <v>0</v>
      </c>
      <c r="AG64" s="61">
        <f t="shared" si="276"/>
        <v>0</v>
      </c>
      <c r="AH64" s="61">
        <f t="shared" si="276"/>
        <v>0</v>
      </c>
      <c r="AI64" s="61">
        <f t="shared" si="301"/>
        <v>0</v>
      </c>
      <c r="AJ64" s="63">
        <f t="shared" si="301"/>
        <v>0</v>
      </c>
      <c r="AK64" s="64">
        <f t="shared" si="301"/>
        <v>0</v>
      </c>
      <c r="AL64" s="64">
        <f t="shared" si="301"/>
        <v>0</v>
      </c>
      <c r="AM64" s="64">
        <f t="shared" si="301"/>
        <v>0</v>
      </c>
      <c r="AN64" s="66">
        <f t="shared" si="301"/>
        <v>0</v>
      </c>
      <c r="AO64" s="63">
        <f t="shared" si="301"/>
        <v>0</v>
      </c>
      <c r="AP64" s="64">
        <f t="shared" si="301"/>
        <v>0</v>
      </c>
      <c r="AQ64" s="65">
        <f t="shared" si="301"/>
        <v>0</v>
      </c>
      <c r="AR64" s="66">
        <f t="shared" si="301"/>
        <v>0</v>
      </c>
      <c r="AS64" s="31" t="str">
        <f t="shared" ref="AS64:AS67" si="332">P$13&amp;P64&amp;","</f>
        <v>SimulationStorage,1,</v>
      </c>
      <c r="AT64" s="31" t="str">
        <f t="shared" ref="AT64:AT67" si="333">Q$13&amp;Q64&amp;","</f>
        <v>AnalysisStorage,1,</v>
      </c>
      <c r="AU64" s="31" t="str">
        <f t="shared" ref="AU64:AU67" si="334">R$13&amp;R64&amp;","</f>
        <v>LogRuleEvaluation,0,</v>
      </c>
      <c r="AV64" s="31" t="str">
        <f t="shared" ref="AV64:AV67" si="335">S$13&amp;S64&amp;","</f>
        <v>ParallelSimulations,1,</v>
      </c>
      <c r="AW64" s="31" t="str">
        <f t="shared" ref="AW64:AW67" si="336">T$13&amp;T64&amp;","</f>
        <v>DurationStats,0,</v>
      </c>
      <c r="AX64" s="31" t="str">
        <f t="shared" ref="AX64:AX67" si="337">U$13&amp;U64&amp;","</f>
        <v>AnalysisThruStep,8,</v>
      </c>
      <c r="AY64" s="31" t="str">
        <f t="shared" ref="AY64:AY67" si="338">V$13&amp;V64&amp;","</f>
        <v>DontAbortOnErrorsThruStep,8,</v>
      </c>
      <c r="AZ64" s="31" t="str">
        <f t="shared" ref="AZ64:AZ67" si="339">W$13&amp;W64&amp;","</f>
        <v>BypassValidFileChecks,1,</v>
      </c>
      <c r="BA64" s="31" t="str">
        <f t="shared" ref="BA64:BA67" si="340">X$13&amp;X64&amp;","</f>
        <v>BypassInputChecks,0,</v>
      </c>
      <c r="BB64" s="31" t="str">
        <f t="shared" ref="BB64:BB67" si="341">Y$13&amp;Y64&amp;","</f>
        <v>BypassUMLHChecks,0,</v>
      </c>
      <c r="BC64" s="31" t="str">
        <f t="shared" ref="BC64:BC67" si="342">Z$13&amp;Z64&amp;","</f>
        <v>BypassCheckSimRules,0,</v>
      </c>
      <c r="BD64" s="31" t="str">
        <f t="shared" ref="BD64:BD67" si="343">AA$13&amp;AA64&amp;","</f>
        <v>BypassCheckCodeRules,0,</v>
      </c>
      <c r="BE64" s="31" t="str">
        <f t="shared" si="307"/>
        <v>StoreResultsToModelInput,0,</v>
      </c>
      <c r="BF64" s="31" t="str">
        <f t="shared" si="308"/>
        <v>StoreBEMDetails,0,</v>
      </c>
      <c r="BG64" s="31" t="str">
        <f t="shared" si="309"/>
        <v>ModelRpt_ALL,0,</v>
      </c>
      <c r="BH64" s="31" t="str">
        <f t="shared" si="310"/>
        <v>ExportHourlyResults_All,0,</v>
      </c>
      <c r="BI64" s="31" t="str">
        <f t="shared" si="311"/>
        <v>ComplianceReportPDF,0,</v>
      </c>
      <c r="BJ64" s="31" t="str">
        <f t="shared" si="312"/>
        <v>ComplianceReportXML,0,</v>
      </c>
      <c r="BK64" s="31" t="str">
        <f t="shared" si="313"/>
        <v>QuickAnalysis,0,</v>
      </c>
      <c r="BL64" s="31" t="str">
        <f t="shared" si="314"/>
        <v>PromptUserUMLHWarning,0,</v>
      </c>
      <c r="BM64" s="31" t="str">
        <f t="shared" si="315"/>
        <v>BypassOpenStudio_all,0,</v>
      </c>
      <c r="BN64" s="31" t="str">
        <f t="shared" si="316"/>
        <v>BypassOpenStudio_zp,0,</v>
      </c>
      <c r="BO64" s="31" t="str">
        <f t="shared" si="317"/>
        <v>BypassOpenStudio_zb,0,</v>
      </c>
      <c r="BP64" s="31" t="str">
        <f t="shared" si="318"/>
        <v>BypassOpenStudio_ap,0,</v>
      </c>
      <c r="BQ64" s="31" t="str">
        <f t="shared" si="319"/>
        <v>BypassOpenStudio_ab,0,</v>
      </c>
      <c r="BR64" s="31" t="str">
        <f t="shared" si="320"/>
        <v>BypassOpenStudio_zp,0,</v>
      </c>
      <c r="BS64" s="31" t="str">
        <f t="shared" si="321"/>
        <v>BypassOpenStudio_zb,0,</v>
      </c>
      <c r="BT64" s="31" t="str">
        <f t="shared" si="322"/>
        <v>BypassOpenStudio_ap,0,</v>
      </c>
      <c r="BU64" s="31" t="str">
        <f t="shared" si="323"/>
        <v>BypassOpenStudio_ab,0,</v>
      </c>
    </row>
    <row r="65" spans="1:75" x14ac:dyDescent="0.25">
      <c r="A65" s="39">
        <f t="shared" si="329"/>
        <v>1</v>
      </c>
      <c r="B65" s="27" t="str">
        <f t="shared" si="302"/>
        <v>OtherTests\OffSml_T24NVent04.cibd</v>
      </c>
      <c r="C65" s="27" t="str">
        <f t="shared" si="303"/>
        <v>BatchOut_160331_r3964_OT\OffSml_T24NVent04.cibd</v>
      </c>
      <c r="D65" s="27" t="str">
        <f t="shared" si="181"/>
        <v>BatchOut_160331_r3964_OT\XML\</v>
      </c>
      <c r="E65" s="9" t="str">
        <f t="shared" si="330"/>
        <v>OffSml_T24NVent04</v>
      </c>
      <c r="F65" s="22"/>
      <c r="G65" s="29"/>
      <c r="H65" s="23"/>
      <c r="I65" s="9" t="s">
        <v>11</v>
      </c>
      <c r="J65" s="94" t="str">
        <f t="shared" si="30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5" s="15" t="s">
        <v>1</v>
      </c>
      <c r="L65" s="36">
        <f t="shared" si="190"/>
        <v>1</v>
      </c>
      <c r="M65" s="32" t="str">
        <f t="shared" si="305"/>
        <v>OffSml_T24NVent04</v>
      </c>
      <c r="N65" s="28" t="s">
        <v>376</v>
      </c>
      <c r="O65" s="57" t="str">
        <f t="shared" si="331"/>
        <v>OffSml_T24NVent04</v>
      </c>
      <c r="P65" s="63">
        <f t="shared" si="328"/>
        <v>1</v>
      </c>
      <c r="Q65" s="65">
        <f t="shared" si="328"/>
        <v>1</v>
      </c>
      <c r="R65" s="65">
        <f t="shared" si="328"/>
        <v>0</v>
      </c>
      <c r="S65" s="65">
        <f t="shared" si="328"/>
        <v>1</v>
      </c>
      <c r="T65" s="65">
        <f t="shared" si="328"/>
        <v>0</v>
      </c>
      <c r="U65" s="65">
        <f t="shared" si="273"/>
        <v>8</v>
      </c>
      <c r="V65" s="65">
        <f t="shared" si="273"/>
        <v>8</v>
      </c>
      <c r="W65" s="65">
        <f t="shared" si="274"/>
        <v>1</v>
      </c>
      <c r="X65" s="65">
        <f t="shared" si="274"/>
        <v>0</v>
      </c>
      <c r="Y65" s="65">
        <f t="shared" si="274"/>
        <v>0</v>
      </c>
      <c r="Z65" s="65">
        <f t="shared" si="276"/>
        <v>0</v>
      </c>
      <c r="AA65" s="65">
        <f t="shared" si="276"/>
        <v>0</v>
      </c>
      <c r="AB65" s="65">
        <f t="shared" si="276"/>
        <v>0</v>
      </c>
      <c r="AC65" s="65">
        <f t="shared" si="276"/>
        <v>0</v>
      </c>
      <c r="AD65" s="61">
        <f t="shared" si="276"/>
        <v>0</v>
      </c>
      <c r="AE65" s="61">
        <f t="shared" si="276"/>
        <v>0</v>
      </c>
      <c r="AF65" s="61">
        <f t="shared" si="276"/>
        <v>0</v>
      </c>
      <c r="AG65" s="61">
        <f t="shared" si="276"/>
        <v>0</v>
      </c>
      <c r="AH65" s="61">
        <f t="shared" si="276"/>
        <v>0</v>
      </c>
      <c r="AI65" s="61">
        <f t="shared" si="301"/>
        <v>0</v>
      </c>
      <c r="AJ65" s="63">
        <f t="shared" si="301"/>
        <v>0</v>
      </c>
      <c r="AK65" s="64">
        <f t="shared" si="301"/>
        <v>0</v>
      </c>
      <c r="AL65" s="64">
        <f t="shared" si="301"/>
        <v>0</v>
      </c>
      <c r="AM65" s="64">
        <f t="shared" si="301"/>
        <v>0</v>
      </c>
      <c r="AN65" s="66">
        <f t="shared" si="301"/>
        <v>0</v>
      </c>
      <c r="AO65" s="63">
        <f t="shared" si="301"/>
        <v>0</v>
      </c>
      <c r="AP65" s="64">
        <f t="shared" si="301"/>
        <v>0</v>
      </c>
      <c r="AQ65" s="65">
        <f t="shared" si="301"/>
        <v>0</v>
      </c>
      <c r="AR65" s="66">
        <f t="shared" si="301"/>
        <v>0</v>
      </c>
      <c r="AS65" s="31" t="str">
        <f t="shared" si="332"/>
        <v>SimulationStorage,1,</v>
      </c>
      <c r="AT65" s="31" t="str">
        <f t="shared" si="333"/>
        <v>AnalysisStorage,1,</v>
      </c>
      <c r="AU65" s="31" t="str">
        <f t="shared" si="334"/>
        <v>LogRuleEvaluation,0,</v>
      </c>
      <c r="AV65" s="31" t="str">
        <f t="shared" si="335"/>
        <v>ParallelSimulations,1,</v>
      </c>
      <c r="AW65" s="31" t="str">
        <f t="shared" si="336"/>
        <v>DurationStats,0,</v>
      </c>
      <c r="AX65" s="31" t="str">
        <f t="shared" si="337"/>
        <v>AnalysisThruStep,8,</v>
      </c>
      <c r="AY65" s="31" t="str">
        <f t="shared" si="338"/>
        <v>DontAbortOnErrorsThruStep,8,</v>
      </c>
      <c r="AZ65" s="31" t="str">
        <f t="shared" si="339"/>
        <v>BypassValidFileChecks,1,</v>
      </c>
      <c r="BA65" s="31" t="str">
        <f t="shared" si="340"/>
        <v>BypassInputChecks,0,</v>
      </c>
      <c r="BB65" s="31" t="str">
        <f t="shared" si="341"/>
        <v>BypassUMLHChecks,0,</v>
      </c>
      <c r="BC65" s="31" t="str">
        <f t="shared" si="342"/>
        <v>BypassCheckSimRules,0,</v>
      </c>
      <c r="BD65" s="31" t="str">
        <f t="shared" si="343"/>
        <v>BypassCheckCodeRules,0,</v>
      </c>
      <c r="BE65" s="31" t="str">
        <f t="shared" si="307"/>
        <v>StoreResultsToModelInput,0,</v>
      </c>
      <c r="BF65" s="31" t="str">
        <f t="shared" si="308"/>
        <v>StoreBEMDetails,0,</v>
      </c>
      <c r="BG65" s="31" t="str">
        <f t="shared" si="309"/>
        <v>ModelRpt_ALL,0,</v>
      </c>
      <c r="BH65" s="31" t="str">
        <f t="shared" si="310"/>
        <v>ExportHourlyResults_All,0,</v>
      </c>
      <c r="BI65" s="31" t="str">
        <f t="shared" si="311"/>
        <v>ComplianceReportPDF,0,</v>
      </c>
      <c r="BJ65" s="31" t="str">
        <f t="shared" si="312"/>
        <v>ComplianceReportXML,0,</v>
      </c>
      <c r="BK65" s="31" t="str">
        <f t="shared" si="313"/>
        <v>QuickAnalysis,0,</v>
      </c>
      <c r="BL65" s="31" t="str">
        <f t="shared" si="314"/>
        <v>PromptUserUMLHWarning,0,</v>
      </c>
      <c r="BM65" s="31" t="str">
        <f t="shared" si="315"/>
        <v>BypassOpenStudio_all,0,</v>
      </c>
      <c r="BN65" s="31" t="str">
        <f t="shared" si="316"/>
        <v>BypassOpenStudio_zp,0,</v>
      </c>
      <c r="BO65" s="31" t="str">
        <f t="shared" si="317"/>
        <v>BypassOpenStudio_zb,0,</v>
      </c>
      <c r="BP65" s="31" t="str">
        <f t="shared" si="318"/>
        <v>BypassOpenStudio_ap,0,</v>
      </c>
      <c r="BQ65" s="31" t="str">
        <f t="shared" si="319"/>
        <v>BypassOpenStudio_ab,0,</v>
      </c>
      <c r="BR65" s="31" t="str">
        <f t="shared" si="320"/>
        <v>BypassOpenStudio_zp,0,</v>
      </c>
      <c r="BS65" s="31" t="str">
        <f t="shared" si="321"/>
        <v>BypassOpenStudio_zb,0,</v>
      </c>
      <c r="BT65" s="31" t="str">
        <f t="shared" si="322"/>
        <v>BypassOpenStudio_ap,0,</v>
      </c>
      <c r="BU65" s="31" t="str">
        <f t="shared" si="323"/>
        <v>BypassOpenStudio_ab,0,</v>
      </c>
    </row>
    <row r="66" spans="1:75" x14ac:dyDescent="0.25">
      <c r="A66" s="39">
        <f t="shared" ref="A66" si="344">L66</f>
        <v>1</v>
      </c>
      <c r="B66" s="27" t="str">
        <f t="shared" ref="B66" si="345">M$37&amp;N66&amp;".cibd"</f>
        <v>OtherTests\OffSml_T24NVent06.cibd</v>
      </c>
      <c r="C66" s="27" t="str">
        <f t="shared" ref="C66" si="346" xml:space="preserve"> M$38 &amp; O66 &amp; ".cibd"</f>
        <v>BatchOut_160331_r3964_OT\OffSml_T24NVent06.cibd</v>
      </c>
      <c r="D66" s="27" t="str">
        <f t="shared" si="181"/>
        <v>BatchOut_160331_r3964_OT\XML\</v>
      </c>
      <c r="E66" s="9" t="str">
        <f t="shared" ref="E66" si="347">M66</f>
        <v>OffSml_T24NVent06</v>
      </c>
      <c r="F66" s="22"/>
      <c r="G66" s="29"/>
      <c r="H66" s="23"/>
      <c r="I66" s="9" t="s">
        <v>11</v>
      </c>
      <c r="J66" s="94" t="str">
        <f t="shared" ref="J66" si="348">CONCATENATE(AS66,AT66,AU66,AV66,AW66,AX66,AY66,AZ66,BA66,BB66,BC66,BD66,BE66,BF66,BG66,BH66,BI66,BJ66,BK66,BL66,BM66,BN66,BO66,BP66,BQ66,BR66,BS66,BT66,BU66)</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6" s="15" t="s">
        <v>1</v>
      </c>
      <c r="L66" s="36">
        <f>L64</f>
        <v>1</v>
      </c>
      <c r="M66" s="32" t="str">
        <f t="shared" ref="M66" si="349">N66</f>
        <v>OffSml_T24NVent06</v>
      </c>
      <c r="N66" s="28" t="s">
        <v>377</v>
      </c>
      <c r="O66" s="57" t="str">
        <f t="shared" ref="O66" si="350">N66</f>
        <v>OffSml_T24NVent06</v>
      </c>
      <c r="P66" s="63">
        <f t="shared" ref="P66:AK66" si="351">P64</f>
        <v>1</v>
      </c>
      <c r="Q66" s="65">
        <f t="shared" si="351"/>
        <v>1</v>
      </c>
      <c r="R66" s="65">
        <f t="shared" si="351"/>
        <v>0</v>
      </c>
      <c r="S66" s="65">
        <f t="shared" si="351"/>
        <v>1</v>
      </c>
      <c r="T66" s="65">
        <f t="shared" si="351"/>
        <v>0</v>
      </c>
      <c r="U66" s="65">
        <f t="shared" si="351"/>
        <v>8</v>
      </c>
      <c r="V66" s="65">
        <f t="shared" si="351"/>
        <v>8</v>
      </c>
      <c r="W66" s="65">
        <f t="shared" si="351"/>
        <v>1</v>
      </c>
      <c r="X66" s="65">
        <f t="shared" si="351"/>
        <v>0</v>
      </c>
      <c r="Y66" s="65">
        <f t="shared" si="351"/>
        <v>0</v>
      </c>
      <c r="Z66" s="65">
        <f t="shared" si="351"/>
        <v>0</v>
      </c>
      <c r="AA66" s="65">
        <f t="shared" si="351"/>
        <v>0</v>
      </c>
      <c r="AB66" s="65">
        <f t="shared" si="351"/>
        <v>0</v>
      </c>
      <c r="AC66" s="65">
        <f t="shared" si="351"/>
        <v>0</v>
      </c>
      <c r="AD66" s="61">
        <f t="shared" si="351"/>
        <v>0</v>
      </c>
      <c r="AE66" s="61">
        <f t="shared" si="351"/>
        <v>0</v>
      </c>
      <c r="AF66" s="61">
        <f t="shared" si="351"/>
        <v>0</v>
      </c>
      <c r="AG66" s="61">
        <f t="shared" si="351"/>
        <v>0</v>
      </c>
      <c r="AH66" s="61">
        <f t="shared" si="351"/>
        <v>0</v>
      </c>
      <c r="AI66" s="61">
        <f t="shared" si="351"/>
        <v>0</v>
      </c>
      <c r="AJ66" s="63">
        <f t="shared" si="351"/>
        <v>0</v>
      </c>
      <c r="AK66" s="64">
        <f t="shared" si="351"/>
        <v>0</v>
      </c>
      <c r="AL66" s="64">
        <f t="shared" ref="AL66:AR67" si="352">AL64</f>
        <v>0</v>
      </c>
      <c r="AM66" s="64">
        <f t="shared" si="352"/>
        <v>0</v>
      </c>
      <c r="AN66" s="66">
        <f t="shared" si="352"/>
        <v>0</v>
      </c>
      <c r="AO66" s="63">
        <f t="shared" si="352"/>
        <v>0</v>
      </c>
      <c r="AP66" s="64">
        <f t="shared" si="352"/>
        <v>0</v>
      </c>
      <c r="AQ66" s="65">
        <f t="shared" si="352"/>
        <v>0</v>
      </c>
      <c r="AR66" s="66">
        <f t="shared" si="352"/>
        <v>0</v>
      </c>
      <c r="AS66" s="31" t="str">
        <f t="shared" ref="AS66" si="353">P$13&amp;P66&amp;","</f>
        <v>SimulationStorage,1,</v>
      </c>
      <c r="AT66" s="31" t="str">
        <f t="shared" ref="AT66" si="354">Q$13&amp;Q66&amp;","</f>
        <v>AnalysisStorage,1,</v>
      </c>
      <c r="AU66" s="31" t="str">
        <f t="shared" ref="AU66" si="355">R$13&amp;R66&amp;","</f>
        <v>LogRuleEvaluation,0,</v>
      </c>
      <c r="AV66" s="31" t="str">
        <f t="shared" ref="AV66" si="356">S$13&amp;S66&amp;","</f>
        <v>ParallelSimulations,1,</v>
      </c>
      <c r="AW66" s="31" t="str">
        <f t="shared" ref="AW66" si="357">T$13&amp;T66&amp;","</f>
        <v>DurationStats,0,</v>
      </c>
      <c r="AX66" s="31" t="str">
        <f t="shared" ref="AX66" si="358">U$13&amp;U66&amp;","</f>
        <v>AnalysisThruStep,8,</v>
      </c>
      <c r="AY66" s="31" t="str">
        <f t="shared" ref="AY66" si="359">V$13&amp;V66&amp;","</f>
        <v>DontAbortOnErrorsThruStep,8,</v>
      </c>
      <c r="AZ66" s="31" t="str">
        <f t="shared" ref="AZ66" si="360">W$13&amp;W66&amp;","</f>
        <v>BypassValidFileChecks,1,</v>
      </c>
      <c r="BA66" s="31" t="str">
        <f t="shared" ref="BA66" si="361">X$13&amp;X66&amp;","</f>
        <v>BypassInputChecks,0,</v>
      </c>
      <c r="BB66" s="31" t="str">
        <f t="shared" ref="BB66" si="362">Y$13&amp;Y66&amp;","</f>
        <v>BypassUMLHChecks,0,</v>
      </c>
      <c r="BC66" s="31" t="str">
        <f t="shared" ref="BC66" si="363">Z$13&amp;Z66&amp;","</f>
        <v>BypassCheckSimRules,0,</v>
      </c>
      <c r="BD66" s="31" t="str">
        <f t="shared" ref="BD66" si="364">AA$13&amp;AA66&amp;","</f>
        <v>BypassCheckCodeRules,0,</v>
      </c>
      <c r="BE66" s="31" t="str">
        <f t="shared" ref="BE66" si="365">AB$13&amp;AB66&amp;","</f>
        <v>StoreResultsToModelInput,0,</v>
      </c>
      <c r="BF66" s="31" t="str">
        <f t="shared" ref="BF66" si="366">AC$13&amp;AC66&amp;","</f>
        <v>StoreBEMDetails,0,</v>
      </c>
      <c r="BG66" s="31" t="str">
        <f t="shared" ref="BG66" si="367">AD$13&amp;AD66&amp;","</f>
        <v>ModelRpt_ALL,0,</v>
      </c>
      <c r="BH66" s="31" t="str">
        <f t="shared" ref="BH66" si="368">AE$13&amp;AE66&amp;","</f>
        <v>ExportHourlyResults_All,0,</v>
      </c>
      <c r="BI66" s="31" t="str">
        <f t="shared" ref="BI66" si="369">AF$13&amp;AF66&amp;","</f>
        <v>ComplianceReportPDF,0,</v>
      </c>
      <c r="BJ66" s="31" t="str">
        <f t="shared" ref="BJ66" si="370">AG$13&amp;AG66&amp;","</f>
        <v>ComplianceReportXML,0,</v>
      </c>
      <c r="BK66" s="31" t="str">
        <f t="shared" ref="BK66" si="371">AH$13&amp;AH66&amp;","</f>
        <v>QuickAnalysis,0,</v>
      </c>
      <c r="BL66" s="31" t="str">
        <f t="shared" ref="BL66" si="372">AI$13&amp;AI66&amp;","</f>
        <v>PromptUserUMLHWarning,0,</v>
      </c>
      <c r="BM66" s="31" t="str">
        <f t="shared" ref="BM66" si="373">AJ$13&amp;AJ66&amp;","</f>
        <v>BypassOpenStudio_all,0,</v>
      </c>
      <c r="BN66" s="31" t="str">
        <f t="shared" ref="BN66" si="374">AK$13&amp;AK66&amp;","</f>
        <v>BypassOpenStudio_zp,0,</v>
      </c>
      <c r="BO66" s="31" t="str">
        <f t="shared" ref="BO66" si="375">AL$13&amp;AL66&amp;","</f>
        <v>BypassOpenStudio_zb,0,</v>
      </c>
      <c r="BP66" s="31" t="str">
        <f t="shared" ref="BP66" si="376">AM$13&amp;AM66&amp;","</f>
        <v>BypassOpenStudio_ap,0,</v>
      </c>
      <c r="BQ66" s="31" t="str">
        <f t="shared" ref="BQ66" si="377">AN$13&amp;AN66&amp;","</f>
        <v>BypassOpenStudio_ab,0,</v>
      </c>
      <c r="BR66" s="31" t="str">
        <f t="shared" ref="BR66" si="378">AO$13&amp;AO66&amp;","</f>
        <v>BypassOpenStudio_zp,0,</v>
      </c>
      <c r="BS66" s="31" t="str">
        <f t="shared" ref="BS66" si="379">AP$13&amp;AP66&amp;","</f>
        <v>BypassOpenStudio_zb,0,</v>
      </c>
      <c r="BT66" s="31" t="str">
        <f t="shared" ref="BT66" si="380">AQ$13&amp;AQ66&amp;","</f>
        <v>BypassOpenStudio_ap,0,</v>
      </c>
      <c r="BU66" s="31" t="str">
        <f t="shared" ref="BU66" si="381">AR$13&amp;AR66&amp;","</f>
        <v>BypassOpenStudio_ab,0,</v>
      </c>
    </row>
    <row r="67" spans="1:75" x14ac:dyDescent="0.25">
      <c r="A67" s="39">
        <f t="shared" si="329"/>
        <v>1</v>
      </c>
      <c r="B67" s="27" t="str">
        <f t="shared" si="302"/>
        <v>OtherTests\OffSml_T24NVent07.cibd</v>
      </c>
      <c r="C67" s="27" t="str">
        <f t="shared" si="303"/>
        <v>BatchOut_160331_r3964_OT\OffSml_T24NVent07.cibd</v>
      </c>
      <c r="D67" s="27" t="str">
        <f t="shared" si="181"/>
        <v>BatchOut_160331_r3964_OT\XML\</v>
      </c>
      <c r="E67" s="9" t="str">
        <f t="shared" si="330"/>
        <v>OffSml_T24NVent07</v>
      </c>
      <c r="F67" s="22"/>
      <c r="G67" s="29"/>
      <c r="H67" s="23"/>
      <c r="I67" s="9" t="s">
        <v>11</v>
      </c>
      <c r="J67" s="94" t="str">
        <f t="shared" si="30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7" s="15" t="s">
        <v>1</v>
      </c>
      <c r="L67" s="36">
        <f>L65</f>
        <v>1</v>
      </c>
      <c r="M67" s="32" t="str">
        <f t="shared" si="305"/>
        <v>OffSml_T24NVent07</v>
      </c>
      <c r="N67" s="28" t="s">
        <v>378</v>
      </c>
      <c r="O67" s="57" t="str">
        <f t="shared" si="331"/>
        <v>OffSml_T24NVent07</v>
      </c>
      <c r="P67" s="63">
        <f t="shared" ref="P67:AK67" si="382">P65</f>
        <v>1</v>
      </c>
      <c r="Q67" s="65">
        <f t="shared" si="382"/>
        <v>1</v>
      </c>
      <c r="R67" s="65">
        <f t="shared" si="382"/>
        <v>0</v>
      </c>
      <c r="S67" s="65">
        <f t="shared" si="382"/>
        <v>1</v>
      </c>
      <c r="T67" s="65">
        <f t="shared" si="382"/>
        <v>0</v>
      </c>
      <c r="U67" s="65">
        <f t="shared" si="382"/>
        <v>8</v>
      </c>
      <c r="V67" s="65">
        <f t="shared" si="382"/>
        <v>8</v>
      </c>
      <c r="W67" s="65">
        <f t="shared" si="382"/>
        <v>1</v>
      </c>
      <c r="X67" s="65">
        <f t="shared" si="382"/>
        <v>0</v>
      </c>
      <c r="Y67" s="65">
        <f t="shared" si="382"/>
        <v>0</v>
      </c>
      <c r="Z67" s="65">
        <f t="shared" si="382"/>
        <v>0</v>
      </c>
      <c r="AA67" s="65">
        <f t="shared" si="382"/>
        <v>0</v>
      </c>
      <c r="AB67" s="65">
        <f t="shared" si="382"/>
        <v>0</v>
      </c>
      <c r="AC67" s="65">
        <f t="shared" si="382"/>
        <v>0</v>
      </c>
      <c r="AD67" s="61">
        <f t="shared" si="382"/>
        <v>0</v>
      </c>
      <c r="AE67" s="61">
        <f t="shared" si="382"/>
        <v>0</v>
      </c>
      <c r="AF67" s="61">
        <f t="shared" si="382"/>
        <v>0</v>
      </c>
      <c r="AG67" s="61">
        <f t="shared" si="382"/>
        <v>0</v>
      </c>
      <c r="AH67" s="61">
        <f t="shared" si="382"/>
        <v>0</v>
      </c>
      <c r="AI67" s="61">
        <f t="shared" si="382"/>
        <v>0</v>
      </c>
      <c r="AJ67" s="63">
        <f t="shared" si="382"/>
        <v>0</v>
      </c>
      <c r="AK67" s="64">
        <f t="shared" si="382"/>
        <v>0</v>
      </c>
      <c r="AL67" s="64">
        <f t="shared" si="352"/>
        <v>0</v>
      </c>
      <c r="AM67" s="64">
        <f t="shared" si="352"/>
        <v>0</v>
      </c>
      <c r="AN67" s="66">
        <f t="shared" si="352"/>
        <v>0</v>
      </c>
      <c r="AO67" s="63">
        <f t="shared" si="352"/>
        <v>0</v>
      </c>
      <c r="AP67" s="64">
        <f t="shared" si="352"/>
        <v>0</v>
      </c>
      <c r="AQ67" s="65">
        <f t="shared" si="352"/>
        <v>0</v>
      </c>
      <c r="AR67" s="66">
        <f t="shared" si="352"/>
        <v>0</v>
      </c>
      <c r="AS67" s="31" t="str">
        <f t="shared" si="332"/>
        <v>SimulationStorage,1,</v>
      </c>
      <c r="AT67" s="31" t="str">
        <f t="shared" si="333"/>
        <v>AnalysisStorage,1,</v>
      </c>
      <c r="AU67" s="31" t="str">
        <f t="shared" si="334"/>
        <v>LogRuleEvaluation,0,</v>
      </c>
      <c r="AV67" s="31" t="str">
        <f t="shared" si="335"/>
        <v>ParallelSimulations,1,</v>
      </c>
      <c r="AW67" s="31" t="str">
        <f t="shared" si="336"/>
        <v>DurationStats,0,</v>
      </c>
      <c r="AX67" s="31" t="str">
        <f t="shared" si="337"/>
        <v>AnalysisThruStep,8,</v>
      </c>
      <c r="AY67" s="31" t="str">
        <f t="shared" si="338"/>
        <v>DontAbortOnErrorsThruStep,8,</v>
      </c>
      <c r="AZ67" s="31" t="str">
        <f t="shared" si="339"/>
        <v>BypassValidFileChecks,1,</v>
      </c>
      <c r="BA67" s="31" t="str">
        <f t="shared" si="340"/>
        <v>BypassInputChecks,0,</v>
      </c>
      <c r="BB67" s="31" t="str">
        <f t="shared" si="341"/>
        <v>BypassUMLHChecks,0,</v>
      </c>
      <c r="BC67" s="31" t="str">
        <f t="shared" si="342"/>
        <v>BypassCheckSimRules,0,</v>
      </c>
      <c r="BD67" s="31" t="str">
        <f t="shared" si="343"/>
        <v>BypassCheckCodeRules,0,</v>
      </c>
      <c r="BE67" s="31" t="str">
        <f t="shared" si="307"/>
        <v>StoreResultsToModelInput,0,</v>
      </c>
      <c r="BF67" s="31" t="str">
        <f t="shared" si="308"/>
        <v>StoreBEMDetails,0,</v>
      </c>
      <c r="BG67" s="31" t="str">
        <f t="shared" si="309"/>
        <v>ModelRpt_ALL,0,</v>
      </c>
      <c r="BH67" s="31" t="str">
        <f t="shared" si="310"/>
        <v>ExportHourlyResults_All,0,</v>
      </c>
      <c r="BI67" s="31" t="str">
        <f t="shared" si="311"/>
        <v>ComplianceReportPDF,0,</v>
      </c>
      <c r="BJ67" s="31" t="str">
        <f t="shared" si="312"/>
        <v>ComplianceReportXML,0,</v>
      </c>
      <c r="BK67" s="31" t="str">
        <f t="shared" si="313"/>
        <v>QuickAnalysis,0,</v>
      </c>
      <c r="BL67" s="31" t="str">
        <f t="shared" si="314"/>
        <v>PromptUserUMLHWarning,0,</v>
      </c>
      <c r="BM67" s="31" t="str">
        <f t="shared" si="315"/>
        <v>BypassOpenStudio_all,0,</v>
      </c>
      <c r="BN67" s="31" t="str">
        <f t="shared" si="316"/>
        <v>BypassOpenStudio_zp,0,</v>
      </c>
      <c r="BO67" s="31" t="str">
        <f t="shared" si="317"/>
        <v>BypassOpenStudio_zb,0,</v>
      </c>
      <c r="BP67" s="31" t="str">
        <f t="shared" si="318"/>
        <v>BypassOpenStudio_ap,0,</v>
      </c>
      <c r="BQ67" s="31" t="str">
        <f t="shared" si="319"/>
        <v>BypassOpenStudio_ab,0,</v>
      </c>
      <c r="BR67" s="31" t="str">
        <f t="shared" si="320"/>
        <v>BypassOpenStudio_zp,0,</v>
      </c>
      <c r="BS67" s="31" t="str">
        <f t="shared" si="321"/>
        <v>BypassOpenStudio_zb,0,</v>
      </c>
      <c r="BT67" s="31" t="str">
        <f t="shared" si="322"/>
        <v>BypassOpenStudio_ap,0,</v>
      </c>
      <c r="BU67" s="31" t="str">
        <f t="shared" si="323"/>
        <v>BypassOpenStudio_ab,0,</v>
      </c>
    </row>
    <row r="68" spans="1:75" x14ac:dyDescent="0.25">
      <c r="A68" s="39">
        <f t="shared" si="146"/>
        <v>0</v>
      </c>
      <c r="B68" s="27" t="str">
        <f t="shared" si="179"/>
        <v>OtherTests\.cibd</v>
      </c>
      <c r="C68" s="27" t="str">
        <f t="shared" si="180"/>
        <v>BatchOut_160331_r3964_OT\.cibd</v>
      </c>
      <c r="D68" s="27" t="str">
        <f t="shared" si="181"/>
        <v>BatchOut_160331_r3964_OT\XML\</v>
      </c>
      <c r="E68" s="9" t="str">
        <f t="shared" si="182"/>
        <v/>
      </c>
      <c r="F68" s="22"/>
      <c r="G68" s="29"/>
      <c r="H68" s="23"/>
      <c r="I68" s="9" t="s">
        <v>11</v>
      </c>
      <c r="J68" s="94" t="str">
        <f t="shared" si="14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8" s="15" t="s">
        <v>1</v>
      </c>
      <c r="L68" s="36">
        <v>0</v>
      </c>
      <c r="M68" s="32" t="str">
        <f t="shared" ref="M68" si="383">LEFT(N68,6)&amp;IF(SUM(F68:H68)&gt;0,"_autosize","")</f>
        <v/>
      </c>
      <c r="N68" s="28"/>
      <c r="O68" s="57"/>
      <c r="P68" s="63">
        <f t="shared" ref="P68" si="384">P57</f>
        <v>1</v>
      </c>
      <c r="Q68" s="65">
        <f t="shared" ref="Q68:AD68" si="385">Q57</f>
        <v>1</v>
      </c>
      <c r="R68" s="65">
        <f t="shared" si="385"/>
        <v>0</v>
      </c>
      <c r="S68" s="65">
        <f t="shared" si="385"/>
        <v>1</v>
      </c>
      <c r="T68" s="65">
        <f t="shared" si="385"/>
        <v>0</v>
      </c>
      <c r="U68" s="65">
        <f t="shared" si="385"/>
        <v>8</v>
      </c>
      <c r="V68" s="65">
        <f t="shared" si="385"/>
        <v>8</v>
      </c>
      <c r="W68" s="65">
        <f t="shared" si="385"/>
        <v>1</v>
      </c>
      <c r="X68" s="65">
        <f t="shared" si="385"/>
        <v>0</v>
      </c>
      <c r="Y68" s="65">
        <f t="shared" si="385"/>
        <v>0</v>
      </c>
      <c r="Z68" s="65">
        <f t="shared" si="385"/>
        <v>0</v>
      </c>
      <c r="AA68" s="65">
        <f t="shared" si="385"/>
        <v>0</v>
      </c>
      <c r="AB68" s="65">
        <f t="shared" si="385"/>
        <v>0</v>
      </c>
      <c r="AC68" s="65">
        <f t="shared" si="385"/>
        <v>0</v>
      </c>
      <c r="AD68" s="61">
        <f t="shared" si="385"/>
        <v>0</v>
      </c>
      <c r="AE68" s="61">
        <f t="shared" ref="AE68:AF68" si="386">AE57</f>
        <v>0</v>
      </c>
      <c r="AF68" s="61">
        <f t="shared" si="386"/>
        <v>0</v>
      </c>
      <c r="AG68" s="61">
        <f t="shared" ref="AG68:AH68" si="387">AG57</f>
        <v>0</v>
      </c>
      <c r="AH68" s="61">
        <f t="shared" si="387"/>
        <v>0</v>
      </c>
      <c r="AI68" s="61">
        <f t="shared" ref="AI68" si="388">AI57</f>
        <v>0</v>
      </c>
      <c r="AJ68" s="63">
        <f t="shared" ref="AJ68:AQ68" si="389">AJ57</f>
        <v>0</v>
      </c>
      <c r="AK68" s="64">
        <f t="shared" si="389"/>
        <v>0</v>
      </c>
      <c r="AL68" s="64">
        <f t="shared" si="389"/>
        <v>0</v>
      </c>
      <c r="AM68" s="64">
        <f t="shared" si="389"/>
        <v>0</v>
      </c>
      <c r="AN68" s="66">
        <f t="shared" si="389"/>
        <v>0</v>
      </c>
      <c r="AO68" s="63">
        <f t="shared" si="389"/>
        <v>0</v>
      </c>
      <c r="AP68" s="64">
        <f t="shared" si="389"/>
        <v>0</v>
      </c>
      <c r="AQ68" s="65">
        <f t="shared" si="389"/>
        <v>0</v>
      </c>
      <c r="AR68" s="66">
        <f t="shared" ref="AR68" si="390">AR57</f>
        <v>0</v>
      </c>
      <c r="AS68" s="31" t="str">
        <f t="shared" si="151"/>
        <v>SimulationStorage,1,</v>
      </c>
      <c r="AT68" s="31" t="str">
        <f t="shared" si="152"/>
        <v>AnalysisStorage,1,</v>
      </c>
      <c r="AU68" s="31" t="str">
        <f t="shared" si="153"/>
        <v>LogRuleEvaluation,0,</v>
      </c>
      <c r="AV68" s="31" t="str">
        <f t="shared" si="154"/>
        <v>ParallelSimulations,1,</v>
      </c>
      <c r="AW68" s="31" t="str">
        <f t="shared" si="155"/>
        <v>DurationStats,0,</v>
      </c>
      <c r="AX68" s="31" t="str">
        <f t="shared" si="156"/>
        <v>AnalysisThruStep,8,</v>
      </c>
      <c r="AY68" s="31" t="str">
        <f t="shared" si="157"/>
        <v>DontAbortOnErrorsThruStep,8,</v>
      </c>
      <c r="AZ68" s="31" t="str">
        <f t="shared" si="158"/>
        <v>BypassValidFileChecks,1,</v>
      </c>
      <c r="BA68" s="31" t="str">
        <f t="shared" si="159"/>
        <v>BypassInputChecks,0,</v>
      </c>
      <c r="BB68" s="31" t="str">
        <f t="shared" si="160"/>
        <v>BypassUMLHChecks,0,</v>
      </c>
      <c r="BC68" s="31" t="str">
        <f t="shared" si="161"/>
        <v>BypassCheckSimRules,0,</v>
      </c>
      <c r="BD68" s="31" t="str">
        <f t="shared" si="162"/>
        <v>BypassCheckCodeRules,0,</v>
      </c>
      <c r="BE68" s="31" t="str">
        <f t="shared" si="163"/>
        <v>StoreResultsToModelInput,0,</v>
      </c>
      <c r="BF68" s="31" t="str">
        <f t="shared" si="164"/>
        <v>StoreBEMDetails,0,</v>
      </c>
      <c r="BG68" s="31" t="str">
        <f t="shared" si="165"/>
        <v>ModelRpt_ALL,0,</v>
      </c>
      <c r="BH68" s="31" t="str">
        <f t="shared" si="166"/>
        <v>ExportHourlyResults_All,0,</v>
      </c>
      <c r="BI68" s="31" t="str">
        <f t="shared" si="167"/>
        <v>ComplianceReportPDF,0,</v>
      </c>
      <c r="BJ68" s="31" t="str">
        <f t="shared" si="168"/>
        <v>ComplianceReportXML,0,</v>
      </c>
      <c r="BK68" s="31" t="str">
        <f t="shared" si="169"/>
        <v>QuickAnalysis,0,</v>
      </c>
      <c r="BL68" s="31" t="str">
        <f t="shared" si="169"/>
        <v>PromptUserUMLHWarning,0,</v>
      </c>
      <c r="BM68" s="31" t="str">
        <f t="shared" si="170"/>
        <v>BypassOpenStudio_all,0,</v>
      </c>
      <c r="BN68" s="31" t="str">
        <f t="shared" si="171"/>
        <v>BypassOpenStudio_zp,0,</v>
      </c>
      <c r="BO68" s="31" t="str">
        <f t="shared" si="172"/>
        <v>BypassOpenStudio_zb,0,</v>
      </c>
      <c r="BP68" s="31" t="str">
        <f t="shared" si="173"/>
        <v>BypassOpenStudio_ap,0,</v>
      </c>
      <c r="BQ68" s="31" t="str">
        <f t="shared" si="174"/>
        <v>BypassOpenStudio_ab,0,</v>
      </c>
      <c r="BR68" s="31" t="str">
        <f t="shared" si="175"/>
        <v>BypassOpenStudio_zp,0,</v>
      </c>
      <c r="BS68" s="31" t="str">
        <f t="shared" si="176"/>
        <v>BypassOpenStudio_zb,0,</v>
      </c>
      <c r="BT68" s="31" t="str">
        <f t="shared" si="177"/>
        <v>BypassOpenStudio_ap,0,</v>
      </c>
      <c r="BU68" s="31" t="str">
        <f t="shared" si="178"/>
        <v>BypassOpenStudio_ab,0,</v>
      </c>
    </row>
    <row r="69" spans="1:75" customFormat="1" x14ac:dyDescent="0.25">
      <c r="A69" t="s">
        <v>1</v>
      </c>
      <c r="J69" s="90"/>
      <c r="K69" s="15"/>
      <c r="L69" s="5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row>
    <row r="70" spans="1:75" x14ac:dyDescent="0.25">
      <c r="A70" s="1" t="s">
        <v>1</v>
      </c>
      <c r="B70"/>
      <c r="C70"/>
      <c r="D70" s="30"/>
      <c r="E70" s="16"/>
      <c r="F70" s="16"/>
      <c r="G70" s="16"/>
      <c r="H70" s="16"/>
      <c r="K70" s="15"/>
      <c r="L70" s="36" t="s">
        <v>185</v>
      </c>
      <c r="M70" t="s">
        <v>184</v>
      </c>
    </row>
    <row r="71" spans="1:75" x14ac:dyDescent="0.25">
      <c r="A71" s="1" t="s">
        <v>1</v>
      </c>
      <c r="B71"/>
      <c r="C71"/>
      <c r="D71" s="30"/>
      <c r="K71" s="15"/>
      <c r="L71" s="37" t="s">
        <v>45</v>
      </c>
      <c r="M71" s="53">
        <f>$M$7</f>
        <v>160331</v>
      </c>
    </row>
    <row r="72" spans="1:75" x14ac:dyDescent="0.25">
      <c r="A72" s="1" t="s">
        <v>1</v>
      </c>
      <c r="B72"/>
      <c r="C72"/>
      <c r="D72" s="30"/>
      <c r="K72" s="15"/>
      <c r="L72" s="14" t="s">
        <v>46</v>
      </c>
      <c r="M72" s="53" t="str">
        <f>$M$8</f>
        <v>r3964</v>
      </c>
      <c r="N72" s="52"/>
    </row>
    <row r="73" spans="1:75" x14ac:dyDescent="0.25">
      <c r="A73" s="1" t="s">
        <v>1</v>
      </c>
      <c r="B73"/>
      <c r="C73"/>
      <c r="D73" s="30"/>
      <c r="E73" s="30"/>
      <c r="F73" s="30"/>
      <c r="G73" s="30"/>
      <c r="H73" s="30"/>
      <c r="I73" s="26"/>
      <c r="K73" s="15"/>
      <c r="L73" s="35" t="s">
        <v>39</v>
      </c>
      <c r="M73" s="53" t="str">
        <f>$M$10</f>
        <v>BatchResults_160331_r3964.csv</v>
      </c>
      <c r="N73" s="1" t="s">
        <v>48</v>
      </c>
    </row>
    <row r="74" spans="1:75" x14ac:dyDescent="0.25">
      <c r="A74" s="1" t="s">
        <v>1</v>
      </c>
      <c r="K74" s="15"/>
      <c r="L74" s="14" t="s">
        <v>16</v>
      </c>
      <c r="M74" s="28" t="s">
        <v>53</v>
      </c>
      <c r="N74" s="1" t="s">
        <v>47</v>
      </c>
      <c r="AJ74" s="104"/>
      <c r="AK74" s="104"/>
      <c r="AL74" s="104"/>
      <c r="AM74" s="104"/>
      <c r="AN74" s="104"/>
      <c r="AO74" s="104"/>
      <c r="AP74" s="104"/>
      <c r="AQ74" s="104"/>
      <c r="AR74" s="104"/>
    </row>
    <row r="75" spans="1:75" x14ac:dyDescent="0.25">
      <c r="A75" s="1" t="s">
        <v>1</v>
      </c>
      <c r="K75" s="15"/>
      <c r="L75" s="14" t="s">
        <v>17</v>
      </c>
      <c r="M75" s="54" t="str">
        <f>"BatchOut"&amp;"_"&amp;M71&amp;"_"&amp;M72&amp;"_"&amp;L70&amp;"\"</f>
        <v>BatchOut_160331_r3964_RIc\</v>
      </c>
      <c r="N75" s="1" t="s">
        <v>47</v>
      </c>
    </row>
    <row r="76" spans="1:75" x14ac:dyDescent="0.25">
      <c r="A76" s="1" t="s">
        <v>1</v>
      </c>
      <c r="K76" s="15"/>
      <c r="L76" s="14" t="s">
        <v>42</v>
      </c>
      <c r="M76" s="54" t="str">
        <f>M75&amp;"XML\"</f>
        <v>BatchOut_160331_r3964_RIc\XML\</v>
      </c>
      <c r="N76" s="1" t="s">
        <v>47</v>
      </c>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1"/>
      <c r="AQ76" s="31"/>
      <c r="AR76" s="31"/>
    </row>
    <row r="77" spans="1:75" s="46" customFormat="1" x14ac:dyDescent="0.25">
      <c r="A77" s="12" t="s">
        <v>1</v>
      </c>
      <c r="B77" s="8"/>
      <c r="C77" s="8"/>
      <c r="D77" s="8"/>
      <c r="E77" s="8"/>
      <c r="F77" s="19"/>
      <c r="G77" s="21"/>
      <c r="H77" s="20"/>
      <c r="I77" s="8"/>
      <c r="J77" s="93"/>
      <c r="K77" s="15"/>
      <c r="L77" s="42"/>
      <c r="M77" s="43"/>
      <c r="N77" s="40"/>
      <c r="O77" s="40"/>
      <c r="P77" s="56"/>
      <c r="Q77" s="56"/>
      <c r="R77" s="44"/>
      <c r="S77" s="44"/>
      <c r="T77" s="44"/>
      <c r="U77" s="44"/>
      <c r="V77" s="45"/>
      <c r="W77" s="44"/>
      <c r="X77" s="44"/>
      <c r="Y77" s="44"/>
      <c r="Z77" s="44"/>
      <c r="AA77" s="44"/>
      <c r="AB77" s="44"/>
      <c r="AC77" s="44"/>
      <c r="AD77" s="45"/>
      <c r="AE77" s="45"/>
      <c r="AF77" s="45"/>
      <c r="AG77" s="45"/>
      <c r="AH77" s="45"/>
      <c r="AI77" s="45"/>
      <c r="AJ77" s="43"/>
      <c r="AK77" s="43"/>
      <c r="AL77" s="43"/>
      <c r="AM77" s="43"/>
      <c r="AN77" s="43"/>
      <c r="AO77" s="43"/>
      <c r="AP77" s="43"/>
      <c r="AQ77" s="43"/>
      <c r="AR77" s="43"/>
      <c r="AS77" s="62"/>
      <c r="AT77" s="62"/>
      <c r="AU77" s="62"/>
      <c r="AV77" s="62"/>
      <c r="AW77" s="62"/>
      <c r="AX77" s="62"/>
      <c r="AY77" s="62"/>
      <c r="AZ77" s="62"/>
      <c r="BA77" s="62"/>
      <c r="BB77" s="62"/>
      <c r="BC77" s="62"/>
      <c r="BD77" s="62"/>
      <c r="BE77" s="62"/>
      <c r="BF77" s="62"/>
      <c r="BG77" s="62"/>
      <c r="BH77" s="62"/>
      <c r="BI77" s="62"/>
      <c r="BJ77" s="62"/>
      <c r="BK77" s="62"/>
      <c r="BL77" s="62"/>
      <c r="BM77" s="62"/>
      <c r="BN77" s="62"/>
      <c r="BO77" s="62"/>
      <c r="BP77" s="62"/>
      <c r="BQ77" s="62"/>
      <c r="BR77" s="62"/>
      <c r="BS77" s="62"/>
      <c r="BT77" s="62"/>
      <c r="BU77" s="62"/>
      <c r="BV77" s="62"/>
      <c r="BW77" s="62"/>
    </row>
    <row r="78" spans="1:75" x14ac:dyDescent="0.25">
      <c r="A78" s="39">
        <f t="shared" ref="A78:A93" si="391">L78</f>
        <v>1</v>
      </c>
      <c r="B78" s="27" t="str">
        <f>M$74&amp;N78&amp;"\"&amp;N78&amp;".cibd"</f>
        <v>RulesetImplementationTests\020006-OffSml-Run01\020006-OffSml-Run01.cibd</v>
      </c>
      <c r="C78" s="27" t="str">
        <f xml:space="preserve"> M$75 &amp; O78 &amp; ".cibd"</f>
        <v>BatchOut_160331_r3964_RIc\020006-OffSml-Run01.cibd</v>
      </c>
      <c r="D78" s="27" t="str">
        <f>$M$76</f>
        <v>BatchOut_160331_r3964_RIc\XML\</v>
      </c>
      <c r="E78" s="9" t="str">
        <f>M78</f>
        <v>020006-Run01</v>
      </c>
      <c r="F78" s="22"/>
      <c r="G78" s="29"/>
      <c r="H78" s="23" t="str">
        <f>IF(F78&gt;1,1,"")</f>
        <v/>
      </c>
      <c r="I78" s="9" t="s">
        <v>11</v>
      </c>
      <c r="J78" s="94" t="str">
        <f t="shared" ref="J78:J113" si="392">CONCATENATE(AS78,AT78,AU78,AV78,AW78,AX78,AY78,AZ78,BA78,BB78,BC78,BD78,BE78,BF78,BG78,BH78,BI78,BJ78,BK78,BL78,BM78,BN78,BO78,BP78,BQ78,BR78,BS78,BT78,BU78)</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8" s="15" t="s">
        <v>1</v>
      </c>
      <c r="L78" s="36">
        <f>L41</f>
        <v>1</v>
      </c>
      <c r="M78" s="32" t="str">
        <f>LEFT(N78,SEARCH("-",N78))&amp;RIGHT(N78,5)</f>
        <v>020006-Run01</v>
      </c>
      <c r="N78" s="28" t="s">
        <v>126</v>
      </c>
      <c r="O78" s="28" t="str">
        <f t="shared" ref="O78:O90" si="393">N78</f>
        <v>020006-OffSml-Run01</v>
      </c>
      <c r="P78" s="36">
        <f>P$17</f>
        <v>1</v>
      </c>
      <c r="Q78" s="36">
        <f t="shared" ref="Q78:AR78" si="394">Q$17</f>
        <v>1</v>
      </c>
      <c r="R78" s="36">
        <f t="shared" si="394"/>
        <v>0</v>
      </c>
      <c r="S78" s="36">
        <f t="shared" si="394"/>
        <v>1</v>
      </c>
      <c r="T78" s="36">
        <f t="shared" si="394"/>
        <v>0</v>
      </c>
      <c r="U78" s="36">
        <f t="shared" si="394"/>
        <v>8</v>
      </c>
      <c r="V78" s="36">
        <f t="shared" si="394"/>
        <v>8</v>
      </c>
      <c r="W78" s="36">
        <f t="shared" si="394"/>
        <v>1</v>
      </c>
      <c r="X78" s="36">
        <f t="shared" si="394"/>
        <v>0</v>
      </c>
      <c r="Y78" s="36">
        <f t="shared" si="394"/>
        <v>0</v>
      </c>
      <c r="Z78" s="36">
        <f t="shared" si="394"/>
        <v>0</v>
      </c>
      <c r="AA78" s="36">
        <f t="shared" si="394"/>
        <v>0</v>
      </c>
      <c r="AB78" s="36">
        <f t="shared" si="394"/>
        <v>0</v>
      </c>
      <c r="AC78" s="36">
        <f t="shared" si="394"/>
        <v>0</v>
      </c>
      <c r="AD78" s="36">
        <f t="shared" si="394"/>
        <v>0</v>
      </c>
      <c r="AE78" s="36">
        <f t="shared" si="394"/>
        <v>0</v>
      </c>
      <c r="AF78" s="36">
        <f t="shared" si="394"/>
        <v>0</v>
      </c>
      <c r="AG78" s="36">
        <f t="shared" si="394"/>
        <v>0</v>
      </c>
      <c r="AH78" s="36">
        <f t="shared" si="394"/>
        <v>0</v>
      </c>
      <c r="AI78" s="36">
        <f t="shared" si="394"/>
        <v>0</v>
      </c>
      <c r="AJ78" s="36">
        <f t="shared" si="394"/>
        <v>0</v>
      </c>
      <c r="AK78" s="36">
        <f t="shared" si="394"/>
        <v>0</v>
      </c>
      <c r="AL78" s="36">
        <f t="shared" si="394"/>
        <v>0</v>
      </c>
      <c r="AM78" s="36">
        <f t="shared" si="394"/>
        <v>0</v>
      </c>
      <c r="AN78" s="36">
        <f t="shared" si="394"/>
        <v>0</v>
      </c>
      <c r="AO78" s="36">
        <f t="shared" si="394"/>
        <v>0</v>
      </c>
      <c r="AP78" s="36">
        <f t="shared" si="394"/>
        <v>0</v>
      </c>
      <c r="AQ78" s="36">
        <f t="shared" si="394"/>
        <v>0</v>
      </c>
      <c r="AR78" s="36">
        <f t="shared" si="394"/>
        <v>0</v>
      </c>
      <c r="AS78" s="31" t="str">
        <f t="shared" ref="AS78:AS106" si="395">P$13&amp;P78&amp;","</f>
        <v>SimulationStorage,1,</v>
      </c>
      <c r="AT78" s="31" t="str">
        <f t="shared" ref="AT78:AT106" si="396">Q$13&amp;Q78&amp;","</f>
        <v>AnalysisStorage,1,</v>
      </c>
      <c r="AU78" s="31" t="str">
        <f t="shared" ref="AU78:AU106" si="397">R$13&amp;R78&amp;","</f>
        <v>LogRuleEvaluation,0,</v>
      </c>
      <c r="AV78" s="31" t="str">
        <f t="shared" ref="AV78:AV106" si="398">S$13&amp;S78&amp;","</f>
        <v>ParallelSimulations,1,</v>
      </c>
      <c r="AW78" s="31" t="str">
        <f t="shared" ref="AW78:AW106" si="399">T$13&amp;T78&amp;","</f>
        <v>DurationStats,0,</v>
      </c>
      <c r="AX78" s="31" t="str">
        <f t="shared" ref="AX78:AX106" si="400">U$13&amp;U78&amp;","</f>
        <v>AnalysisThruStep,8,</v>
      </c>
      <c r="AY78" s="31" t="str">
        <f t="shared" ref="AY78:AY106" si="401">V$13&amp;V78&amp;","</f>
        <v>DontAbortOnErrorsThruStep,8,</v>
      </c>
      <c r="AZ78" s="31" t="str">
        <f t="shared" ref="AZ78:AZ106" si="402">W$13&amp;W78&amp;","</f>
        <v>BypassValidFileChecks,1,</v>
      </c>
      <c r="BA78" s="31" t="str">
        <f t="shared" ref="BA78:BA106" si="403">X$13&amp;X78&amp;","</f>
        <v>BypassInputChecks,0,</v>
      </c>
      <c r="BB78" s="31" t="str">
        <f t="shared" ref="BB78:BB106" si="404">Y$13&amp;Y78&amp;","</f>
        <v>BypassUMLHChecks,0,</v>
      </c>
      <c r="BC78" s="31" t="str">
        <f t="shared" ref="BC78:BC106" si="405">Z$13&amp;Z78&amp;","</f>
        <v>BypassCheckSimRules,0,</v>
      </c>
      <c r="BD78" s="31" t="str">
        <f t="shared" ref="BD78:BD106" si="406">AA$13&amp;AA78&amp;","</f>
        <v>BypassCheckCodeRules,0,</v>
      </c>
      <c r="BE78" s="31" t="str">
        <f t="shared" ref="BE78:BE113" si="407">AB$13&amp;AB78&amp;","</f>
        <v>StoreResultsToModelInput,0,</v>
      </c>
      <c r="BF78" s="31" t="str">
        <f t="shared" ref="BF78:BF113" si="408">AC$13&amp;AC78&amp;","</f>
        <v>StoreBEMDetails,0,</v>
      </c>
      <c r="BG78" s="31" t="str">
        <f t="shared" ref="BG78:BG113" si="409">AD$13&amp;AD78&amp;","</f>
        <v>ModelRpt_ALL,0,</v>
      </c>
      <c r="BH78" s="31" t="str">
        <f t="shared" ref="BH78:BH113" si="410">AE$13&amp;AE78&amp;","</f>
        <v>ExportHourlyResults_All,0,</v>
      </c>
      <c r="BI78" s="31" t="str">
        <f t="shared" ref="BI78:BI113" si="411">AF$13&amp;AF78&amp;","</f>
        <v>ComplianceReportPDF,0,</v>
      </c>
      <c r="BJ78" s="31" t="str">
        <f t="shared" ref="BJ78:BJ113" si="412">AG$13&amp;AG78&amp;","</f>
        <v>ComplianceReportXML,0,</v>
      </c>
      <c r="BK78" s="31" t="str">
        <f t="shared" ref="BK78:BL113" si="413">AH$13&amp;AH78&amp;","</f>
        <v>QuickAnalysis,0,</v>
      </c>
      <c r="BL78" s="31" t="str">
        <f t="shared" si="413"/>
        <v>PromptUserUMLHWarning,0,</v>
      </c>
      <c r="BM78" s="31" t="str">
        <f t="shared" ref="BM78:BM113" si="414">AJ$13&amp;AJ78&amp;","</f>
        <v>BypassOpenStudio_all,0,</v>
      </c>
      <c r="BN78" s="31" t="str">
        <f t="shared" ref="BN78:BN113" si="415">AK$13&amp;AK78&amp;","</f>
        <v>BypassOpenStudio_zp,0,</v>
      </c>
      <c r="BO78" s="31" t="str">
        <f t="shared" ref="BO78:BO113" si="416">AL$13&amp;AL78&amp;","</f>
        <v>BypassOpenStudio_zb,0,</v>
      </c>
      <c r="BP78" s="31" t="str">
        <f t="shared" ref="BP78:BP113" si="417">AM$13&amp;AM78&amp;","</f>
        <v>BypassOpenStudio_ap,0,</v>
      </c>
      <c r="BQ78" s="31" t="str">
        <f t="shared" ref="BQ78:BQ113" si="418">AN$13&amp;AN78&amp;","</f>
        <v>BypassOpenStudio_ab,0,</v>
      </c>
      <c r="BR78" s="31" t="str">
        <f t="shared" ref="BR78:BR113" si="419">AO$13&amp;AO78&amp;","</f>
        <v>BypassOpenStudio_zp,0,</v>
      </c>
      <c r="BS78" s="31" t="str">
        <f t="shared" ref="BS78:BS113" si="420">AP$13&amp;AP78&amp;","</f>
        <v>BypassOpenStudio_zb,0,</v>
      </c>
      <c r="BT78" s="31" t="str">
        <f t="shared" ref="BT78:BT113" si="421">AQ$13&amp;AQ78&amp;","</f>
        <v>BypassOpenStudio_ap,0,</v>
      </c>
      <c r="BU78" s="31" t="str">
        <f t="shared" ref="BU78:BU113" si="422">AR$13&amp;AR78&amp;","</f>
        <v>BypassOpenStudio_ab,0,</v>
      </c>
    </row>
    <row r="79" spans="1:75" x14ac:dyDescent="0.25">
      <c r="A79" s="39">
        <f t="shared" si="391"/>
        <v>1</v>
      </c>
      <c r="B79" s="27" t="str">
        <f t="shared" ref="B79:B93" si="423">M$74&amp;N79&amp;"\"&amp;N79&amp;".cibd"</f>
        <v>RulesetImplementationTests\020006-OffSml-Run14\020006-OffSml-Run14.cibd</v>
      </c>
      <c r="C79" s="27" t="str">
        <f t="shared" ref="C79:C93" si="424" xml:space="preserve"> M$75 &amp; O79 &amp; ".cibd"</f>
        <v>BatchOut_160331_r3964_RIc\020006-OffSml-Run14.cibd</v>
      </c>
      <c r="D79" s="27" t="str">
        <f t="shared" ref="D79:D113" si="425">$M$76</f>
        <v>BatchOut_160331_r3964_RIc\XML\</v>
      </c>
      <c r="E79" s="9" t="str">
        <f t="shared" ref="E79:E93" si="426">M79</f>
        <v>020006-Run14</v>
      </c>
      <c r="F79" s="22"/>
      <c r="G79" s="29"/>
      <c r="H79" s="23" t="str">
        <f>IF(F79&gt;1,1,"")</f>
        <v/>
      </c>
      <c r="I79" s="9" t="s">
        <v>11</v>
      </c>
      <c r="J79"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9" s="15" t="s">
        <v>1</v>
      </c>
      <c r="L79" s="36">
        <f>L78</f>
        <v>1</v>
      </c>
      <c r="M79" s="32" t="str">
        <f>LEFT(N79,SEARCH("-",N79))&amp;RIGHT(N79,5)</f>
        <v>020006-Run14</v>
      </c>
      <c r="N79" s="28" t="s">
        <v>137</v>
      </c>
      <c r="O79" s="57" t="str">
        <f t="shared" si="393"/>
        <v>020006-OffSml-Run14</v>
      </c>
      <c r="P79" s="63">
        <f>P78</f>
        <v>1</v>
      </c>
      <c r="Q79" s="65">
        <f t="shared" ref="Q79" si="427">Q78</f>
        <v>1</v>
      </c>
      <c r="R79" s="65">
        <f t="shared" ref="R79" si="428">R78</f>
        <v>0</v>
      </c>
      <c r="S79" s="65">
        <f t="shared" ref="S79" si="429">S78</f>
        <v>1</v>
      </c>
      <c r="T79" s="65">
        <f t="shared" ref="T79" si="430">T78</f>
        <v>0</v>
      </c>
      <c r="U79" s="65">
        <f>U78</f>
        <v>8</v>
      </c>
      <c r="V79" s="65">
        <f>V78</f>
        <v>8</v>
      </c>
      <c r="W79" s="65">
        <f>W78</f>
        <v>1</v>
      </c>
      <c r="X79" s="65">
        <f t="shared" ref="X79:Y79" si="431">X78</f>
        <v>0</v>
      </c>
      <c r="Y79" s="65">
        <f t="shared" si="431"/>
        <v>0</v>
      </c>
      <c r="Z79" s="65">
        <f>Z78</f>
        <v>0</v>
      </c>
      <c r="AA79" s="65">
        <f>AA78</f>
        <v>0</v>
      </c>
      <c r="AB79" s="65">
        <f>AB78</f>
        <v>0</v>
      </c>
      <c r="AC79" s="65">
        <f t="shared" ref="AC79:AD109" si="432">AC78</f>
        <v>0</v>
      </c>
      <c r="AD79" s="61">
        <f t="shared" ref="AD79:AK79" si="433">AD78</f>
        <v>0</v>
      </c>
      <c r="AE79" s="61">
        <f t="shared" si="433"/>
        <v>0</v>
      </c>
      <c r="AF79" s="61">
        <f t="shared" si="433"/>
        <v>0</v>
      </c>
      <c r="AG79" s="61">
        <f t="shared" si="433"/>
        <v>0</v>
      </c>
      <c r="AH79" s="61">
        <f t="shared" si="433"/>
        <v>0</v>
      </c>
      <c r="AI79" s="61">
        <f t="shared" ref="AI79" si="434">AI78</f>
        <v>0</v>
      </c>
      <c r="AJ79" s="63">
        <f t="shared" si="433"/>
        <v>0</v>
      </c>
      <c r="AK79" s="64">
        <f t="shared" si="433"/>
        <v>0</v>
      </c>
      <c r="AL79" s="64">
        <f t="shared" ref="AL79" si="435">AL78</f>
        <v>0</v>
      </c>
      <c r="AM79" s="64">
        <f t="shared" ref="AM79:AN79" si="436">AM78</f>
        <v>0</v>
      </c>
      <c r="AN79" s="66">
        <f t="shared" si="436"/>
        <v>0</v>
      </c>
      <c r="AO79" s="63">
        <f>AO78</f>
        <v>0</v>
      </c>
      <c r="AP79" s="64">
        <f>AP78</f>
        <v>0</v>
      </c>
      <c r="AQ79" s="65">
        <f t="shared" ref="AQ79:AR79" si="437">AQ78</f>
        <v>0</v>
      </c>
      <c r="AR79" s="66">
        <f t="shared" si="437"/>
        <v>0</v>
      </c>
      <c r="AS79" s="31" t="str">
        <f t="shared" si="395"/>
        <v>SimulationStorage,1,</v>
      </c>
      <c r="AT79" s="31" t="str">
        <f t="shared" si="396"/>
        <v>AnalysisStorage,1,</v>
      </c>
      <c r="AU79" s="31" t="str">
        <f t="shared" si="397"/>
        <v>LogRuleEvaluation,0,</v>
      </c>
      <c r="AV79" s="31" t="str">
        <f t="shared" si="398"/>
        <v>ParallelSimulations,1,</v>
      </c>
      <c r="AW79" s="31" t="str">
        <f t="shared" si="399"/>
        <v>DurationStats,0,</v>
      </c>
      <c r="AX79" s="31" t="str">
        <f t="shared" si="400"/>
        <v>AnalysisThruStep,8,</v>
      </c>
      <c r="AY79" s="31" t="str">
        <f t="shared" si="401"/>
        <v>DontAbortOnErrorsThruStep,8,</v>
      </c>
      <c r="AZ79" s="31" t="str">
        <f t="shared" si="402"/>
        <v>BypassValidFileChecks,1,</v>
      </c>
      <c r="BA79" s="31" t="str">
        <f t="shared" si="403"/>
        <v>BypassInputChecks,0,</v>
      </c>
      <c r="BB79" s="31" t="str">
        <f t="shared" si="404"/>
        <v>BypassUMLHChecks,0,</v>
      </c>
      <c r="BC79" s="31" t="str">
        <f t="shared" si="405"/>
        <v>BypassCheckSimRules,0,</v>
      </c>
      <c r="BD79" s="31" t="str">
        <f t="shared" si="406"/>
        <v>BypassCheckCodeRules,0,</v>
      </c>
      <c r="BE79" s="31" t="str">
        <f t="shared" si="407"/>
        <v>StoreResultsToModelInput,0,</v>
      </c>
      <c r="BF79" s="31" t="str">
        <f t="shared" si="408"/>
        <v>StoreBEMDetails,0,</v>
      </c>
      <c r="BG79" s="31" t="str">
        <f t="shared" si="409"/>
        <v>ModelRpt_ALL,0,</v>
      </c>
      <c r="BH79" s="31" t="str">
        <f t="shared" si="410"/>
        <v>ExportHourlyResults_All,0,</v>
      </c>
      <c r="BI79" s="31" t="str">
        <f t="shared" si="411"/>
        <v>ComplianceReportPDF,0,</v>
      </c>
      <c r="BJ79" s="31" t="str">
        <f t="shared" si="412"/>
        <v>ComplianceReportXML,0,</v>
      </c>
      <c r="BK79" s="31" t="str">
        <f t="shared" si="413"/>
        <v>QuickAnalysis,0,</v>
      </c>
      <c r="BL79" s="31" t="str">
        <f t="shared" si="413"/>
        <v>PromptUserUMLHWarning,0,</v>
      </c>
      <c r="BM79" s="31" t="str">
        <f t="shared" si="414"/>
        <v>BypassOpenStudio_all,0,</v>
      </c>
      <c r="BN79" s="31" t="str">
        <f t="shared" si="415"/>
        <v>BypassOpenStudio_zp,0,</v>
      </c>
      <c r="BO79" s="31" t="str">
        <f t="shared" si="416"/>
        <v>BypassOpenStudio_zb,0,</v>
      </c>
      <c r="BP79" s="31" t="str">
        <f t="shared" si="417"/>
        <v>BypassOpenStudio_ap,0,</v>
      </c>
      <c r="BQ79" s="31" t="str">
        <f t="shared" si="418"/>
        <v>BypassOpenStudio_ab,0,</v>
      </c>
      <c r="BR79" s="31" t="str">
        <f t="shared" si="419"/>
        <v>BypassOpenStudio_zp,0,</v>
      </c>
      <c r="BS79" s="31" t="str">
        <f t="shared" si="420"/>
        <v>BypassOpenStudio_zb,0,</v>
      </c>
      <c r="BT79" s="31" t="str">
        <f t="shared" si="421"/>
        <v>BypassOpenStudio_ap,0,</v>
      </c>
      <c r="BU79" s="31" t="str">
        <f t="shared" si="422"/>
        <v>BypassOpenStudio_ab,0,</v>
      </c>
    </row>
    <row r="80" spans="1:75" x14ac:dyDescent="0.25">
      <c r="A80" s="39">
        <f t="shared" si="391"/>
        <v>1</v>
      </c>
      <c r="B80" s="27" t="str">
        <f t="shared" si="423"/>
        <v>RulesetImplementationTests\020006-OffSml-Run18\020006-OffSml-Run18.cibd</v>
      </c>
      <c r="C80" s="27" t="str">
        <f t="shared" si="424"/>
        <v>BatchOut_160331_r3964_RIc\020006-OffSml-Run18.cibd</v>
      </c>
      <c r="D80" s="27" t="str">
        <f t="shared" si="425"/>
        <v>BatchOut_160331_r3964_RIc\XML\</v>
      </c>
      <c r="E80" s="9" t="str">
        <f t="shared" si="426"/>
        <v>020006-Run18</v>
      </c>
      <c r="F80" s="22"/>
      <c r="G80" s="29"/>
      <c r="H80" s="23" t="str">
        <f>IF(F80&gt;1,1,"")</f>
        <v/>
      </c>
      <c r="I80" s="9" t="s">
        <v>11</v>
      </c>
      <c r="J80"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0" s="15" t="s">
        <v>1</v>
      </c>
      <c r="L80" s="36">
        <f t="shared" ref="L80:L112" si="438">L79</f>
        <v>1</v>
      </c>
      <c r="M80" s="32" t="str">
        <f>LEFT(N80,SEARCH("-",N80))&amp;RIGHT(N80,5)</f>
        <v>020006-Run18</v>
      </c>
      <c r="N80" s="28" t="s">
        <v>140</v>
      </c>
      <c r="O80" s="57" t="str">
        <f t="shared" si="393"/>
        <v>020006-OffSml-Run18</v>
      </c>
      <c r="P80" s="63">
        <f t="shared" ref="P80:P112" si="439">P79</f>
        <v>1</v>
      </c>
      <c r="Q80" s="65">
        <f t="shared" ref="Q80:Q112" si="440">Q79</f>
        <v>1</v>
      </c>
      <c r="R80" s="65">
        <f t="shared" ref="R80:AG112" si="441">R79</f>
        <v>0</v>
      </c>
      <c r="S80" s="65">
        <f t="shared" ref="S80:AH111" si="442">S79</f>
        <v>1</v>
      </c>
      <c r="T80" s="65">
        <f t="shared" ref="T80:AH110" si="443">T79</f>
        <v>0</v>
      </c>
      <c r="U80" s="65">
        <f t="shared" ref="U80:V109" si="444">U79</f>
        <v>8</v>
      </c>
      <c r="V80" s="65">
        <f t="shared" si="444"/>
        <v>8</v>
      </c>
      <c r="W80" s="65">
        <f t="shared" ref="W80:Y106" si="445">W79</f>
        <v>1</v>
      </c>
      <c r="X80" s="65">
        <f t="shared" si="445"/>
        <v>0</v>
      </c>
      <c r="Y80" s="65">
        <f t="shared" si="445"/>
        <v>0</v>
      </c>
      <c r="Z80" s="65">
        <f t="shared" ref="Z80:AB107" si="446">Z79</f>
        <v>0</v>
      </c>
      <c r="AA80" s="65">
        <f t="shared" ref="AA80:AB106" si="447">AA79</f>
        <v>0</v>
      </c>
      <c r="AB80" s="65">
        <f t="shared" si="447"/>
        <v>0</v>
      </c>
      <c r="AC80" s="65">
        <f t="shared" si="432"/>
        <v>0</v>
      </c>
      <c r="AD80" s="61">
        <f t="shared" si="432"/>
        <v>0</v>
      </c>
      <c r="AE80" s="61">
        <f t="shared" ref="AE80:AF80" si="448">AE79</f>
        <v>0</v>
      </c>
      <c r="AF80" s="61">
        <f t="shared" si="448"/>
        <v>0</v>
      </c>
      <c r="AG80" s="61">
        <f t="shared" ref="AG80:AH80" si="449">AG79</f>
        <v>0</v>
      </c>
      <c r="AH80" s="61">
        <f t="shared" si="449"/>
        <v>0</v>
      </c>
      <c r="AI80" s="61">
        <f t="shared" ref="AI80" si="450">AI79</f>
        <v>0</v>
      </c>
      <c r="AJ80" s="63">
        <f t="shared" ref="AJ80:AR112" si="451">AJ79</f>
        <v>0</v>
      </c>
      <c r="AK80" s="64">
        <f t="shared" ref="AK80:AR111" si="452">AK79</f>
        <v>0</v>
      </c>
      <c r="AL80" s="64">
        <f t="shared" ref="AL80:AR110" si="453">AL79</f>
        <v>0</v>
      </c>
      <c r="AM80" s="64">
        <f t="shared" ref="AM80:AR109" si="454">AM79</f>
        <v>0</v>
      </c>
      <c r="AN80" s="66">
        <f t="shared" ref="AN80:AR108" si="455">AN79</f>
        <v>0</v>
      </c>
      <c r="AO80" s="63">
        <f t="shared" ref="AO80:AR107" si="456">AO79</f>
        <v>0</v>
      </c>
      <c r="AP80" s="64">
        <f t="shared" ref="AP80:AR106" si="457">AP79</f>
        <v>0</v>
      </c>
      <c r="AQ80" s="65">
        <f t="shared" si="457"/>
        <v>0</v>
      </c>
      <c r="AR80" s="66">
        <f t="shared" si="457"/>
        <v>0</v>
      </c>
      <c r="AS80" s="31" t="str">
        <f t="shared" si="395"/>
        <v>SimulationStorage,1,</v>
      </c>
      <c r="AT80" s="31" t="str">
        <f t="shared" si="396"/>
        <v>AnalysisStorage,1,</v>
      </c>
      <c r="AU80" s="31" t="str">
        <f t="shared" si="397"/>
        <v>LogRuleEvaluation,0,</v>
      </c>
      <c r="AV80" s="31" t="str">
        <f t="shared" si="398"/>
        <v>ParallelSimulations,1,</v>
      </c>
      <c r="AW80" s="31" t="str">
        <f t="shared" si="399"/>
        <v>DurationStats,0,</v>
      </c>
      <c r="AX80" s="31" t="str">
        <f t="shared" si="400"/>
        <v>AnalysisThruStep,8,</v>
      </c>
      <c r="AY80" s="31" t="str">
        <f t="shared" si="401"/>
        <v>DontAbortOnErrorsThruStep,8,</v>
      </c>
      <c r="AZ80" s="31" t="str">
        <f t="shared" si="402"/>
        <v>BypassValidFileChecks,1,</v>
      </c>
      <c r="BA80" s="31" t="str">
        <f t="shared" si="403"/>
        <v>BypassInputChecks,0,</v>
      </c>
      <c r="BB80" s="31" t="str">
        <f t="shared" si="404"/>
        <v>BypassUMLHChecks,0,</v>
      </c>
      <c r="BC80" s="31" t="str">
        <f t="shared" si="405"/>
        <v>BypassCheckSimRules,0,</v>
      </c>
      <c r="BD80" s="31" t="str">
        <f t="shared" si="406"/>
        <v>BypassCheckCodeRules,0,</v>
      </c>
      <c r="BE80" s="31" t="str">
        <f t="shared" si="407"/>
        <v>StoreResultsToModelInput,0,</v>
      </c>
      <c r="BF80" s="31" t="str">
        <f t="shared" si="408"/>
        <v>StoreBEMDetails,0,</v>
      </c>
      <c r="BG80" s="31" t="str">
        <f t="shared" si="409"/>
        <v>ModelRpt_ALL,0,</v>
      </c>
      <c r="BH80" s="31" t="str">
        <f t="shared" si="410"/>
        <v>ExportHourlyResults_All,0,</v>
      </c>
      <c r="BI80" s="31" t="str">
        <f t="shared" si="411"/>
        <v>ComplianceReportPDF,0,</v>
      </c>
      <c r="BJ80" s="31" t="str">
        <f t="shared" si="412"/>
        <v>ComplianceReportXML,0,</v>
      </c>
      <c r="BK80" s="31" t="str">
        <f t="shared" si="413"/>
        <v>QuickAnalysis,0,</v>
      </c>
      <c r="BL80" s="31" t="str">
        <f t="shared" si="413"/>
        <v>PromptUserUMLHWarning,0,</v>
      </c>
      <c r="BM80" s="31" t="str">
        <f t="shared" si="414"/>
        <v>BypassOpenStudio_all,0,</v>
      </c>
      <c r="BN80" s="31" t="str">
        <f t="shared" si="415"/>
        <v>BypassOpenStudio_zp,0,</v>
      </c>
      <c r="BO80" s="31" t="str">
        <f t="shared" si="416"/>
        <v>BypassOpenStudio_zb,0,</v>
      </c>
      <c r="BP80" s="31" t="str">
        <f t="shared" si="417"/>
        <v>BypassOpenStudio_ap,0,</v>
      </c>
      <c r="BQ80" s="31" t="str">
        <f t="shared" si="418"/>
        <v>BypassOpenStudio_ab,0,</v>
      </c>
      <c r="BR80" s="31" t="str">
        <f t="shared" si="419"/>
        <v>BypassOpenStudio_zp,0,</v>
      </c>
      <c r="BS80" s="31" t="str">
        <f t="shared" si="420"/>
        <v>BypassOpenStudio_zb,0,</v>
      </c>
      <c r="BT80" s="31" t="str">
        <f t="shared" si="421"/>
        <v>BypassOpenStudio_ap,0,</v>
      </c>
      <c r="BU80" s="31" t="str">
        <f t="shared" si="422"/>
        <v>BypassOpenStudio_ab,0,</v>
      </c>
    </row>
    <row r="81" spans="1:73" x14ac:dyDescent="0.25">
      <c r="A81" s="39">
        <f t="shared" si="391"/>
        <v>1</v>
      </c>
      <c r="B81" s="27" t="str">
        <f t="shared" si="423"/>
        <v>RulesetImplementationTests\020006-OffSml-Run24\020006-OffSml-Run24.cibd</v>
      </c>
      <c r="C81" s="27" t="str">
        <f t="shared" si="424"/>
        <v>BatchOut_160331_r3964_RIc\020006-OffSml-Run24.cibd</v>
      </c>
      <c r="D81" s="27" t="str">
        <f t="shared" si="425"/>
        <v>BatchOut_160331_r3964_RIc\XML\</v>
      </c>
      <c r="E81" s="9" t="str">
        <f t="shared" si="426"/>
        <v>020006-Run24</v>
      </c>
      <c r="F81" s="22"/>
      <c r="G81" s="29"/>
      <c r="H81" s="23"/>
      <c r="I81" s="9" t="s">
        <v>11</v>
      </c>
      <c r="J81"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1" s="15" t="s">
        <v>1</v>
      </c>
      <c r="L81" s="36">
        <f t="shared" si="438"/>
        <v>1</v>
      </c>
      <c r="M81" s="32" t="str">
        <f t="shared" ref="M81:M90" si="458">LEFT(N81,SEARCH("-",N81))&amp;RIGHT(N81,5)</f>
        <v>020006-Run24</v>
      </c>
      <c r="N81" s="28" t="s">
        <v>144</v>
      </c>
      <c r="O81" s="57" t="str">
        <f t="shared" si="393"/>
        <v>020006-OffSml-Run24</v>
      </c>
      <c r="P81" s="63">
        <f t="shared" si="439"/>
        <v>1</v>
      </c>
      <c r="Q81" s="65">
        <f t="shared" si="440"/>
        <v>1</v>
      </c>
      <c r="R81" s="65">
        <f t="shared" si="441"/>
        <v>0</v>
      </c>
      <c r="S81" s="65">
        <f t="shared" si="442"/>
        <v>1</v>
      </c>
      <c r="T81" s="65">
        <f t="shared" si="443"/>
        <v>0</v>
      </c>
      <c r="U81" s="65">
        <f t="shared" si="444"/>
        <v>8</v>
      </c>
      <c r="V81" s="65">
        <f t="shared" si="444"/>
        <v>8</v>
      </c>
      <c r="W81" s="65">
        <f t="shared" si="445"/>
        <v>1</v>
      </c>
      <c r="X81" s="65">
        <f t="shared" si="445"/>
        <v>0</v>
      </c>
      <c r="Y81" s="65">
        <f t="shared" si="445"/>
        <v>0</v>
      </c>
      <c r="Z81" s="65">
        <f t="shared" si="446"/>
        <v>0</v>
      </c>
      <c r="AA81" s="65">
        <f t="shared" si="447"/>
        <v>0</v>
      </c>
      <c r="AB81" s="65">
        <f t="shared" si="447"/>
        <v>0</v>
      </c>
      <c r="AC81" s="65">
        <f t="shared" si="432"/>
        <v>0</v>
      </c>
      <c r="AD81" s="61">
        <f t="shared" si="432"/>
        <v>0</v>
      </c>
      <c r="AE81" s="61">
        <f t="shared" ref="AE81:AF81" si="459">AE80</f>
        <v>0</v>
      </c>
      <c r="AF81" s="61">
        <f t="shared" si="459"/>
        <v>0</v>
      </c>
      <c r="AG81" s="61">
        <f t="shared" ref="AG81:AH81" si="460">AG80</f>
        <v>0</v>
      </c>
      <c r="AH81" s="61">
        <f t="shared" si="460"/>
        <v>0</v>
      </c>
      <c r="AI81" s="61">
        <f t="shared" ref="AI81" si="461">AI80</f>
        <v>0</v>
      </c>
      <c r="AJ81" s="63">
        <f t="shared" si="451"/>
        <v>0</v>
      </c>
      <c r="AK81" s="64">
        <f t="shared" si="452"/>
        <v>0</v>
      </c>
      <c r="AL81" s="64">
        <f t="shared" si="453"/>
        <v>0</v>
      </c>
      <c r="AM81" s="64">
        <f t="shared" si="454"/>
        <v>0</v>
      </c>
      <c r="AN81" s="66">
        <f t="shared" si="455"/>
        <v>0</v>
      </c>
      <c r="AO81" s="63">
        <f t="shared" si="456"/>
        <v>0</v>
      </c>
      <c r="AP81" s="64">
        <f t="shared" si="457"/>
        <v>0</v>
      </c>
      <c r="AQ81" s="65">
        <f t="shared" si="457"/>
        <v>0</v>
      </c>
      <c r="AR81" s="66">
        <f t="shared" si="457"/>
        <v>0</v>
      </c>
      <c r="AS81" s="31" t="str">
        <f t="shared" si="395"/>
        <v>SimulationStorage,1,</v>
      </c>
      <c r="AT81" s="31" t="str">
        <f t="shared" si="396"/>
        <v>AnalysisStorage,1,</v>
      </c>
      <c r="AU81" s="31" t="str">
        <f t="shared" si="397"/>
        <v>LogRuleEvaluation,0,</v>
      </c>
      <c r="AV81" s="31" t="str">
        <f t="shared" si="398"/>
        <v>ParallelSimulations,1,</v>
      </c>
      <c r="AW81" s="31" t="str">
        <f t="shared" si="399"/>
        <v>DurationStats,0,</v>
      </c>
      <c r="AX81" s="31" t="str">
        <f t="shared" si="400"/>
        <v>AnalysisThruStep,8,</v>
      </c>
      <c r="AY81" s="31" t="str">
        <f t="shared" si="401"/>
        <v>DontAbortOnErrorsThruStep,8,</v>
      </c>
      <c r="AZ81" s="31" t="str">
        <f t="shared" si="402"/>
        <v>BypassValidFileChecks,1,</v>
      </c>
      <c r="BA81" s="31" t="str">
        <f t="shared" si="403"/>
        <v>BypassInputChecks,0,</v>
      </c>
      <c r="BB81" s="31" t="str">
        <f t="shared" si="404"/>
        <v>BypassUMLHChecks,0,</v>
      </c>
      <c r="BC81" s="31" t="str">
        <f t="shared" si="405"/>
        <v>BypassCheckSimRules,0,</v>
      </c>
      <c r="BD81" s="31" t="str">
        <f t="shared" si="406"/>
        <v>BypassCheckCodeRules,0,</v>
      </c>
      <c r="BE81" s="31" t="str">
        <f t="shared" si="407"/>
        <v>StoreResultsToModelInput,0,</v>
      </c>
      <c r="BF81" s="31" t="str">
        <f t="shared" si="408"/>
        <v>StoreBEMDetails,0,</v>
      </c>
      <c r="BG81" s="31" t="str">
        <f t="shared" si="409"/>
        <v>ModelRpt_ALL,0,</v>
      </c>
      <c r="BH81" s="31" t="str">
        <f t="shared" si="410"/>
        <v>ExportHourlyResults_All,0,</v>
      </c>
      <c r="BI81" s="31" t="str">
        <f t="shared" si="411"/>
        <v>ComplianceReportPDF,0,</v>
      </c>
      <c r="BJ81" s="31" t="str">
        <f t="shared" si="412"/>
        <v>ComplianceReportXML,0,</v>
      </c>
      <c r="BK81" s="31" t="str">
        <f t="shared" si="413"/>
        <v>QuickAnalysis,0,</v>
      </c>
      <c r="BL81" s="31" t="str">
        <f t="shared" si="413"/>
        <v>PromptUserUMLHWarning,0,</v>
      </c>
      <c r="BM81" s="31" t="str">
        <f t="shared" si="414"/>
        <v>BypassOpenStudio_all,0,</v>
      </c>
      <c r="BN81" s="31" t="str">
        <f t="shared" si="415"/>
        <v>BypassOpenStudio_zp,0,</v>
      </c>
      <c r="BO81" s="31" t="str">
        <f t="shared" si="416"/>
        <v>BypassOpenStudio_zb,0,</v>
      </c>
      <c r="BP81" s="31" t="str">
        <f t="shared" si="417"/>
        <v>BypassOpenStudio_ap,0,</v>
      </c>
      <c r="BQ81" s="31" t="str">
        <f t="shared" si="418"/>
        <v>BypassOpenStudio_ab,0,</v>
      </c>
      <c r="BR81" s="31" t="str">
        <f t="shared" si="419"/>
        <v>BypassOpenStudio_zp,0,</v>
      </c>
      <c r="BS81" s="31" t="str">
        <f t="shared" si="420"/>
        <v>BypassOpenStudio_zb,0,</v>
      </c>
      <c r="BT81" s="31" t="str">
        <f t="shared" si="421"/>
        <v>BypassOpenStudio_ap,0,</v>
      </c>
      <c r="BU81" s="31" t="str">
        <f t="shared" si="422"/>
        <v>BypassOpenStudio_ab,0,</v>
      </c>
    </row>
    <row r="82" spans="1:73" x14ac:dyDescent="0.25">
      <c r="A82" s="39">
        <f t="shared" si="391"/>
        <v>1</v>
      </c>
      <c r="B82" s="27" t="str">
        <f t="shared" si="423"/>
        <v>RulesetImplementationTests\020006-OffSml-Run25\020006-OffSml-Run25.cibd</v>
      </c>
      <c r="C82" s="27" t="str">
        <f t="shared" si="424"/>
        <v>BatchOut_160331_r3964_RIc\020006-OffSml-Run25.cibd</v>
      </c>
      <c r="D82" s="27" t="str">
        <f t="shared" si="425"/>
        <v>BatchOut_160331_r3964_RIc\XML\</v>
      </c>
      <c r="E82" s="9" t="str">
        <f t="shared" si="426"/>
        <v>020006-Run25</v>
      </c>
      <c r="F82" s="22"/>
      <c r="G82" s="29"/>
      <c r="H82" s="23"/>
      <c r="I82" s="9" t="s">
        <v>11</v>
      </c>
      <c r="J82"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2" s="15" t="s">
        <v>1</v>
      </c>
      <c r="L82" s="36">
        <f t="shared" si="438"/>
        <v>1</v>
      </c>
      <c r="M82" s="32" t="str">
        <f t="shared" si="458"/>
        <v>020006-Run25</v>
      </c>
      <c r="N82" s="28" t="s">
        <v>145</v>
      </c>
      <c r="O82" s="57" t="str">
        <f t="shared" si="393"/>
        <v>020006-OffSml-Run25</v>
      </c>
      <c r="P82" s="63">
        <f t="shared" si="439"/>
        <v>1</v>
      </c>
      <c r="Q82" s="65">
        <f t="shared" si="440"/>
        <v>1</v>
      </c>
      <c r="R82" s="65">
        <f t="shared" si="441"/>
        <v>0</v>
      </c>
      <c r="S82" s="65">
        <f t="shared" si="442"/>
        <v>1</v>
      </c>
      <c r="T82" s="65">
        <f t="shared" si="443"/>
        <v>0</v>
      </c>
      <c r="U82" s="65">
        <f t="shared" si="444"/>
        <v>8</v>
      </c>
      <c r="V82" s="65">
        <f t="shared" si="444"/>
        <v>8</v>
      </c>
      <c r="W82" s="65">
        <f t="shared" si="445"/>
        <v>1</v>
      </c>
      <c r="X82" s="65">
        <f t="shared" si="445"/>
        <v>0</v>
      </c>
      <c r="Y82" s="65">
        <f t="shared" si="445"/>
        <v>0</v>
      </c>
      <c r="Z82" s="65">
        <f t="shared" si="446"/>
        <v>0</v>
      </c>
      <c r="AA82" s="65">
        <f t="shared" si="447"/>
        <v>0</v>
      </c>
      <c r="AB82" s="65">
        <f t="shared" si="447"/>
        <v>0</v>
      </c>
      <c r="AC82" s="65">
        <f t="shared" si="432"/>
        <v>0</v>
      </c>
      <c r="AD82" s="61">
        <f t="shared" si="432"/>
        <v>0</v>
      </c>
      <c r="AE82" s="61">
        <f t="shared" ref="AE82:AF82" si="462">AE81</f>
        <v>0</v>
      </c>
      <c r="AF82" s="61">
        <f t="shared" si="462"/>
        <v>0</v>
      </c>
      <c r="AG82" s="61">
        <f t="shared" ref="AG82:AH82" si="463">AG81</f>
        <v>0</v>
      </c>
      <c r="AH82" s="61">
        <f t="shared" si="463"/>
        <v>0</v>
      </c>
      <c r="AI82" s="61">
        <f t="shared" ref="AI82" si="464">AI81</f>
        <v>0</v>
      </c>
      <c r="AJ82" s="63">
        <f t="shared" si="451"/>
        <v>0</v>
      </c>
      <c r="AK82" s="64">
        <f t="shared" si="452"/>
        <v>0</v>
      </c>
      <c r="AL82" s="64">
        <f t="shared" si="453"/>
        <v>0</v>
      </c>
      <c r="AM82" s="64">
        <f t="shared" si="454"/>
        <v>0</v>
      </c>
      <c r="AN82" s="66">
        <f t="shared" si="455"/>
        <v>0</v>
      </c>
      <c r="AO82" s="63">
        <f t="shared" si="456"/>
        <v>0</v>
      </c>
      <c r="AP82" s="64">
        <f t="shared" si="457"/>
        <v>0</v>
      </c>
      <c r="AQ82" s="65">
        <f t="shared" si="457"/>
        <v>0</v>
      </c>
      <c r="AR82" s="66">
        <f t="shared" si="457"/>
        <v>0</v>
      </c>
      <c r="AS82" s="31" t="str">
        <f t="shared" si="395"/>
        <v>SimulationStorage,1,</v>
      </c>
      <c r="AT82" s="31" t="str">
        <f t="shared" si="396"/>
        <v>AnalysisStorage,1,</v>
      </c>
      <c r="AU82" s="31" t="str">
        <f t="shared" si="397"/>
        <v>LogRuleEvaluation,0,</v>
      </c>
      <c r="AV82" s="31" t="str">
        <f t="shared" si="398"/>
        <v>ParallelSimulations,1,</v>
      </c>
      <c r="AW82" s="31" t="str">
        <f t="shared" si="399"/>
        <v>DurationStats,0,</v>
      </c>
      <c r="AX82" s="31" t="str">
        <f t="shared" si="400"/>
        <v>AnalysisThruStep,8,</v>
      </c>
      <c r="AY82" s="31" t="str">
        <f t="shared" si="401"/>
        <v>DontAbortOnErrorsThruStep,8,</v>
      </c>
      <c r="AZ82" s="31" t="str">
        <f t="shared" si="402"/>
        <v>BypassValidFileChecks,1,</v>
      </c>
      <c r="BA82" s="31" t="str">
        <f t="shared" si="403"/>
        <v>BypassInputChecks,0,</v>
      </c>
      <c r="BB82" s="31" t="str">
        <f t="shared" si="404"/>
        <v>BypassUMLHChecks,0,</v>
      </c>
      <c r="BC82" s="31" t="str">
        <f t="shared" si="405"/>
        <v>BypassCheckSimRules,0,</v>
      </c>
      <c r="BD82" s="31" t="str">
        <f t="shared" si="406"/>
        <v>BypassCheckCodeRules,0,</v>
      </c>
      <c r="BE82" s="31" t="str">
        <f t="shared" si="407"/>
        <v>StoreResultsToModelInput,0,</v>
      </c>
      <c r="BF82" s="31" t="str">
        <f t="shared" si="408"/>
        <v>StoreBEMDetails,0,</v>
      </c>
      <c r="BG82" s="31" t="str">
        <f t="shared" si="409"/>
        <v>ModelRpt_ALL,0,</v>
      </c>
      <c r="BH82" s="31" t="str">
        <f t="shared" si="410"/>
        <v>ExportHourlyResults_All,0,</v>
      </c>
      <c r="BI82" s="31" t="str">
        <f t="shared" si="411"/>
        <v>ComplianceReportPDF,0,</v>
      </c>
      <c r="BJ82" s="31" t="str">
        <f t="shared" si="412"/>
        <v>ComplianceReportXML,0,</v>
      </c>
      <c r="BK82" s="31" t="str">
        <f t="shared" si="413"/>
        <v>QuickAnalysis,0,</v>
      </c>
      <c r="BL82" s="31" t="str">
        <f t="shared" si="413"/>
        <v>PromptUserUMLHWarning,0,</v>
      </c>
      <c r="BM82" s="31" t="str">
        <f t="shared" si="414"/>
        <v>BypassOpenStudio_all,0,</v>
      </c>
      <c r="BN82" s="31" t="str">
        <f t="shared" si="415"/>
        <v>BypassOpenStudio_zp,0,</v>
      </c>
      <c r="BO82" s="31" t="str">
        <f t="shared" si="416"/>
        <v>BypassOpenStudio_zb,0,</v>
      </c>
      <c r="BP82" s="31" t="str">
        <f t="shared" si="417"/>
        <v>BypassOpenStudio_ap,0,</v>
      </c>
      <c r="BQ82" s="31" t="str">
        <f t="shared" si="418"/>
        <v>BypassOpenStudio_ab,0,</v>
      </c>
      <c r="BR82" s="31" t="str">
        <f t="shared" si="419"/>
        <v>BypassOpenStudio_zp,0,</v>
      </c>
      <c r="BS82" s="31" t="str">
        <f t="shared" si="420"/>
        <v>BypassOpenStudio_zb,0,</v>
      </c>
      <c r="BT82" s="31" t="str">
        <f t="shared" si="421"/>
        <v>BypassOpenStudio_ap,0,</v>
      </c>
      <c r="BU82" s="31" t="str">
        <f t="shared" si="422"/>
        <v>BypassOpenStudio_ab,0,</v>
      </c>
    </row>
    <row r="83" spans="1:73" x14ac:dyDescent="0.25">
      <c r="A83" s="39">
        <f t="shared" si="391"/>
        <v>1</v>
      </c>
      <c r="B83" s="27" t="str">
        <f t="shared" si="423"/>
        <v>RulesetImplementationTests\020006-OffSml-Run26\020006-OffSml-Run26.cibd</v>
      </c>
      <c r="C83" s="27" t="str">
        <f t="shared" si="424"/>
        <v>BatchOut_160331_r3964_RIc\020006-OffSml-Run26.cibd</v>
      </c>
      <c r="D83" s="27" t="str">
        <f t="shared" si="425"/>
        <v>BatchOut_160331_r3964_RIc\XML\</v>
      </c>
      <c r="E83" s="9" t="str">
        <f t="shared" si="426"/>
        <v>020006-Run26</v>
      </c>
      <c r="F83" s="22"/>
      <c r="G83" s="29"/>
      <c r="H83" s="23" t="str">
        <f>IF(F83&gt;1,1,"")</f>
        <v/>
      </c>
      <c r="I83" s="9" t="s">
        <v>11</v>
      </c>
      <c r="J83"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3" s="15" t="s">
        <v>1</v>
      </c>
      <c r="L83" s="36">
        <f t="shared" si="438"/>
        <v>1</v>
      </c>
      <c r="M83" s="32" t="str">
        <f t="shared" si="458"/>
        <v>020006-Run26</v>
      </c>
      <c r="N83" s="28" t="s">
        <v>146</v>
      </c>
      <c r="O83" s="57" t="str">
        <f t="shared" si="393"/>
        <v>020006-OffSml-Run26</v>
      </c>
      <c r="P83" s="63">
        <f t="shared" si="439"/>
        <v>1</v>
      </c>
      <c r="Q83" s="65">
        <f t="shared" si="440"/>
        <v>1</v>
      </c>
      <c r="R83" s="65">
        <f t="shared" si="441"/>
        <v>0</v>
      </c>
      <c r="S83" s="65">
        <f t="shared" si="442"/>
        <v>1</v>
      </c>
      <c r="T83" s="65">
        <f t="shared" si="443"/>
        <v>0</v>
      </c>
      <c r="U83" s="65">
        <f t="shared" si="444"/>
        <v>8</v>
      </c>
      <c r="V83" s="65">
        <f t="shared" si="444"/>
        <v>8</v>
      </c>
      <c r="W83" s="65">
        <f t="shared" si="445"/>
        <v>1</v>
      </c>
      <c r="X83" s="65">
        <f t="shared" si="445"/>
        <v>0</v>
      </c>
      <c r="Y83" s="65">
        <f t="shared" si="445"/>
        <v>0</v>
      </c>
      <c r="Z83" s="65">
        <f t="shared" si="446"/>
        <v>0</v>
      </c>
      <c r="AA83" s="65">
        <f t="shared" si="447"/>
        <v>0</v>
      </c>
      <c r="AB83" s="65">
        <f t="shared" si="447"/>
        <v>0</v>
      </c>
      <c r="AC83" s="65">
        <f t="shared" si="432"/>
        <v>0</v>
      </c>
      <c r="AD83" s="61">
        <f t="shared" si="432"/>
        <v>0</v>
      </c>
      <c r="AE83" s="61">
        <f t="shared" ref="AE83:AF83" si="465">AE82</f>
        <v>0</v>
      </c>
      <c r="AF83" s="61">
        <f t="shared" si="465"/>
        <v>0</v>
      </c>
      <c r="AG83" s="61">
        <f t="shared" ref="AG83:AH83" si="466">AG82</f>
        <v>0</v>
      </c>
      <c r="AH83" s="61">
        <f t="shared" si="466"/>
        <v>0</v>
      </c>
      <c r="AI83" s="61">
        <f t="shared" ref="AI83" si="467">AI82</f>
        <v>0</v>
      </c>
      <c r="AJ83" s="63">
        <f t="shared" si="451"/>
        <v>0</v>
      </c>
      <c r="AK83" s="64">
        <f t="shared" si="452"/>
        <v>0</v>
      </c>
      <c r="AL83" s="64">
        <f t="shared" si="453"/>
        <v>0</v>
      </c>
      <c r="AM83" s="64">
        <f t="shared" si="454"/>
        <v>0</v>
      </c>
      <c r="AN83" s="66">
        <f t="shared" si="455"/>
        <v>0</v>
      </c>
      <c r="AO83" s="63">
        <f t="shared" si="456"/>
        <v>0</v>
      </c>
      <c r="AP83" s="64">
        <f t="shared" si="457"/>
        <v>0</v>
      </c>
      <c r="AQ83" s="65">
        <f t="shared" si="457"/>
        <v>0</v>
      </c>
      <c r="AR83" s="66">
        <f t="shared" si="457"/>
        <v>0</v>
      </c>
      <c r="AS83" s="31" t="str">
        <f t="shared" si="395"/>
        <v>SimulationStorage,1,</v>
      </c>
      <c r="AT83" s="31" t="str">
        <f t="shared" si="396"/>
        <v>AnalysisStorage,1,</v>
      </c>
      <c r="AU83" s="31" t="str">
        <f t="shared" si="397"/>
        <v>LogRuleEvaluation,0,</v>
      </c>
      <c r="AV83" s="31" t="str">
        <f t="shared" si="398"/>
        <v>ParallelSimulations,1,</v>
      </c>
      <c r="AW83" s="31" t="str">
        <f t="shared" si="399"/>
        <v>DurationStats,0,</v>
      </c>
      <c r="AX83" s="31" t="str">
        <f t="shared" si="400"/>
        <v>AnalysisThruStep,8,</v>
      </c>
      <c r="AY83" s="31" t="str">
        <f t="shared" si="401"/>
        <v>DontAbortOnErrorsThruStep,8,</v>
      </c>
      <c r="AZ83" s="31" t="str">
        <f t="shared" si="402"/>
        <v>BypassValidFileChecks,1,</v>
      </c>
      <c r="BA83" s="31" t="str">
        <f t="shared" si="403"/>
        <v>BypassInputChecks,0,</v>
      </c>
      <c r="BB83" s="31" t="str">
        <f t="shared" si="404"/>
        <v>BypassUMLHChecks,0,</v>
      </c>
      <c r="BC83" s="31" t="str">
        <f t="shared" si="405"/>
        <v>BypassCheckSimRules,0,</v>
      </c>
      <c r="BD83" s="31" t="str">
        <f t="shared" si="406"/>
        <v>BypassCheckCodeRules,0,</v>
      </c>
      <c r="BE83" s="31" t="str">
        <f t="shared" si="407"/>
        <v>StoreResultsToModelInput,0,</v>
      </c>
      <c r="BF83" s="31" t="str">
        <f t="shared" si="408"/>
        <v>StoreBEMDetails,0,</v>
      </c>
      <c r="BG83" s="31" t="str">
        <f t="shared" si="409"/>
        <v>ModelRpt_ALL,0,</v>
      </c>
      <c r="BH83" s="31" t="str">
        <f t="shared" si="410"/>
        <v>ExportHourlyResults_All,0,</v>
      </c>
      <c r="BI83" s="31" t="str">
        <f t="shared" si="411"/>
        <v>ComplianceReportPDF,0,</v>
      </c>
      <c r="BJ83" s="31" t="str">
        <f t="shared" si="412"/>
        <v>ComplianceReportXML,0,</v>
      </c>
      <c r="BK83" s="31" t="str">
        <f t="shared" si="413"/>
        <v>QuickAnalysis,0,</v>
      </c>
      <c r="BL83" s="31" t="str">
        <f t="shared" si="413"/>
        <v>PromptUserUMLHWarning,0,</v>
      </c>
      <c r="BM83" s="31" t="str">
        <f t="shared" si="414"/>
        <v>BypassOpenStudio_all,0,</v>
      </c>
      <c r="BN83" s="31" t="str">
        <f t="shared" si="415"/>
        <v>BypassOpenStudio_zp,0,</v>
      </c>
      <c r="BO83" s="31" t="str">
        <f t="shared" si="416"/>
        <v>BypassOpenStudio_zb,0,</v>
      </c>
      <c r="BP83" s="31" t="str">
        <f t="shared" si="417"/>
        <v>BypassOpenStudio_ap,0,</v>
      </c>
      <c r="BQ83" s="31" t="str">
        <f t="shared" si="418"/>
        <v>BypassOpenStudio_ab,0,</v>
      </c>
      <c r="BR83" s="31" t="str">
        <f t="shared" si="419"/>
        <v>BypassOpenStudio_zp,0,</v>
      </c>
      <c r="BS83" s="31" t="str">
        <f t="shared" si="420"/>
        <v>BypassOpenStudio_zb,0,</v>
      </c>
      <c r="BT83" s="31" t="str">
        <f t="shared" si="421"/>
        <v>BypassOpenStudio_ap,0,</v>
      </c>
      <c r="BU83" s="31" t="str">
        <f t="shared" si="422"/>
        <v>BypassOpenStudio_ab,0,</v>
      </c>
    </row>
    <row r="84" spans="1:73" x14ac:dyDescent="0.25">
      <c r="A84" s="39">
        <f t="shared" si="391"/>
        <v>1</v>
      </c>
      <c r="B84" s="27" t="str">
        <f t="shared" si="423"/>
        <v>RulesetImplementationTests\020006S-OffSml-Run01\020006S-OffSml-Run01.cibd</v>
      </c>
      <c r="C84" s="27" t="str">
        <f t="shared" si="424"/>
        <v>BatchOut_160331_r3964_RIc\020006S-OffSml-Run01.cibd</v>
      </c>
      <c r="D84" s="27" t="str">
        <f t="shared" si="425"/>
        <v>BatchOut_160331_r3964_RIc\XML\</v>
      </c>
      <c r="E84" s="9" t="str">
        <f t="shared" si="426"/>
        <v>020006S-Run01</v>
      </c>
      <c r="F84" s="22"/>
      <c r="G84" s="29"/>
      <c r="H84" s="23"/>
      <c r="I84" s="9" t="s">
        <v>11</v>
      </c>
      <c r="J84"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4" s="15" t="s">
        <v>1</v>
      </c>
      <c r="L84" s="36">
        <f t="shared" si="438"/>
        <v>1</v>
      </c>
      <c r="M84" s="32" t="str">
        <f t="shared" si="458"/>
        <v>020006S-Run01</v>
      </c>
      <c r="N84" s="28" t="s">
        <v>178</v>
      </c>
      <c r="O84" s="57" t="str">
        <f t="shared" si="393"/>
        <v>020006S-OffSml-Run01</v>
      </c>
      <c r="P84" s="63">
        <f t="shared" si="439"/>
        <v>1</v>
      </c>
      <c r="Q84" s="65">
        <f t="shared" si="440"/>
        <v>1</v>
      </c>
      <c r="R84" s="65">
        <f t="shared" si="441"/>
        <v>0</v>
      </c>
      <c r="S84" s="65">
        <f t="shared" si="442"/>
        <v>1</v>
      </c>
      <c r="T84" s="65">
        <f t="shared" si="443"/>
        <v>0</v>
      </c>
      <c r="U84" s="65">
        <f t="shared" si="444"/>
        <v>8</v>
      </c>
      <c r="V84" s="65">
        <f t="shared" si="444"/>
        <v>8</v>
      </c>
      <c r="W84" s="65">
        <f t="shared" si="445"/>
        <v>1</v>
      </c>
      <c r="X84" s="65">
        <f t="shared" si="445"/>
        <v>0</v>
      </c>
      <c r="Y84" s="65">
        <f t="shared" si="445"/>
        <v>0</v>
      </c>
      <c r="Z84" s="65">
        <f t="shared" si="446"/>
        <v>0</v>
      </c>
      <c r="AA84" s="65">
        <f t="shared" si="447"/>
        <v>0</v>
      </c>
      <c r="AB84" s="65">
        <f t="shared" si="447"/>
        <v>0</v>
      </c>
      <c r="AC84" s="65">
        <f t="shared" si="432"/>
        <v>0</v>
      </c>
      <c r="AD84" s="61">
        <f t="shared" si="432"/>
        <v>0</v>
      </c>
      <c r="AE84" s="61">
        <f t="shared" ref="AE84:AF84" si="468">AE83</f>
        <v>0</v>
      </c>
      <c r="AF84" s="61">
        <f t="shared" si="468"/>
        <v>0</v>
      </c>
      <c r="AG84" s="61">
        <f t="shared" ref="AG84:AH84" si="469">AG83</f>
        <v>0</v>
      </c>
      <c r="AH84" s="61">
        <f t="shared" si="469"/>
        <v>0</v>
      </c>
      <c r="AI84" s="61">
        <f t="shared" ref="AI84" si="470">AI83</f>
        <v>0</v>
      </c>
      <c r="AJ84" s="63">
        <f t="shared" si="451"/>
        <v>0</v>
      </c>
      <c r="AK84" s="64">
        <f t="shared" si="452"/>
        <v>0</v>
      </c>
      <c r="AL84" s="64">
        <f t="shared" si="453"/>
        <v>0</v>
      </c>
      <c r="AM84" s="64">
        <f t="shared" si="454"/>
        <v>0</v>
      </c>
      <c r="AN84" s="66">
        <f t="shared" si="455"/>
        <v>0</v>
      </c>
      <c r="AO84" s="63">
        <f t="shared" si="456"/>
        <v>0</v>
      </c>
      <c r="AP84" s="64">
        <f t="shared" si="457"/>
        <v>0</v>
      </c>
      <c r="AQ84" s="65">
        <f t="shared" si="457"/>
        <v>0</v>
      </c>
      <c r="AR84" s="66">
        <f t="shared" si="457"/>
        <v>0</v>
      </c>
      <c r="AS84" s="31" t="str">
        <f t="shared" si="395"/>
        <v>SimulationStorage,1,</v>
      </c>
      <c r="AT84" s="31" t="str">
        <f t="shared" si="396"/>
        <v>AnalysisStorage,1,</v>
      </c>
      <c r="AU84" s="31" t="str">
        <f t="shared" si="397"/>
        <v>LogRuleEvaluation,0,</v>
      </c>
      <c r="AV84" s="31" t="str">
        <f t="shared" si="398"/>
        <v>ParallelSimulations,1,</v>
      </c>
      <c r="AW84" s="31" t="str">
        <f t="shared" si="399"/>
        <v>DurationStats,0,</v>
      </c>
      <c r="AX84" s="31" t="str">
        <f t="shared" si="400"/>
        <v>AnalysisThruStep,8,</v>
      </c>
      <c r="AY84" s="31" t="str">
        <f t="shared" si="401"/>
        <v>DontAbortOnErrorsThruStep,8,</v>
      </c>
      <c r="AZ84" s="31" t="str">
        <f t="shared" si="402"/>
        <v>BypassValidFileChecks,1,</v>
      </c>
      <c r="BA84" s="31" t="str">
        <f t="shared" si="403"/>
        <v>BypassInputChecks,0,</v>
      </c>
      <c r="BB84" s="31" t="str">
        <f t="shared" si="404"/>
        <v>BypassUMLHChecks,0,</v>
      </c>
      <c r="BC84" s="31" t="str">
        <f t="shared" si="405"/>
        <v>BypassCheckSimRules,0,</v>
      </c>
      <c r="BD84" s="31" t="str">
        <f t="shared" si="406"/>
        <v>BypassCheckCodeRules,0,</v>
      </c>
      <c r="BE84" s="31" t="str">
        <f t="shared" si="407"/>
        <v>StoreResultsToModelInput,0,</v>
      </c>
      <c r="BF84" s="31" t="str">
        <f t="shared" si="408"/>
        <v>StoreBEMDetails,0,</v>
      </c>
      <c r="BG84" s="31" t="str">
        <f t="shared" si="409"/>
        <v>ModelRpt_ALL,0,</v>
      </c>
      <c r="BH84" s="31" t="str">
        <f t="shared" si="410"/>
        <v>ExportHourlyResults_All,0,</v>
      </c>
      <c r="BI84" s="31" t="str">
        <f t="shared" si="411"/>
        <v>ComplianceReportPDF,0,</v>
      </c>
      <c r="BJ84" s="31" t="str">
        <f t="shared" si="412"/>
        <v>ComplianceReportXML,0,</v>
      </c>
      <c r="BK84" s="31" t="str">
        <f t="shared" si="413"/>
        <v>QuickAnalysis,0,</v>
      </c>
      <c r="BL84" s="31" t="str">
        <f t="shared" si="413"/>
        <v>PromptUserUMLHWarning,0,</v>
      </c>
      <c r="BM84" s="31" t="str">
        <f t="shared" si="414"/>
        <v>BypassOpenStudio_all,0,</v>
      </c>
      <c r="BN84" s="31" t="str">
        <f t="shared" si="415"/>
        <v>BypassOpenStudio_zp,0,</v>
      </c>
      <c r="BO84" s="31" t="str">
        <f t="shared" si="416"/>
        <v>BypassOpenStudio_zb,0,</v>
      </c>
      <c r="BP84" s="31" t="str">
        <f t="shared" si="417"/>
        <v>BypassOpenStudio_ap,0,</v>
      </c>
      <c r="BQ84" s="31" t="str">
        <f t="shared" si="418"/>
        <v>BypassOpenStudio_ab,0,</v>
      </c>
      <c r="BR84" s="31" t="str">
        <f t="shared" si="419"/>
        <v>BypassOpenStudio_zp,0,</v>
      </c>
      <c r="BS84" s="31" t="str">
        <f t="shared" si="420"/>
        <v>BypassOpenStudio_zb,0,</v>
      </c>
      <c r="BT84" s="31" t="str">
        <f t="shared" si="421"/>
        <v>BypassOpenStudio_ap,0,</v>
      </c>
      <c r="BU84" s="31" t="str">
        <f t="shared" si="422"/>
        <v>BypassOpenStudio_ab,0,</v>
      </c>
    </row>
    <row r="85" spans="1:73" x14ac:dyDescent="0.25">
      <c r="A85" s="39">
        <f t="shared" si="391"/>
        <v>1</v>
      </c>
      <c r="B85" s="27" t="str">
        <f t="shared" si="423"/>
        <v>RulesetImplementationTests\020006S-OffSml-Run14\020006S-OffSml-Run14.cibd</v>
      </c>
      <c r="C85" s="27" t="str">
        <f t="shared" si="424"/>
        <v>BatchOut_160331_r3964_RIc\020006S-OffSml-Run14.cibd</v>
      </c>
      <c r="D85" s="27" t="str">
        <f t="shared" si="425"/>
        <v>BatchOut_160331_r3964_RIc\XML\</v>
      </c>
      <c r="E85" s="9" t="str">
        <f t="shared" si="426"/>
        <v>020006S-Run14</v>
      </c>
      <c r="F85" s="22"/>
      <c r="G85" s="29"/>
      <c r="H85" s="23" t="str">
        <f>IF(F85&gt;1,1,"")</f>
        <v/>
      </c>
      <c r="I85" s="9" t="s">
        <v>11</v>
      </c>
      <c r="J85"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5" s="15" t="s">
        <v>1</v>
      </c>
      <c r="L85" s="36">
        <f t="shared" si="438"/>
        <v>1</v>
      </c>
      <c r="M85" s="32" t="str">
        <f t="shared" si="458"/>
        <v>020006S-Run14</v>
      </c>
      <c r="N85" s="28" t="s">
        <v>181</v>
      </c>
      <c r="O85" s="57" t="str">
        <f t="shared" si="393"/>
        <v>020006S-OffSml-Run14</v>
      </c>
      <c r="P85" s="63">
        <f t="shared" si="439"/>
        <v>1</v>
      </c>
      <c r="Q85" s="65">
        <f t="shared" si="440"/>
        <v>1</v>
      </c>
      <c r="R85" s="65">
        <f t="shared" si="441"/>
        <v>0</v>
      </c>
      <c r="S85" s="65">
        <f t="shared" si="442"/>
        <v>1</v>
      </c>
      <c r="T85" s="65">
        <f t="shared" si="443"/>
        <v>0</v>
      </c>
      <c r="U85" s="65">
        <f t="shared" si="444"/>
        <v>8</v>
      </c>
      <c r="V85" s="65">
        <f t="shared" si="444"/>
        <v>8</v>
      </c>
      <c r="W85" s="65">
        <f t="shared" si="445"/>
        <v>1</v>
      </c>
      <c r="X85" s="65">
        <f t="shared" si="445"/>
        <v>0</v>
      </c>
      <c r="Y85" s="65">
        <f t="shared" si="445"/>
        <v>0</v>
      </c>
      <c r="Z85" s="65">
        <f t="shared" si="446"/>
        <v>0</v>
      </c>
      <c r="AA85" s="65">
        <f t="shared" si="447"/>
        <v>0</v>
      </c>
      <c r="AB85" s="65">
        <f t="shared" si="447"/>
        <v>0</v>
      </c>
      <c r="AC85" s="65">
        <f t="shared" si="432"/>
        <v>0</v>
      </c>
      <c r="AD85" s="61">
        <f t="shared" si="432"/>
        <v>0</v>
      </c>
      <c r="AE85" s="61">
        <f t="shared" ref="AE85:AF85" si="471">AE84</f>
        <v>0</v>
      </c>
      <c r="AF85" s="61">
        <f t="shared" si="471"/>
        <v>0</v>
      </c>
      <c r="AG85" s="61">
        <f t="shared" ref="AG85:AH85" si="472">AG84</f>
        <v>0</v>
      </c>
      <c r="AH85" s="61">
        <f t="shared" si="472"/>
        <v>0</v>
      </c>
      <c r="AI85" s="61">
        <f t="shared" ref="AI85" si="473">AI84</f>
        <v>0</v>
      </c>
      <c r="AJ85" s="63">
        <f t="shared" si="451"/>
        <v>0</v>
      </c>
      <c r="AK85" s="64">
        <f t="shared" si="452"/>
        <v>0</v>
      </c>
      <c r="AL85" s="64">
        <f t="shared" si="453"/>
        <v>0</v>
      </c>
      <c r="AM85" s="64">
        <f t="shared" si="454"/>
        <v>0</v>
      </c>
      <c r="AN85" s="66">
        <f t="shared" si="455"/>
        <v>0</v>
      </c>
      <c r="AO85" s="63">
        <f t="shared" si="456"/>
        <v>0</v>
      </c>
      <c r="AP85" s="64">
        <f t="shared" si="457"/>
        <v>0</v>
      </c>
      <c r="AQ85" s="65">
        <f t="shared" si="457"/>
        <v>0</v>
      </c>
      <c r="AR85" s="66">
        <f t="shared" si="457"/>
        <v>0</v>
      </c>
      <c r="AS85" s="31" t="str">
        <f t="shared" si="395"/>
        <v>SimulationStorage,1,</v>
      </c>
      <c r="AT85" s="31" t="str">
        <f t="shared" si="396"/>
        <v>AnalysisStorage,1,</v>
      </c>
      <c r="AU85" s="31" t="str">
        <f t="shared" si="397"/>
        <v>LogRuleEvaluation,0,</v>
      </c>
      <c r="AV85" s="31" t="str">
        <f t="shared" si="398"/>
        <v>ParallelSimulations,1,</v>
      </c>
      <c r="AW85" s="31" t="str">
        <f t="shared" si="399"/>
        <v>DurationStats,0,</v>
      </c>
      <c r="AX85" s="31" t="str">
        <f t="shared" si="400"/>
        <v>AnalysisThruStep,8,</v>
      </c>
      <c r="AY85" s="31" t="str">
        <f t="shared" si="401"/>
        <v>DontAbortOnErrorsThruStep,8,</v>
      </c>
      <c r="AZ85" s="31" t="str">
        <f t="shared" si="402"/>
        <v>BypassValidFileChecks,1,</v>
      </c>
      <c r="BA85" s="31" t="str">
        <f t="shared" si="403"/>
        <v>BypassInputChecks,0,</v>
      </c>
      <c r="BB85" s="31" t="str">
        <f t="shared" si="404"/>
        <v>BypassUMLHChecks,0,</v>
      </c>
      <c r="BC85" s="31" t="str">
        <f t="shared" si="405"/>
        <v>BypassCheckSimRules,0,</v>
      </c>
      <c r="BD85" s="31" t="str">
        <f t="shared" si="406"/>
        <v>BypassCheckCodeRules,0,</v>
      </c>
      <c r="BE85" s="31" t="str">
        <f t="shared" si="407"/>
        <v>StoreResultsToModelInput,0,</v>
      </c>
      <c r="BF85" s="31" t="str">
        <f t="shared" si="408"/>
        <v>StoreBEMDetails,0,</v>
      </c>
      <c r="BG85" s="31" t="str">
        <f t="shared" si="409"/>
        <v>ModelRpt_ALL,0,</v>
      </c>
      <c r="BH85" s="31" t="str">
        <f t="shared" si="410"/>
        <v>ExportHourlyResults_All,0,</v>
      </c>
      <c r="BI85" s="31" t="str">
        <f t="shared" si="411"/>
        <v>ComplianceReportPDF,0,</v>
      </c>
      <c r="BJ85" s="31" t="str">
        <f t="shared" si="412"/>
        <v>ComplianceReportXML,0,</v>
      </c>
      <c r="BK85" s="31" t="str">
        <f t="shared" si="413"/>
        <v>QuickAnalysis,0,</v>
      </c>
      <c r="BL85" s="31" t="str">
        <f t="shared" si="413"/>
        <v>PromptUserUMLHWarning,0,</v>
      </c>
      <c r="BM85" s="31" t="str">
        <f t="shared" si="414"/>
        <v>BypassOpenStudio_all,0,</v>
      </c>
      <c r="BN85" s="31" t="str">
        <f t="shared" si="415"/>
        <v>BypassOpenStudio_zp,0,</v>
      </c>
      <c r="BO85" s="31" t="str">
        <f t="shared" si="416"/>
        <v>BypassOpenStudio_zb,0,</v>
      </c>
      <c r="BP85" s="31" t="str">
        <f t="shared" si="417"/>
        <v>BypassOpenStudio_ap,0,</v>
      </c>
      <c r="BQ85" s="31" t="str">
        <f t="shared" si="418"/>
        <v>BypassOpenStudio_ab,0,</v>
      </c>
      <c r="BR85" s="31" t="str">
        <f t="shared" si="419"/>
        <v>BypassOpenStudio_zp,0,</v>
      </c>
      <c r="BS85" s="31" t="str">
        <f t="shared" si="420"/>
        <v>BypassOpenStudio_zb,0,</v>
      </c>
      <c r="BT85" s="31" t="str">
        <f t="shared" si="421"/>
        <v>BypassOpenStudio_ap,0,</v>
      </c>
      <c r="BU85" s="31" t="str">
        <f t="shared" si="422"/>
        <v>BypassOpenStudio_ab,0,</v>
      </c>
    </row>
    <row r="86" spans="1:73" x14ac:dyDescent="0.25">
      <c r="A86" s="39">
        <f t="shared" si="391"/>
        <v>1</v>
      </c>
      <c r="B86" s="27" t="str">
        <f t="shared" si="423"/>
        <v>RulesetImplementationTests\020006S-OffSml-Run18\020006S-OffSml-Run18.cibd</v>
      </c>
      <c r="C86" s="27" t="str">
        <f t="shared" si="424"/>
        <v>BatchOut_160331_r3964_RIc\020006S-OffSml-Run18.cibd</v>
      </c>
      <c r="D86" s="27" t="str">
        <f t="shared" si="425"/>
        <v>BatchOut_160331_r3964_RIc\XML\</v>
      </c>
      <c r="E86" s="9" t="str">
        <f t="shared" si="426"/>
        <v>020006S-Run18</v>
      </c>
      <c r="F86" s="22"/>
      <c r="G86" s="29"/>
      <c r="H86" s="23"/>
      <c r="I86" s="9" t="s">
        <v>11</v>
      </c>
      <c r="J86"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6" s="15" t="s">
        <v>1</v>
      </c>
      <c r="L86" s="36">
        <f t="shared" si="438"/>
        <v>1</v>
      </c>
      <c r="M86" s="32" t="str">
        <f t="shared" si="458"/>
        <v>020006S-Run18</v>
      </c>
      <c r="N86" s="28" t="s">
        <v>182</v>
      </c>
      <c r="O86" s="57" t="str">
        <f t="shared" si="393"/>
        <v>020006S-OffSml-Run18</v>
      </c>
      <c r="P86" s="63">
        <f t="shared" si="439"/>
        <v>1</v>
      </c>
      <c r="Q86" s="65">
        <f t="shared" si="440"/>
        <v>1</v>
      </c>
      <c r="R86" s="65">
        <f t="shared" si="441"/>
        <v>0</v>
      </c>
      <c r="S86" s="65">
        <f t="shared" si="442"/>
        <v>1</v>
      </c>
      <c r="T86" s="65">
        <f t="shared" si="443"/>
        <v>0</v>
      </c>
      <c r="U86" s="65">
        <f t="shared" si="444"/>
        <v>8</v>
      </c>
      <c r="V86" s="65">
        <f t="shared" si="444"/>
        <v>8</v>
      </c>
      <c r="W86" s="65">
        <f t="shared" si="445"/>
        <v>1</v>
      </c>
      <c r="X86" s="65">
        <f t="shared" si="445"/>
        <v>0</v>
      </c>
      <c r="Y86" s="65">
        <f t="shared" si="445"/>
        <v>0</v>
      </c>
      <c r="Z86" s="65">
        <f t="shared" si="446"/>
        <v>0</v>
      </c>
      <c r="AA86" s="65">
        <f t="shared" si="447"/>
        <v>0</v>
      </c>
      <c r="AB86" s="65">
        <f t="shared" si="447"/>
        <v>0</v>
      </c>
      <c r="AC86" s="65">
        <f t="shared" si="432"/>
        <v>0</v>
      </c>
      <c r="AD86" s="61">
        <f t="shared" si="432"/>
        <v>0</v>
      </c>
      <c r="AE86" s="61">
        <f t="shared" ref="AE86:AF86" si="474">AE85</f>
        <v>0</v>
      </c>
      <c r="AF86" s="61">
        <f t="shared" si="474"/>
        <v>0</v>
      </c>
      <c r="AG86" s="61">
        <f t="shared" ref="AG86:AH86" si="475">AG85</f>
        <v>0</v>
      </c>
      <c r="AH86" s="61">
        <f t="shared" si="475"/>
        <v>0</v>
      </c>
      <c r="AI86" s="61">
        <f t="shared" ref="AI86" si="476">AI85</f>
        <v>0</v>
      </c>
      <c r="AJ86" s="63">
        <f t="shared" si="451"/>
        <v>0</v>
      </c>
      <c r="AK86" s="64">
        <f t="shared" si="452"/>
        <v>0</v>
      </c>
      <c r="AL86" s="64">
        <f t="shared" si="453"/>
        <v>0</v>
      </c>
      <c r="AM86" s="64">
        <f t="shared" si="454"/>
        <v>0</v>
      </c>
      <c r="AN86" s="66">
        <f t="shared" si="455"/>
        <v>0</v>
      </c>
      <c r="AO86" s="63">
        <f t="shared" si="456"/>
        <v>0</v>
      </c>
      <c r="AP86" s="64">
        <f t="shared" si="457"/>
        <v>0</v>
      </c>
      <c r="AQ86" s="65">
        <f t="shared" si="457"/>
        <v>0</v>
      </c>
      <c r="AR86" s="66">
        <f t="shared" si="457"/>
        <v>0</v>
      </c>
      <c r="AS86" s="31" t="str">
        <f t="shared" si="395"/>
        <v>SimulationStorage,1,</v>
      </c>
      <c r="AT86" s="31" t="str">
        <f t="shared" si="396"/>
        <v>AnalysisStorage,1,</v>
      </c>
      <c r="AU86" s="31" t="str">
        <f t="shared" si="397"/>
        <v>LogRuleEvaluation,0,</v>
      </c>
      <c r="AV86" s="31" t="str">
        <f t="shared" si="398"/>
        <v>ParallelSimulations,1,</v>
      </c>
      <c r="AW86" s="31" t="str">
        <f t="shared" si="399"/>
        <v>DurationStats,0,</v>
      </c>
      <c r="AX86" s="31" t="str">
        <f t="shared" si="400"/>
        <v>AnalysisThruStep,8,</v>
      </c>
      <c r="AY86" s="31" t="str">
        <f t="shared" si="401"/>
        <v>DontAbortOnErrorsThruStep,8,</v>
      </c>
      <c r="AZ86" s="31" t="str">
        <f t="shared" si="402"/>
        <v>BypassValidFileChecks,1,</v>
      </c>
      <c r="BA86" s="31" t="str">
        <f t="shared" si="403"/>
        <v>BypassInputChecks,0,</v>
      </c>
      <c r="BB86" s="31" t="str">
        <f t="shared" si="404"/>
        <v>BypassUMLHChecks,0,</v>
      </c>
      <c r="BC86" s="31" t="str">
        <f t="shared" si="405"/>
        <v>BypassCheckSimRules,0,</v>
      </c>
      <c r="BD86" s="31" t="str">
        <f t="shared" si="406"/>
        <v>BypassCheckCodeRules,0,</v>
      </c>
      <c r="BE86" s="31" t="str">
        <f t="shared" si="407"/>
        <v>StoreResultsToModelInput,0,</v>
      </c>
      <c r="BF86" s="31" t="str">
        <f t="shared" si="408"/>
        <v>StoreBEMDetails,0,</v>
      </c>
      <c r="BG86" s="31" t="str">
        <f t="shared" si="409"/>
        <v>ModelRpt_ALL,0,</v>
      </c>
      <c r="BH86" s="31" t="str">
        <f t="shared" si="410"/>
        <v>ExportHourlyResults_All,0,</v>
      </c>
      <c r="BI86" s="31" t="str">
        <f t="shared" si="411"/>
        <v>ComplianceReportPDF,0,</v>
      </c>
      <c r="BJ86" s="31" t="str">
        <f t="shared" si="412"/>
        <v>ComplianceReportXML,0,</v>
      </c>
      <c r="BK86" s="31" t="str">
        <f t="shared" si="413"/>
        <v>QuickAnalysis,0,</v>
      </c>
      <c r="BL86" s="31" t="str">
        <f t="shared" si="413"/>
        <v>PromptUserUMLHWarning,0,</v>
      </c>
      <c r="BM86" s="31" t="str">
        <f t="shared" si="414"/>
        <v>BypassOpenStudio_all,0,</v>
      </c>
      <c r="BN86" s="31" t="str">
        <f t="shared" si="415"/>
        <v>BypassOpenStudio_zp,0,</v>
      </c>
      <c r="BO86" s="31" t="str">
        <f t="shared" si="416"/>
        <v>BypassOpenStudio_zb,0,</v>
      </c>
      <c r="BP86" s="31" t="str">
        <f t="shared" si="417"/>
        <v>BypassOpenStudio_ap,0,</v>
      </c>
      <c r="BQ86" s="31" t="str">
        <f t="shared" si="418"/>
        <v>BypassOpenStudio_ab,0,</v>
      </c>
      <c r="BR86" s="31" t="str">
        <f t="shared" si="419"/>
        <v>BypassOpenStudio_zp,0,</v>
      </c>
      <c r="BS86" s="31" t="str">
        <f t="shared" si="420"/>
        <v>BypassOpenStudio_zb,0,</v>
      </c>
      <c r="BT86" s="31" t="str">
        <f t="shared" si="421"/>
        <v>BypassOpenStudio_ap,0,</v>
      </c>
      <c r="BU86" s="31" t="str">
        <f t="shared" si="422"/>
        <v>BypassOpenStudio_ab,0,</v>
      </c>
    </row>
    <row r="87" spans="1:73" x14ac:dyDescent="0.25">
      <c r="A87" s="39">
        <f t="shared" si="391"/>
        <v>1</v>
      </c>
      <c r="B87" s="27" t="str">
        <f t="shared" si="423"/>
        <v>RulesetImplementationTests\020015-OffSml-Run02\020015-OffSml-Run02.cibd</v>
      </c>
      <c r="C87" s="27" t="str">
        <f t="shared" si="424"/>
        <v>BatchOut_160331_r3964_RIc\020015-OffSml-Run02.cibd</v>
      </c>
      <c r="D87" s="27" t="str">
        <f t="shared" si="425"/>
        <v>BatchOut_160331_r3964_RIc\XML\</v>
      </c>
      <c r="E87" s="9" t="str">
        <f t="shared" si="426"/>
        <v>020015-Run02</v>
      </c>
      <c r="F87" s="22"/>
      <c r="G87" s="29"/>
      <c r="H87" s="23"/>
      <c r="I87" s="9" t="s">
        <v>11</v>
      </c>
      <c r="J87"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7" s="15" t="s">
        <v>1</v>
      </c>
      <c r="L87" s="36">
        <f t="shared" si="438"/>
        <v>1</v>
      </c>
      <c r="M87" s="32" t="str">
        <f t="shared" si="458"/>
        <v>020015-Run02</v>
      </c>
      <c r="N87" s="28" t="s">
        <v>127</v>
      </c>
      <c r="O87" s="57" t="str">
        <f t="shared" si="393"/>
        <v>020015-OffSml-Run02</v>
      </c>
      <c r="P87" s="63">
        <f t="shared" si="439"/>
        <v>1</v>
      </c>
      <c r="Q87" s="65">
        <f t="shared" si="440"/>
        <v>1</v>
      </c>
      <c r="R87" s="65">
        <f t="shared" si="441"/>
        <v>0</v>
      </c>
      <c r="S87" s="65">
        <f t="shared" si="442"/>
        <v>1</v>
      </c>
      <c r="T87" s="65">
        <f t="shared" si="443"/>
        <v>0</v>
      </c>
      <c r="U87" s="65">
        <f t="shared" si="444"/>
        <v>8</v>
      </c>
      <c r="V87" s="65">
        <f t="shared" si="444"/>
        <v>8</v>
      </c>
      <c r="W87" s="65">
        <f t="shared" si="445"/>
        <v>1</v>
      </c>
      <c r="X87" s="65">
        <f t="shared" si="445"/>
        <v>0</v>
      </c>
      <c r="Y87" s="65">
        <f t="shared" si="445"/>
        <v>0</v>
      </c>
      <c r="Z87" s="65">
        <f t="shared" si="446"/>
        <v>0</v>
      </c>
      <c r="AA87" s="65">
        <f t="shared" si="447"/>
        <v>0</v>
      </c>
      <c r="AB87" s="65">
        <f t="shared" si="447"/>
        <v>0</v>
      </c>
      <c r="AC87" s="65">
        <f t="shared" si="432"/>
        <v>0</v>
      </c>
      <c r="AD87" s="61">
        <f t="shared" si="432"/>
        <v>0</v>
      </c>
      <c r="AE87" s="61">
        <f t="shared" ref="AE87:AF87" si="477">AE86</f>
        <v>0</v>
      </c>
      <c r="AF87" s="61">
        <f t="shared" si="477"/>
        <v>0</v>
      </c>
      <c r="AG87" s="61">
        <f t="shared" ref="AG87:AH87" si="478">AG86</f>
        <v>0</v>
      </c>
      <c r="AH87" s="61">
        <f t="shared" si="478"/>
        <v>0</v>
      </c>
      <c r="AI87" s="61">
        <f t="shared" ref="AI87" si="479">AI86</f>
        <v>0</v>
      </c>
      <c r="AJ87" s="63">
        <f t="shared" si="451"/>
        <v>0</v>
      </c>
      <c r="AK87" s="64">
        <f t="shared" si="452"/>
        <v>0</v>
      </c>
      <c r="AL87" s="64">
        <f t="shared" si="453"/>
        <v>0</v>
      </c>
      <c r="AM87" s="64">
        <f t="shared" si="454"/>
        <v>0</v>
      </c>
      <c r="AN87" s="66">
        <f t="shared" si="455"/>
        <v>0</v>
      </c>
      <c r="AO87" s="63">
        <f t="shared" si="456"/>
        <v>0</v>
      </c>
      <c r="AP87" s="64">
        <f t="shared" si="457"/>
        <v>0</v>
      </c>
      <c r="AQ87" s="65">
        <f t="shared" si="457"/>
        <v>0</v>
      </c>
      <c r="AR87" s="66">
        <f t="shared" si="457"/>
        <v>0</v>
      </c>
      <c r="AS87" s="31" t="str">
        <f t="shared" si="395"/>
        <v>SimulationStorage,1,</v>
      </c>
      <c r="AT87" s="31" t="str">
        <f t="shared" si="396"/>
        <v>AnalysisStorage,1,</v>
      </c>
      <c r="AU87" s="31" t="str">
        <f t="shared" si="397"/>
        <v>LogRuleEvaluation,0,</v>
      </c>
      <c r="AV87" s="31" t="str">
        <f t="shared" si="398"/>
        <v>ParallelSimulations,1,</v>
      </c>
      <c r="AW87" s="31" t="str">
        <f t="shared" si="399"/>
        <v>DurationStats,0,</v>
      </c>
      <c r="AX87" s="31" t="str">
        <f t="shared" si="400"/>
        <v>AnalysisThruStep,8,</v>
      </c>
      <c r="AY87" s="31" t="str">
        <f t="shared" si="401"/>
        <v>DontAbortOnErrorsThruStep,8,</v>
      </c>
      <c r="AZ87" s="31" t="str">
        <f t="shared" si="402"/>
        <v>BypassValidFileChecks,1,</v>
      </c>
      <c r="BA87" s="31" t="str">
        <f t="shared" si="403"/>
        <v>BypassInputChecks,0,</v>
      </c>
      <c r="BB87" s="31" t="str">
        <f t="shared" si="404"/>
        <v>BypassUMLHChecks,0,</v>
      </c>
      <c r="BC87" s="31" t="str">
        <f t="shared" si="405"/>
        <v>BypassCheckSimRules,0,</v>
      </c>
      <c r="BD87" s="31" t="str">
        <f t="shared" si="406"/>
        <v>BypassCheckCodeRules,0,</v>
      </c>
      <c r="BE87" s="31" t="str">
        <f t="shared" si="407"/>
        <v>StoreResultsToModelInput,0,</v>
      </c>
      <c r="BF87" s="31" t="str">
        <f t="shared" si="408"/>
        <v>StoreBEMDetails,0,</v>
      </c>
      <c r="BG87" s="31" t="str">
        <f t="shared" si="409"/>
        <v>ModelRpt_ALL,0,</v>
      </c>
      <c r="BH87" s="31" t="str">
        <f t="shared" si="410"/>
        <v>ExportHourlyResults_All,0,</v>
      </c>
      <c r="BI87" s="31" t="str">
        <f t="shared" si="411"/>
        <v>ComplianceReportPDF,0,</v>
      </c>
      <c r="BJ87" s="31" t="str">
        <f t="shared" si="412"/>
        <v>ComplianceReportXML,0,</v>
      </c>
      <c r="BK87" s="31" t="str">
        <f t="shared" si="413"/>
        <v>QuickAnalysis,0,</v>
      </c>
      <c r="BL87" s="31" t="str">
        <f t="shared" si="413"/>
        <v>PromptUserUMLHWarning,0,</v>
      </c>
      <c r="BM87" s="31" t="str">
        <f t="shared" si="414"/>
        <v>BypassOpenStudio_all,0,</v>
      </c>
      <c r="BN87" s="31" t="str">
        <f t="shared" si="415"/>
        <v>BypassOpenStudio_zp,0,</v>
      </c>
      <c r="BO87" s="31" t="str">
        <f t="shared" si="416"/>
        <v>BypassOpenStudio_zb,0,</v>
      </c>
      <c r="BP87" s="31" t="str">
        <f t="shared" si="417"/>
        <v>BypassOpenStudio_ap,0,</v>
      </c>
      <c r="BQ87" s="31" t="str">
        <f t="shared" si="418"/>
        <v>BypassOpenStudio_ab,0,</v>
      </c>
      <c r="BR87" s="31" t="str">
        <f t="shared" si="419"/>
        <v>BypassOpenStudio_zp,0,</v>
      </c>
      <c r="BS87" s="31" t="str">
        <f t="shared" si="420"/>
        <v>BypassOpenStudio_zb,0,</v>
      </c>
      <c r="BT87" s="31" t="str">
        <f t="shared" si="421"/>
        <v>BypassOpenStudio_ap,0,</v>
      </c>
      <c r="BU87" s="31" t="str">
        <f t="shared" si="422"/>
        <v>BypassOpenStudio_ab,0,</v>
      </c>
    </row>
    <row r="88" spans="1:73" x14ac:dyDescent="0.25">
      <c r="A88" s="39">
        <f t="shared" si="391"/>
        <v>1</v>
      </c>
      <c r="B88" s="27" t="str">
        <f t="shared" si="423"/>
        <v>RulesetImplementationTests\020015S-OffSml-Run02\020015S-OffSml-Run02.cibd</v>
      </c>
      <c r="C88" s="27" t="str">
        <f t="shared" si="424"/>
        <v>BatchOut_160331_r3964_RIc\020015S-OffSml-Run02.cibd</v>
      </c>
      <c r="D88" s="27" t="str">
        <f t="shared" si="425"/>
        <v>BatchOut_160331_r3964_RIc\XML\</v>
      </c>
      <c r="E88" s="9" t="str">
        <f t="shared" si="426"/>
        <v>020015S-Run02</v>
      </c>
      <c r="F88" s="22"/>
      <c r="G88" s="29"/>
      <c r="H88" s="23" t="str">
        <f>IF(F88&gt;1,1,"")</f>
        <v/>
      </c>
      <c r="I88" s="9" t="s">
        <v>11</v>
      </c>
      <c r="J88"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8" s="15" t="s">
        <v>1</v>
      </c>
      <c r="L88" s="36">
        <f t="shared" si="438"/>
        <v>1</v>
      </c>
      <c r="M88" s="32" t="str">
        <f t="shared" si="458"/>
        <v>020015S-Run02</v>
      </c>
      <c r="N88" s="28" t="s">
        <v>179</v>
      </c>
      <c r="O88" s="57" t="str">
        <f t="shared" si="393"/>
        <v>020015S-OffSml-Run02</v>
      </c>
      <c r="P88" s="63">
        <f t="shared" si="439"/>
        <v>1</v>
      </c>
      <c r="Q88" s="65">
        <f t="shared" si="440"/>
        <v>1</v>
      </c>
      <c r="R88" s="65">
        <f t="shared" si="441"/>
        <v>0</v>
      </c>
      <c r="S88" s="65">
        <f t="shared" si="442"/>
        <v>1</v>
      </c>
      <c r="T88" s="65">
        <f t="shared" si="443"/>
        <v>0</v>
      </c>
      <c r="U88" s="65">
        <f t="shared" si="444"/>
        <v>8</v>
      </c>
      <c r="V88" s="65">
        <f t="shared" si="444"/>
        <v>8</v>
      </c>
      <c r="W88" s="65">
        <f t="shared" si="445"/>
        <v>1</v>
      </c>
      <c r="X88" s="65">
        <f t="shared" si="445"/>
        <v>0</v>
      </c>
      <c r="Y88" s="65">
        <f t="shared" si="445"/>
        <v>0</v>
      </c>
      <c r="Z88" s="65">
        <f t="shared" si="446"/>
        <v>0</v>
      </c>
      <c r="AA88" s="65">
        <f t="shared" si="447"/>
        <v>0</v>
      </c>
      <c r="AB88" s="65">
        <f t="shared" si="447"/>
        <v>0</v>
      </c>
      <c r="AC88" s="65">
        <f t="shared" si="432"/>
        <v>0</v>
      </c>
      <c r="AD88" s="61">
        <f t="shared" si="432"/>
        <v>0</v>
      </c>
      <c r="AE88" s="61">
        <f t="shared" ref="AE88:AF88" si="480">AE87</f>
        <v>0</v>
      </c>
      <c r="AF88" s="61">
        <f t="shared" si="480"/>
        <v>0</v>
      </c>
      <c r="AG88" s="61">
        <f t="shared" ref="AG88:AH88" si="481">AG87</f>
        <v>0</v>
      </c>
      <c r="AH88" s="61">
        <f t="shared" si="481"/>
        <v>0</v>
      </c>
      <c r="AI88" s="61">
        <f t="shared" ref="AI88" si="482">AI87</f>
        <v>0</v>
      </c>
      <c r="AJ88" s="63">
        <f t="shared" si="451"/>
        <v>0</v>
      </c>
      <c r="AK88" s="64">
        <f t="shared" si="452"/>
        <v>0</v>
      </c>
      <c r="AL88" s="64">
        <f t="shared" si="453"/>
        <v>0</v>
      </c>
      <c r="AM88" s="64">
        <f t="shared" si="454"/>
        <v>0</v>
      </c>
      <c r="AN88" s="66">
        <f t="shared" si="455"/>
        <v>0</v>
      </c>
      <c r="AO88" s="63">
        <f t="shared" si="456"/>
        <v>0</v>
      </c>
      <c r="AP88" s="64">
        <f t="shared" si="457"/>
        <v>0</v>
      </c>
      <c r="AQ88" s="65">
        <f t="shared" si="457"/>
        <v>0</v>
      </c>
      <c r="AR88" s="66">
        <f t="shared" si="457"/>
        <v>0</v>
      </c>
      <c r="AS88" s="31" t="str">
        <f t="shared" si="395"/>
        <v>SimulationStorage,1,</v>
      </c>
      <c r="AT88" s="31" t="str">
        <f t="shared" si="396"/>
        <v>AnalysisStorage,1,</v>
      </c>
      <c r="AU88" s="31" t="str">
        <f t="shared" si="397"/>
        <v>LogRuleEvaluation,0,</v>
      </c>
      <c r="AV88" s="31" t="str">
        <f t="shared" si="398"/>
        <v>ParallelSimulations,1,</v>
      </c>
      <c r="AW88" s="31" t="str">
        <f t="shared" si="399"/>
        <v>DurationStats,0,</v>
      </c>
      <c r="AX88" s="31" t="str">
        <f t="shared" si="400"/>
        <v>AnalysisThruStep,8,</v>
      </c>
      <c r="AY88" s="31" t="str">
        <f t="shared" si="401"/>
        <v>DontAbortOnErrorsThruStep,8,</v>
      </c>
      <c r="AZ88" s="31" t="str">
        <f t="shared" si="402"/>
        <v>BypassValidFileChecks,1,</v>
      </c>
      <c r="BA88" s="31" t="str">
        <f t="shared" si="403"/>
        <v>BypassInputChecks,0,</v>
      </c>
      <c r="BB88" s="31" t="str">
        <f t="shared" si="404"/>
        <v>BypassUMLHChecks,0,</v>
      </c>
      <c r="BC88" s="31" t="str">
        <f t="shared" si="405"/>
        <v>BypassCheckSimRules,0,</v>
      </c>
      <c r="BD88" s="31" t="str">
        <f t="shared" si="406"/>
        <v>BypassCheckCodeRules,0,</v>
      </c>
      <c r="BE88" s="31" t="str">
        <f t="shared" si="407"/>
        <v>StoreResultsToModelInput,0,</v>
      </c>
      <c r="BF88" s="31" t="str">
        <f t="shared" si="408"/>
        <v>StoreBEMDetails,0,</v>
      </c>
      <c r="BG88" s="31" t="str">
        <f t="shared" si="409"/>
        <v>ModelRpt_ALL,0,</v>
      </c>
      <c r="BH88" s="31" t="str">
        <f t="shared" si="410"/>
        <v>ExportHourlyResults_All,0,</v>
      </c>
      <c r="BI88" s="31" t="str">
        <f t="shared" si="411"/>
        <v>ComplianceReportPDF,0,</v>
      </c>
      <c r="BJ88" s="31" t="str">
        <f t="shared" si="412"/>
        <v>ComplianceReportXML,0,</v>
      </c>
      <c r="BK88" s="31" t="str">
        <f t="shared" si="413"/>
        <v>QuickAnalysis,0,</v>
      </c>
      <c r="BL88" s="31" t="str">
        <f t="shared" si="413"/>
        <v>PromptUserUMLHWarning,0,</v>
      </c>
      <c r="BM88" s="31" t="str">
        <f t="shared" si="414"/>
        <v>BypassOpenStudio_all,0,</v>
      </c>
      <c r="BN88" s="31" t="str">
        <f t="shared" si="415"/>
        <v>BypassOpenStudio_zp,0,</v>
      </c>
      <c r="BO88" s="31" t="str">
        <f t="shared" si="416"/>
        <v>BypassOpenStudio_zb,0,</v>
      </c>
      <c r="BP88" s="31" t="str">
        <f t="shared" si="417"/>
        <v>BypassOpenStudio_ap,0,</v>
      </c>
      <c r="BQ88" s="31" t="str">
        <f t="shared" si="418"/>
        <v>BypassOpenStudio_ab,0,</v>
      </c>
      <c r="BR88" s="31" t="str">
        <f t="shared" si="419"/>
        <v>BypassOpenStudio_zp,0,</v>
      </c>
      <c r="BS88" s="31" t="str">
        <f t="shared" si="420"/>
        <v>BypassOpenStudio_zb,0,</v>
      </c>
      <c r="BT88" s="31" t="str">
        <f t="shared" si="421"/>
        <v>BypassOpenStudio_ap,0,</v>
      </c>
      <c r="BU88" s="31" t="str">
        <f t="shared" si="422"/>
        <v>BypassOpenStudio_ab,0,</v>
      </c>
    </row>
    <row r="89" spans="1:73" x14ac:dyDescent="0.25">
      <c r="A89" s="39">
        <f t="shared" si="391"/>
        <v>1</v>
      </c>
      <c r="B89" s="27" t="str">
        <f t="shared" si="423"/>
        <v>RulesetImplementationTests\030006-OffMed-Run04\030006-OffMed-Run04.cibd</v>
      </c>
      <c r="C89" s="27" t="str">
        <f t="shared" si="424"/>
        <v>BatchOut_160331_r3964_RIc\030006-OffMed-Run04.cibd</v>
      </c>
      <c r="D89" s="27" t="str">
        <f t="shared" si="425"/>
        <v>BatchOut_160331_r3964_RIc\XML\</v>
      </c>
      <c r="E89" s="9" t="str">
        <f t="shared" si="426"/>
        <v>030006-Run04</v>
      </c>
      <c r="F89" s="22"/>
      <c r="G89" s="29"/>
      <c r="H89" s="23" t="str">
        <f>IF(F89&gt;1,1,"")</f>
        <v/>
      </c>
      <c r="I89" s="9" t="s">
        <v>11</v>
      </c>
      <c r="J89"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9" s="15" t="s">
        <v>1</v>
      </c>
      <c r="L89" s="36">
        <f t="shared" si="438"/>
        <v>1</v>
      </c>
      <c r="M89" s="32" t="str">
        <f t="shared" si="458"/>
        <v>030006-Run04</v>
      </c>
      <c r="N89" s="28" t="s">
        <v>129</v>
      </c>
      <c r="O89" s="57" t="str">
        <f t="shared" si="393"/>
        <v>030006-OffMed-Run04</v>
      </c>
      <c r="P89" s="63">
        <f t="shared" si="439"/>
        <v>1</v>
      </c>
      <c r="Q89" s="65">
        <f t="shared" si="440"/>
        <v>1</v>
      </c>
      <c r="R89" s="65">
        <f t="shared" si="441"/>
        <v>0</v>
      </c>
      <c r="S89" s="65">
        <f t="shared" si="442"/>
        <v>1</v>
      </c>
      <c r="T89" s="65">
        <f t="shared" si="443"/>
        <v>0</v>
      </c>
      <c r="U89" s="65">
        <f t="shared" si="444"/>
        <v>8</v>
      </c>
      <c r="V89" s="65">
        <f t="shared" si="444"/>
        <v>8</v>
      </c>
      <c r="W89" s="65">
        <f t="shared" si="445"/>
        <v>1</v>
      </c>
      <c r="X89" s="65">
        <f t="shared" si="445"/>
        <v>0</v>
      </c>
      <c r="Y89" s="65">
        <f t="shared" si="445"/>
        <v>0</v>
      </c>
      <c r="Z89" s="65">
        <f t="shared" si="446"/>
        <v>0</v>
      </c>
      <c r="AA89" s="65">
        <f t="shared" si="447"/>
        <v>0</v>
      </c>
      <c r="AB89" s="65">
        <f t="shared" si="447"/>
        <v>0</v>
      </c>
      <c r="AC89" s="65">
        <f t="shared" si="432"/>
        <v>0</v>
      </c>
      <c r="AD89" s="61">
        <f t="shared" si="432"/>
        <v>0</v>
      </c>
      <c r="AE89" s="61">
        <f t="shared" ref="AE89:AF89" si="483">AE88</f>
        <v>0</v>
      </c>
      <c r="AF89" s="61">
        <f t="shared" si="483"/>
        <v>0</v>
      </c>
      <c r="AG89" s="61">
        <f t="shared" ref="AG89:AH89" si="484">AG88</f>
        <v>0</v>
      </c>
      <c r="AH89" s="61">
        <f t="shared" si="484"/>
        <v>0</v>
      </c>
      <c r="AI89" s="61">
        <f t="shared" ref="AI89" si="485">AI88</f>
        <v>0</v>
      </c>
      <c r="AJ89" s="63">
        <f t="shared" si="451"/>
        <v>0</v>
      </c>
      <c r="AK89" s="64">
        <f t="shared" si="452"/>
        <v>0</v>
      </c>
      <c r="AL89" s="64">
        <f t="shared" si="453"/>
        <v>0</v>
      </c>
      <c r="AM89" s="64">
        <f t="shared" si="454"/>
        <v>0</v>
      </c>
      <c r="AN89" s="66">
        <f t="shared" si="455"/>
        <v>0</v>
      </c>
      <c r="AO89" s="63">
        <f t="shared" si="456"/>
        <v>0</v>
      </c>
      <c r="AP89" s="64">
        <f t="shared" si="457"/>
        <v>0</v>
      </c>
      <c r="AQ89" s="65">
        <f t="shared" si="457"/>
        <v>0</v>
      </c>
      <c r="AR89" s="66">
        <f t="shared" si="457"/>
        <v>0</v>
      </c>
      <c r="AS89" s="31" t="str">
        <f t="shared" si="395"/>
        <v>SimulationStorage,1,</v>
      </c>
      <c r="AT89" s="31" t="str">
        <f t="shared" si="396"/>
        <v>AnalysisStorage,1,</v>
      </c>
      <c r="AU89" s="31" t="str">
        <f t="shared" si="397"/>
        <v>LogRuleEvaluation,0,</v>
      </c>
      <c r="AV89" s="31" t="str">
        <f t="shared" si="398"/>
        <v>ParallelSimulations,1,</v>
      </c>
      <c r="AW89" s="31" t="str">
        <f t="shared" si="399"/>
        <v>DurationStats,0,</v>
      </c>
      <c r="AX89" s="31" t="str">
        <f t="shared" si="400"/>
        <v>AnalysisThruStep,8,</v>
      </c>
      <c r="AY89" s="31" t="str">
        <f t="shared" si="401"/>
        <v>DontAbortOnErrorsThruStep,8,</v>
      </c>
      <c r="AZ89" s="31" t="str">
        <f t="shared" si="402"/>
        <v>BypassValidFileChecks,1,</v>
      </c>
      <c r="BA89" s="31" t="str">
        <f t="shared" si="403"/>
        <v>BypassInputChecks,0,</v>
      </c>
      <c r="BB89" s="31" t="str">
        <f t="shared" si="404"/>
        <v>BypassUMLHChecks,0,</v>
      </c>
      <c r="BC89" s="31" t="str">
        <f t="shared" si="405"/>
        <v>BypassCheckSimRules,0,</v>
      </c>
      <c r="BD89" s="31" t="str">
        <f t="shared" si="406"/>
        <v>BypassCheckCodeRules,0,</v>
      </c>
      <c r="BE89" s="31" t="str">
        <f t="shared" si="407"/>
        <v>StoreResultsToModelInput,0,</v>
      </c>
      <c r="BF89" s="31" t="str">
        <f t="shared" si="408"/>
        <v>StoreBEMDetails,0,</v>
      </c>
      <c r="BG89" s="31" t="str">
        <f t="shared" si="409"/>
        <v>ModelRpt_ALL,0,</v>
      </c>
      <c r="BH89" s="31" t="str">
        <f t="shared" si="410"/>
        <v>ExportHourlyResults_All,0,</v>
      </c>
      <c r="BI89" s="31" t="str">
        <f t="shared" si="411"/>
        <v>ComplianceReportPDF,0,</v>
      </c>
      <c r="BJ89" s="31" t="str">
        <f t="shared" si="412"/>
        <v>ComplianceReportXML,0,</v>
      </c>
      <c r="BK89" s="31" t="str">
        <f t="shared" si="413"/>
        <v>QuickAnalysis,0,</v>
      </c>
      <c r="BL89" s="31" t="str">
        <f t="shared" si="413"/>
        <v>PromptUserUMLHWarning,0,</v>
      </c>
      <c r="BM89" s="31" t="str">
        <f t="shared" si="414"/>
        <v>BypassOpenStudio_all,0,</v>
      </c>
      <c r="BN89" s="31" t="str">
        <f t="shared" si="415"/>
        <v>BypassOpenStudio_zp,0,</v>
      </c>
      <c r="BO89" s="31" t="str">
        <f t="shared" si="416"/>
        <v>BypassOpenStudio_zb,0,</v>
      </c>
      <c r="BP89" s="31" t="str">
        <f t="shared" si="417"/>
        <v>BypassOpenStudio_ap,0,</v>
      </c>
      <c r="BQ89" s="31" t="str">
        <f t="shared" si="418"/>
        <v>BypassOpenStudio_ab,0,</v>
      </c>
      <c r="BR89" s="31" t="str">
        <f t="shared" si="419"/>
        <v>BypassOpenStudio_zp,0,</v>
      </c>
      <c r="BS89" s="31" t="str">
        <f t="shared" si="420"/>
        <v>BypassOpenStudio_zb,0,</v>
      </c>
      <c r="BT89" s="31" t="str">
        <f t="shared" si="421"/>
        <v>BypassOpenStudio_ap,0,</v>
      </c>
      <c r="BU89" s="31" t="str">
        <f t="shared" si="422"/>
        <v>BypassOpenStudio_ab,0,</v>
      </c>
    </row>
    <row r="90" spans="1:73" x14ac:dyDescent="0.25">
      <c r="A90" s="39">
        <f t="shared" si="391"/>
        <v>1</v>
      </c>
      <c r="B90" s="27" t="str">
        <f t="shared" si="423"/>
        <v>RulesetImplementationTests\030006-OffMed-Run12\030006-OffMed-Run12.cibd</v>
      </c>
      <c r="C90" s="27" t="str">
        <f t="shared" si="424"/>
        <v>BatchOut_160331_r3964_RIc\030006-OffMed-Run12.cibd</v>
      </c>
      <c r="D90" s="27" t="str">
        <f t="shared" si="425"/>
        <v>BatchOut_160331_r3964_RIc\XML\</v>
      </c>
      <c r="E90" s="9" t="str">
        <f t="shared" si="426"/>
        <v>030006-Run12</v>
      </c>
      <c r="F90" s="22"/>
      <c r="G90" s="29"/>
      <c r="H90" s="23" t="str">
        <f>IF(F90&gt;1,1,"")</f>
        <v/>
      </c>
      <c r="I90" s="9" t="s">
        <v>11</v>
      </c>
      <c r="J90"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0" s="15" t="s">
        <v>1</v>
      </c>
      <c r="L90" s="36">
        <f t="shared" si="438"/>
        <v>1</v>
      </c>
      <c r="M90" s="32" t="str">
        <f t="shared" si="458"/>
        <v>030006-Run12</v>
      </c>
      <c r="N90" s="28" t="s">
        <v>135</v>
      </c>
      <c r="O90" s="57" t="str">
        <f t="shared" si="393"/>
        <v>030006-OffMed-Run12</v>
      </c>
      <c r="P90" s="63">
        <f t="shared" si="439"/>
        <v>1</v>
      </c>
      <c r="Q90" s="65">
        <f t="shared" si="440"/>
        <v>1</v>
      </c>
      <c r="R90" s="65">
        <f t="shared" si="441"/>
        <v>0</v>
      </c>
      <c r="S90" s="65">
        <f t="shared" si="442"/>
        <v>1</v>
      </c>
      <c r="T90" s="65">
        <f t="shared" si="443"/>
        <v>0</v>
      </c>
      <c r="U90" s="65">
        <f t="shared" si="444"/>
        <v>8</v>
      </c>
      <c r="V90" s="65">
        <f t="shared" si="444"/>
        <v>8</v>
      </c>
      <c r="W90" s="65">
        <f t="shared" si="445"/>
        <v>1</v>
      </c>
      <c r="X90" s="65">
        <f t="shared" si="445"/>
        <v>0</v>
      </c>
      <c r="Y90" s="65">
        <f t="shared" si="445"/>
        <v>0</v>
      </c>
      <c r="Z90" s="65">
        <f t="shared" si="446"/>
        <v>0</v>
      </c>
      <c r="AA90" s="65">
        <f t="shared" si="447"/>
        <v>0</v>
      </c>
      <c r="AB90" s="65">
        <f t="shared" si="447"/>
        <v>0</v>
      </c>
      <c r="AC90" s="65">
        <f t="shared" si="432"/>
        <v>0</v>
      </c>
      <c r="AD90" s="61">
        <f t="shared" si="432"/>
        <v>0</v>
      </c>
      <c r="AE90" s="61">
        <f t="shared" ref="AE90:AF90" si="486">AE89</f>
        <v>0</v>
      </c>
      <c r="AF90" s="61">
        <f t="shared" si="486"/>
        <v>0</v>
      </c>
      <c r="AG90" s="61">
        <f t="shared" ref="AG90:AH90" si="487">AG89</f>
        <v>0</v>
      </c>
      <c r="AH90" s="61">
        <f t="shared" si="487"/>
        <v>0</v>
      </c>
      <c r="AI90" s="61">
        <f t="shared" ref="AI90" si="488">AI89</f>
        <v>0</v>
      </c>
      <c r="AJ90" s="63">
        <f t="shared" si="451"/>
        <v>0</v>
      </c>
      <c r="AK90" s="64">
        <f t="shared" si="452"/>
        <v>0</v>
      </c>
      <c r="AL90" s="64">
        <f t="shared" si="453"/>
        <v>0</v>
      </c>
      <c r="AM90" s="64">
        <f t="shared" si="454"/>
        <v>0</v>
      </c>
      <c r="AN90" s="66">
        <f t="shared" si="455"/>
        <v>0</v>
      </c>
      <c r="AO90" s="63">
        <f t="shared" si="456"/>
        <v>0</v>
      </c>
      <c r="AP90" s="64">
        <f t="shared" si="457"/>
        <v>0</v>
      </c>
      <c r="AQ90" s="65">
        <f t="shared" si="457"/>
        <v>0</v>
      </c>
      <c r="AR90" s="66">
        <f t="shared" si="457"/>
        <v>0</v>
      </c>
      <c r="AS90" s="31" t="str">
        <f t="shared" si="395"/>
        <v>SimulationStorage,1,</v>
      </c>
      <c r="AT90" s="31" t="str">
        <f t="shared" si="396"/>
        <v>AnalysisStorage,1,</v>
      </c>
      <c r="AU90" s="31" t="str">
        <f t="shared" si="397"/>
        <v>LogRuleEvaluation,0,</v>
      </c>
      <c r="AV90" s="31" t="str">
        <f t="shared" si="398"/>
        <v>ParallelSimulations,1,</v>
      </c>
      <c r="AW90" s="31" t="str">
        <f t="shared" si="399"/>
        <v>DurationStats,0,</v>
      </c>
      <c r="AX90" s="31" t="str">
        <f t="shared" si="400"/>
        <v>AnalysisThruStep,8,</v>
      </c>
      <c r="AY90" s="31" t="str">
        <f t="shared" si="401"/>
        <v>DontAbortOnErrorsThruStep,8,</v>
      </c>
      <c r="AZ90" s="31" t="str">
        <f t="shared" si="402"/>
        <v>BypassValidFileChecks,1,</v>
      </c>
      <c r="BA90" s="31" t="str">
        <f t="shared" si="403"/>
        <v>BypassInputChecks,0,</v>
      </c>
      <c r="BB90" s="31" t="str">
        <f t="shared" si="404"/>
        <v>BypassUMLHChecks,0,</v>
      </c>
      <c r="BC90" s="31" t="str">
        <f t="shared" si="405"/>
        <v>BypassCheckSimRules,0,</v>
      </c>
      <c r="BD90" s="31" t="str">
        <f t="shared" si="406"/>
        <v>BypassCheckCodeRules,0,</v>
      </c>
      <c r="BE90" s="31" t="str">
        <f t="shared" si="407"/>
        <v>StoreResultsToModelInput,0,</v>
      </c>
      <c r="BF90" s="31" t="str">
        <f t="shared" si="408"/>
        <v>StoreBEMDetails,0,</v>
      </c>
      <c r="BG90" s="31" t="str">
        <f t="shared" si="409"/>
        <v>ModelRpt_ALL,0,</v>
      </c>
      <c r="BH90" s="31" t="str">
        <f t="shared" si="410"/>
        <v>ExportHourlyResults_All,0,</v>
      </c>
      <c r="BI90" s="31" t="str">
        <f t="shared" si="411"/>
        <v>ComplianceReportPDF,0,</v>
      </c>
      <c r="BJ90" s="31" t="str">
        <f t="shared" si="412"/>
        <v>ComplianceReportXML,0,</v>
      </c>
      <c r="BK90" s="31" t="str">
        <f t="shared" si="413"/>
        <v>QuickAnalysis,0,</v>
      </c>
      <c r="BL90" s="31" t="str">
        <f t="shared" si="413"/>
        <v>PromptUserUMLHWarning,0,</v>
      </c>
      <c r="BM90" s="31" t="str">
        <f t="shared" si="414"/>
        <v>BypassOpenStudio_all,0,</v>
      </c>
      <c r="BN90" s="31" t="str">
        <f t="shared" si="415"/>
        <v>BypassOpenStudio_zp,0,</v>
      </c>
      <c r="BO90" s="31" t="str">
        <f t="shared" si="416"/>
        <v>BypassOpenStudio_zb,0,</v>
      </c>
      <c r="BP90" s="31" t="str">
        <f t="shared" si="417"/>
        <v>BypassOpenStudio_ap,0,</v>
      </c>
      <c r="BQ90" s="31" t="str">
        <f t="shared" si="418"/>
        <v>BypassOpenStudio_ab,0,</v>
      </c>
      <c r="BR90" s="31" t="str">
        <f t="shared" si="419"/>
        <v>BypassOpenStudio_zp,0,</v>
      </c>
      <c r="BS90" s="31" t="str">
        <f t="shared" si="420"/>
        <v>BypassOpenStudio_zb,0,</v>
      </c>
      <c r="BT90" s="31" t="str">
        <f t="shared" si="421"/>
        <v>BypassOpenStudio_ap,0,</v>
      </c>
      <c r="BU90" s="31" t="str">
        <f t="shared" si="422"/>
        <v>BypassOpenStudio_ab,0,</v>
      </c>
    </row>
    <row r="91" spans="1:73" x14ac:dyDescent="0.25">
      <c r="A91" s="39">
        <f t="shared" si="391"/>
        <v>1</v>
      </c>
      <c r="B91" s="27" t="str">
        <f t="shared" si="423"/>
        <v>RulesetImplementationTests\030006-OffMed-Run13\030006-OffMed-Run13.cibd</v>
      </c>
      <c r="C91" s="27" t="str">
        <f t="shared" si="424"/>
        <v>BatchOut_160331_r3964_RIc\030006-OffMed-Run13.cibd</v>
      </c>
      <c r="D91" s="27" t="str">
        <f t="shared" si="425"/>
        <v>BatchOut_160331_r3964_RIc\XML\</v>
      </c>
      <c r="E91" s="9" t="str">
        <f t="shared" si="426"/>
        <v>030006-Run13</v>
      </c>
      <c r="F91" s="22"/>
      <c r="G91" s="29"/>
      <c r="H91" s="23"/>
      <c r="I91" s="9" t="s">
        <v>11</v>
      </c>
      <c r="J91"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1" s="15" t="s">
        <v>1</v>
      </c>
      <c r="L91" s="36">
        <f t="shared" si="438"/>
        <v>1</v>
      </c>
      <c r="M91" s="32" t="str">
        <f>LEFT(N91,SEARCH("-",N91))&amp;RIGHT(N91,5)</f>
        <v>030006-Run13</v>
      </c>
      <c r="N91" s="28" t="s">
        <v>136</v>
      </c>
      <c r="O91" s="57" t="str">
        <f>N91</f>
        <v>030006-OffMed-Run13</v>
      </c>
      <c r="P91" s="63">
        <f t="shared" si="439"/>
        <v>1</v>
      </c>
      <c r="Q91" s="65">
        <f t="shared" si="440"/>
        <v>1</v>
      </c>
      <c r="R91" s="65">
        <f t="shared" si="441"/>
        <v>0</v>
      </c>
      <c r="S91" s="65">
        <f t="shared" si="442"/>
        <v>1</v>
      </c>
      <c r="T91" s="65">
        <f t="shared" si="443"/>
        <v>0</v>
      </c>
      <c r="U91" s="65">
        <f t="shared" si="444"/>
        <v>8</v>
      </c>
      <c r="V91" s="65">
        <f t="shared" si="444"/>
        <v>8</v>
      </c>
      <c r="W91" s="65">
        <f t="shared" si="445"/>
        <v>1</v>
      </c>
      <c r="X91" s="65">
        <f t="shared" si="445"/>
        <v>0</v>
      </c>
      <c r="Y91" s="65">
        <f t="shared" si="445"/>
        <v>0</v>
      </c>
      <c r="Z91" s="65">
        <f t="shared" si="446"/>
        <v>0</v>
      </c>
      <c r="AA91" s="65">
        <f t="shared" si="447"/>
        <v>0</v>
      </c>
      <c r="AB91" s="65">
        <f t="shared" si="447"/>
        <v>0</v>
      </c>
      <c r="AC91" s="65">
        <f t="shared" si="432"/>
        <v>0</v>
      </c>
      <c r="AD91" s="61">
        <f t="shared" si="432"/>
        <v>0</v>
      </c>
      <c r="AE91" s="61">
        <f t="shared" ref="AE91:AF91" si="489">AE90</f>
        <v>0</v>
      </c>
      <c r="AF91" s="61">
        <f t="shared" si="489"/>
        <v>0</v>
      </c>
      <c r="AG91" s="61">
        <f t="shared" ref="AG91:AH91" si="490">AG90</f>
        <v>0</v>
      </c>
      <c r="AH91" s="61">
        <f t="shared" si="490"/>
        <v>0</v>
      </c>
      <c r="AI91" s="61">
        <f t="shared" ref="AI91" si="491">AI90</f>
        <v>0</v>
      </c>
      <c r="AJ91" s="63">
        <f t="shared" si="451"/>
        <v>0</v>
      </c>
      <c r="AK91" s="64">
        <f t="shared" si="452"/>
        <v>0</v>
      </c>
      <c r="AL91" s="64">
        <f t="shared" si="453"/>
        <v>0</v>
      </c>
      <c r="AM91" s="64">
        <f t="shared" si="454"/>
        <v>0</v>
      </c>
      <c r="AN91" s="66">
        <f t="shared" si="455"/>
        <v>0</v>
      </c>
      <c r="AO91" s="63">
        <f t="shared" si="456"/>
        <v>0</v>
      </c>
      <c r="AP91" s="64">
        <f t="shared" si="457"/>
        <v>0</v>
      </c>
      <c r="AQ91" s="65">
        <f t="shared" si="457"/>
        <v>0</v>
      </c>
      <c r="AR91" s="66">
        <f t="shared" si="457"/>
        <v>0</v>
      </c>
      <c r="AS91" s="31" t="str">
        <f t="shared" si="395"/>
        <v>SimulationStorage,1,</v>
      </c>
      <c r="AT91" s="31" t="str">
        <f t="shared" si="396"/>
        <v>AnalysisStorage,1,</v>
      </c>
      <c r="AU91" s="31" t="str">
        <f t="shared" si="397"/>
        <v>LogRuleEvaluation,0,</v>
      </c>
      <c r="AV91" s="31" t="str">
        <f t="shared" si="398"/>
        <v>ParallelSimulations,1,</v>
      </c>
      <c r="AW91" s="31" t="str">
        <f t="shared" si="399"/>
        <v>DurationStats,0,</v>
      </c>
      <c r="AX91" s="31" t="str">
        <f t="shared" si="400"/>
        <v>AnalysisThruStep,8,</v>
      </c>
      <c r="AY91" s="31" t="str">
        <f t="shared" si="401"/>
        <v>DontAbortOnErrorsThruStep,8,</v>
      </c>
      <c r="AZ91" s="31" t="str">
        <f t="shared" si="402"/>
        <v>BypassValidFileChecks,1,</v>
      </c>
      <c r="BA91" s="31" t="str">
        <f t="shared" si="403"/>
        <v>BypassInputChecks,0,</v>
      </c>
      <c r="BB91" s="31" t="str">
        <f t="shared" si="404"/>
        <v>BypassUMLHChecks,0,</v>
      </c>
      <c r="BC91" s="31" t="str">
        <f t="shared" si="405"/>
        <v>BypassCheckSimRules,0,</v>
      </c>
      <c r="BD91" s="31" t="str">
        <f t="shared" si="406"/>
        <v>BypassCheckCodeRules,0,</v>
      </c>
      <c r="BE91" s="31" t="str">
        <f t="shared" si="407"/>
        <v>StoreResultsToModelInput,0,</v>
      </c>
      <c r="BF91" s="31" t="str">
        <f t="shared" si="408"/>
        <v>StoreBEMDetails,0,</v>
      </c>
      <c r="BG91" s="31" t="str">
        <f t="shared" si="409"/>
        <v>ModelRpt_ALL,0,</v>
      </c>
      <c r="BH91" s="31" t="str">
        <f t="shared" si="410"/>
        <v>ExportHourlyResults_All,0,</v>
      </c>
      <c r="BI91" s="31" t="str">
        <f t="shared" si="411"/>
        <v>ComplianceReportPDF,0,</v>
      </c>
      <c r="BJ91" s="31" t="str">
        <f t="shared" si="412"/>
        <v>ComplianceReportXML,0,</v>
      </c>
      <c r="BK91" s="31" t="str">
        <f t="shared" si="413"/>
        <v>QuickAnalysis,0,</v>
      </c>
      <c r="BL91" s="31" t="str">
        <f t="shared" si="413"/>
        <v>PromptUserUMLHWarning,0,</v>
      </c>
      <c r="BM91" s="31" t="str">
        <f t="shared" si="414"/>
        <v>BypassOpenStudio_all,0,</v>
      </c>
      <c r="BN91" s="31" t="str">
        <f t="shared" si="415"/>
        <v>BypassOpenStudio_zp,0,</v>
      </c>
      <c r="BO91" s="31" t="str">
        <f t="shared" si="416"/>
        <v>BypassOpenStudio_zb,0,</v>
      </c>
      <c r="BP91" s="31" t="str">
        <f t="shared" si="417"/>
        <v>BypassOpenStudio_ap,0,</v>
      </c>
      <c r="BQ91" s="31" t="str">
        <f t="shared" si="418"/>
        <v>BypassOpenStudio_ab,0,</v>
      </c>
      <c r="BR91" s="31" t="str">
        <f t="shared" si="419"/>
        <v>BypassOpenStudio_zp,0,</v>
      </c>
      <c r="BS91" s="31" t="str">
        <f t="shared" si="420"/>
        <v>BypassOpenStudio_zb,0,</v>
      </c>
      <c r="BT91" s="31" t="str">
        <f t="shared" si="421"/>
        <v>BypassOpenStudio_ap,0,</v>
      </c>
      <c r="BU91" s="31" t="str">
        <f t="shared" si="422"/>
        <v>BypassOpenStudio_ab,0,</v>
      </c>
    </row>
    <row r="92" spans="1:73" x14ac:dyDescent="0.25">
      <c r="A92" s="39">
        <f t="shared" si="391"/>
        <v>1</v>
      </c>
      <c r="B92" s="27" t="str">
        <f t="shared" si="423"/>
        <v>RulesetImplementationTests\030006-OffMed-Run19\030006-OffMed-Run19.cibd</v>
      </c>
      <c r="C92" s="27" t="str">
        <f t="shared" si="424"/>
        <v>BatchOut_160331_r3964_RIc\030006-OffMed-Run19.cibd</v>
      </c>
      <c r="D92" s="27" t="str">
        <f t="shared" si="425"/>
        <v>BatchOut_160331_r3964_RIc\XML\</v>
      </c>
      <c r="E92" s="9" t="str">
        <f t="shared" si="426"/>
        <v>030006-Run19</v>
      </c>
      <c r="F92" s="22"/>
      <c r="G92" s="29"/>
      <c r="H92" s="23"/>
      <c r="I92" s="9" t="s">
        <v>11</v>
      </c>
      <c r="J92"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2" s="15" t="s">
        <v>1</v>
      </c>
      <c r="L92" s="36">
        <f t="shared" si="438"/>
        <v>1</v>
      </c>
      <c r="M92" s="32" t="str">
        <f>LEFT(N92,SEARCH("-",N92))&amp;RIGHT(N92,5)</f>
        <v>030006-Run19</v>
      </c>
      <c r="N92" s="28" t="s">
        <v>204</v>
      </c>
      <c r="O92" s="57" t="str">
        <f>N92</f>
        <v>030006-OffMed-Run19</v>
      </c>
      <c r="P92" s="63">
        <f t="shared" si="439"/>
        <v>1</v>
      </c>
      <c r="Q92" s="65">
        <f t="shared" si="440"/>
        <v>1</v>
      </c>
      <c r="R92" s="65">
        <f t="shared" si="441"/>
        <v>0</v>
      </c>
      <c r="S92" s="65">
        <f t="shared" si="442"/>
        <v>1</v>
      </c>
      <c r="T92" s="65">
        <f t="shared" si="443"/>
        <v>0</v>
      </c>
      <c r="U92" s="65">
        <f t="shared" si="444"/>
        <v>8</v>
      </c>
      <c r="V92" s="65">
        <f t="shared" si="444"/>
        <v>8</v>
      </c>
      <c r="W92" s="65">
        <f t="shared" si="445"/>
        <v>1</v>
      </c>
      <c r="X92" s="65">
        <f t="shared" si="445"/>
        <v>0</v>
      </c>
      <c r="Y92" s="65">
        <f t="shared" si="445"/>
        <v>0</v>
      </c>
      <c r="Z92" s="65">
        <f t="shared" si="446"/>
        <v>0</v>
      </c>
      <c r="AA92" s="65">
        <f t="shared" si="447"/>
        <v>0</v>
      </c>
      <c r="AB92" s="65">
        <f t="shared" si="447"/>
        <v>0</v>
      </c>
      <c r="AC92" s="65">
        <f t="shared" si="432"/>
        <v>0</v>
      </c>
      <c r="AD92" s="61">
        <f t="shared" si="432"/>
        <v>0</v>
      </c>
      <c r="AE92" s="61">
        <f t="shared" ref="AE92:AF92" si="492">AE91</f>
        <v>0</v>
      </c>
      <c r="AF92" s="61">
        <f t="shared" si="492"/>
        <v>0</v>
      </c>
      <c r="AG92" s="61">
        <f t="shared" ref="AG92:AH92" si="493">AG91</f>
        <v>0</v>
      </c>
      <c r="AH92" s="61">
        <f t="shared" si="493"/>
        <v>0</v>
      </c>
      <c r="AI92" s="61">
        <f t="shared" ref="AI92" si="494">AI91</f>
        <v>0</v>
      </c>
      <c r="AJ92" s="63">
        <f t="shared" si="451"/>
        <v>0</v>
      </c>
      <c r="AK92" s="64">
        <f t="shared" si="452"/>
        <v>0</v>
      </c>
      <c r="AL92" s="64">
        <f t="shared" si="453"/>
        <v>0</v>
      </c>
      <c r="AM92" s="64">
        <f t="shared" si="454"/>
        <v>0</v>
      </c>
      <c r="AN92" s="66">
        <f t="shared" si="455"/>
        <v>0</v>
      </c>
      <c r="AO92" s="63">
        <f t="shared" si="456"/>
        <v>0</v>
      </c>
      <c r="AP92" s="64">
        <f t="shared" si="457"/>
        <v>0</v>
      </c>
      <c r="AQ92" s="65">
        <f t="shared" si="457"/>
        <v>0</v>
      </c>
      <c r="AR92" s="66">
        <f t="shared" si="457"/>
        <v>0</v>
      </c>
      <c r="AS92" s="31" t="str">
        <f t="shared" si="395"/>
        <v>SimulationStorage,1,</v>
      </c>
      <c r="AT92" s="31" t="str">
        <f t="shared" si="396"/>
        <v>AnalysisStorage,1,</v>
      </c>
      <c r="AU92" s="31" t="str">
        <f t="shared" si="397"/>
        <v>LogRuleEvaluation,0,</v>
      </c>
      <c r="AV92" s="31" t="str">
        <f t="shared" si="398"/>
        <v>ParallelSimulations,1,</v>
      </c>
      <c r="AW92" s="31" t="str">
        <f t="shared" si="399"/>
        <v>DurationStats,0,</v>
      </c>
      <c r="AX92" s="31" t="str">
        <f t="shared" si="400"/>
        <v>AnalysisThruStep,8,</v>
      </c>
      <c r="AY92" s="31" t="str">
        <f t="shared" si="401"/>
        <v>DontAbortOnErrorsThruStep,8,</v>
      </c>
      <c r="AZ92" s="31" t="str">
        <f t="shared" si="402"/>
        <v>BypassValidFileChecks,1,</v>
      </c>
      <c r="BA92" s="31" t="str">
        <f t="shared" si="403"/>
        <v>BypassInputChecks,0,</v>
      </c>
      <c r="BB92" s="31" t="str">
        <f t="shared" si="404"/>
        <v>BypassUMLHChecks,0,</v>
      </c>
      <c r="BC92" s="31" t="str">
        <f t="shared" si="405"/>
        <v>BypassCheckSimRules,0,</v>
      </c>
      <c r="BD92" s="31" t="str">
        <f t="shared" si="406"/>
        <v>BypassCheckCodeRules,0,</v>
      </c>
      <c r="BE92" s="31" t="str">
        <f t="shared" si="407"/>
        <v>StoreResultsToModelInput,0,</v>
      </c>
      <c r="BF92" s="31" t="str">
        <f t="shared" si="408"/>
        <v>StoreBEMDetails,0,</v>
      </c>
      <c r="BG92" s="31" t="str">
        <f t="shared" si="409"/>
        <v>ModelRpt_ALL,0,</v>
      </c>
      <c r="BH92" s="31" t="str">
        <f t="shared" si="410"/>
        <v>ExportHourlyResults_All,0,</v>
      </c>
      <c r="BI92" s="31" t="str">
        <f t="shared" si="411"/>
        <v>ComplianceReportPDF,0,</v>
      </c>
      <c r="BJ92" s="31" t="str">
        <f t="shared" si="412"/>
        <v>ComplianceReportXML,0,</v>
      </c>
      <c r="BK92" s="31" t="str">
        <f t="shared" si="413"/>
        <v>QuickAnalysis,0,</v>
      </c>
      <c r="BL92" s="31" t="str">
        <f t="shared" si="413"/>
        <v>PromptUserUMLHWarning,0,</v>
      </c>
      <c r="BM92" s="31" t="str">
        <f t="shared" si="414"/>
        <v>BypassOpenStudio_all,0,</v>
      </c>
      <c r="BN92" s="31" t="str">
        <f t="shared" si="415"/>
        <v>BypassOpenStudio_zp,0,</v>
      </c>
      <c r="BO92" s="31" t="str">
        <f t="shared" si="416"/>
        <v>BypassOpenStudio_zb,0,</v>
      </c>
      <c r="BP92" s="31" t="str">
        <f t="shared" si="417"/>
        <v>BypassOpenStudio_ap,0,</v>
      </c>
      <c r="BQ92" s="31" t="str">
        <f t="shared" si="418"/>
        <v>BypassOpenStudio_ab,0,</v>
      </c>
      <c r="BR92" s="31" t="str">
        <f t="shared" si="419"/>
        <v>BypassOpenStudio_zp,0,</v>
      </c>
      <c r="BS92" s="31" t="str">
        <f t="shared" si="420"/>
        <v>BypassOpenStudio_zb,0,</v>
      </c>
      <c r="BT92" s="31" t="str">
        <f t="shared" si="421"/>
        <v>BypassOpenStudio_ap,0,</v>
      </c>
      <c r="BU92" s="31" t="str">
        <f t="shared" si="422"/>
        <v>BypassOpenStudio_ab,0,</v>
      </c>
    </row>
    <row r="93" spans="1:73" x14ac:dyDescent="0.25">
      <c r="A93" s="39">
        <f t="shared" si="391"/>
        <v>1</v>
      </c>
      <c r="B93" s="27" t="str">
        <f t="shared" si="423"/>
        <v>RulesetImplementationTests\030006-OffMed-Run23\030006-OffMed-Run23.cibd</v>
      </c>
      <c r="C93" s="27" t="str">
        <f t="shared" si="424"/>
        <v>BatchOut_160331_r3964_RIc\030006-OffMed-Run23.cibd</v>
      </c>
      <c r="D93" s="27" t="str">
        <f t="shared" si="425"/>
        <v>BatchOut_160331_r3964_RIc\XML\</v>
      </c>
      <c r="E93" s="9" t="str">
        <f t="shared" si="426"/>
        <v>030006-Run23</v>
      </c>
      <c r="F93" s="22"/>
      <c r="G93" s="29"/>
      <c r="H93" s="23"/>
      <c r="I93" s="9" t="s">
        <v>11</v>
      </c>
      <c r="J93"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3" s="15" t="s">
        <v>1</v>
      </c>
      <c r="L93" s="36">
        <f t="shared" si="438"/>
        <v>1</v>
      </c>
      <c r="M93" s="32" t="str">
        <f t="shared" ref="M93:M109" si="495">LEFT(N93,SEARCH("-",N93))&amp;RIGHT(N93,5)</f>
        <v>030006-Run23</v>
      </c>
      <c r="N93" s="28" t="s">
        <v>143</v>
      </c>
      <c r="O93" s="57" t="str">
        <f t="shared" ref="O93:O109" si="496">N93</f>
        <v>030006-OffMed-Run23</v>
      </c>
      <c r="P93" s="63">
        <f t="shared" si="439"/>
        <v>1</v>
      </c>
      <c r="Q93" s="65">
        <f t="shared" si="440"/>
        <v>1</v>
      </c>
      <c r="R93" s="65">
        <f t="shared" si="441"/>
        <v>0</v>
      </c>
      <c r="S93" s="65">
        <f t="shared" si="442"/>
        <v>1</v>
      </c>
      <c r="T93" s="65">
        <f t="shared" si="443"/>
        <v>0</v>
      </c>
      <c r="U93" s="65">
        <f t="shared" si="444"/>
        <v>8</v>
      </c>
      <c r="V93" s="65">
        <f t="shared" si="444"/>
        <v>8</v>
      </c>
      <c r="W93" s="65">
        <f t="shared" si="445"/>
        <v>1</v>
      </c>
      <c r="X93" s="65">
        <f t="shared" si="445"/>
        <v>0</v>
      </c>
      <c r="Y93" s="65">
        <f t="shared" si="445"/>
        <v>0</v>
      </c>
      <c r="Z93" s="65">
        <f t="shared" si="446"/>
        <v>0</v>
      </c>
      <c r="AA93" s="65">
        <f t="shared" si="447"/>
        <v>0</v>
      </c>
      <c r="AB93" s="65">
        <f t="shared" si="447"/>
        <v>0</v>
      </c>
      <c r="AC93" s="65">
        <f t="shared" si="432"/>
        <v>0</v>
      </c>
      <c r="AD93" s="61">
        <f t="shared" si="432"/>
        <v>0</v>
      </c>
      <c r="AE93" s="61">
        <f t="shared" ref="AE93:AF93" si="497">AE92</f>
        <v>0</v>
      </c>
      <c r="AF93" s="61">
        <f t="shared" si="497"/>
        <v>0</v>
      </c>
      <c r="AG93" s="61">
        <f t="shared" ref="AG93:AH93" si="498">AG92</f>
        <v>0</v>
      </c>
      <c r="AH93" s="61">
        <f t="shared" si="498"/>
        <v>0</v>
      </c>
      <c r="AI93" s="61">
        <f t="shared" ref="AI93" si="499">AI92</f>
        <v>0</v>
      </c>
      <c r="AJ93" s="63">
        <f t="shared" si="451"/>
        <v>0</v>
      </c>
      <c r="AK93" s="64">
        <f t="shared" si="452"/>
        <v>0</v>
      </c>
      <c r="AL93" s="64">
        <f t="shared" si="453"/>
        <v>0</v>
      </c>
      <c r="AM93" s="64">
        <f t="shared" si="454"/>
        <v>0</v>
      </c>
      <c r="AN93" s="66">
        <f t="shared" si="455"/>
        <v>0</v>
      </c>
      <c r="AO93" s="63">
        <f t="shared" si="456"/>
        <v>0</v>
      </c>
      <c r="AP93" s="64">
        <f t="shared" si="457"/>
        <v>0</v>
      </c>
      <c r="AQ93" s="65">
        <f t="shared" si="457"/>
        <v>0</v>
      </c>
      <c r="AR93" s="66">
        <f t="shared" si="457"/>
        <v>0</v>
      </c>
      <c r="AS93" s="31" t="str">
        <f t="shared" si="395"/>
        <v>SimulationStorage,1,</v>
      </c>
      <c r="AT93" s="31" t="str">
        <f t="shared" si="396"/>
        <v>AnalysisStorage,1,</v>
      </c>
      <c r="AU93" s="31" t="str">
        <f t="shared" si="397"/>
        <v>LogRuleEvaluation,0,</v>
      </c>
      <c r="AV93" s="31" t="str">
        <f t="shared" si="398"/>
        <v>ParallelSimulations,1,</v>
      </c>
      <c r="AW93" s="31" t="str">
        <f t="shared" si="399"/>
        <v>DurationStats,0,</v>
      </c>
      <c r="AX93" s="31" t="str">
        <f t="shared" si="400"/>
        <v>AnalysisThruStep,8,</v>
      </c>
      <c r="AY93" s="31" t="str">
        <f t="shared" si="401"/>
        <v>DontAbortOnErrorsThruStep,8,</v>
      </c>
      <c r="AZ93" s="31" t="str">
        <f t="shared" si="402"/>
        <v>BypassValidFileChecks,1,</v>
      </c>
      <c r="BA93" s="31" t="str">
        <f t="shared" si="403"/>
        <v>BypassInputChecks,0,</v>
      </c>
      <c r="BB93" s="31" t="str">
        <f t="shared" si="404"/>
        <v>BypassUMLHChecks,0,</v>
      </c>
      <c r="BC93" s="31" t="str">
        <f t="shared" si="405"/>
        <v>BypassCheckSimRules,0,</v>
      </c>
      <c r="BD93" s="31" t="str">
        <f t="shared" si="406"/>
        <v>BypassCheckCodeRules,0,</v>
      </c>
      <c r="BE93" s="31" t="str">
        <f t="shared" si="407"/>
        <v>StoreResultsToModelInput,0,</v>
      </c>
      <c r="BF93" s="31" t="str">
        <f t="shared" si="408"/>
        <v>StoreBEMDetails,0,</v>
      </c>
      <c r="BG93" s="31" t="str">
        <f t="shared" si="409"/>
        <v>ModelRpt_ALL,0,</v>
      </c>
      <c r="BH93" s="31" t="str">
        <f t="shared" si="410"/>
        <v>ExportHourlyResults_All,0,</v>
      </c>
      <c r="BI93" s="31" t="str">
        <f t="shared" si="411"/>
        <v>ComplianceReportPDF,0,</v>
      </c>
      <c r="BJ93" s="31" t="str">
        <f t="shared" si="412"/>
        <v>ComplianceReportXML,0,</v>
      </c>
      <c r="BK93" s="31" t="str">
        <f t="shared" si="413"/>
        <v>QuickAnalysis,0,</v>
      </c>
      <c r="BL93" s="31" t="str">
        <f t="shared" si="413"/>
        <v>PromptUserUMLHWarning,0,</v>
      </c>
      <c r="BM93" s="31" t="str">
        <f t="shared" si="414"/>
        <v>BypassOpenStudio_all,0,</v>
      </c>
      <c r="BN93" s="31" t="str">
        <f t="shared" si="415"/>
        <v>BypassOpenStudio_zp,0,</v>
      </c>
      <c r="BO93" s="31" t="str">
        <f t="shared" si="416"/>
        <v>BypassOpenStudio_zb,0,</v>
      </c>
      <c r="BP93" s="31" t="str">
        <f t="shared" si="417"/>
        <v>BypassOpenStudio_ap,0,</v>
      </c>
      <c r="BQ93" s="31" t="str">
        <f t="shared" si="418"/>
        <v>BypassOpenStudio_ab,0,</v>
      </c>
      <c r="BR93" s="31" t="str">
        <f t="shared" si="419"/>
        <v>BypassOpenStudio_zp,0,</v>
      </c>
      <c r="BS93" s="31" t="str">
        <f t="shared" si="420"/>
        <v>BypassOpenStudio_zb,0,</v>
      </c>
      <c r="BT93" s="31" t="str">
        <f t="shared" si="421"/>
        <v>BypassOpenStudio_ap,0,</v>
      </c>
      <c r="BU93" s="31" t="str">
        <f t="shared" si="422"/>
        <v>BypassOpenStudio_ab,0,</v>
      </c>
    </row>
    <row r="94" spans="1:73" x14ac:dyDescent="0.25">
      <c r="A94" s="39">
        <f t="shared" ref="A94:A106" si="500">L94</f>
        <v>1</v>
      </c>
      <c r="B94" s="27" t="str">
        <f t="shared" ref="B94:B106" si="501">M$74&amp;N94&amp;"\"&amp;N94&amp;".cibd"</f>
        <v>RulesetImplementationTests\030006-OffMed-Run29\030006-OffMed-Run29.cibd</v>
      </c>
      <c r="C94" s="27" t="str">
        <f t="shared" ref="C94:C106" si="502" xml:space="preserve"> M$75 &amp; O94 &amp; ".cibd"</f>
        <v>BatchOut_160331_r3964_RIc\030006-OffMed-Run29.cibd</v>
      </c>
      <c r="D94" s="27" t="str">
        <f t="shared" si="425"/>
        <v>BatchOut_160331_r3964_RIc\XML\</v>
      </c>
      <c r="E94" s="9" t="str">
        <f t="shared" ref="E94:E106" si="503">M94</f>
        <v>030006-Run29</v>
      </c>
      <c r="F94" s="22"/>
      <c r="G94" s="29"/>
      <c r="H94" s="23"/>
      <c r="I94" s="9" t="s">
        <v>11</v>
      </c>
      <c r="J94"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4" s="15" t="s">
        <v>1</v>
      </c>
      <c r="L94" s="36">
        <f t="shared" si="438"/>
        <v>1</v>
      </c>
      <c r="M94" s="32" t="str">
        <f>LEFT(N94,SEARCH("-",N94))&amp;RIGHT(N94,5)</f>
        <v>030006-Run29</v>
      </c>
      <c r="N94" s="28" t="s">
        <v>149</v>
      </c>
      <c r="O94" s="57" t="str">
        <f t="shared" si="496"/>
        <v>030006-OffMed-Run29</v>
      </c>
      <c r="P94" s="63">
        <f t="shared" si="439"/>
        <v>1</v>
      </c>
      <c r="Q94" s="65">
        <f t="shared" si="440"/>
        <v>1</v>
      </c>
      <c r="R94" s="65">
        <f t="shared" si="441"/>
        <v>0</v>
      </c>
      <c r="S94" s="65">
        <f t="shared" si="442"/>
        <v>1</v>
      </c>
      <c r="T94" s="65">
        <f t="shared" si="443"/>
        <v>0</v>
      </c>
      <c r="U94" s="65">
        <f t="shared" si="444"/>
        <v>8</v>
      </c>
      <c r="V94" s="65">
        <f t="shared" si="444"/>
        <v>8</v>
      </c>
      <c r="W94" s="65">
        <f t="shared" si="445"/>
        <v>1</v>
      </c>
      <c r="X94" s="65">
        <f t="shared" si="445"/>
        <v>0</v>
      </c>
      <c r="Y94" s="65">
        <f t="shared" si="445"/>
        <v>0</v>
      </c>
      <c r="Z94" s="65">
        <f t="shared" si="446"/>
        <v>0</v>
      </c>
      <c r="AA94" s="65">
        <f t="shared" si="447"/>
        <v>0</v>
      </c>
      <c r="AB94" s="65">
        <f t="shared" si="447"/>
        <v>0</v>
      </c>
      <c r="AC94" s="65">
        <f t="shared" si="432"/>
        <v>0</v>
      </c>
      <c r="AD94" s="61">
        <f t="shared" si="432"/>
        <v>0</v>
      </c>
      <c r="AE94" s="61">
        <f t="shared" ref="AE94:AF94" si="504">AE93</f>
        <v>0</v>
      </c>
      <c r="AF94" s="61">
        <f t="shared" si="504"/>
        <v>0</v>
      </c>
      <c r="AG94" s="61">
        <f t="shared" ref="AG94:AH94" si="505">AG93</f>
        <v>0</v>
      </c>
      <c r="AH94" s="61">
        <f t="shared" si="505"/>
        <v>0</v>
      </c>
      <c r="AI94" s="61">
        <f t="shared" ref="AI94" si="506">AI93</f>
        <v>0</v>
      </c>
      <c r="AJ94" s="63">
        <f t="shared" si="451"/>
        <v>0</v>
      </c>
      <c r="AK94" s="64">
        <f t="shared" si="452"/>
        <v>0</v>
      </c>
      <c r="AL94" s="64">
        <f t="shared" si="453"/>
        <v>0</v>
      </c>
      <c r="AM94" s="64">
        <f t="shared" si="454"/>
        <v>0</v>
      </c>
      <c r="AN94" s="66">
        <f t="shared" si="455"/>
        <v>0</v>
      </c>
      <c r="AO94" s="63">
        <f t="shared" si="456"/>
        <v>0</v>
      </c>
      <c r="AP94" s="64">
        <f t="shared" si="457"/>
        <v>0</v>
      </c>
      <c r="AQ94" s="65">
        <f t="shared" si="457"/>
        <v>0</v>
      </c>
      <c r="AR94" s="66">
        <f t="shared" si="457"/>
        <v>0</v>
      </c>
      <c r="AS94" s="31" t="str">
        <f t="shared" ref="AS94:AS101" si="507">P$13&amp;P94&amp;","</f>
        <v>SimulationStorage,1,</v>
      </c>
      <c r="AT94" s="31" t="str">
        <f t="shared" ref="AT94:AT101" si="508">Q$13&amp;Q94&amp;","</f>
        <v>AnalysisStorage,1,</v>
      </c>
      <c r="AU94" s="31" t="str">
        <f t="shared" ref="AU94:AU101" si="509">R$13&amp;R94&amp;","</f>
        <v>LogRuleEvaluation,0,</v>
      </c>
      <c r="AV94" s="31" t="str">
        <f t="shared" ref="AV94:AV101" si="510">S$13&amp;S94&amp;","</f>
        <v>ParallelSimulations,1,</v>
      </c>
      <c r="AW94" s="31" t="str">
        <f t="shared" ref="AW94:AW101" si="511">T$13&amp;T94&amp;","</f>
        <v>DurationStats,0,</v>
      </c>
      <c r="AX94" s="31" t="str">
        <f t="shared" ref="AX94:AX101" si="512">U$13&amp;U94&amp;","</f>
        <v>AnalysisThruStep,8,</v>
      </c>
      <c r="AY94" s="31" t="str">
        <f t="shared" ref="AY94:AY101" si="513">V$13&amp;V94&amp;","</f>
        <v>DontAbortOnErrorsThruStep,8,</v>
      </c>
      <c r="AZ94" s="31" t="str">
        <f t="shared" ref="AZ94:AZ101" si="514">W$13&amp;W94&amp;","</f>
        <v>BypassValidFileChecks,1,</v>
      </c>
      <c r="BA94" s="31" t="str">
        <f t="shared" ref="BA94:BA101" si="515">X$13&amp;X94&amp;","</f>
        <v>BypassInputChecks,0,</v>
      </c>
      <c r="BB94" s="31" t="str">
        <f t="shared" ref="BB94:BB101" si="516">Y$13&amp;Y94&amp;","</f>
        <v>BypassUMLHChecks,0,</v>
      </c>
      <c r="BC94" s="31" t="str">
        <f t="shared" ref="BC94:BC101" si="517">Z$13&amp;Z94&amp;","</f>
        <v>BypassCheckSimRules,0,</v>
      </c>
      <c r="BD94" s="31" t="str">
        <f t="shared" ref="BD94:BD101" si="518">AA$13&amp;AA94&amp;","</f>
        <v>BypassCheckCodeRules,0,</v>
      </c>
      <c r="BE94" s="31" t="str">
        <f t="shared" si="407"/>
        <v>StoreResultsToModelInput,0,</v>
      </c>
      <c r="BF94" s="31" t="str">
        <f t="shared" si="408"/>
        <v>StoreBEMDetails,0,</v>
      </c>
      <c r="BG94" s="31" t="str">
        <f t="shared" si="409"/>
        <v>ModelRpt_ALL,0,</v>
      </c>
      <c r="BH94" s="31" t="str">
        <f t="shared" si="410"/>
        <v>ExportHourlyResults_All,0,</v>
      </c>
      <c r="BI94" s="31" t="str">
        <f t="shared" si="411"/>
        <v>ComplianceReportPDF,0,</v>
      </c>
      <c r="BJ94" s="31" t="str">
        <f t="shared" si="412"/>
        <v>ComplianceReportXML,0,</v>
      </c>
      <c r="BK94" s="31" t="str">
        <f t="shared" si="413"/>
        <v>QuickAnalysis,0,</v>
      </c>
      <c r="BL94" s="31" t="str">
        <f t="shared" si="413"/>
        <v>PromptUserUMLHWarning,0,</v>
      </c>
      <c r="BM94" s="31" t="str">
        <f t="shared" si="414"/>
        <v>BypassOpenStudio_all,0,</v>
      </c>
      <c r="BN94" s="31" t="str">
        <f t="shared" si="415"/>
        <v>BypassOpenStudio_zp,0,</v>
      </c>
      <c r="BO94" s="31" t="str">
        <f t="shared" si="416"/>
        <v>BypassOpenStudio_zb,0,</v>
      </c>
      <c r="BP94" s="31" t="str">
        <f t="shared" si="417"/>
        <v>BypassOpenStudio_ap,0,</v>
      </c>
      <c r="BQ94" s="31" t="str">
        <f t="shared" si="418"/>
        <v>BypassOpenStudio_ab,0,</v>
      </c>
      <c r="BR94" s="31" t="str">
        <f t="shared" si="419"/>
        <v>BypassOpenStudio_zp,0,</v>
      </c>
      <c r="BS94" s="31" t="str">
        <f t="shared" si="420"/>
        <v>BypassOpenStudio_zb,0,</v>
      </c>
      <c r="BT94" s="31" t="str">
        <f t="shared" si="421"/>
        <v>BypassOpenStudio_ap,0,</v>
      </c>
      <c r="BU94" s="31" t="str">
        <f t="shared" si="422"/>
        <v>BypassOpenStudio_ab,0,</v>
      </c>
    </row>
    <row r="95" spans="1:73" x14ac:dyDescent="0.25">
      <c r="A95" s="39">
        <f t="shared" si="500"/>
        <v>1</v>
      </c>
      <c r="B95" s="27" t="str">
        <f t="shared" si="501"/>
        <v>RulesetImplementationTests\030006-OffMed-Run30\030006-OffMed-Run30.cibd</v>
      </c>
      <c r="C95" s="27" t="str">
        <f t="shared" si="502"/>
        <v>BatchOut_160331_r3964_RIc\030006-OffMed-Run30.cibd</v>
      </c>
      <c r="D95" s="27" t="str">
        <f t="shared" si="425"/>
        <v>BatchOut_160331_r3964_RIc\XML\</v>
      </c>
      <c r="E95" s="9" t="str">
        <f t="shared" si="503"/>
        <v>030006-Run30</v>
      </c>
      <c r="F95" s="22"/>
      <c r="G95" s="29"/>
      <c r="H95" s="23"/>
      <c r="I95" s="9" t="s">
        <v>11</v>
      </c>
      <c r="J95"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5" s="15" t="s">
        <v>1</v>
      </c>
      <c r="L95" s="36">
        <f t="shared" si="438"/>
        <v>1</v>
      </c>
      <c r="M95" s="32" t="str">
        <f>LEFT(N95,SEARCH("-",N95))&amp;RIGHT(N95,5)</f>
        <v>030006-Run30</v>
      </c>
      <c r="N95" s="28" t="s">
        <v>150</v>
      </c>
      <c r="O95" s="57" t="str">
        <f t="shared" si="496"/>
        <v>030006-OffMed-Run30</v>
      </c>
      <c r="P95" s="63">
        <f t="shared" si="439"/>
        <v>1</v>
      </c>
      <c r="Q95" s="65">
        <f t="shared" si="440"/>
        <v>1</v>
      </c>
      <c r="R95" s="65">
        <f t="shared" si="441"/>
        <v>0</v>
      </c>
      <c r="S95" s="65">
        <f t="shared" si="442"/>
        <v>1</v>
      </c>
      <c r="T95" s="65">
        <f t="shared" si="443"/>
        <v>0</v>
      </c>
      <c r="U95" s="65">
        <f t="shared" si="444"/>
        <v>8</v>
      </c>
      <c r="V95" s="65">
        <f t="shared" si="444"/>
        <v>8</v>
      </c>
      <c r="W95" s="65">
        <f t="shared" si="445"/>
        <v>1</v>
      </c>
      <c r="X95" s="65">
        <f t="shared" si="445"/>
        <v>0</v>
      </c>
      <c r="Y95" s="65">
        <f t="shared" si="445"/>
        <v>0</v>
      </c>
      <c r="Z95" s="65">
        <f t="shared" si="446"/>
        <v>0</v>
      </c>
      <c r="AA95" s="65">
        <f t="shared" si="447"/>
        <v>0</v>
      </c>
      <c r="AB95" s="65">
        <f t="shared" si="447"/>
        <v>0</v>
      </c>
      <c r="AC95" s="65">
        <f t="shared" si="432"/>
        <v>0</v>
      </c>
      <c r="AD95" s="61">
        <f t="shared" si="432"/>
        <v>0</v>
      </c>
      <c r="AE95" s="61">
        <f t="shared" ref="AE95:AF95" si="519">AE94</f>
        <v>0</v>
      </c>
      <c r="AF95" s="61">
        <f t="shared" si="519"/>
        <v>0</v>
      </c>
      <c r="AG95" s="61">
        <f t="shared" ref="AG95:AH95" si="520">AG94</f>
        <v>0</v>
      </c>
      <c r="AH95" s="61">
        <f t="shared" si="520"/>
        <v>0</v>
      </c>
      <c r="AI95" s="61">
        <f t="shared" ref="AI95" si="521">AI94</f>
        <v>0</v>
      </c>
      <c r="AJ95" s="63">
        <f t="shared" si="451"/>
        <v>0</v>
      </c>
      <c r="AK95" s="64">
        <f t="shared" si="452"/>
        <v>0</v>
      </c>
      <c r="AL95" s="64">
        <f t="shared" si="453"/>
        <v>0</v>
      </c>
      <c r="AM95" s="64">
        <f t="shared" si="454"/>
        <v>0</v>
      </c>
      <c r="AN95" s="66">
        <f t="shared" si="455"/>
        <v>0</v>
      </c>
      <c r="AO95" s="63">
        <f t="shared" si="456"/>
        <v>0</v>
      </c>
      <c r="AP95" s="64">
        <f t="shared" si="457"/>
        <v>0</v>
      </c>
      <c r="AQ95" s="65">
        <f t="shared" si="457"/>
        <v>0</v>
      </c>
      <c r="AR95" s="66">
        <f t="shared" si="457"/>
        <v>0</v>
      </c>
      <c r="AS95" s="31" t="str">
        <f t="shared" si="507"/>
        <v>SimulationStorage,1,</v>
      </c>
      <c r="AT95" s="31" t="str">
        <f t="shared" si="508"/>
        <v>AnalysisStorage,1,</v>
      </c>
      <c r="AU95" s="31" t="str">
        <f t="shared" si="509"/>
        <v>LogRuleEvaluation,0,</v>
      </c>
      <c r="AV95" s="31" t="str">
        <f t="shared" si="510"/>
        <v>ParallelSimulations,1,</v>
      </c>
      <c r="AW95" s="31" t="str">
        <f t="shared" si="511"/>
        <v>DurationStats,0,</v>
      </c>
      <c r="AX95" s="31" t="str">
        <f t="shared" si="512"/>
        <v>AnalysisThruStep,8,</v>
      </c>
      <c r="AY95" s="31" t="str">
        <f t="shared" si="513"/>
        <v>DontAbortOnErrorsThruStep,8,</v>
      </c>
      <c r="AZ95" s="31" t="str">
        <f t="shared" si="514"/>
        <v>BypassValidFileChecks,1,</v>
      </c>
      <c r="BA95" s="31" t="str">
        <f t="shared" si="515"/>
        <v>BypassInputChecks,0,</v>
      </c>
      <c r="BB95" s="31" t="str">
        <f t="shared" si="516"/>
        <v>BypassUMLHChecks,0,</v>
      </c>
      <c r="BC95" s="31" t="str">
        <f t="shared" si="517"/>
        <v>BypassCheckSimRules,0,</v>
      </c>
      <c r="BD95" s="31" t="str">
        <f t="shared" si="518"/>
        <v>BypassCheckCodeRules,0,</v>
      </c>
      <c r="BE95" s="31" t="str">
        <f t="shared" si="407"/>
        <v>StoreResultsToModelInput,0,</v>
      </c>
      <c r="BF95" s="31" t="str">
        <f t="shared" si="408"/>
        <v>StoreBEMDetails,0,</v>
      </c>
      <c r="BG95" s="31" t="str">
        <f t="shared" si="409"/>
        <v>ModelRpt_ALL,0,</v>
      </c>
      <c r="BH95" s="31" t="str">
        <f t="shared" si="410"/>
        <v>ExportHourlyResults_All,0,</v>
      </c>
      <c r="BI95" s="31" t="str">
        <f t="shared" si="411"/>
        <v>ComplianceReportPDF,0,</v>
      </c>
      <c r="BJ95" s="31" t="str">
        <f t="shared" si="412"/>
        <v>ComplianceReportXML,0,</v>
      </c>
      <c r="BK95" s="31" t="str">
        <f t="shared" si="413"/>
        <v>QuickAnalysis,0,</v>
      </c>
      <c r="BL95" s="31" t="str">
        <f t="shared" si="413"/>
        <v>PromptUserUMLHWarning,0,</v>
      </c>
      <c r="BM95" s="31" t="str">
        <f t="shared" si="414"/>
        <v>BypassOpenStudio_all,0,</v>
      </c>
      <c r="BN95" s="31" t="str">
        <f t="shared" si="415"/>
        <v>BypassOpenStudio_zp,0,</v>
      </c>
      <c r="BO95" s="31" t="str">
        <f t="shared" si="416"/>
        <v>BypassOpenStudio_zb,0,</v>
      </c>
      <c r="BP95" s="31" t="str">
        <f t="shared" si="417"/>
        <v>BypassOpenStudio_ap,0,</v>
      </c>
      <c r="BQ95" s="31" t="str">
        <f t="shared" si="418"/>
        <v>BypassOpenStudio_ab,0,</v>
      </c>
      <c r="BR95" s="31" t="str">
        <f t="shared" si="419"/>
        <v>BypassOpenStudio_zp,0,</v>
      </c>
      <c r="BS95" s="31" t="str">
        <f t="shared" si="420"/>
        <v>BypassOpenStudio_zb,0,</v>
      </c>
      <c r="BT95" s="31" t="str">
        <f t="shared" si="421"/>
        <v>BypassOpenStudio_ap,0,</v>
      </c>
      <c r="BU95" s="31" t="str">
        <f t="shared" si="422"/>
        <v>BypassOpenStudio_ab,0,</v>
      </c>
    </row>
    <row r="96" spans="1:73" x14ac:dyDescent="0.25">
      <c r="A96" s="39">
        <f t="shared" si="500"/>
        <v>1</v>
      </c>
      <c r="B96" s="27" t="str">
        <f t="shared" si="501"/>
        <v>RulesetImplementationTests\030006S-OffMed-Run04\030006S-OffMed-Run04.cibd</v>
      </c>
      <c r="C96" s="27" t="str">
        <f t="shared" si="502"/>
        <v>BatchOut_160331_r3964_RIc\030006S-OffMed-Run04.cibd</v>
      </c>
      <c r="D96" s="27" t="str">
        <f t="shared" si="425"/>
        <v>BatchOut_160331_r3964_RIc\XML\</v>
      </c>
      <c r="E96" s="9" t="str">
        <f t="shared" si="503"/>
        <v>030006S-Run04</v>
      </c>
      <c r="F96" s="22"/>
      <c r="G96" s="29"/>
      <c r="H96" s="23"/>
      <c r="I96" s="9" t="s">
        <v>11</v>
      </c>
      <c r="J96"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6" s="15" t="s">
        <v>1</v>
      </c>
      <c r="L96" s="36">
        <f t="shared" si="438"/>
        <v>1</v>
      </c>
      <c r="M96" s="32" t="str">
        <f>LEFT(N96,SEARCH("-",N96))&amp;RIGHT(N96,5)</f>
        <v>030006S-Run04</v>
      </c>
      <c r="N96" s="28" t="s">
        <v>180</v>
      </c>
      <c r="O96" s="57" t="str">
        <f t="shared" si="496"/>
        <v>030006S-OffMed-Run04</v>
      </c>
      <c r="P96" s="63">
        <f t="shared" si="439"/>
        <v>1</v>
      </c>
      <c r="Q96" s="65">
        <f t="shared" si="440"/>
        <v>1</v>
      </c>
      <c r="R96" s="65">
        <f t="shared" si="441"/>
        <v>0</v>
      </c>
      <c r="S96" s="65">
        <f t="shared" si="442"/>
        <v>1</v>
      </c>
      <c r="T96" s="65">
        <f t="shared" si="443"/>
        <v>0</v>
      </c>
      <c r="U96" s="65">
        <f t="shared" si="444"/>
        <v>8</v>
      </c>
      <c r="V96" s="65">
        <f t="shared" si="444"/>
        <v>8</v>
      </c>
      <c r="W96" s="65">
        <f t="shared" si="445"/>
        <v>1</v>
      </c>
      <c r="X96" s="65">
        <f t="shared" si="445"/>
        <v>0</v>
      </c>
      <c r="Y96" s="65">
        <f t="shared" si="445"/>
        <v>0</v>
      </c>
      <c r="Z96" s="65">
        <f t="shared" si="446"/>
        <v>0</v>
      </c>
      <c r="AA96" s="65">
        <f t="shared" si="447"/>
        <v>0</v>
      </c>
      <c r="AB96" s="65">
        <f t="shared" si="447"/>
        <v>0</v>
      </c>
      <c r="AC96" s="65">
        <f t="shared" si="432"/>
        <v>0</v>
      </c>
      <c r="AD96" s="61">
        <f t="shared" si="432"/>
        <v>0</v>
      </c>
      <c r="AE96" s="61">
        <f t="shared" ref="AE96:AF96" si="522">AE95</f>
        <v>0</v>
      </c>
      <c r="AF96" s="61">
        <f t="shared" si="522"/>
        <v>0</v>
      </c>
      <c r="AG96" s="61">
        <f t="shared" ref="AG96:AH96" si="523">AG95</f>
        <v>0</v>
      </c>
      <c r="AH96" s="61">
        <f t="shared" si="523"/>
        <v>0</v>
      </c>
      <c r="AI96" s="61">
        <f t="shared" ref="AI96" si="524">AI95</f>
        <v>0</v>
      </c>
      <c r="AJ96" s="63">
        <f t="shared" si="451"/>
        <v>0</v>
      </c>
      <c r="AK96" s="64">
        <f t="shared" si="452"/>
        <v>0</v>
      </c>
      <c r="AL96" s="64">
        <f t="shared" si="453"/>
        <v>0</v>
      </c>
      <c r="AM96" s="64">
        <f t="shared" si="454"/>
        <v>0</v>
      </c>
      <c r="AN96" s="66">
        <f t="shared" si="455"/>
        <v>0</v>
      </c>
      <c r="AO96" s="63">
        <f t="shared" si="456"/>
        <v>0</v>
      </c>
      <c r="AP96" s="64">
        <f t="shared" si="457"/>
        <v>0</v>
      </c>
      <c r="AQ96" s="65">
        <f t="shared" si="457"/>
        <v>0</v>
      </c>
      <c r="AR96" s="66">
        <f t="shared" si="457"/>
        <v>0</v>
      </c>
      <c r="AS96" s="31" t="str">
        <f t="shared" si="507"/>
        <v>SimulationStorage,1,</v>
      </c>
      <c r="AT96" s="31" t="str">
        <f t="shared" si="508"/>
        <v>AnalysisStorage,1,</v>
      </c>
      <c r="AU96" s="31" t="str">
        <f t="shared" si="509"/>
        <v>LogRuleEvaluation,0,</v>
      </c>
      <c r="AV96" s="31" t="str">
        <f t="shared" si="510"/>
        <v>ParallelSimulations,1,</v>
      </c>
      <c r="AW96" s="31" t="str">
        <f t="shared" si="511"/>
        <v>DurationStats,0,</v>
      </c>
      <c r="AX96" s="31" t="str">
        <f t="shared" si="512"/>
        <v>AnalysisThruStep,8,</v>
      </c>
      <c r="AY96" s="31" t="str">
        <f t="shared" si="513"/>
        <v>DontAbortOnErrorsThruStep,8,</v>
      </c>
      <c r="AZ96" s="31" t="str">
        <f t="shared" si="514"/>
        <v>BypassValidFileChecks,1,</v>
      </c>
      <c r="BA96" s="31" t="str">
        <f t="shared" si="515"/>
        <v>BypassInputChecks,0,</v>
      </c>
      <c r="BB96" s="31" t="str">
        <f t="shared" si="516"/>
        <v>BypassUMLHChecks,0,</v>
      </c>
      <c r="BC96" s="31" t="str">
        <f t="shared" si="517"/>
        <v>BypassCheckSimRules,0,</v>
      </c>
      <c r="BD96" s="31" t="str">
        <f t="shared" si="518"/>
        <v>BypassCheckCodeRules,0,</v>
      </c>
      <c r="BE96" s="31" t="str">
        <f t="shared" si="407"/>
        <v>StoreResultsToModelInput,0,</v>
      </c>
      <c r="BF96" s="31" t="str">
        <f t="shared" si="408"/>
        <v>StoreBEMDetails,0,</v>
      </c>
      <c r="BG96" s="31" t="str">
        <f t="shared" si="409"/>
        <v>ModelRpt_ALL,0,</v>
      </c>
      <c r="BH96" s="31" t="str">
        <f t="shared" si="410"/>
        <v>ExportHourlyResults_All,0,</v>
      </c>
      <c r="BI96" s="31" t="str">
        <f t="shared" si="411"/>
        <v>ComplianceReportPDF,0,</v>
      </c>
      <c r="BJ96" s="31" t="str">
        <f t="shared" si="412"/>
        <v>ComplianceReportXML,0,</v>
      </c>
      <c r="BK96" s="31" t="str">
        <f t="shared" si="413"/>
        <v>QuickAnalysis,0,</v>
      </c>
      <c r="BL96" s="31" t="str">
        <f t="shared" si="413"/>
        <v>PromptUserUMLHWarning,0,</v>
      </c>
      <c r="BM96" s="31" t="str">
        <f t="shared" si="414"/>
        <v>BypassOpenStudio_all,0,</v>
      </c>
      <c r="BN96" s="31" t="str">
        <f t="shared" si="415"/>
        <v>BypassOpenStudio_zp,0,</v>
      </c>
      <c r="BO96" s="31" t="str">
        <f t="shared" si="416"/>
        <v>BypassOpenStudio_zb,0,</v>
      </c>
      <c r="BP96" s="31" t="str">
        <f t="shared" si="417"/>
        <v>BypassOpenStudio_ap,0,</v>
      </c>
      <c r="BQ96" s="31" t="str">
        <f t="shared" si="418"/>
        <v>BypassOpenStudio_ab,0,</v>
      </c>
      <c r="BR96" s="31" t="str">
        <f t="shared" si="419"/>
        <v>BypassOpenStudio_zp,0,</v>
      </c>
      <c r="BS96" s="31" t="str">
        <f t="shared" si="420"/>
        <v>BypassOpenStudio_zb,0,</v>
      </c>
      <c r="BT96" s="31" t="str">
        <f t="shared" si="421"/>
        <v>BypassOpenStudio_ap,0,</v>
      </c>
      <c r="BU96" s="31" t="str">
        <f t="shared" si="422"/>
        <v>BypassOpenStudio_ab,0,</v>
      </c>
    </row>
    <row r="97" spans="1:73" x14ac:dyDescent="0.25">
      <c r="A97" s="39">
        <f t="shared" si="500"/>
        <v>1</v>
      </c>
      <c r="B97" s="27" t="str">
        <f t="shared" si="501"/>
        <v>RulesetImplementationTests\030006S-OffMed-Run12\030006S-OffMed-Run12.cibd</v>
      </c>
      <c r="C97" s="27" t="str">
        <f t="shared" si="502"/>
        <v>BatchOut_160331_r3964_RIc\030006S-OffMed-Run12.cibd</v>
      </c>
      <c r="D97" s="27" t="str">
        <f t="shared" si="425"/>
        <v>BatchOut_160331_r3964_RIc\XML\</v>
      </c>
      <c r="E97" s="9" t="str">
        <f t="shared" si="503"/>
        <v>030006S-Run12</v>
      </c>
      <c r="F97" s="22"/>
      <c r="G97" s="29"/>
      <c r="H97" s="23"/>
      <c r="I97" s="9" t="s">
        <v>11</v>
      </c>
      <c r="J97"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7" s="15" t="s">
        <v>1</v>
      </c>
      <c r="L97" s="36">
        <f t="shared" si="438"/>
        <v>1</v>
      </c>
      <c r="M97" s="32" t="str">
        <f t="shared" ref="M97:M101" si="525">LEFT(N97,SEARCH("-",N97))&amp;RIGHT(N97,5)</f>
        <v>030006S-Run12</v>
      </c>
      <c r="N97" s="28" t="s">
        <v>367</v>
      </c>
      <c r="O97" s="57" t="str">
        <f t="shared" si="496"/>
        <v>030006S-OffMed-Run12</v>
      </c>
      <c r="P97" s="63">
        <f t="shared" si="439"/>
        <v>1</v>
      </c>
      <c r="Q97" s="65">
        <f t="shared" si="440"/>
        <v>1</v>
      </c>
      <c r="R97" s="65">
        <f t="shared" si="441"/>
        <v>0</v>
      </c>
      <c r="S97" s="65">
        <f t="shared" si="442"/>
        <v>1</v>
      </c>
      <c r="T97" s="65">
        <f t="shared" si="443"/>
        <v>0</v>
      </c>
      <c r="U97" s="65">
        <f t="shared" si="444"/>
        <v>8</v>
      </c>
      <c r="V97" s="65">
        <f t="shared" si="444"/>
        <v>8</v>
      </c>
      <c r="W97" s="65">
        <f t="shared" si="445"/>
        <v>1</v>
      </c>
      <c r="X97" s="65">
        <f t="shared" si="445"/>
        <v>0</v>
      </c>
      <c r="Y97" s="65">
        <f t="shared" si="445"/>
        <v>0</v>
      </c>
      <c r="Z97" s="65">
        <f t="shared" si="446"/>
        <v>0</v>
      </c>
      <c r="AA97" s="65">
        <f t="shared" si="447"/>
        <v>0</v>
      </c>
      <c r="AB97" s="65">
        <f t="shared" si="447"/>
        <v>0</v>
      </c>
      <c r="AC97" s="65">
        <f t="shared" si="432"/>
        <v>0</v>
      </c>
      <c r="AD97" s="61">
        <f t="shared" si="432"/>
        <v>0</v>
      </c>
      <c r="AE97" s="61">
        <f t="shared" ref="AE97:AF97" si="526">AE96</f>
        <v>0</v>
      </c>
      <c r="AF97" s="61">
        <f t="shared" si="526"/>
        <v>0</v>
      </c>
      <c r="AG97" s="61">
        <f t="shared" ref="AG97:AH97" si="527">AG96</f>
        <v>0</v>
      </c>
      <c r="AH97" s="61">
        <f t="shared" si="527"/>
        <v>0</v>
      </c>
      <c r="AI97" s="61">
        <f t="shared" ref="AI97" si="528">AI96</f>
        <v>0</v>
      </c>
      <c r="AJ97" s="63">
        <f t="shared" si="451"/>
        <v>0</v>
      </c>
      <c r="AK97" s="64">
        <f t="shared" si="452"/>
        <v>0</v>
      </c>
      <c r="AL97" s="64">
        <f t="shared" si="453"/>
        <v>0</v>
      </c>
      <c r="AM97" s="64">
        <f t="shared" si="454"/>
        <v>0</v>
      </c>
      <c r="AN97" s="66">
        <f t="shared" si="455"/>
        <v>0</v>
      </c>
      <c r="AO97" s="63">
        <f t="shared" si="456"/>
        <v>0</v>
      </c>
      <c r="AP97" s="64">
        <f t="shared" si="457"/>
        <v>0</v>
      </c>
      <c r="AQ97" s="65">
        <f t="shared" si="457"/>
        <v>0</v>
      </c>
      <c r="AR97" s="66">
        <f t="shared" si="457"/>
        <v>0</v>
      </c>
      <c r="AS97" s="31" t="str">
        <f t="shared" si="507"/>
        <v>SimulationStorage,1,</v>
      </c>
      <c r="AT97" s="31" t="str">
        <f t="shared" si="508"/>
        <v>AnalysisStorage,1,</v>
      </c>
      <c r="AU97" s="31" t="str">
        <f t="shared" si="509"/>
        <v>LogRuleEvaluation,0,</v>
      </c>
      <c r="AV97" s="31" t="str">
        <f t="shared" si="510"/>
        <v>ParallelSimulations,1,</v>
      </c>
      <c r="AW97" s="31" t="str">
        <f t="shared" si="511"/>
        <v>DurationStats,0,</v>
      </c>
      <c r="AX97" s="31" t="str">
        <f t="shared" si="512"/>
        <v>AnalysisThruStep,8,</v>
      </c>
      <c r="AY97" s="31" t="str">
        <f t="shared" si="513"/>
        <v>DontAbortOnErrorsThruStep,8,</v>
      </c>
      <c r="AZ97" s="31" t="str">
        <f t="shared" si="514"/>
        <v>BypassValidFileChecks,1,</v>
      </c>
      <c r="BA97" s="31" t="str">
        <f t="shared" si="515"/>
        <v>BypassInputChecks,0,</v>
      </c>
      <c r="BB97" s="31" t="str">
        <f t="shared" si="516"/>
        <v>BypassUMLHChecks,0,</v>
      </c>
      <c r="BC97" s="31" t="str">
        <f t="shared" si="517"/>
        <v>BypassCheckSimRules,0,</v>
      </c>
      <c r="BD97" s="31" t="str">
        <f t="shared" si="518"/>
        <v>BypassCheckCodeRules,0,</v>
      </c>
      <c r="BE97" s="31" t="str">
        <f t="shared" si="407"/>
        <v>StoreResultsToModelInput,0,</v>
      </c>
      <c r="BF97" s="31" t="str">
        <f t="shared" si="408"/>
        <v>StoreBEMDetails,0,</v>
      </c>
      <c r="BG97" s="31" t="str">
        <f t="shared" si="409"/>
        <v>ModelRpt_ALL,0,</v>
      </c>
      <c r="BH97" s="31" t="str">
        <f t="shared" si="410"/>
        <v>ExportHourlyResults_All,0,</v>
      </c>
      <c r="BI97" s="31" t="str">
        <f t="shared" si="411"/>
        <v>ComplianceReportPDF,0,</v>
      </c>
      <c r="BJ97" s="31" t="str">
        <f t="shared" si="412"/>
        <v>ComplianceReportXML,0,</v>
      </c>
      <c r="BK97" s="31" t="str">
        <f t="shared" si="413"/>
        <v>QuickAnalysis,0,</v>
      </c>
      <c r="BL97" s="31" t="str">
        <f t="shared" si="413"/>
        <v>PromptUserUMLHWarning,0,</v>
      </c>
      <c r="BM97" s="31" t="str">
        <f t="shared" si="414"/>
        <v>BypassOpenStudio_all,0,</v>
      </c>
      <c r="BN97" s="31" t="str">
        <f t="shared" si="415"/>
        <v>BypassOpenStudio_zp,0,</v>
      </c>
      <c r="BO97" s="31" t="str">
        <f t="shared" si="416"/>
        <v>BypassOpenStudio_zb,0,</v>
      </c>
      <c r="BP97" s="31" t="str">
        <f t="shared" si="417"/>
        <v>BypassOpenStudio_ap,0,</v>
      </c>
      <c r="BQ97" s="31" t="str">
        <f t="shared" si="418"/>
        <v>BypassOpenStudio_ab,0,</v>
      </c>
      <c r="BR97" s="31" t="str">
        <f t="shared" si="419"/>
        <v>BypassOpenStudio_zp,0,</v>
      </c>
      <c r="BS97" s="31" t="str">
        <f t="shared" si="420"/>
        <v>BypassOpenStudio_zb,0,</v>
      </c>
      <c r="BT97" s="31" t="str">
        <f t="shared" si="421"/>
        <v>BypassOpenStudio_ap,0,</v>
      </c>
      <c r="BU97" s="31" t="str">
        <f t="shared" si="422"/>
        <v>BypassOpenStudio_ab,0,</v>
      </c>
    </row>
    <row r="98" spans="1:73" x14ac:dyDescent="0.25">
      <c r="A98" s="39">
        <f t="shared" si="500"/>
        <v>1</v>
      </c>
      <c r="B98" s="27" t="str">
        <f t="shared" si="501"/>
        <v>RulesetImplementationTests\030006S-OffMed-Run13\030006S-OffMed-Run13.cibd</v>
      </c>
      <c r="C98" s="27" t="str">
        <f t="shared" si="502"/>
        <v>BatchOut_160331_r3964_RIc\030006S-OffMed-Run13.cibd</v>
      </c>
      <c r="D98" s="27" t="str">
        <f t="shared" si="425"/>
        <v>BatchOut_160331_r3964_RIc\XML\</v>
      </c>
      <c r="E98" s="9" t="str">
        <f t="shared" si="503"/>
        <v>030006S-Run13</v>
      </c>
      <c r="F98" s="22"/>
      <c r="G98" s="29"/>
      <c r="H98" s="23"/>
      <c r="I98" s="9" t="s">
        <v>11</v>
      </c>
      <c r="J98"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8" s="15" t="s">
        <v>1</v>
      </c>
      <c r="L98" s="36">
        <f t="shared" si="438"/>
        <v>1</v>
      </c>
      <c r="M98" s="32" t="str">
        <f t="shared" si="525"/>
        <v>030006S-Run13</v>
      </c>
      <c r="N98" s="28" t="s">
        <v>368</v>
      </c>
      <c r="O98" s="57" t="str">
        <f t="shared" si="496"/>
        <v>030006S-OffMed-Run13</v>
      </c>
      <c r="P98" s="63">
        <f t="shared" si="439"/>
        <v>1</v>
      </c>
      <c r="Q98" s="65">
        <f t="shared" si="440"/>
        <v>1</v>
      </c>
      <c r="R98" s="65">
        <f t="shared" si="441"/>
        <v>0</v>
      </c>
      <c r="S98" s="65">
        <f t="shared" si="442"/>
        <v>1</v>
      </c>
      <c r="T98" s="65">
        <f t="shared" si="443"/>
        <v>0</v>
      </c>
      <c r="U98" s="65">
        <f t="shared" si="444"/>
        <v>8</v>
      </c>
      <c r="V98" s="65">
        <f t="shared" si="444"/>
        <v>8</v>
      </c>
      <c r="W98" s="65">
        <f t="shared" si="445"/>
        <v>1</v>
      </c>
      <c r="X98" s="65">
        <f t="shared" si="445"/>
        <v>0</v>
      </c>
      <c r="Y98" s="65">
        <f t="shared" si="445"/>
        <v>0</v>
      </c>
      <c r="Z98" s="65">
        <f t="shared" si="446"/>
        <v>0</v>
      </c>
      <c r="AA98" s="65">
        <f t="shared" si="447"/>
        <v>0</v>
      </c>
      <c r="AB98" s="65">
        <f t="shared" si="447"/>
        <v>0</v>
      </c>
      <c r="AC98" s="65">
        <f t="shared" si="432"/>
        <v>0</v>
      </c>
      <c r="AD98" s="61">
        <f t="shared" si="432"/>
        <v>0</v>
      </c>
      <c r="AE98" s="61">
        <f t="shared" ref="AE98:AF98" si="529">AE97</f>
        <v>0</v>
      </c>
      <c r="AF98" s="61">
        <f t="shared" si="529"/>
        <v>0</v>
      </c>
      <c r="AG98" s="61">
        <f t="shared" ref="AG98:AH98" si="530">AG97</f>
        <v>0</v>
      </c>
      <c r="AH98" s="61">
        <f t="shared" si="530"/>
        <v>0</v>
      </c>
      <c r="AI98" s="61">
        <f t="shared" ref="AI98" si="531">AI97</f>
        <v>0</v>
      </c>
      <c r="AJ98" s="63">
        <f t="shared" si="451"/>
        <v>0</v>
      </c>
      <c r="AK98" s="64">
        <f t="shared" si="452"/>
        <v>0</v>
      </c>
      <c r="AL98" s="64">
        <f t="shared" si="453"/>
        <v>0</v>
      </c>
      <c r="AM98" s="64">
        <f t="shared" si="454"/>
        <v>0</v>
      </c>
      <c r="AN98" s="66">
        <f t="shared" si="455"/>
        <v>0</v>
      </c>
      <c r="AO98" s="63">
        <f t="shared" si="456"/>
        <v>0</v>
      </c>
      <c r="AP98" s="64">
        <f t="shared" si="457"/>
        <v>0</v>
      </c>
      <c r="AQ98" s="65">
        <f t="shared" si="457"/>
        <v>0</v>
      </c>
      <c r="AR98" s="66">
        <f t="shared" si="457"/>
        <v>0</v>
      </c>
      <c r="AS98" s="31" t="str">
        <f t="shared" si="507"/>
        <v>SimulationStorage,1,</v>
      </c>
      <c r="AT98" s="31" t="str">
        <f t="shared" si="508"/>
        <v>AnalysisStorage,1,</v>
      </c>
      <c r="AU98" s="31" t="str">
        <f t="shared" si="509"/>
        <v>LogRuleEvaluation,0,</v>
      </c>
      <c r="AV98" s="31" t="str">
        <f t="shared" si="510"/>
        <v>ParallelSimulations,1,</v>
      </c>
      <c r="AW98" s="31" t="str">
        <f t="shared" si="511"/>
        <v>DurationStats,0,</v>
      </c>
      <c r="AX98" s="31" t="str">
        <f t="shared" si="512"/>
        <v>AnalysisThruStep,8,</v>
      </c>
      <c r="AY98" s="31" t="str">
        <f t="shared" si="513"/>
        <v>DontAbortOnErrorsThruStep,8,</v>
      </c>
      <c r="AZ98" s="31" t="str">
        <f t="shared" si="514"/>
        <v>BypassValidFileChecks,1,</v>
      </c>
      <c r="BA98" s="31" t="str">
        <f t="shared" si="515"/>
        <v>BypassInputChecks,0,</v>
      </c>
      <c r="BB98" s="31" t="str">
        <f t="shared" si="516"/>
        <v>BypassUMLHChecks,0,</v>
      </c>
      <c r="BC98" s="31" t="str">
        <f t="shared" si="517"/>
        <v>BypassCheckSimRules,0,</v>
      </c>
      <c r="BD98" s="31" t="str">
        <f t="shared" si="518"/>
        <v>BypassCheckCodeRules,0,</v>
      </c>
      <c r="BE98" s="31" t="str">
        <f t="shared" si="407"/>
        <v>StoreResultsToModelInput,0,</v>
      </c>
      <c r="BF98" s="31" t="str">
        <f t="shared" si="408"/>
        <v>StoreBEMDetails,0,</v>
      </c>
      <c r="BG98" s="31" t="str">
        <f t="shared" si="409"/>
        <v>ModelRpt_ALL,0,</v>
      </c>
      <c r="BH98" s="31" t="str">
        <f t="shared" si="410"/>
        <v>ExportHourlyResults_All,0,</v>
      </c>
      <c r="BI98" s="31" t="str">
        <f t="shared" si="411"/>
        <v>ComplianceReportPDF,0,</v>
      </c>
      <c r="BJ98" s="31" t="str">
        <f t="shared" si="412"/>
        <v>ComplianceReportXML,0,</v>
      </c>
      <c r="BK98" s="31" t="str">
        <f t="shared" si="413"/>
        <v>QuickAnalysis,0,</v>
      </c>
      <c r="BL98" s="31" t="str">
        <f t="shared" si="413"/>
        <v>PromptUserUMLHWarning,0,</v>
      </c>
      <c r="BM98" s="31" t="str">
        <f t="shared" si="414"/>
        <v>BypassOpenStudio_all,0,</v>
      </c>
      <c r="BN98" s="31" t="str">
        <f t="shared" si="415"/>
        <v>BypassOpenStudio_zp,0,</v>
      </c>
      <c r="BO98" s="31" t="str">
        <f t="shared" si="416"/>
        <v>BypassOpenStudio_zb,0,</v>
      </c>
      <c r="BP98" s="31" t="str">
        <f t="shared" si="417"/>
        <v>BypassOpenStudio_ap,0,</v>
      </c>
      <c r="BQ98" s="31" t="str">
        <f t="shared" si="418"/>
        <v>BypassOpenStudio_ab,0,</v>
      </c>
      <c r="BR98" s="31" t="str">
        <f t="shared" si="419"/>
        <v>BypassOpenStudio_zp,0,</v>
      </c>
      <c r="BS98" s="31" t="str">
        <f t="shared" si="420"/>
        <v>BypassOpenStudio_zb,0,</v>
      </c>
      <c r="BT98" s="31" t="str">
        <f t="shared" si="421"/>
        <v>BypassOpenStudio_ap,0,</v>
      </c>
      <c r="BU98" s="31" t="str">
        <f t="shared" si="422"/>
        <v>BypassOpenStudio_ab,0,</v>
      </c>
    </row>
    <row r="99" spans="1:73" x14ac:dyDescent="0.25">
      <c r="A99" s="39">
        <f t="shared" si="500"/>
        <v>1</v>
      </c>
      <c r="B99" s="27" t="str">
        <f t="shared" si="501"/>
        <v>RulesetImplementationTests\040006-OffLrg-Run05\040006-OffLrg-Run05.cibd</v>
      </c>
      <c r="C99" s="27" t="str">
        <f t="shared" si="502"/>
        <v>BatchOut_160331_r3964_RIc\040006-OffLrg-Run05.cibd</v>
      </c>
      <c r="D99" s="27" t="str">
        <f t="shared" si="425"/>
        <v>BatchOut_160331_r3964_RIc\XML\</v>
      </c>
      <c r="E99" s="9" t="str">
        <f t="shared" si="503"/>
        <v>040006-Run05</v>
      </c>
      <c r="F99" s="22"/>
      <c r="G99" s="29"/>
      <c r="H99" s="23"/>
      <c r="I99" s="9" t="s">
        <v>11</v>
      </c>
      <c r="J99"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9" s="15" t="s">
        <v>1</v>
      </c>
      <c r="L99" s="36">
        <f t="shared" si="438"/>
        <v>1</v>
      </c>
      <c r="M99" s="32" t="str">
        <f t="shared" si="525"/>
        <v>040006-Run05</v>
      </c>
      <c r="N99" s="28" t="s">
        <v>130</v>
      </c>
      <c r="O99" s="57" t="str">
        <f t="shared" si="496"/>
        <v>040006-OffLrg-Run05</v>
      </c>
      <c r="P99" s="63">
        <f t="shared" si="439"/>
        <v>1</v>
      </c>
      <c r="Q99" s="65">
        <f t="shared" si="440"/>
        <v>1</v>
      </c>
      <c r="R99" s="65">
        <f t="shared" si="441"/>
        <v>0</v>
      </c>
      <c r="S99" s="65">
        <f t="shared" si="442"/>
        <v>1</v>
      </c>
      <c r="T99" s="65">
        <f t="shared" si="443"/>
        <v>0</v>
      </c>
      <c r="U99" s="65">
        <f t="shared" si="444"/>
        <v>8</v>
      </c>
      <c r="V99" s="65">
        <f t="shared" si="444"/>
        <v>8</v>
      </c>
      <c r="W99" s="65">
        <f t="shared" si="445"/>
        <v>1</v>
      </c>
      <c r="X99" s="65">
        <f t="shared" si="445"/>
        <v>0</v>
      </c>
      <c r="Y99" s="65">
        <f t="shared" si="445"/>
        <v>0</v>
      </c>
      <c r="Z99" s="65">
        <f t="shared" si="446"/>
        <v>0</v>
      </c>
      <c r="AA99" s="65">
        <f t="shared" si="447"/>
        <v>0</v>
      </c>
      <c r="AB99" s="65">
        <f t="shared" si="447"/>
        <v>0</v>
      </c>
      <c r="AC99" s="65">
        <f t="shared" si="432"/>
        <v>0</v>
      </c>
      <c r="AD99" s="61">
        <f t="shared" si="432"/>
        <v>0</v>
      </c>
      <c r="AE99" s="61">
        <f t="shared" ref="AE99:AF99" si="532">AE98</f>
        <v>0</v>
      </c>
      <c r="AF99" s="61">
        <f t="shared" si="532"/>
        <v>0</v>
      </c>
      <c r="AG99" s="61">
        <f t="shared" ref="AG99:AH99" si="533">AG98</f>
        <v>0</v>
      </c>
      <c r="AH99" s="61">
        <f t="shared" si="533"/>
        <v>0</v>
      </c>
      <c r="AI99" s="61">
        <f t="shared" ref="AI99" si="534">AI98</f>
        <v>0</v>
      </c>
      <c r="AJ99" s="63">
        <f t="shared" si="451"/>
        <v>0</v>
      </c>
      <c r="AK99" s="64">
        <f t="shared" si="452"/>
        <v>0</v>
      </c>
      <c r="AL99" s="64">
        <f t="shared" si="453"/>
        <v>0</v>
      </c>
      <c r="AM99" s="64">
        <f t="shared" si="454"/>
        <v>0</v>
      </c>
      <c r="AN99" s="66">
        <f t="shared" si="455"/>
        <v>0</v>
      </c>
      <c r="AO99" s="63">
        <f t="shared" si="456"/>
        <v>0</v>
      </c>
      <c r="AP99" s="64">
        <f t="shared" si="457"/>
        <v>0</v>
      </c>
      <c r="AQ99" s="65">
        <f t="shared" si="457"/>
        <v>0</v>
      </c>
      <c r="AR99" s="66">
        <f t="shared" si="457"/>
        <v>0</v>
      </c>
      <c r="AS99" s="31" t="str">
        <f t="shared" si="507"/>
        <v>SimulationStorage,1,</v>
      </c>
      <c r="AT99" s="31" t="str">
        <f t="shared" si="508"/>
        <v>AnalysisStorage,1,</v>
      </c>
      <c r="AU99" s="31" t="str">
        <f t="shared" si="509"/>
        <v>LogRuleEvaluation,0,</v>
      </c>
      <c r="AV99" s="31" t="str">
        <f t="shared" si="510"/>
        <v>ParallelSimulations,1,</v>
      </c>
      <c r="AW99" s="31" t="str">
        <f t="shared" si="511"/>
        <v>DurationStats,0,</v>
      </c>
      <c r="AX99" s="31" t="str">
        <f t="shared" si="512"/>
        <v>AnalysisThruStep,8,</v>
      </c>
      <c r="AY99" s="31" t="str">
        <f t="shared" si="513"/>
        <v>DontAbortOnErrorsThruStep,8,</v>
      </c>
      <c r="AZ99" s="31" t="str">
        <f t="shared" si="514"/>
        <v>BypassValidFileChecks,1,</v>
      </c>
      <c r="BA99" s="31" t="str">
        <f t="shared" si="515"/>
        <v>BypassInputChecks,0,</v>
      </c>
      <c r="BB99" s="31" t="str">
        <f t="shared" si="516"/>
        <v>BypassUMLHChecks,0,</v>
      </c>
      <c r="BC99" s="31" t="str">
        <f t="shared" si="517"/>
        <v>BypassCheckSimRules,0,</v>
      </c>
      <c r="BD99" s="31" t="str">
        <f t="shared" si="518"/>
        <v>BypassCheckCodeRules,0,</v>
      </c>
      <c r="BE99" s="31" t="str">
        <f t="shared" si="407"/>
        <v>StoreResultsToModelInput,0,</v>
      </c>
      <c r="BF99" s="31" t="str">
        <f t="shared" si="408"/>
        <v>StoreBEMDetails,0,</v>
      </c>
      <c r="BG99" s="31" t="str">
        <f t="shared" si="409"/>
        <v>ModelRpt_ALL,0,</v>
      </c>
      <c r="BH99" s="31" t="str">
        <f t="shared" si="410"/>
        <v>ExportHourlyResults_All,0,</v>
      </c>
      <c r="BI99" s="31" t="str">
        <f t="shared" si="411"/>
        <v>ComplianceReportPDF,0,</v>
      </c>
      <c r="BJ99" s="31" t="str">
        <f t="shared" si="412"/>
        <v>ComplianceReportXML,0,</v>
      </c>
      <c r="BK99" s="31" t="str">
        <f t="shared" si="413"/>
        <v>QuickAnalysis,0,</v>
      </c>
      <c r="BL99" s="31" t="str">
        <f t="shared" si="413"/>
        <v>PromptUserUMLHWarning,0,</v>
      </c>
      <c r="BM99" s="31" t="str">
        <f t="shared" si="414"/>
        <v>BypassOpenStudio_all,0,</v>
      </c>
      <c r="BN99" s="31" t="str">
        <f t="shared" si="415"/>
        <v>BypassOpenStudio_zp,0,</v>
      </c>
      <c r="BO99" s="31" t="str">
        <f t="shared" si="416"/>
        <v>BypassOpenStudio_zb,0,</v>
      </c>
      <c r="BP99" s="31" t="str">
        <f t="shared" si="417"/>
        <v>BypassOpenStudio_ap,0,</v>
      </c>
      <c r="BQ99" s="31" t="str">
        <f t="shared" si="418"/>
        <v>BypassOpenStudio_ab,0,</v>
      </c>
      <c r="BR99" s="31" t="str">
        <f t="shared" si="419"/>
        <v>BypassOpenStudio_zp,0,</v>
      </c>
      <c r="BS99" s="31" t="str">
        <f t="shared" si="420"/>
        <v>BypassOpenStudio_zb,0,</v>
      </c>
      <c r="BT99" s="31" t="str">
        <f t="shared" si="421"/>
        <v>BypassOpenStudio_ap,0,</v>
      </c>
      <c r="BU99" s="31" t="str">
        <f t="shared" si="422"/>
        <v>BypassOpenStudio_ab,0,</v>
      </c>
    </row>
    <row r="100" spans="1:73" x14ac:dyDescent="0.25">
      <c r="A100" s="39">
        <f t="shared" si="500"/>
        <v>1</v>
      </c>
      <c r="B100" s="27" t="str">
        <f t="shared" si="501"/>
        <v>RulesetImplementationTests\040006-OffLrg-Run06\040006-OffLrg-Run06.cibd</v>
      </c>
      <c r="C100" s="27" t="str">
        <f t="shared" si="502"/>
        <v>BatchOut_160331_r3964_RIc\040006-OffLrg-Run06.cibd</v>
      </c>
      <c r="D100" s="27" t="str">
        <f t="shared" si="425"/>
        <v>BatchOut_160331_r3964_RIc\XML\</v>
      </c>
      <c r="E100" s="9" t="str">
        <f t="shared" si="503"/>
        <v>040006-Run06</v>
      </c>
      <c r="F100" s="22"/>
      <c r="G100" s="29"/>
      <c r="H100" s="23"/>
      <c r="I100" s="9" t="s">
        <v>11</v>
      </c>
      <c r="J100"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0" s="15" t="s">
        <v>1</v>
      </c>
      <c r="L100" s="36">
        <f t="shared" si="438"/>
        <v>1</v>
      </c>
      <c r="M100" s="32" t="str">
        <f t="shared" si="525"/>
        <v>040006-Run06</v>
      </c>
      <c r="N100" s="28" t="s">
        <v>131</v>
      </c>
      <c r="O100" s="57" t="str">
        <f t="shared" si="496"/>
        <v>040006-OffLrg-Run06</v>
      </c>
      <c r="P100" s="63">
        <f t="shared" si="439"/>
        <v>1</v>
      </c>
      <c r="Q100" s="65">
        <f t="shared" si="440"/>
        <v>1</v>
      </c>
      <c r="R100" s="65">
        <f t="shared" si="441"/>
        <v>0</v>
      </c>
      <c r="S100" s="65">
        <f t="shared" si="442"/>
        <v>1</v>
      </c>
      <c r="T100" s="65">
        <f t="shared" si="443"/>
        <v>0</v>
      </c>
      <c r="U100" s="65">
        <f t="shared" si="444"/>
        <v>8</v>
      </c>
      <c r="V100" s="65">
        <f t="shared" si="444"/>
        <v>8</v>
      </c>
      <c r="W100" s="65">
        <f t="shared" si="445"/>
        <v>1</v>
      </c>
      <c r="X100" s="65">
        <f t="shared" si="445"/>
        <v>0</v>
      </c>
      <c r="Y100" s="65">
        <f t="shared" si="445"/>
        <v>0</v>
      </c>
      <c r="Z100" s="65">
        <f t="shared" si="446"/>
        <v>0</v>
      </c>
      <c r="AA100" s="65">
        <f t="shared" si="447"/>
        <v>0</v>
      </c>
      <c r="AB100" s="65">
        <f t="shared" si="447"/>
        <v>0</v>
      </c>
      <c r="AC100" s="65">
        <f t="shared" si="432"/>
        <v>0</v>
      </c>
      <c r="AD100" s="61">
        <f t="shared" si="432"/>
        <v>0</v>
      </c>
      <c r="AE100" s="61">
        <f t="shared" ref="AE100:AF100" si="535">AE99</f>
        <v>0</v>
      </c>
      <c r="AF100" s="61">
        <f t="shared" si="535"/>
        <v>0</v>
      </c>
      <c r="AG100" s="61">
        <f t="shared" ref="AG100:AH100" si="536">AG99</f>
        <v>0</v>
      </c>
      <c r="AH100" s="61">
        <f t="shared" si="536"/>
        <v>0</v>
      </c>
      <c r="AI100" s="61">
        <f t="shared" ref="AI100" si="537">AI99</f>
        <v>0</v>
      </c>
      <c r="AJ100" s="63">
        <f t="shared" si="451"/>
        <v>0</v>
      </c>
      <c r="AK100" s="64">
        <f t="shared" si="452"/>
        <v>0</v>
      </c>
      <c r="AL100" s="64">
        <f t="shared" si="453"/>
        <v>0</v>
      </c>
      <c r="AM100" s="64">
        <f t="shared" si="454"/>
        <v>0</v>
      </c>
      <c r="AN100" s="66">
        <f t="shared" si="455"/>
        <v>0</v>
      </c>
      <c r="AO100" s="63">
        <f t="shared" si="456"/>
        <v>0</v>
      </c>
      <c r="AP100" s="64">
        <f t="shared" si="457"/>
        <v>0</v>
      </c>
      <c r="AQ100" s="65">
        <f t="shared" si="457"/>
        <v>0</v>
      </c>
      <c r="AR100" s="66">
        <f t="shared" si="457"/>
        <v>0</v>
      </c>
      <c r="AS100" s="31" t="str">
        <f t="shared" si="507"/>
        <v>SimulationStorage,1,</v>
      </c>
      <c r="AT100" s="31" t="str">
        <f t="shared" si="508"/>
        <v>AnalysisStorage,1,</v>
      </c>
      <c r="AU100" s="31" t="str">
        <f t="shared" si="509"/>
        <v>LogRuleEvaluation,0,</v>
      </c>
      <c r="AV100" s="31" t="str">
        <f t="shared" si="510"/>
        <v>ParallelSimulations,1,</v>
      </c>
      <c r="AW100" s="31" t="str">
        <f t="shared" si="511"/>
        <v>DurationStats,0,</v>
      </c>
      <c r="AX100" s="31" t="str">
        <f t="shared" si="512"/>
        <v>AnalysisThruStep,8,</v>
      </c>
      <c r="AY100" s="31" t="str">
        <f t="shared" si="513"/>
        <v>DontAbortOnErrorsThruStep,8,</v>
      </c>
      <c r="AZ100" s="31" t="str">
        <f t="shared" si="514"/>
        <v>BypassValidFileChecks,1,</v>
      </c>
      <c r="BA100" s="31" t="str">
        <f t="shared" si="515"/>
        <v>BypassInputChecks,0,</v>
      </c>
      <c r="BB100" s="31" t="str">
        <f t="shared" si="516"/>
        <v>BypassUMLHChecks,0,</v>
      </c>
      <c r="BC100" s="31" t="str">
        <f t="shared" si="517"/>
        <v>BypassCheckSimRules,0,</v>
      </c>
      <c r="BD100" s="31" t="str">
        <f t="shared" si="518"/>
        <v>BypassCheckCodeRules,0,</v>
      </c>
      <c r="BE100" s="31" t="str">
        <f t="shared" si="407"/>
        <v>StoreResultsToModelInput,0,</v>
      </c>
      <c r="BF100" s="31" t="str">
        <f t="shared" si="408"/>
        <v>StoreBEMDetails,0,</v>
      </c>
      <c r="BG100" s="31" t="str">
        <f t="shared" si="409"/>
        <v>ModelRpt_ALL,0,</v>
      </c>
      <c r="BH100" s="31" t="str">
        <f t="shared" si="410"/>
        <v>ExportHourlyResults_All,0,</v>
      </c>
      <c r="BI100" s="31" t="str">
        <f t="shared" si="411"/>
        <v>ComplianceReportPDF,0,</v>
      </c>
      <c r="BJ100" s="31" t="str">
        <f t="shared" si="412"/>
        <v>ComplianceReportXML,0,</v>
      </c>
      <c r="BK100" s="31" t="str">
        <f t="shared" si="413"/>
        <v>QuickAnalysis,0,</v>
      </c>
      <c r="BL100" s="31" t="str">
        <f t="shared" si="413"/>
        <v>PromptUserUMLHWarning,0,</v>
      </c>
      <c r="BM100" s="31" t="str">
        <f t="shared" si="414"/>
        <v>BypassOpenStudio_all,0,</v>
      </c>
      <c r="BN100" s="31" t="str">
        <f t="shared" si="415"/>
        <v>BypassOpenStudio_zp,0,</v>
      </c>
      <c r="BO100" s="31" t="str">
        <f t="shared" si="416"/>
        <v>BypassOpenStudio_zb,0,</v>
      </c>
      <c r="BP100" s="31" t="str">
        <f t="shared" si="417"/>
        <v>BypassOpenStudio_ap,0,</v>
      </c>
      <c r="BQ100" s="31" t="str">
        <f t="shared" si="418"/>
        <v>BypassOpenStudio_ab,0,</v>
      </c>
      <c r="BR100" s="31" t="str">
        <f t="shared" si="419"/>
        <v>BypassOpenStudio_zp,0,</v>
      </c>
      <c r="BS100" s="31" t="str">
        <f t="shared" si="420"/>
        <v>BypassOpenStudio_zb,0,</v>
      </c>
      <c r="BT100" s="31" t="str">
        <f t="shared" si="421"/>
        <v>BypassOpenStudio_ap,0,</v>
      </c>
      <c r="BU100" s="31" t="str">
        <f t="shared" si="422"/>
        <v>BypassOpenStudio_ab,0,</v>
      </c>
    </row>
    <row r="101" spans="1:73" x14ac:dyDescent="0.25">
      <c r="A101" s="39">
        <f t="shared" si="500"/>
        <v>1</v>
      </c>
      <c r="B101" s="27" t="str">
        <f t="shared" si="501"/>
        <v>RulesetImplementationTests\040006-OffLrg-Run11\040006-OffLrg-Run11.cibd</v>
      </c>
      <c r="C101" s="27" t="str">
        <f t="shared" si="502"/>
        <v>BatchOut_160331_r3964_RIc\040006-OffLrg-Run11.cibd</v>
      </c>
      <c r="D101" s="27" t="str">
        <f t="shared" si="425"/>
        <v>BatchOut_160331_r3964_RIc\XML\</v>
      </c>
      <c r="E101" s="9" t="str">
        <f t="shared" si="503"/>
        <v>040006-Run11</v>
      </c>
      <c r="F101" s="22"/>
      <c r="G101" s="29"/>
      <c r="H101" s="23"/>
      <c r="I101" s="9" t="s">
        <v>11</v>
      </c>
      <c r="J101"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1" s="15" t="s">
        <v>1</v>
      </c>
      <c r="L101" s="36">
        <f t="shared" si="438"/>
        <v>1</v>
      </c>
      <c r="M101" s="32" t="str">
        <f t="shared" si="525"/>
        <v>040006-Run11</v>
      </c>
      <c r="N101" s="28" t="s">
        <v>134</v>
      </c>
      <c r="O101" s="57" t="str">
        <f t="shared" si="496"/>
        <v>040006-OffLrg-Run11</v>
      </c>
      <c r="P101" s="63">
        <f t="shared" si="439"/>
        <v>1</v>
      </c>
      <c r="Q101" s="65">
        <f t="shared" si="440"/>
        <v>1</v>
      </c>
      <c r="R101" s="65">
        <f t="shared" si="441"/>
        <v>0</v>
      </c>
      <c r="S101" s="65">
        <f t="shared" si="442"/>
        <v>1</v>
      </c>
      <c r="T101" s="65">
        <f t="shared" si="443"/>
        <v>0</v>
      </c>
      <c r="U101" s="65">
        <f t="shared" si="444"/>
        <v>8</v>
      </c>
      <c r="V101" s="65">
        <f t="shared" si="444"/>
        <v>8</v>
      </c>
      <c r="W101" s="65">
        <f t="shared" si="445"/>
        <v>1</v>
      </c>
      <c r="X101" s="65">
        <f t="shared" si="445"/>
        <v>0</v>
      </c>
      <c r="Y101" s="65">
        <f t="shared" si="445"/>
        <v>0</v>
      </c>
      <c r="Z101" s="65">
        <f t="shared" si="446"/>
        <v>0</v>
      </c>
      <c r="AA101" s="65">
        <f t="shared" si="447"/>
        <v>0</v>
      </c>
      <c r="AB101" s="65">
        <f t="shared" si="447"/>
        <v>0</v>
      </c>
      <c r="AC101" s="65">
        <f t="shared" si="432"/>
        <v>0</v>
      </c>
      <c r="AD101" s="61">
        <f t="shared" si="432"/>
        <v>0</v>
      </c>
      <c r="AE101" s="61">
        <f t="shared" ref="AE101:AF101" si="538">AE100</f>
        <v>0</v>
      </c>
      <c r="AF101" s="61">
        <f t="shared" si="538"/>
        <v>0</v>
      </c>
      <c r="AG101" s="61">
        <f t="shared" ref="AG101:AH101" si="539">AG100</f>
        <v>0</v>
      </c>
      <c r="AH101" s="61">
        <f t="shared" si="539"/>
        <v>0</v>
      </c>
      <c r="AI101" s="61">
        <f t="shared" ref="AI101" si="540">AI100</f>
        <v>0</v>
      </c>
      <c r="AJ101" s="63">
        <f t="shared" si="451"/>
        <v>0</v>
      </c>
      <c r="AK101" s="64">
        <f t="shared" si="452"/>
        <v>0</v>
      </c>
      <c r="AL101" s="64">
        <f t="shared" si="453"/>
        <v>0</v>
      </c>
      <c r="AM101" s="64">
        <f t="shared" si="454"/>
        <v>0</v>
      </c>
      <c r="AN101" s="66">
        <f t="shared" si="455"/>
        <v>0</v>
      </c>
      <c r="AO101" s="63">
        <f t="shared" si="456"/>
        <v>0</v>
      </c>
      <c r="AP101" s="64">
        <f t="shared" si="457"/>
        <v>0</v>
      </c>
      <c r="AQ101" s="65">
        <f t="shared" si="457"/>
        <v>0</v>
      </c>
      <c r="AR101" s="66">
        <f t="shared" si="457"/>
        <v>0</v>
      </c>
      <c r="AS101" s="31" t="str">
        <f t="shared" si="507"/>
        <v>SimulationStorage,1,</v>
      </c>
      <c r="AT101" s="31" t="str">
        <f t="shared" si="508"/>
        <v>AnalysisStorage,1,</v>
      </c>
      <c r="AU101" s="31" t="str">
        <f t="shared" si="509"/>
        <v>LogRuleEvaluation,0,</v>
      </c>
      <c r="AV101" s="31" t="str">
        <f t="shared" si="510"/>
        <v>ParallelSimulations,1,</v>
      </c>
      <c r="AW101" s="31" t="str">
        <f t="shared" si="511"/>
        <v>DurationStats,0,</v>
      </c>
      <c r="AX101" s="31" t="str">
        <f t="shared" si="512"/>
        <v>AnalysisThruStep,8,</v>
      </c>
      <c r="AY101" s="31" t="str">
        <f t="shared" si="513"/>
        <v>DontAbortOnErrorsThruStep,8,</v>
      </c>
      <c r="AZ101" s="31" t="str">
        <f t="shared" si="514"/>
        <v>BypassValidFileChecks,1,</v>
      </c>
      <c r="BA101" s="31" t="str">
        <f t="shared" si="515"/>
        <v>BypassInputChecks,0,</v>
      </c>
      <c r="BB101" s="31" t="str">
        <f t="shared" si="516"/>
        <v>BypassUMLHChecks,0,</v>
      </c>
      <c r="BC101" s="31" t="str">
        <f t="shared" si="517"/>
        <v>BypassCheckSimRules,0,</v>
      </c>
      <c r="BD101" s="31" t="str">
        <f t="shared" si="518"/>
        <v>BypassCheckCodeRules,0,</v>
      </c>
      <c r="BE101" s="31" t="str">
        <f t="shared" si="407"/>
        <v>StoreResultsToModelInput,0,</v>
      </c>
      <c r="BF101" s="31" t="str">
        <f t="shared" si="408"/>
        <v>StoreBEMDetails,0,</v>
      </c>
      <c r="BG101" s="31" t="str">
        <f t="shared" si="409"/>
        <v>ModelRpt_ALL,0,</v>
      </c>
      <c r="BH101" s="31" t="str">
        <f t="shared" si="410"/>
        <v>ExportHourlyResults_All,0,</v>
      </c>
      <c r="BI101" s="31" t="str">
        <f t="shared" si="411"/>
        <v>ComplianceReportPDF,0,</v>
      </c>
      <c r="BJ101" s="31" t="str">
        <f t="shared" si="412"/>
        <v>ComplianceReportXML,0,</v>
      </c>
      <c r="BK101" s="31" t="str">
        <f t="shared" si="413"/>
        <v>QuickAnalysis,0,</v>
      </c>
      <c r="BL101" s="31" t="str">
        <f t="shared" si="413"/>
        <v>PromptUserUMLHWarning,0,</v>
      </c>
      <c r="BM101" s="31" t="str">
        <f t="shared" si="414"/>
        <v>BypassOpenStudio_all,0,</v>
      </c>
      <c r="BN101" s="31" t="str">
        <f t="shared" si="415"/>
        <v>BypassOpenStudio_zp,0,</v>
      </c>
      <c r="BO101" s="31" t="str">
        <f t="shared" si="416"/>
        <v>BypassOpenStudio_zb,0,</v>
      </c>
      <c r="BP101" s="31" t="str">
        <f t="shared" si="417"/>
        <v>BypassOpenStudio_ap,0,</v>
      </c>
      <c r="BQ101" s="31" t="str">
        <f t="shared" si="418"/>
        <v>BypassOpenStudio_ab,0,</v>
      </c>
      <c r="BR101" s="31" t="str">
        <f t="shared" si="419"/>
        <v>BypassOpenStudio_zp,0,</v>
      </c>
      <c r="BS101" s="31" t="str">
        <f t="shared" si="420"/>
        <v>BypassOpenStudio_zb,0,</v>
      </c>
      <c r="BT101" s="31" t="str">
        <f t="shared" si="421"/>
        <v>BypassOpenStudio_ap,0,</v>
      </c>
      <c r="BU101" s="31" t="str">
        <f t="shared" si="422"/>
        <v>BypassOpenStudio_ab,0,</v>
      </c>
    </row>
    <row r="102" spans="1:73" x14ac:dyDescent="0.25">
      <c r="A102" s="39">
        <f t="shared" si="500"/>
        <v>1</v>
      </c>
      <c r="B102" s="27" t="str">
        <f t="shared" si="501"/>
        <v>RulesetImplementationTests\040006-OffLrg-Run20\040006-OffLrg-Run20.cibd</v>
      </c>
      <c r="C102" s="27" t="str">
        <f t="shared" si="502"/>
        <v>BatchOut_160331_r3964_RIc\040006-OffLrg-Run20.cibd</v>
      </c>
      <c r="D102" s="27" t="str">
        <f t="shared" si="425"/>
        <v>BatchOut_160331_r3964_RIc\XML\</v>
      </c>
      <c r="E102" s="9" t="str">
        <f t="shared" si="503"/>
        <v>040006-Run20</v>
      </c>
      <c r="F102" s="22"/>
      <c r="G102" s="29"/>
      <c r="H102" s="23"/>
      <c r="I102" s="9" t="s">
        <v>11</v>
      </c>
      <c r="J102"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2" s="15" t="s">
        <v>1</v>
      </c>
      <c r="L102" s="36">
        <f t="shared" si="438"/>
        <v>1</v>
      </c>
      <c r="M102" s="32" t="str">
        <f t="shared" si="495"/>
        <v>040006-Run20</v>
      </c>
      <c r="N102" s="28" t="s">
        <v>205</v>
      </c>
      <c r="O102" s="57" t="str">
        <f t="shared" si="496"/>
        <v>040006-OffLrg-Run20</v>
      </c>
      <c r="P102" s="63">
        <f t="shared" si="439"/>
        <v>1</v>
      </c>
      <c r="Q102" s="65">
        <f t="shared" si="440"/>
        <v>1</v>
      </c>
      <c r="R102" s="65">
        <f t="shared" si="441"/>
        <v>0</v>
      </c>
      <c r="S102" s="65">
        <f t="shared" si="442"/>
        <v>1</v>
      </c>
      <c r="T102" s="65">
        <f t="shared" si="443"/>
        <v>0</v>
      </c>
      <c r="U102" s="65">
        <f t="shared" si="444"/>
        <v>8</v>
      </c>
      <c r="V102" s="65">
        <f t="shared" si="444"/>
        <v>8</v>
      </c>
      <c r="W102" s="65">
        <f t="shared" si="445"/>
        <v>1</v>
      </c>
      <c r="X102" s="65">
        <f t="shared" si="445"/>
        <v>0</v>
      </c>
      <c r="Y102" s="65">
        <f t="shared" si="445"/>
        <v>0</v>
      </c>
      <c r="Z102" s="65">
        <f t="shared" si="446"/>
        <v>0</v>
      </c>
      <c r="AA102" s="65">
        <f t="shared" si="447"/>
        <v>0</v>
      </c>
      <c r="AB102" s="65">
        <f t="shared" si="447"/>
        <v>0</v>
      </c>
      <c r="AC102" s="65">
        <f t="shared" si="432"/>
        <v>0</v>
      </c>
      <c r="AD102" s="61">
        <f t="shared" si="432"/>
        <v>0</v>
      </c>
      <c r="AE102" s="61">
        <f t="shared" ref="AE102:AF102" si="541">AE101</f>
        <v>0</v>
      </c>
      <c r="AF102" s="61">
        <f t="shared" si="541"/>
        <v>0</v>
      </c>
      <c r="AG102" s="61">
        <f t="shared" ref="AG102:AH102" si="542">AG101</f>
        <v>0</v>
      </c>
      <c r="AH102" s="61">
        <f t="shared" si="542"/>
        <v>0</v>
      </c>
      <c r="AI102" s="61">
        <f t="shared" ref="AI102" si="543">AI101</f>
        <v>0</v>
      </c>
      <c r="AJ102" s="63">
        <f t="shared" si="451"/>
        <v>0</v>
      </c>
      <c r="AK102" s="64">
        <f t="shared" si="452"/>
        <v>0</v>
      </c>
      <c r="AL102" s="64">
        <f t="shared" si="453"/>
        <v>0</v>
      </c>
      <c r="AM102" s="64">
        <f t="shared" si="454"/>
        <v>0</v>
      </c>
      <c r="AN102" s="66">
        <f t="shared" si="455"/>
        <v>0</v>
      </c>
      <c r="AO102" s="63">
        <f t="shared" si="456"/>
        <v>0</v>
      </c>
      <c r="AP102" s="64">
        <f t="shared" si="457"/>
        <v>0</v>
      </c>
      <c r="AQ102" s="65">
        <f t="shared" si="457"/>
        <v>0</v>
      </c>
      <c r="AR102" s="66">
        <f t="shared" si="457"/>
        <v>0</v>
      </c>
      <c r="AS102" s="31" t="str">
        <f t="shared" si="395"/>
        <v>SimulationStorage,1,</v>
      </c>
      <c r="AT102" s="31" t="str">
        <f t="shared" si="396"/>
        <v>AnalysisStorage,1,</v>
      </c>
      <c r="AU102" s="31" t="str">
        <f t="shared" si="397"/>
        <v>LogRuleEvaluation,0,</v>
      </c>
      <c r="AV102" s="31" t="str">
        <f t="shared" si="398"/>
        <v>ParallelSimulations,1,</v>
      </c>
      <c r="AW102" s="31" t="str">
        <f t="shared" si="399"/>
        <v>DurationStats,0,</v>
      </c>
      <c r="AX102" s="31" t="str">
        <f t="shared" si="400"/>
        <v>AnalysisThruStep,8,</v>
      </c>
      <c r="AY102" s="31" t="str">
        <f t="shared" si="401"/>
        <v>DontAbortOnErrorsThruStep,8,</v>
      </c>
      <c r="AZ102" s="31" t="str">
        <f t="shared" si="402"/>
        <v>BypassValidFileChecks,1,</v>
      </c>
      <c r="BA102" s="31" t="str">
        <f t="shared" si="403"/>
        <v>BypassInputChecks,0,</v>
      </c>
      <c r="BB102" s="31" t="str">
        <f t="shared" si="404"/>
        <v>BypassUMLHChecks,0,</v>
      </c>
      <c r="BC102" s="31" t="str">
        <f t="shared" si="405"/>
        <v>BypassCheckSimRules,0,</v>
      </c>
      <c r="BD102" s="31" t="str">
        <f t="shared" si="406"/>
        <v>BypassCheckCodeRules,0,</v>
      </c>
      <c r="BE102" s="31" t="str">
        <f t="shared" si="407"/>
        <v>StoreResultsToModelInput,0,</v>
      </c>
      <c r="BF102" s="31" t="str">
        <f t="shared" si="408"/>
        <v>StoreBEMDetails,0,</v>
      </c>
      <c r="BG102" s="31" t="str">
        <f t="shared" si="409"/>
        <v>ModelRpt_ALL,0,</v>
      </c>
      <c r="BH102" s="31" t="str">
        <f t="shared" si="410"/>
        <v>ExportHourlyResults_All,0,</v>
      </c>
      <c r="BI102" s="31" t="str">
        <f t="shared" si="411"/>
        <v>ComplianceReportPDF,0,</v>
      </c>
      <c r="BJ102" s="31" t="str">
        <f t="shared" si="412"/>
        <v>ComplianceReportXML,0,</v>
      </c>
      <c r="BK102" s="31" t="str">
        <f t="shared" si="413"/>
        <v>QuickAnalysis,0,</v>
      </c>
      <c r="BL102" s="31" t="str">
        <f t="shared" si="413"/>
        <v>PromptUserUMLHWarning,0,</v>
      </c>
      <c r="BM102" s="31" t="str">
        <f t="shared" si="414"/>
        <v>BypassOpenStudio_all,0,</v>
      </c>
      <c r="BN102" s="31" t="str">
        <f t="shared" si="415"/>
        <v>BypassOpenStudio_zp,0,</v>
      </c>
      <c r="BO102" s="31" t="str">
        <f t="shared" si="416"/>
        <v>BypassOpenStudio_zb,0,</v>
      </c>
      <c r="BP102" s="31" t="str">
        <f t="shared" si="417"/>
        <v>BypassOpenStudio_ap,0,</v>
      </c>
      <c r="BQ102" s="31" t="str">
        <f t="shared" si="418"/>
        <v>BypassOpenStudio_ab,0,</v>
      </c>
      <c r="BR102" s="31" t="str">
        <f t="shared" si="419"/>
        <v>BypassOpenStudio_zp,0,</v>
      </c>
      <c r="BS102" s="31" t="str">
        <f t="shared" si="420"/>
        <v>BypassOpenStudio_zb,0,</v>
      </c>
      <c r="BT102" s="31" t="str">
        <f t="shared" si="421"/>
        <v>BypassOpenStudio_ap,0,</v>
      </c>
      <c r="BU102" s="31" t="str">
        <f t="shared" si="422"/>
        <v>BypassOpenStudio_ab,0,</v>
      </c>
    </row>
    <row r="103" spans="1:73" x14ac:dyDescent="0.25">
      <c r="A103" s="39">
        <f t="shared" si="500"/>
        <v>1</v>
      </c>
      <c r="B103" s="27" t="str">
        <f t="shared" si="501"/>
        <v>RulesetImplementationTests\050006-RetlMed-Run16\050006-RetlMed-Run16.cibd</v>
      </c>
      <c r="C103" s="27" t="str">
        <f t="shared" si="502"/>
        <v>BatchOut_160331_r3964_RIc\050006-RetlMed-Run16.cibd</v>
      </c>
      <c r="D103" s="27" t="str">
        <f t="shared" si="425"/>
        <v>BatchOut_160331_r3964_RIc\XML\</v>
      </c>
      <c r="E103" s="9" t="str">
        <f t="shared" si="503"/>
        <v>050006-Run16</v>
      </c>
      <c r="F103" s="22"/>
      <c r="G103" s="29"/>
      <c r="H103" s="23"/>
      <c r="I103" s="9" t="s">
        <v>11</v>
      </c>
      <c r="J103"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3" s="15" t="s">
        <v>1</v>
      </c>
      <c r="L103" s="36">
        <f t="shared" si="438"/>
        <v>1</v>
      </c>
      <c r="M103" s="32" t="str">
        <f t="shared" si="495"/>
        <v>050006-Run16</v>
      </c>
      <c r="N103" s="28" t="s">
        <v>139</v>
      </c>
      <c r="O103" s="57" t="str">
        <f t="shared" si="496"/>
        <v>050006-RetlMed-Run16</v>
      </c>
      <c r="P103" s="63">
        <f t="shared" si="439"/>
        <v>1</v>
      </c>
      <c r="Q103" s="65">
        <f t="shared" si="440"/>
        <v>1</v>
      </c>
      <c r="R103" s="65">
        <f t="shared" si="441"/>
        <v>0</v>
      </c>
      <c r="S103" s="65">
        <f t="shared" si="442"/>
        <v>1</v>
      </c>
      <c r="T103" s="65">
        <f t="shared" si="443"/>
        <v>0</v>
      </c>
      <c r="U103" s="65">
        <f t="shared" si="444"/>
        <v>8</v>
      </c>
      <c r="V103" s="65">
        <f t="shared" si="444"/>
        <v>8</v>
      </c>
      <c r="W103" s="65">
        <f t="shared" si="445"/>
        <v>1</v>
      </c>
      <c r="X103" s="65">
        <f t="shared" si="445"/>
        <v>0</v>
      </c>
      <c r="Y103" s="65">
        <f t="shared" si="445"/>
        <v>0</v>
      </c>
      <c r="Z103" s="65">
        <f t="shared" si="446"/>
        <v>0</v>
      </c>
      <c r="AA103" s="65">
        <f t="shared" si="447"/>
        <v>0</v>
      </c>
      <c r="AB103" s="65">
        <f t="shared" si="447"/>
        <v>0</v>
      </c>
      <c r="AC103" s="65">
        <f t="shared" si="432"/>
        <v>0</v>
      </c>
      <c r="AD103" s="61">
        <f t="shared" si="432"/>
        <v>0</v>
      </c>
      <c r="AE103" s="61">
        <f t="shared" ref="AE103:AF103" si="544">AE102</f>
        <v>0</v>
      </c>
      <c r="AF103" s="61">
        <f t="shared" si="544"/>
        <v>0</v>
      </c>
      <c r="AG103" s="61">
        <f t="shared" ref="AG103:AH103" si="545">AG102</f>
        <v>0</v>
      </c>
      <c r="AH103" s="61">
        <f t="shared" si="545"/>
        <v>0</v>
      </c>
      <c r="AI103" s="61">
        <f t="shared" ref="AI103" si="546">AI102</f>
        <v>0</v>
      </c>
      <c r="AJ103" s="63">
        <f t="shared" si="451"/>
        <v>0</v>
      </c>
      <c r="AK103" s="64">
        <f t="shared" si="452"/>
        <v>0</v>
      </c>
      <c r="AL103" s="64">
        <f t="shared" si="453"/>
        <v>0</v>
      </c>
      <c r="AM103" s="64">
        <f t="shared" si="454"/>
        <v>0</v>
      </c>
      <c r="AN103" s="66">
        <f t="shared" si="455"/>
        <v>0</v>
      </c>
      <c r="AO103" s="63">
        <f t="shared" si="456"/>
        <v>0</v>
      </c>
      <c r="AP103" s="64">
        <f t="shared" si="457"/>
        <v>0</v>
      </c>
      <c r="AQ103" s="65">
        <f t="shared" si="457"/>
        <v>0</v>
      </c>
      <c r="AR103" s="66">
        <f t="shared" si="457"/>
        <v>0</v>
      </c>
      <c r="AS103" s="31" t="str">
        <f t="shared" si="395"/>
        <v>SimulationStorage,1,</v>
      </c>
      <c r="AT103" s="31" t="str">
        <f t="shared" si="396"/>
        <v>AnalysisStorage,1,</v>
      </c>
      <c r="AU103" s="31" t="str">
        <f t="shared" si="397"/>
        <v>LogRuleEvaluation,0,</v>
      </c>
      <c r="AV103" s="31" t="str">
        <f t="shared" si="398"/>
        <v>ParallelSimulations,1,</v>
      </c>
      <c r="AW103" s="31" t="str">
        <f t="shared" si="399"/>
        <v>DurationStats,0,</v>
      </c>
      <c r="AX103" s="31" t="str">
        <f t="shared" si="400"/>
        <v>AnalysisThruStep,8,</v>
      </c>
      <c r="AY103" s="31" t="str">
        <f t="shared" si="401"/>
        <v>DontAbortOnErrorsThruStep,8,</v>
      </c>
      <c r="AZ103" s="31" t="str">
        <f t="shared" si="402"/>
        <v>BypassValidFileChecks,1,</v>
      </c>
      <c r="BA103" s="31" t="str">
        <f t="shared" si="403"/>
        <v>BypassInputChecks,0,</v>
      </c>
      <c r="BB103" s="31" t="str">
        <f t="shared" si="404"/>
        <v>BypassUMLHChecks,0,</v>
      </c>
      <c r="BC103" s="31" t="str">
        <f t="shared" si="405"/>
        <v>BypassCheckSimRules,0,</v>
      </c>
      <c r="BD103" s="31" t="str">
        <f t="shared" si="406"/>
        <v>BypassCheckCodeRules,0,</v>
      </c>
      <c r="BE103" s="31" t="str">
        <f t="shared" si="407"/>
        <v>StoreResultsToModelInput,0,</v>
      </c>
      <c r="BF103" s="31" t="str">
        <f t="shared" si="408"/>
        <v>StoreBEMDetails,0,</v>
      </c>
      <c r="BG103" s="31" t="str">
        <f t="shared" si="409"/>
        <v>ModelRpt_ALL,0,</v>
      </c>
      <c r="BH103" s="31" t="str">
        <f t="shared" si="410"/>
        <v>ExportHourlyResults_All,0,</v>
      </c>
      <c r="BI103" s="31" t="str">
        <f t="shared" si="411"/>
        <v>ComplianceReportPDF,0,</v>
      </c>
      <c r="BJ103" s="31" t="str">
        <f t="shared" si="412"/>
        <v>ComplianceReportXML,0,</v>
      </c>
      <c r="BK103" s="31" t="str">
        <f t="shared" si="413"/>
        <v>QuickAnalysis,0,</v>
      </c>
      <c r="BL103" s="31" t="str">
        <f t="shared" si="413"/>
        <v>PromptUserUMLHWarning,0,</v>
      </c>
      <c r="BM103" s="31" t="str">
        <f t="shared" si="414"/>
        <v>BypassOpenStudio_all,0,</v>
      </c>
      <c r="BN103" s="31" t="str">
        <f t="shared" si="415"/>
        <v>BypassOpenStudio_zp,0,</v>
      </c>
      <c r="BO103" s="31" t="str">
        <f t="shared" si="416"/>
        <v>BypassOpenStudio_zb,0,</v>
      </c>
      <c r="BP103" s="31" t="str">
        <f t="shared" si="417"/>
        <v>BypassOpenStudio_ap,0,</v>
      </c>
      <c r="BQ103" s="31" t="str">
        <f t="shared" si="418"/>
        <v>BypassOpenStudio_ab,0,</v>
      </c>
      <c r="BR103" s="31" t="str">
        <f t="shared" si="419"/>
        <v>BypassOpenStudio_zp,0,</v>
      </c>
      <c r="BS103" s="31" t="str">
        <f t="shared" si="420"/>
        <v>BypassOpenStudio_zb,0,</v>
      </c>
      <c r="BT103" s="31" t="str">
        <f t="shared" si="421"/>
        <v>BypassOpenStudio_ap,0,</v>
      </c>
      <c r="BU103" s="31" t="str">
        <f t="shared" si="422"/>
        <v>BypassOpenStudio_ab,0,</v>
      </c>
    </row>
    <row r="104" spans="1:73" x14ac:dyDescent="0.25">
      <c r="A104" s="39">
        <f t="shared" si="500"/>
        <v>1</v>
      </c>
      <c r="B104" s="27" t="str">
        <f t="shared" si="501"/>
        <v>RulesetImplementationTests\050006-RetlMed-Run27\050006-RetlMed-Run27.cibd</v>
      </c>
      <c r="C104" s="27" t="str">
        <f t="shared" si="502"/>
        <v>BatchOut_160331_r3964_RIc\050006-RetlMed-Run27.cibd</v>
      </c>
      <c r="D104" s="27" t="str">
        <f t="shared" si="425"/>
        <v>BatchOut_160331_r3964_RIc\XML\</v>
      </c>
      <c r="E104" s="9" t="str">
        <f t="shared" si="503"/>
        <v>050006-Run27</v>
      </c>
      <c r="F104" s="22"/>
      <c r="G104" s="29"/>
      <c r="H104" s="23"/>
      <c r="I104" s="9" t="s">
        <v>11</v>
      </c>
      <c r="J104"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4" s="15" t="s">
        <v>1</v>
      </c>
      <c r="L104" s="36">
        <f t="shared" si="438"/>
        <v>1</v>
      </c>
      <c r="M104" s="32" t="str">
        <f t="shared" si="495"/>
        <v>050006-Run27</v>
      </c>
      <c r="N104" s="28" t="s">
        <v>147</v>
      </c>
      <c r="O104" s="57" t="str">
        <f t="shared" si="496"/>
        <v>050006-RetlMed-Run27</v>
      </c>
      <c r="P104" s="63">
        <f t="shared" si="439"/>
        <v>1</v>
      </c>
      <c r="Q104" s="65">
        <f t="shared" si="440"/>
        <v>1</v>
      </c>
      <c r="R104" s="65">
        <f t="shared" si="441"/>
        <v>0</v>
      </c>
      <c r="S104" s="65">
        <f t="shared" si="442"/>
        <v>1</v>
      </c>
      <c r="T104" s="65">
        <f t="shared" si="443"/>
        <v>0</v>
      </c>
      <c r="U104" s="65">
        <f t="shared" si="444"/>
        <v>8</v>
      </c>
      <c r="V104" s="65">
        <f t="shared" si="444"/>
        <v>8</v>
      </c>
      <c r="W104" s="65">
        <f t="shared" si="445"/>
        <v>1</v>
      </c>
      <c r="X104" s="65">
        <f t="shared" si="445"/>
        <v>0</v>
      </c>
      <c r="Y104" s="65">
        <f t="shared" si="445"/>
        <v>0</v>
      </c>
      <c r="Z104" s="65">
        <f t="shared" si="446"/>
        <v>0</v>
      </c>
      <c r="AA104" s="65">
        <f t="shared" si="447"/>
        <v>0</v>
      </c>
      <c r="AB104" s="65">
        <f t="shared" si="447"/>
        <v>0</v>
      </c>
      <c r="AC104" s="65">
        <f t="shared" si="432"/>
        <v>0</v>
      </c>
      <c r="AD104" s="61">
        <f t="shared" si="432"/>
        <v>0</v>
      </c>
      <c r="AE104" s="61">
        <f t="shared" ref="AE104:AF104" si="547">AE103</f>
        <v>0</v>
      </c>
      <c r="AF104" s="61">
        <f t="shared" si="547"/>
        <v>0</v>
      </c>
      <c r="AG104" s="61">
        <f t="shared" ref="AG104:AH104" si="548">AG103</f>
        <v>0</v>
      </c>
      <c r="AH104" s="61">
        <f t="shared" si="548"/>
        <v>0</v>
      </c>
      <c r="AI104" s="61">
        <f t="shared" ref="AI104" si="549">AI103</f>
        <v>0</v>
      </c>
      <c r="AJ104" s="63">
        <f t="shared" si="451"/>
        <v>0</v>
      </c>
      <c r="AK104" s="64">
        <f t="shared" si="452"/>
        <v>0</v>
      </c>
      <c r="AL104" s="64">
        <f t="shared" si="453"/>
        <v>0</v>
      </c>
      <c r="AM104" s="64">
        <f t="shared" si="454"/>
        <v>0</v>
      </c>
      <c r="AN104" s="66">
        <f t="shared" si="455"/>
        <v>0</v>
      </c>
      <c r="AO104" s="63">
        <f t="shared" si="456"/>
        <v>0</v>
      </c>
      <c r="AP104" s="64">
        <f t="shared" si="457"/>
        <v>0</v>
      </c>
      <c r="AQ104" s="65">
        <f t="shared" si="457"/>
        <v>0</v>
      </c>
      <c r="AR104" s="66">
        <f t="shared" si="457"/>
        <v>0</v>
      </c>
      <c r="AS104" s="31" t="str">
        <f t="shared" si="395"/>
        <v>SimulationStorage,1,</v>
      </c>
      <c r="AT104" s="31" t="str">
        <f t="shared" si="396"/>
        <v>AnalysisStorage,1,</v>
      </c>
      <c r="AU104" s="31" t="str">
        <f t="shared" si="397"/>
        <v>LogRuleEvaluation,0,</v>
      </c>
      <c r="AV104" s="31" t="str">
        <f t="shared" si="398"/>
        <v>ParallelSimulations,1,</v>
      </c>
      <c r="AW104" s="31" t="str">
        <f t="shared" si="399"/>
        <v>DurationStats,0,</v>
      </c>
      <c r="AX104" s="31" t="str">
        <f t="shared" si="400"/>
        <v>AnalysisThruStep,8,</v>
      </c>
      <c r="AY104" s="31" t="str">
        <f t="shared" si="401"/>
        <v>DontAbortOnErrorsThruStep,8,</v>
      </c>
      <c r="AZ104" s="31" t="str">
        <f t="shared" si="402"/>
        <v>BypassValidFileChecks,1,</v>
      </c>
      <c r="BA104" s="31" t="str">
        <f t="shared" si="403"/>
        <v>BypassInputChecks,0,</v>
      </c>
      <c r="BB104" s="31" t="str">
        <f t="shared" si="404"/>
        <v>BypassUMLHChecks,0,</v>
      </c>
      <c r="BC104" s="31" t="str">
        <f t="shared" si="405"/>
        <v>BypassCheckSimRules,0,</v>
      </c>
      <c r="BD104" s="31" t="str">
        <f t="shared" si="406"/>
        <v>BypassCheckCodeRules,0,</v>
      </c>
      <c r="BE104" s="31" t="str">
        <f t="shared" si="407"/>
        <v>StoreResultsToModelInput,0,</v>
      </c>
      <c r="BF104" s="31" t="str">
        <f t="shared" si="408"/>
        <v>StoreBEMDetails,0,</v>
      </c>
      <c r="BG104" s="31" t="str">
        <f t="shared" si="409"/>
        <v>ModelRpt_ALL,0,</v>
      </c>
      <c r="BH104" s="31" t="str">
        <f t="shared" si="410"/>
        <v>ExportHourlyResults_All,0,</v>
      </c>
      <c r="BI104" s="31" t="str">
        <f t="shared" si="411"/>
        <v>ComplianceReportPDF,0,</v>
      </c>
      <c r="BJ104" s="31" t="str">
        <f t="shared" si="412"/>
        <v>ComplianceReportXML,0,</v>
      </c>
      <c r="BK104" s="31" t="str">
        <f t="shared" si="413"/>
        <v>QuickAnalysis,0,</v>
      </c>
      <c r="BL104" s="31" t="str">
        <f t="shared" si="413"/>
        <v>PromptUserUMLHWarning,0,</v>
      </c>
      <c r="BM104" s="31" t="str">
        <f t="shared" si="414"/>
        <v>BypassOpenStudio_all,0,</v>
      </c>
      <c r="BN104" s="31" t="str">
        <f t="shared" si="415"/>
        <v>BypassOpenStudio_zp,0,</v>
      </c>
      <c r="BO104" s="31" t="str">
        <f t="shared" si="416"/>
        <v>BypassOpenStudio_zb,0,</v>
      </c>
      <c r="BP104" s="31" t="str">
        <f t="shared" si="417"/>
        <v>BypassOpenStudio_ap,0,</v>
      </c>
      <c r="BQ104" s="31" t="str">
        <f t="shared" si="418"/>
        <v>BypassOpenStudio_ab,0,</v>
      </c>
      <c r="BR104" s="31" t="str">
        <f t="shared" si="419"/>
        <v>BypassOpenStudio_zp,0,</v>
      </c>
      <c r="BS104" s="31" t="str">
        <f t="shared" si="420"/>
        <v>BypassOpenStudio_zb,0,</v>
      </c>
      <c r="BT104" s="31" t="str">
        <f t="shared" si="421"/>
        <v>BypassOpenStudio_ap,0,</v>
      </c>
      <c r="BU104" s="31" t="str">
        <f t="shared" si="422"/>
        <v>BypassOpenStudio_ab,0,</v>
      </c>
    </row>
    <row r="105" spans="1:73" x14ac:dyDescent="0.25">
      <c r="A105" s="39">
        <f t="shared" si="500"/>
        <v>1</v>
      </c>
      <c r="B105" s="99" t="s">
        <v>371</v>
      </c>
      <c r="C105" s="99" t="s">
        <v>372</v>
      </c>
      <c r="D105" s="27" t="str">
        <f t="shared" si="425"/>
        <v>BatchOut_160331_r3964_RIc\XML\</v>
      </c>
      <c r="E105" s="9" t="str">
        <f t="shared" si="503"/>
        <v>050006-Run27_WB</v>
      </c>
      <c r="F105" s="22"/>
      <c r="G105" s="29"/>
      <c r="H105" s="23"/>
      <c r="I105" s="9" t="s">
        <v>11</v>
      </c>
      <c r="J105"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5" s="15" t="s">
        <v>1</v>
      </c>
      <c r="L105" s="36">
        <f t="shared" si="438"/>
        <v>1</v>
      </c>
      <c r="M105" s="98" t="s">
        <v>370</v>
      </c>
      <c r="N105" s="28" t="s">
        <v>369</v>
      </c>
      <c r="O105" s="57" t="str">
        <f t="shared" si="496"/>
        <v>050006-RetlMed-Run27_WB</v>
      </c>
      <c r="P105" s="63">
        <f t="shared" si="439"/>
        <v>1</v>
      </c>
      <c r="Q105" s="65">
        <f t="shared" si="440"/>
        <v>1</v>
      </c>
      <c r="R105" s="65">
        <f t="shared" si="441"/>
        <v>0</v>
      </c>
      <c r="S105" s="65">
        <f t="shared" si="442"/>
        <v>1</v>
      </c>
      <c r="T105" s="65">
        <f t="shared" si="443"/>
        <v>0</v>
      </c>
      <c r="U105" s="65">
        <f t="shared" si="444"/>
        <v>8</v>
      </c>
      <c r="V105" s="65">
        <f t="shared" si="444"/>
        <v>8</v>
      </c>
      <c r="W105" s="65">
        <f t="shared" si="445"/>
        <v>1</v>
      </c>
      <c r="X105" s="65">
        <f t="shared" si="445"/>
        <v>0</v>
      </c>
      <c r="Y105" s="65">
        <f t="shared" si="445"/>
        <v>0</v>
      </c>
      <c r="Z105" s="65">
        <f t="shared" si="446"/>
        <v>0</v>
      </c>
      <c r="AA105" s="65">
        <f t="shared" si="447"/>
        <v>0</v>
      </c>
      <c r="AB105" s="65">
        <f t="shared" si="447"/>
        <v>0</v>
      </c>
      <c r="AC105" s="65">
        <f t="shared" si="432"/>
        <v>0</v>
      </c>
      <c r="AD105" s="61">
        <f t="shared" si="432"/>
        <v>0</v>
      </c>
      <c r="AE105" s="61">
        <f t="shared" ref="AE105:AF105" si="550">AE104</f>
        <v>0</v>
      </c>
      <c r="AF105" s="61">
        <f t="shared" si="550"/>
        <v>0</v>
      </c>
      <c r="AG105" s="61">
        <f t="shared" ref="AG105:AH105" si="551">AG104</f>
        <v>0</v>
      </c>
      <c r="AH105" s="61">
        <f t="shared" si="551"/>
        <v>0</v>
      </c>
      <c r="AI105" s="61">
        <f t="shared" ref="AI105" si="552">AI104</f>
        <v>0</v>
      </c>
      <c r="AJ105" s="63">
        <f t="shared" si="451"/>
        <v>0</v>
      </c>
      <c r="AK105" s="64">
        <f t="shared" si="452"/>
        <v>0</v>
      </c>
      <c r="AL105" s="64">
        <f t="shared" si="453"/>
        <v>0</v>
      </c>
      <c r="AM105" s="64">
        <f t="shared" si="454"/>
        <v>0</v>
      </c>
      <c r="AN105" s="66">
        <f t="shared" si="455"/>
        <v>0</v>
      </c>
      <c r="AO105" s="63">
        <f t="shared" si="456"/>
        <v>0</v>
      </c>
      <c r="AP105" s="64">
        <f t="shared" si="457"/>
        <v>0</v>
      </c>
      <c r="AQ105" s="65">
        <f t="shared" si="457"/>
        <v>0</v>
      </c>
      <c r="AR105" s="66">
        <f t="shared" si="457"/>
        <v>0</v>
      </c>
      <c r="AS105" s="31" t="str">
        <f t="shared" si="395"/>
        <v>SimulationStorage,1,</v>
      </c>
      <c r="AT105" s="31" t="str">
        <f t="shared" si="396"/>
        <v>AnalysisStorage,1,</v>
      </c>
      <c r="AU105" s="31" t="str">
        <f t="shared" si="397"/>
        <v>LogRuleEvaluation,0,</v>
      </c>
      <c r="AV105" s="31" t="str">
        <f t="shared" si="398"/>
        <v>ParallelSimulations,1,</v>
      </c>
      <c r="AW105" s="31" t="str">
        <f t="shared" si="399"/>
        <v>DurationStats,0,</v>
      </c>
      <c r="AX105" s="31" t="str">
        <f t="shared" si="400"/>
        <v>AnalysisThruStep,8,</v>
      </c>
      <c r="AY105" s="31" t="str">
        <f t="shared" si="401"/>
        <v>DontAbortOnErrorsThruStep,8,</v>
      </c>
      <c r="AZ105" s="31" t="str">
        <f t="shared" si="402"/>
        <v>BypassValidFileChecks,1,</v>
      </c>
      <c r="BA105" s="31" t="str">
        <f t="shared" si="403"/>
        <v>BypassInputChecks,0,</v>
      </c>
      <c r="BB105" s="31" t="str">
        <f t="shared" si="404"/>
        <v>BypassUMLHChecks,0,</v>
      </c>
      <c r="BC105" s="31" t="str">
        <f t="shared" si="405"/>
        <v>BypassCheckSimRules,0,</v>
      </c>
      <c r="BD105" s="31" t="str">
        <f t="shared" si="406"/>
        <v>BypassCheckCodeRules,0,</v>
      </c>
      <c r="BE105" s="31" t="str">
        <f t="shared" si="407"/>
        <v>StoreResultsToModelInput,0,</v>
      </c>
      <c r="BF105" s="31" t="str">
        <f t="shared" si="408"/>
        <v>StoreBEMDetails,0,</v>
      </c>
      <c r="BG105" s="31" t="str">
        <f t="shared" si="409"/>
        <v>ModelRpt_ALL,0,</v>
      </c>
      <c r="BH105" s="31" t="str">
        <f t="shared" si="410"/>
        <v>ExportHourlyResults_All,0,</v>
      </c>
      <c r="BI105" s="31" t="str">
        <f t="shared" si="411"/>
        <v>ComplianceReportPDF,0,</v>
      </c>
      <c r="BJ105" s="31" t="str">
        <f t="shared" si="412"/>
        <v>ComplianceReportXML,0,</v>
      </c>
      <c r="BK105" s="31" t="str">
        <f t="shared" si="413"/>
        <v>QuickAnalysis,0,</v>
      </c>
      <c r="BL105" s="31" t="str">
        <f t="shared" si="413"/>
        <v>PromptUserUMLHWarning,0,</v>
      </c>
      <c r="BM105" s="31" t="str">
        <f t="shared" si="414"/>
        <v>BypassOpenStudio_all,0,</v>
      </c>
      <c r="BN105" s="31" t="str">
        <f t="shared" si="415"/>
        <v>BypassOpenStudio_zp,0,</v>
      </c>
      <c r="BO105" s="31" t="str">
        <f t="shared" si="416"/>
        <v>BypassOpenStudio_zb,0,</v>
      </c>
      <c r="BP105" s="31" t="str">
        <f t="shared" si="417"/>
        <v>BypassOpenStudio_ap,0,</v>
      </c>
      <c r="BQ105" s="31" t="str">
        <f t="shared" si="418"/>
        <v>BypassOpenStudio_ab,0,</v>
      </c>
      <c r="BR105" s="31" t="str">
        <f t="shared" si="419"/>
        <v>BypassOpenStudio_zp,0,</v>
      </c>
      <c r="BS105" s="31" t="str">
        <f t="shared" si="420"/>
        <v>BypassOpenStudio_zb,0,</v>
      </c>
      <c r="BT105" s="31" t="str">
        <f t="shared" si="421"/>
        <v>BypassOpenStudio_ap,0,</v>
      </c>
      <c r="BU105" s="31" t="str">
        <f t="shared" si="422"/>
        <v>BypassOpenStudio_ab,0,</v>
      </c>
    </row>
    <row r="106" spans="1:73" x14ac:dyDescent="0.25">
      <c r="A106" s="39">
        <f t="shared" si="500"/>
        <v>1</v>
      </c>
      <c r="B106" s="27" t="str">
        <f t="shared" si="501"/>
        <v>RulesetImplementationTests\050006-RetlMed-Run28\050006-RetlMed-Run28.cibd</v>
      </c>
      <c r="C106" s="27" t="str">
        <f t="shared" si="502"/>
        <v>BatchOut_160331_r3964_RIc\050006-RetlMed-Run28.cibd</v>
      </c>
      <c r="D106" s="27" t="str">
        <f t="shared" si="425"/>
        <v>BatchOut_160331_r3964_RIc\XML\</v>
      </c>
      <c r="E106" s="9" t="str">
        <f t="shared" si="503"/>
        <v>050006-Run28</v>
      </c>
      <c r="F106" s="22"/>
      <c r="G106" s="29"/>
      <c r="H106" s="23"/>
      <c r="I106" s="9" t="s">
        <v>11</v>
      </c>
      <c r="J106"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6" s="15" t="s">
        <v>1</v>
      </c>
      <c r="L106" s="36">
        <f t="shared" si="438"/>
        <v>1</v>
      </c>
      <c r="M106" s="32" t="str">
        <f t="shared" si="495"/>
        <v>050006-Run28</v>
      </c>
      <c r="N106" s="28" t="s">
        <v>148</v>
      </c>
      <c r="O106" s="57" t="str">
        <f t="shared" si="496"/>
        <v>050006-RetlMed-Run28</v>
      </c>
      <c r="P106" s="63">
        <f t="shared" si="439"/>
        <v>1</v>
      </c>
      <c r="Q106" s="65">
        <f t="shared" si="440"/>
        <v>1</v>
      </c>
      <c r="R106" s="65">
        <f t="shared" si="441"/>
        <v>0</v>
      </c>
      <c r="S106" s="65">
        <f t="shared" si="442"/>
        <v>1</v>
      </c>
      <c r="T106" s="65">
        <f t="shared" si="443"/>
        <v>0</v>
      </c>
      <c r="U106" s="65">
        <f t="shared" si="444"/>
        <v>8</v>
      </c>
      <c r="V106" s="65">
        <f t="shared" si="444"/>
        <v>8</v>
      </c>
      <c r="W106" s="65">
        <f t="shared" si="445"/>
        <v>1</v>
      </c>
      <c r="X106" s="65">
        <f t="shared" si="445"/>
        <v>0</v>
      </c>
      <c r="Y106" s="65">
        <f t="shared" si="445"/>
        <v>0</v>
      </c>
      <c r="Z106" s="65">
        <f t="shared" si="446"/>
        <v>0</v>
      </c>
      <c r="AA106" s="65">
        <f t="shared" si="447"/>
        <v>0</v>
      </c>
      <c r="AB106" s="65">
        <f t="shared" si="447"/>
        <v>0</v>
      </c>
      <c r="AC106" s="65">
        <f t="shared" si="432"/>
        <v>0</v>
      </c>
      <c r="AD106" s="61">
        <f t="shared" si="432"/>
        <v>0</v>
      </c>
      <c r="AE106" s="61">
        <f t="shared" ref="AE106:AF106" si="553">AE105</f>
        <v>0</v>
      </c>
      <c r="AF106" s="61">
        <f t="shared" si="553"/>
        <v>0</v>
      </c>
      <c r="AG106" s="61">
        <f t="shared" ref="AG106:AH106" si="554">AG105</f>
        <v>0</v>
      </c>
      <c r="AH106" s="61">
        <f t="shared" si="554"/>
        <v>0</v>
      </c>
      <c r="AI106" s="61">
        <f t="shared" ref="AI106" si="555">AI105</f>
        <v>0</v>
      </c>
      <c r="AJ106" s="63">
        <f t="shared" si="451"/>
        <v>0</v>
      </c>
      <c r="AK106" s="64">
        <f t="shared" si="452"/>
        <v>0</v>
      </c>
      <c r="AL106" s="64">
        <f t="shared" si="453"/>
        <v>0</v>
      </c>
      <c r="AM106" s="64">
        <f t="shared" si="454"/>
        <v>0</v>
      </c>
      <c r="AN106" s="66">
        <f t="shared" si="455"/>
        <v>0</v>
      </c>
      <c r="AO106" s="63">
        <f t="shared" si="456"/>
        <v>0</v>
      </c>
      <c r="AP106" s="64">
        <f t="shared" si="457"/>
        <v>0</v>
      </c>
      <c r="AQ106" s="65">
        <f t="shared" si="457"/>
        <v>0</v>
      </c>
      <c r="AR106" s="66">
        <f t="shared" si="457"/>
        <v>0</v>
      </c>
      <c r="AS106" s="31" t="str">
        <f t="shared" si="395"/>
        <v>SimulationStorage,1,</v>
      </c>
      <c r="AT106" s="31" t="str">
        <f t="shared" si="396"/>
        <v>AnalysisStorage,1,</v>
      </c>
      <c r="AU106" s="31" t="str">
        <f t="shared" si="397"/>
        <v>LogRuleEvaluation,0,</v>
      </c>
      <c r="AV106" s="31" t="str">
        <f t="shared" si="398"/>
        <v>ParallelSimulations,1,</v>
      </c>
      <c r="AW106" s="31" t="str">
        <f t="shared" si="399"/>
        <v>DurationStats,0,</v>
      </c>
      <c r="AX106" s="31" t="str">
        <f t="shared" si="400"/>
        <v>AnalysisThruStep,8,</v>
      </c>
      <c r="AY106" s="31" t="str">
        <f t="shared" si="401"/>
        <v>DontAbortOnErrorsThruStep,8,</v>
      </c>
      <c r="AZ106" s="31" t="str">
        <f t="shared" si="402"/>
        <v>BypassValidFileChecks,1,</v>
      </c>
      <c r="BA106" s="31" t="str">
        <f t="shared" si="403"/>
        <v>BypassInputChecks,0,</v>
      </c>
      <c r="BB106" s="31" t="str">
        <f t="shared" si="404"/>
        <v>BypassUMLHChecks,0,</v>
      </c>
      <c r="BC106" s="31" t="str">
        <f t="shared" si="405"/>
        <v>BypassCheckSimRules,0,</v>
      </c>
      <c r="BD106" s="31" t="str">
        <f t="shared" si="406"/>
        <v>BypassCheckCodeRules,0,</v>
      </c>
      <c r="BE106" s="31" t="str">
        <f t="shared" si="407"/>
        <v>StoreResultsToModelInput,0,</v>
      </c>
      <c r="BF106" s="31" t="str">
        <f t="shared" si="408"/>
        <v>StoreBEMDetails,0,</v>
      </c>
      <c r="BG106" s="31" t="str">
        <f t="shared" si="409"/>
        <v>ModelRpt_ALL,0,</v>
      </c>
      <c r="BH106" s="31" t="str">
        <f t="shared" si="410"/>
        <v>ExportHourlyResults_All,0,</v>
      </c>
      <c r="BI106" s="31" t="str">
        <f t="shared" si="411"/>
        <v>ComplianceReportPDF,0,</v>
      </c>
      <c r="BJ106" s="31" t="str">
        <f t="shared" si="412"/>
        <v>ComplianceReportXML,0,</v>
      </c>
      <c r="BK106" s="31" t="str">
        <f t="shared" si="413"/>
        <v>QuickAnalysis,0,</v>
      </c>
      <c r="BL106" s="31" t="str">
        <f t="shared" si="413"/>
        <v>PromptUserUMLHWarning,0,</v>
      </c>
      <c r="BM106" s="31" t="str">
        <f t="shared" si="414"/>
        <v>BypassOpenStudio_all,0,</v>
      </c>
      <c r="BN106" s="31" t="str">
        <f t="shared" si="415"/>
        <v>BypassOpenStudio_zp,0,</v>
      </c>
      <c r="BO106" s="31" t="str">
        <f t="shared" si="416"/>
        <v>BypassOpenStudio_zb,0,</v>
      </c>
      <c r="BP106" s="31" t="str">
        <f t="shared" si="417"/>
        <v>BypassOpenStudio_ap,0,</v>
      </c>
      <c r="BQ106" s="31" t="str">
        <f t="shared" si="418"/>
        <v>BypassOpenStudio_ab,0,</v>
      </c>
      <c r="BR106" s="31" t="str">
        <f t="shared" si="419"/>
        <v>BypassOpenStudio_zp,0,</v>
      </c>
      <c r="BS106" s="31" t="str">
        <f t="shared" si="420"/>
        <v>BypassOpenStudio_zb,0,</v>
      </c>
      <c r="BT106" s="31" t="str">
        <f t="shared" si="421"/>
        <v>BypassOpenStudio_ap,0,</v>
      </c>
      <c r="BU106" s="31" t="str">
        <f t="shared" si="422"/>
        <v>BypassOpenStudio_ab,0,</v>
      </c>
    </row>
    <row r="107" spans="1:73" x14ac:dyDescent="0.25">
      <c r="A107" s="39">
        <f t="shared" ref="A107:A113" si="556">L107</f>
        <v>1</v>
      </c>
      <c r="B107" s="27" t="str">
        <f t="shared" ref="B107:B113" si="557">M$74&amp;N107&amp;"\"&amp;N107&amp;".cibd"</f>
        <v>RulesetImplementationTests\070015-HotSml-Run03\070015-HotSml-Run03.cibd</v>
      </c>
      <c r="C107" s="27" t="str">
        <f t="shared" ref="C107:C113" si="558" xml:space="preserve"> M$75 &amp; O107 &amp; ".cibd"</f>
        <v>BatchOut_160331_r3964_RIc\070015-HotSml-Run03.cibd</v>
      </c>
      <c r="D107" s="27" t="str">
        <f t="shared" si="425"/>
        <v>BatchOut_160331_r3964_RIc\XML\</v>
      </c>
      <c r="E107" s="9" t="str">
        <f t="shared" ref="E107:E113" si="559">M107</f>
        <v>070015-Run03</v>
      </c>
      <c r="F107" s="22"/>
      <c r="G107" s="29"/>
      <c r="H107" s="23"/>
      <c r="I107" s="9" t="s">
        <v>11</v>
      </c>
      <c r="J107"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7" s="15" t="s">
        <v>1</v>
      </c>
      <c r="L107" s="36">
        <f t="shared" si="438"/>
        <v>1</v>
      </c>
      <c r="M107" s="32" t="str">
        <f t="shared" si="495"/>
        <v>070015-Run03</v>
      </c>
      <c r="N107" s="28" t="s">
        <v>128</v>
      </c>
      <c r="O107" s="57" t="str">
        <f t="shared" si="496"/>
        <v>070015-HotSml-Run03</v>
      </c>
      <c r="P107" s="63">
        <f t="shared" si="439"/>
        <v>1</v>
      </c>
      <c r="Q107" s="65">
        <f t="shared" si="440"/>
        <v>1</v>
      </c>
      <c r="R107" s="65">
        <f t="shared" si="441"/>
        <v>0</v>
      </c>
      <c r="S107" s="65">
        <f t="shared" si="442"/>
        <v>1</v>
      </c>
      <c r="T107" s="65">
        <f t="shared" si="443"/>
        <v>0</v>
      </c>
      <c r="U107" s="65">
        <f t="shared" si="444"/>
        <v>8</v>
      </c>
      <c r="V107" s="65">
        <f t="shared" si="444"/>
        <v>8</v>
      </c>
      <c r="W107" s="65">
        <f t="shared" ref="W107:Y107" si="560">W106</f>
        <v>1</v>
      </c>
      <c r="X107" s="65">
        <f t="shared" si="560"/>
        <v>0</v>
      </c>
      <c r="Y107" s="65">
        <f t="shared" si="560"/>
        <v>0</v>
      </c>
      <c r="Z107" s="65">
        <f t="shared" si="446"/>
        <v>0</v>
      </c>
      <c r="AA107" s="65">
        <f t="shared" si="446"/>
        <v>0</v>
      </c>
      <c r="AB107" s="65">
        <f t="shared" si="446"/>
        <v>0</v>
      </c>
      <c r="AC107" s="65">
        <f t="shared" si="432"/>
        <v>0</v>
      </c>
      <c r="AD107" s="61">
        <f t="shared" si="432"/>
        <v>0</v>
      </c>
      <c r="AE107" s="61">
        <f t="shared" ref="AE107:AF107" si="561">AE106</f>
        <v>0</v>
      </c>
      <c r="AF107" s="61">
        <f t="shared" si="561"/>
        <v>0</v>
      </c>
      <c r="AG107" s="61">
        <f t="shared" ref="AG107:AH107" si="562">AG106</f>
        <v>0</v>
      </c>
      <c r="AH107" s="61">
        <f t="shared" si="562"/>
        <v>0</v>
      </c>
      <c r="AI107" s="61">
        <f t="shared" ref="AI107" si="563">AI106</f>
        <v>0</v>
      </c>
      <c r="AJ107" s="63">
        <f t="shared" si="451"/>
        <v>0</v>
      </c>
      <c r="AK107" s="64">
        <f t="shared" si="452"/>
        <v>0</v>
      </c>
      <c r="AL107" s="64">
        <f t="shared" si="453"/>
        <v>0</v>
      </c>
      <c r="AM107" s="64">
        <f t="shared" si="454"/>
        <v>0</v>
      </c>
      <c r="AN107" s="66">
        <f t="shared" si="455"/>
        <v>0</v>
      </c>
      <c r="AO107" s="63">
        <f t="shared" si="456"/>
        <v>0</v>
      </c>
      <c r="AP107" s="64">
        <f t="shared" si="456"/>
        <v>0</v>
      </c>
      <c r="AQ107" s="65">
        <f t="shared" si="456"/>
        <v>0</v>
      </c>
      <c r="AR107" s="66">
        <f t="shared" si="456"/>
        <v>0</v>
      </c>
      <c r="AS107" s="31" t="str">
        <f t="shared" ref="AS107:AS113" si="564">P$13&amp;P107&amp;","</f>
        <v>SimulationStorage,1,</v>
      </c>
      <c r="AT107" s="31" t="str">
        <f t="shared" ref="AT107:AT113" si="565">Q$13&amp;Q107&amp;","</f>
        <v>AnalysisStorage,1,</v>
      </c>
      <c r="AU107" s="31" t="str">
        <f t="shared" ref="AU107:AU113" si="566">R$13&amp;R107&amp;","</f>
        <v>LogRuleEvaluation,0,</v>
      </c>
      <c r="AV107" s="31" t="str">
        <f t="shared" ref="AV107:AV113" si="567">S$13&amp;S107&amp;","</f>
        <v>ParallelSimulations,1,</v>
      </c>
      <c r="AW107" s="31" t="str">
        <f t="shared" ref="AW107:AW113" si="568">T$13&amp;T107&amp;","</f>
        <v>DurationStats,0,</v>
      </c>
      <c r="AX107" s="31" t="str">
        <f t="shared" ref="AX107:AX113" si="569">U$13&amp;U107&amp;","</f>
        <v>AnalysisThruStep,8,</v>
      </c>
      <c r="AY107" s="31" t="str">
        <f t="shared" ref="AY107:AY113" si="570">V$13&amp;V107&amp;","</f>
        <v>DontAbortOnErrorsThruStep,8,</v>
      </c>
      <c r="AZ107" s="31" t="str">
        <f t="shared" ref="AZ107:AZ113" si="571">W$13&amp;W107&amp;","</f>
        <v>BypassValidFileChecks,1,</v>
      </c>
      <c r="BA107" s="31" t="str">
        <f t="shared" ref="BA107:BA113" si="572">X$13&amp;X107&amp;","</f>
        <v>BypassInputChecks,0,</v>
      </c>
      <c r="BB107" s="31" t="str">
        <f t="shared" ref="BB107:BB113" si="573">Y$13&amp;Y107&amp;","</f>
        <v>BypassUMLHChecks,0,</v>
      </c>
      <c r="BC107" s="31" t="str">
        <f t="shared" ref="BC107:BC113" si="574">Z$13&amp;Z107&amp;","</f>
        <v>BypassCheckSimRules,0,</v>
      </c>
      <c r="BD107" s="31" t="str">
        <f t="shared" ref="BD107:BD113" si="575">AA$13&amp;AA107&amp;","</f>
        <v>BypassCheckCodeRules,0,</v>
      </c>
      <c r="BE107" s="31" t="str">
        <f t="shared" si="407"/>
        <v>StoreResultsToModelInput,0,</v>
      </c>
      <c r="BF107" s="31" t="str">
        <f t="shared" si="408"/>
        <v>StoreBEMDetails,0,</v>
      </c>
      <c r="BG107" s="31" t="str">
        <f t="shared" si="409"/>
        <v>ModelRpt_ALL,0,</v>
      </c>
      <c r="BH107" s="31" t="str">
        <f t="shared" si="410"/>
        <v>ExportHourlyResults_All,0,</v>
      </c>
      <c r="BI107" s="31" t="str">
        <f t="shared" si="411"/>
        <v>ComplianceReportPDF,0,</v>
      </c>
      <c r="BJ107" s="31" t="str">
        <f t="shared" si="412"/>
        <v>ComplianceReportXML,0,</v>
      </c>
      <c r="BK107" s="31" t="str">
        <f t="shared" si="413"/>
        <v>QuickAnalysis,0,</v>
      </c>
      <c r="BL107" s="31" t="str">
        <f t="shared" si="413"/>
        <v>PromptUserUMLHWarning,0,</v>
      </c>
      <c r="BM107" s="31" t="str">
        <f t="shared" si="414"/>
        <v>BypassOpenStudio_all,0,</v>
      </c>
      <c r="BN107" s="31" t="str">
        <f t="shared" si="415"/>
        <v>BypassOpenStudio_zp,0,</v>
      </c>
      <c r="BO107" s="31" t="str">
        <f t="shared" si="416"/>
        <v>BypassOpenStudio_zb,0,</v>
      </c>
      <c r="BP107" s="31" t="str">
        <f t="shared" si="417"/>
        <v>BypassOpenStudio_ap,0,</v>
      </c>
      <c r="BQ107" s="31" t="str">
        <f t="shared" si="418"/>
        <v>BypassOpenStudio_ab,0,</v>
      </c>
      <c r="BR107" s="31" t="str">
        <f t="shared" si="419"/>
        <v>BypassOpenStudio_zp,0,</v>
      </c>
      <c r="BS107" s="31" t="str">
        <f t="shared" si="420"/>
        <v>BypassOpenStudio_zb,0,</v>
      </c>
      <c r="BT107" s="31" t="str">
        <f t="shared" si="421"/>
        <v>BypassOpenStudio_ap,0,</v>
      </c>
      <c r="BU107" s="31" t="str">
        <f t="shared" si="422"/>
        <v>BypassOpenStudio_ab,0,</v>
      </c>
    </row>
    <row r="108" spans="1:73" x14ac:dyDescent="0.25">
      <c r="A108" s="39">
        <f t="shared" si="556"/>
        <v>1</v>
      </c>
      <c r="B108" s="27" t="str">
        <f t="shared" si="557"/>
        <v>RulesetImplementationTests\070015-HotSml-Run22\070015-HotSml-Run22.cibd</v>
      </c>
      <c r="C108" s="27" t="str">
        <f t="shared" si="558"/>
        <v>BatchOut_160331_r3964_RIc\070015-HotSml-Run22.cibd</v>
      </c>
      <c r="D108" s="27" t="str">
        <f t="shared" si="425"/>
        <v>BatchOut_160331_r3964_RIc\XML\</v>
      </c>
      <c r="E108" s="9" t="str">
        <f t="shared" si="559"/>
        <v>070015-Run22</v>
      </c>
      <c r="F108" s="22"/>
      <c r="G108" s="29"/>
      <c r="H108" s="23"/>
      <c r="I108" s="9" t="s">
        <v>11</v>
      </c>
      <c r="J108"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8" s="15" t="s">
        <v>1</v>
      </c>
      <c r="L108" s="36">
        <f t="shared" si="438"/>
        <v>1</v>
      </c>
      <c r="M108" s="32" t="str">
        <f t="shared" si="495"/>
        <v>070015-Run22</v>
      </c>
      <c r="N108" s="28" t="s">
        <v>206</v>
      </c>
      <c r="O108" s="57" t="str">
        <f t="shared" si="496"/>
        <v>070015-HotSml-Run22</v>
      </c>
      <c r="P108" s="63">
        <f t="shared" si="439"/>
        <v>1</v>
      </c>
      <c r="Q108" s="65">
        <f t="shared" si="440"/>
        <v>1</v>
      </c>
      <c r="R108" s="65">
        <f t="shared" si="441"/>
        <v>0</v>
      </c>
      <c r="S108" s="65">
        <f t="shared" si="442"/>
        <v>1</v>
      </c>
      <c r="T108" s="65">
        <f t="shared" si="443"/>
        <v>0</v>
      </c>
      <c r="U108" s="65">
        <f t="shared" si="444"/>
        <v>8</v>
      </c>
      <c r="V108" s="65">
        <f t="shared" si="444"/>
        <v>8</v>
      </c>
      <c r="W108" s="65">
        <f t="shared" ref="W108:AB109" si="576">W107</f>
        <v>1</v>
      </c>
      <c r="X108" s="65">
        <f t="shared" si="576"/>
        <v>0</v>
      </c>
      <c r="Y108" s="65">
        <f t="shared" si="576"/>
        <v>0</v>
      </c>
      <c r="Z108" s="65">
        <f t="shared" si="576"/>
        <v>0</v>
      </c>
      <c r="AA108" s="65">
        <f t="shared" si="576"/>
        <v>0</v>
      </c>
      <c r="AB108" s="65">
        <f t="shared" si="576"/>
        <v>0</v>
      </c>
      <c r="AC108" s="65">
        <f t="shared" si="432"/>
        <v>0</v>
      </c>
      <c r="AD108" s="61">
        <f t="shared" si="432"/>
        <v>0</v>
      </c>
      <c r="AE108" s="61">
        <f t="shared" ref="AE108:AF108" si="577">AE107</f>
        <v>0</v>
      </c>
      <c r="AF108" s="61">
        <f t="shared" si="577"/>
        <v>0</v>
      </c>
      <c r="AG108" s="61">
        <f t="shared" ref="AG108:AH108" si="578">AG107</f>
        <v>0</v>
      </c>
      <c r="AH108" s="61">
        <f t="shared" si="578"/>
        <v>0</v>
      </c>
      <c r="AI108" s="61">
        <f t="shared" ref="AI108" si="579">AI107</f>
        <v>0</v>
      </c>
      <c r="AJ108" s="63">
        <f t="shared" si="451"/>
        <v>0</v>
      </c>
      <c r="AK108" s="64">
        <f t="shared" si="452"/>
        <v>0</v>
      </c>
      <c r="AL108" s="64">
        <f t="shared" si="453"/>
        <v>0</v>
      </c>
      <c r="AM108" s="64">
        <f t="shared" si="454"/>
        <v>0</v>
      </c>
      <c r="AN108" s="66">
        <f t="shared" si="455"/>
        <v>0</v>
      </c>
      <c r="AO108" s="63">
        <f t="shared" si="455"/>
        <v>0</v>
      </c>
      <c r="AP108" s="64">
        <f t="shared" si="455"/>
        <v>0</v>
      </c>
      <c r="AQ108" s="65">
        <f t="shared" si="455"/>
        <v>0</v>
      </c>
      <c r="AR108" s="66">
        <f t="shared" si="455"/>
        <v>0</v>
      </c>
      <c r="AS108" s="31" t="str">
        <f t="shared" si="564"/>
        <v>SimulationStorage,1,</v>
      </c>
      <c r="AT108" s="31" t="str">
        <f t="shared" si="565"/>
        <v>AnalysisStorage,1,</v>
      </c>
      <c r="AU108" s="31" t="str">
        <f t="shared" si="566"/>
        <v>LogRuleEvaluation,0,</v>
      </c>
      <c r="AV108" s="31" t="str">
        <f t="shared" si="567"/>
        <v>ParallelSimulations,1,</v>
      </c>
      <c r="AW108" s="31" t="str">
        <f t="shared" si="568"/>
        <v>DurationStats,0,</v>
      </c>
      <c r="AX108" s="31" t="str">
        <f t="shared" si="569"/>
        <v>AnalysisThruStep,8,</v>
      </c>
      <c r="AY108" s="31" t="str">
        <f t="shared" si="570"/>
        <v>DontAbortOnErrorsThruStep,8,</v>
      </c>
      <c r="AZ108" s="31" t="str">
        <f t="shared" si="571"/>
        <v>BypassValidFileChecks,1,</v>
      </c>
      <c r="BA108" s="31" t="str">
        <f t="shared" si="572"/>
        <v>BypassInputChecks,0,</v>
      </c>
      <c r="BB108" s="31" t="str">
        <f t="shared" si="573"/>
        <v>BypassUMLHChecks,0,</v>
      </c>
      <c r="BC108" s="31" t="str">
        <f t="shared" si="574"/>
        <v>BypassCheckSimRules,0,</v>
      </c>
      <c r="BD108" s="31" t="str">
        <f t="shared" si="575"/>
        <v>BypassCheckCodeRules,0,</v>
      </c>
      <c r="BE108" s="31" t="str">
        <f t="shared" si="407"/>
        <v>StoreResultsToModelInput,0,</v>
      </c>
      <c r="BF108" s="31" t="str">
        <f t="shared" si="408"/>
        <v>StoreBEMDetails,0,</v>
      </c>
      <c r="BG108" s="31" t="str">
        <f t="shared" si="409"/>
        <v>ModelRpt_ALL,0,</v>
      </c>
      <c r="BH108" s="31" t="str">
        <f t="shared" si="410"/>
        <v>ExportHourlyResults_All,0,</v>
      </c>
      <c r="BI108" s="31" t="str">
        <f t="shared" si="411"/>
        <v>ComplianceReportPDF,0,</v>
      </c>
      <c r="BJ108" s="31" t="str">
        <f t="shared" si="412"/>
        <v>ComplianceReportXML,0,</v>
      </c>
      <c r="BK108" s="31" t="str">
        <f t="shared" si="413"/>
        <v>QuickAnalysis,0,</v>
      </c>
      <c r="BL108" s="31" t="str">
        <f t="shared" si="413"/>
        <v>PromptUserUMLHWarning,0,</v>
      </c>
      <c r="BM108" s="31" t="str">
        <f t="shared" si="414"/>
        <v>BypassOpenStudio_all,0,</v>
      </c>
      <c r="BN108" s="31" t="str">
        <f t="shared" si="415"/>
        <v>BypassOpenStudio_zp,0,</v>
      </c>
      <c r="BO108" s="31" t="str">
        <f t="shared" si="416"/>
        <v>BypassOpenStudio_zb,0,</v>
      </c>
      <c r="BP108" s="31" t="str">
        <f t="shared" si="417"/>
        <v>BypassOpenStudio_ap,0,</v>
      </c>
      <c r="BQ108" s="31" t="str">
        <f t="shared" si="418"/>
        <v>BypassOpenStudio_ab,0,</v>
      </c>
      <c r="BR108" s="31" t="str">
        <f t="shared" si="419"/>
        <v>BypassOpenStudio_zp,0,</v>
      </c>
      <c r="BS108" s="31" t="str">
        <f t="shared" si="420"/>
        <v>BypassOpenStudio_zb,0,</v>
      </c>
      <c r="BT108" s="31" t="str">
        <f t="shared" si="421"/>
        <v>BypassOpenStudio_ap,0,</v>
      </c>
      <c r="BU108" s="31" t="str">
        <f t="shared" si="422"/>
        <v>BypassOpenStudio_ab,0,</v>
      </c>
    </row>
    <row r="109" spans="1:73" x14ac:dyDescent="0.25">
      <c r="A109" s="39">
        <f t="shared" si="556"/>
        <v>1</v>
      </c>
      <c r="B109" s="27" t="str">
        <f t="shared" si="557"/>
        <v>RulesetImplementationTests\080006-Whse-Run07\080006-Whse-Run07.cibd</v>
      </c>
      <c r="C109" s="27" t="str">
        <f t="shared" si="558"/>
        <v>BatchOut_160331_r3964_RIc\080006-Whse-Run07.cibd</v>
      </c>
      <c r="D109" s="27" t="str">
        <f t="shared" si="425"/>
        <v>BatchOut_160331_r3964_RIc\XML\</v>
      </c>
      <c r="E109" s="9" t="str">
        <f t="shared" si="559"/>
        <v>080006-Run07</v>
      </c>
      <c r="F109" s="22"/>
      <c r="G109" s="29"/>
      <c r="H109" s="23"/>
      <c r="I109" s="9" t="s">
        <v>11</v>
      </c>
      <c r="J109"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9" s="15" t="s">
        <v>1</v>
      </c>
      <c r="L109" s="36">
        <f t="shared" si="438"/>
        <v>1</v>
      </c>
      <c r="M109" s="32" t="str">
        <f t="shared" si="495"/>
        <v>080006-Run07</v>
      </c>
      <c r="N109" s="28" t="s">
        <v>132</v>
      </c>
      <c r="O109" s="57" t="str">
        <f t="shared" si="496"/>
        <v>080006-Whse-Run07</v>
      </c>
      <c r="P109" s="63">
        <f t="shared" si="439"/>
        <v>1</v>
      </c>
      <c r="Q109" s="65">
        <f t="shared" si="440"/>
        <v>1</v>
      </c>
      <c r="R109" s="65">
        <f t="shared" si="441"/>
        <v>0</v>
      </c>
      <c r="S109" s="65">
        <f t="shared" si="442"/>
        <v>1</v>
      </c>
      <c r="T109" s="65">
        <f t="shared" si="443"/>
        <v>0</v>
      </c>
      <c r="U109" s="65">
        <f t="shared" si="444"/>
        <v>8</v>
      </c>
      <c r="V109" s="65">
        <f t="shared" si="444"/>
        <v>8</v>
      </c>
      <c r="W109" s="65">
        <f t="shared" ref="W109:Y109" si="580">W108</f>
        <v>1</v>
      </c>
      <c r="X109" s="65">
        <f t="shared" si="580"/>
        <v>0</v>
      </c>
      <c r="Y109" s="65">
        <f t="shared" si="580"/>
        <v>0</v>
      </c>
      <c r="Z109" s="65">
        <f t="shared" si="576"/>
        <v>0</v>
      </c>
      <c r="AA109" s="65">
        <f t="shared" si="576"/>
        <v>0</v>
      </c>
      <c r="AB109" s="65">
        <f t="shared" si="576"/>
        <v>0</v>
      </c>
      <c r="AC109" s="65">
        <f t="shared" si="432"/>
        <v>0</v>
      </c>
      <c r="AD109" s="61">
        <f t="shared" si="432"/>
        <v>0</v>
      </c>
      <c r="AE109" s="61">
        <f t="shared" ref="AE109:AF109" si="581">AE108</f>
        <v>0</v>
      </c>
      <c r="AF109" s="61">
        <f t="shared" si="581"/>
        <v>0</v>
      </c>
      <c r="AG109" s="61">
        <f t="shared" ref="AG109:AH109" si="582">AG108</f>
        <v>0</v>
      </c>
      <c r="AH109" s="61">
        <f t="shared" si="582"/>
        <v>0</v>
      </c>
      <c r="AI109" s="61">
        <f t="shared" ref="AI109:AI112" si="583">AI108</f>
        <v>0</v>
      </c>
      <c r="AJ109" s="63">
        <f t="shared" si="451"/>
        <v>0</v>
      </c>
      <c r="AK109" s="64">
        <f t="shared" si="452"/>
        <v>0</v>
      </c>
      <c r="AL109" s="64">
        <f t="shared" si="453"/>
        <v>0</v>
      </c>
      <c r="AM109" s="64">
        <f t="shared" si="454"/>
        <v>0</v>
      </c>
      <c r="AN109" s="66">
        <f t="shared" si="454"/>
        <v>0</v>
      </c>
      <c r="AO109" s="63">
        <f t="shared" si="454"/>
        <v>0</v>
      </c>
      <c r="AP109" s="64">
        <f t="shared" si="454"/>
        <v>0</v>
      </c>
      <c r="AQ109" s="65">
        <f t="shared" si="454"/>
        <v>0</v>
      </c>
      <c r="AR109" s="66">
        <f t="shared" si="454"/>
        <v>0</v>
      </c>
      <c r="AS109" s="31" t="str">
        <f t="shared" si="564"/>
        <v>SimulationStorage,1,</v>
      </c>
      <c r="AT109" s="31" t="str">
        <f t="shared" si="565"/>
        <v>AnalysisStorage,1,</v>
      </c>
      <c r="AU109" s="31" t="str">
        <f t="shared" si="566"/>
        <v>LogRuleEvaluation,0,</v>
      </c>
      <c r="AV109" s="31" t="str">
        <f t="shared" si="567"/>
        <v>ParallelSimulations,1,</v>
      </c>
      <c r="AW109" s="31" t="str">
        <f t="shared" si="568"/>
        <v>DurationStats,0,</v>
      </c>
      <c r="AX109" s="31" t="str">
        <f t="shared" si="569"/>
        <v>AnalysisThruStep,8,</v>
      </c>
      <c r="AY109" s="31" t="str">
        <f t="shared" si="570"/>
        <v>DontAbortOnErrorsThruStep,8,</v>
      </c>
      <c r="AZ109" s="31" t="str">
        <f t="shared" si="571"/>
        <v>BypassValidFileChecks,1,</v>
      </c>
      <c r="BA109" s="31" t="str">
        <f t="shared" si="572"/>
        <v>BypassInputChecks,0,</v>
      </c>
      <c r="BB109" s="31" t="str">
        <f t="shared" si="573"/>
        <v>BypassUMLHChecks,0,</v>
      </c>
      <c r="BC109" s="31" t="str">
        <f t="shared" si="574"/>
        <v>BypassCheckSimRules,0,</v>
      </c>
      <c r="BD109" s="31" t="str">
        <f t="shared" si="575"/>
        <v>BypassCheckCodeRules,0,</v>
      </c>
      <c r="BE109" s="31" t="str">
        <f t="shared" si="407"/>
        <v>StoreResultsToModelInput,0,</v>
      </c>
      <c r="BF109" s="31" t="str">
        <f t="shared" si="408"/>
        <v>StoreBEMDetails,0,</v>
      </c>
      <c r="BG109" s="31" t="str">
        <f t="shared" si="409"/>
        <v>ModelRpt_ALL,0,</v>
      </c>
      <c r="BH109" s="31" t="str">
        <f t="shared" si="410"/>
        <v>ExportHourlyResults_All,0,</v>
      </c>
      <c r="BI109" s="31" t="str">
        <f t="shared" si="411"/>
        <v>ComplianceReportPDF,0,</v>
      </c>
      <c r="BJ109" s="31" t="str">
        <f t="shared" si="412"/>
        <v>ComplianceReportXML,0,</v>
      </c>
      <c r="BK109" s="31" t="str">
        <f t="shared" si="413"/>
        <v>QuickAnalysis,0,</v>
      </c>
      <c r="BL109" s="31" t="str">
        <f t="shared" si="413"/>
        <v>PromptUserUMLHWarning,0,</v>
      </c>
      <c r="BM109" s="31" t="str">
        <f t="shared" si="414"/>
        <v>BypassOpenStudio_all,0,</v>
      </c>
      <c r="BN109" s="31" t="str">
        <f t="shared" si="415"/>
        <v>BypassOpenStudio_zp,0,</v>
      </c>
      <c r="BO109" s="31" t="str">
        <f t="shared" si="416"/>
        <v>BypassOpenStudio_zb,0,</v>
      </c>
      <c r="BP109" s="31" t="str">
        <f t="shared" si="417"/>
        <v>BypassOpenStudio_ap,0,</v>
      </c>
      <c r="BQ109" s="31" t="str">
        <f t="shared" si="418"/>
        <v>BypassOpenStudio_ab,0,</v>
      </c>
      <c r="BR109" s="31" t="str">
        <f t="shared" si="419"/>
        <v>BypassOpenStudio_zp,0,</v>
      </c>
      <c r="BS109" s="31" t="str">
        <f t="shared" si="420"/>
        <v>BypassOpenStudio_zb,0,</v>
      </c>
      <c r="BT109" s="31" t="str">
        <f t="shared" si="421"/>
        <v>BypassOpenStudio_ap,0,</v>
      </c>
      <c r="BU109" s="31" t="str">
        <f t="shared" si="422"/>
        <v>BypassOpenStudio_ab,0,</v>
      </c>
    </row>
    <row r="110" spans="1:73" x14ac:dyDescent="0.25">
      <c r="A110" s="39">
        <f t="shared" si="556"/>
        <v>1</v>
      </c>
      <c r="B110" s="27" t="str">
        <f t="shared" si="557"/>
        <v>RulesetImplementationTests\080006-Whse-Run08\080006-Whse-Run08.cibd</v>
      </c>
      <c r="C110" s="27" t="str">
        <f t="shared" si="558"/>
        <v>BatchOut_160331_r3964_RIc\080006-Whse-Run08.cibd</v>
      </c>
      <c r="D110" s="27" t="str">
        <f t="shared" si="425"/>
        <v>BatchOut_160331_r3964_RIc\XML\</v>
      </c>
      <c r="E110" s="9" t="str">
        <f t="shared" si="559"/>
        <v>080006-Run08</v>
      </c>
      <c r="F110" s="22"/>
      <c r="G110" s="29"/>
      <c r="H110" s="23"/>
      <c r="I110" s="9" t="s">
        <v>11</v>
      </c>
      <c r="J110" s="94" t="str">
        <f t="shared" ref="J110:J112" si="584">CONCATENATE(AS110,AT110,AU110,AV110,AW110,AX110,AY110,AZ110,BA110,BB110,BC110,BD110,BE110,BF110,BG110,BH110,BI110,BJ110,BK110,BL110,BM110,BN110,BO110,BP110,BQ110,BR110,BS110,BT110,BU110)</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0" s="15" t="s">
        <v>1</v>
      </c>
      <c r="L110" s="36">
        <f t="shared" si="438"/>
        <v>1</v>
      </c>
      <c r="M110" s="32" t="str">
        <f t="shared" ref="M110:M112" si="585">LEFT(N110,SEARCH("-",N110))&amp;RIGHT(N110,5)</f>
        <v>080006-Run08</v>
      </c>
      <c r="N110" s="28" t="s">
        <v>133</v>
      </c>
      <c r="O110" s="57" t="str">
        <f t="shared" ref="O110:O112" si="586">N110</f>
        <v>080006-Whse-Run08</v>
      </c>
      <c r="P110" s="63">
        <f t="shared" si="439"/>
        <v>1</v>
      </c>
      <c r="Q110" s="65">
        <f t="shared" si="440"/>
        <v>1</v>
      </c>
      <c r="R110" s="65">
        <f t="shared" si="441"/>
        <v>0</v>
      </c>
      <c r="S110" s="65">
        <f t="shared" si="442"/>
        <v>1</v>
      </c>
      <c r="T110" s="65">
        <f t="shared" si="443"/>
        <v>0</v>
      </c>
      <c r="U110" s="65">
        <f t="shared" si="443"/>
        <v>8</v>
      </c>
      <c r="V110" s="65">
        <f t="shared" si="443"/>
        <v>8</v>
      </c>
      <c r="W110" s="65">
        <f t="shared" si="443"/>
        <v>1</v>
      </c>
      <c r="X110" s="65">
        <f t="shared" si="443"/>
        <v>0</v>
      </c>
      <c r="Y110" s="65">
        <f t="shared" si="443"/>
        <v>0</v>
      </c>
      <c r="Z110" s="65">
        <f t="shared" si="443"/>
        <v>0</v>
      </c>
      <c r="AA110" s="65">
        <f t="shared" si="443"/>
        <v>0</v>
      </c>
      <c r="AB110" s="65">
        <f t="shared" si="443"/>
        <v>0</v>
      </c>
      <c r="AC110" s="65">
        <f t="shared" si="443"/>
        <v>0</v>
      </c>
      <c r="AD110" s="61">
        <f t="shared" si="443"/>
        <v>0</v>
      </c>
      <c r="AE110" s="61">
        <f t="shared" si="443"/>
        <v>0</v>
      </c>
      <c r="AF110" s="61">
        <f t="shared" si="443"/>
        <v>0</v>
      </c>
      <c r="AG110" s="61">
        <f t="shared" si="443"/>
        <v>0</v>
      </c>
      <c r="AH110" s="61">
        <f t="shared" si="443"/>
        <v>0</v>
      </c>
      <c r="AI110" s="61">
        <f t="shared" si="583"/>
        <v>0</v>
      </c>
      <c r="AJ110" s="63">
        <f t="shared" si="451"/>
        <v>0</v>
      </c>
      <c r="AK110" s="64">
        <f t="shared" si="452"/>
        <v>0</v>
      </c>
      <c r="AL110" s="64">
        <f t="shared" si="453"/>
        <v>0</v>
      </c>
      <c r="AM110" s="64">
        <f t="shared" si="453"/>
        <v>0</v>
      </c>
      <c r="AN110" s="66">
        <f t="shared" si="453"/>
        <v>0</v>
      </c>
      <c r="AO110" s="63">
        <f t="shared" si="453"/>
        <v>0</v>
      </c>
      <c r="AP110" s="64">
        <f t="shared" si="453"/>
        <v>0</v>
      </c>
      <c r="AQ110" s="65">
        <f t="shared" si="453"/>
        <v>0</v>
      </c>
      <c r="AR110" s="66">
        <f t="shared" si="453"/>
        <v>0</v>
      </c>
      <c r="AS110" s="31" t="str">
        <f t="shared" si="564"/>
        <v>SimulationStorage,1,</v>
      </c>
      <c r="AT110" s="31" t="str">
        <f t="shared" si="565"/>
        <v>AnalysisStorage,1,</v>
      </c>
      <c r="AU110" s="31" t="str">
        <f t="shared" si="566"/>
        <v>LogRuleEvaluation,0,</v>
      </c>
      <c r="AV110" s="31" t="str">
        <f t="shared" si="567"/>
        <v>ParallelSimulations,1,</v>
      </c>
      <c r="AW110" s="31" t="str">
        <f t="shared" si="568"/>
        <v>DurationStats,0,</v>
      </c>
      <c r="AX110" s="31" t="str">
        <f t="shared" si="569"/>
        <v>AnalysisThruStep,8,</v>
      </c>
      <c r="AY110" s="31" t="str">
        <f t="shared" si="570"/>
        <v>DontAbortOnErrorsThruStep,8,</v>
      </c>
      <c r="AZ110" s="31" t="str">
        <f t="shared" si="571"/>
        <v>BypassValidFileChecks,1,</v>
      </c>
      <c r="BA110" s="31" t="str">
        <f t="shared" si="572"/>
        <v>BypassInputChecks,0,</v>
      </c>
      <c r="BB110" s="31" t="str">
        <f t="shared" si="573"/>
        <v>BypassUMLHChecks,0,</v>
      </c>
      <c r="BC110" s="31" t="str">
        <f t="shared" si="574"/>
        <v>BypassCheckSimRules,0,</v>
      </c>
      <c r="BD110" s="31" t="str">
        <f t="shared" si="575"/>
        <v>BypassCheckCodeRules,0,</v>
      </c>
      <c r="BE110" s="31" t="str">
        <f t="shared" ref="BE110:BE112" si="587">AB$13&amp;AB110&amp;","</f>
        <v>StoreResultsToModelInput,0,</v>
      </c>
      <c r="BF110" s="31" t="str">
        <f t="shared" ref="BF110:BF112" si="588">AC$13&amp;AC110&amp;","</f>
        <v>StoreBEMDetails,0,</v>
      </c>
      <c r="BG110" s="31" t="str">
        <f t="shared" ref="BG110:BG112" si="589">AD$13&amp;AD110&amp;","</f>
        <v>ModelRpt_ALL,0,</v>
      </c>
      <c r="BH110" s="31" t="str">
        <f t="shared" ref="BH110:BH112" si="590">AE$13&amp;AE110&amp;","</f>
        <v>ExportHourlyResults_All,0,</v>
      </c>
      <c r="BI110" s="31" t="str">
        <f t="shared" ref="BI110:BI112" si="591">AF$13&amp;AF110&amp;","</f>
        <v>ComplianceReportPDF,0,</v>
      </c>
      <c r="BJ110" s="31" t="str">
        <f t="shared" ref="BJ110:BJ112" si="592">AG$13&amp;AG110&amp;","</f>
        <v>ComplianceReportXML,0,</v>
      </c>
      <c r="BK110" s="31" t="str">
        <f t="shared" ref="BK110:BK112" si="593">AH$13&amp;AH110&amp;","</f>
        <v>QuickAnalysis,0,</v>
      </c>
      <c r="BL110" s="31" t="str">
        <f t="shared" ref="BL110:BL112" si="594">AI$13&amp;AI110&amp;","</f>
        <v>PromptUserUMLHWarning,0,</v>
      </c>
      <c r="BM110" s="31" t="str">
        <f t="shared" ref="BM110:BM112" si="595">AJ$13&amp;AJ110&amp;","</f>
        <v>BypassOpenStudio_all,0,</v>
      </c>
      <c r="BN110" s="31" t="str">
        <f t="shared" ref="BN110:BN112" si="596">AK$13&amp;AK110&amp;","</f>
        <v>BypassOpenStudio_zp,0,</v>
      </c>
      <c r="BO110" s="31" t="str">
        <f t="shared" ref="BO110:BO112" si="597">AL$13&amp;AL110&amp;","</f>
        <v>BypassOpenStudio_zb,0,</v>
      </c>
      <c r="BP110" s="31" t="str">
        <f t="shared" ref="BP110:BP112" si="598">AM$13&amp;AM110&amp;","</f>
        <v>BypassOpenStudio_ap,0,</v>
      </c>
      <c r="BQ110" s="31" t="str">
        <f t="shared" ref="BQ110:BQ112" si="599">AN$13&amp;AN110&amp;","</f>
        <v>BypassOpenStudio_ab,0,</v>
      </c>
      <c r="BR110" s="31" t="str">
        <f t="shared" ref="BR110:BR112" si="600">AO$13&amp;AO110&amp;","</f>
        <v>BypassOpenStudio_zp,0,</v>
      </c>
      <c r="BS110" s="31" t="str">
        <f t="shared" ref="BS110:BS112" si="601">AP$13&amp;AP110&amp;","</f>
        <v>BypassOpenStudio_zb,0,</v>
      </c>
      <c r="BT110" s="31" t="str">
        <f t="shared" ref="BT110:BT112" si="602">AQ$13&amp;AQ110&amp;","</f>
        <v>BypassOpenStudio_ap,0,</v>
      </c>
      <c r="BU110" s="31" t="str">
        <f t="shared" ref="BU110:BU112" si="603">AR$13&amp;AR110&amp;","</f>
        <v>BypassOpenStudio_ab,0,</v>
      </c>
    </row>
    <row r="111" spans="1:73" x14ac:dyDescent="0.25">
      <c r="A111" s="39">
        <f t="shared" ref="A111:A112" si="604">L111</f>
        <v>1</v>
      </c>
      <c r="B111" s="27" t="str">
        <f t="shared" ref="B111:B112" si="605">M$74&amp;N111&amp;"\"&amp;N111&amp;".cibd"</f>
        <v>RulesetImplementationTests\080006-Whse-Run15\080006-Whse-Run15.cibd</v>
      </c>
      <c r="C111" s="27" t="str">
        <f t="shared" ref="C111:C112" si="606" xml:space="preserve"> M$75 &amp; O111 &amp; ".cibd"</f>
        <v>BatchOut_160331_r3964_RIc\080006-Whse-Run15.cibd</v>
      </c>
      <c r="D111" s="27" t="str">
        <f t="shared" si="425"/>
        <v>BatchOut_160331_r3964_RIc\XML\</v>
      </c>
      <c r="E111" s="9" t="str">
        <f t="shared" ref="E111:E112" si="607">M111</f>
        <v>080006-Run15</v>
      </c>
      <c r="F111" s="22"/>
      <c r="G111" s="29"/>
      <c r="H111" s="23"/>
      <c r="I111" s="9" t="s">
        <v>11</v>
      </c>
      <c r="J111" s="94" t="str">
        <f t="shared" si="58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1" s="15" t="s">
        <v>1</v>
      </c>
      <c r="L111" s="36">
        <f t="shared" si="438"/>
        <v>1</v>
      </c>
      <c r="M111" s="32" t="str">
        <f t="shared" si="585"/>
        <v>080006-Run15</v>
      </c>
      <c r="N111" s="28" t="s">
        <v>138</v>
      </c>
      <c r="O111" s="57" t="str">
        <f t="shared" si="586"/>
        <v>080006-Whse-Run15</v>
      </c>
      <c r="P111" s="63">
        <f t="shared" si="439"/>
        <v>1</v>
      </c>
      <c r="Q111" s="65">
        <f t="shared" si="440"/>
        <v>1</v>
      </c>
      <c r="R111" s="65">
        <f t="shared" si="441"/>
        <v>0</v>
      </c>
      <c r="S111" s="65">
        <f t="shared" si="442"/>
        <v>1</v>
      </c>
      <c r="T111" s="65">
        <f t="shared" si="442"/>
        <v>0</v>
      </c>
      <c r="U111" s="65">
        <f t="shared" si="442"/>
        <v>8</v>
      </c>
      <c r="V111" s="65">
        <f t="shared" si="442"/>
        <v>8</v>
      </c>
      <c r="W111" s="65">
        <f t="shared" si="442"/>
        <v>1</v>
      </c>
      <c r="X111" s="65">
        <f t="shared" si="442"/>
        <v>0</v>
      </c>
      <c r="Y111" s="65">
        <f t="shared" si="442"/>
        <v>0</v>
      </c>
      <c r="Z111" s="65">
        <f t="shared" si="442"/>
        <v>0</v>
      </c>
      <c r="AA111" s="65">
        <f t="shared" si="442"/>
        <v>0</v>
      </c>
      <c r="AB111" s="65">
        <f t="shared" si="442"/>
        <v>0</v>
      </c>
      <c r="AC111" s="65">
        <f t="shared" si="442"/>
        <v>0</v>
      </c>
      <c r="AD111" s="61">
        <f t="shared" si="442"/>
        <v>0</v>
      </c>
      <c r="AE111" s="61">
        <f t="shared" si="442"/>
        <v>0</v>
      </c>
      <c r="AF111" s="61">
        <f t="shared" si="442"/>
        <v>0</v>
      </c>
      <c r="AG111" s="61">
        <f t="shared" si="442"/>
        <v>0</v>
      </c>
      <c r="AH111" s="61">
        <f t="shared" si="442"/>
        <v>0</v>
      </c>
      <c r="AI111" s="61">
        <f t="shared" si="583"/>
        <v>0</v>
      </c>
      <c r="AJ111" s="63">
        <f t="shared" si="451"/>
        <v>0</v>
      </c>
      <c r="AK111" s="64">
        <f t="shared" si="452"/>
        <v>0</v>
      </c>
      <c r="AL111" s="64">
        <f t="shared" si="452"/>
        <v>0</v>
      </c>
      <c r="AM111" s="64">
        <f t="shared" si="452"/>
        <v>0</v>
      </c>
      <c r="AN111" s="66">
        <f t="shared" si="452"/>
        <v>0</v>
      </c>
      <c r="AO111" s="63">
        <f t="shared" si="452"/>
        <v>0</v>
      </c>
      <c r="AP111" s="64">
        <f t="shared" si="452"/>
        <v>0</v>
      </c>
      <c r="AQ111" s="65">
        <f t="shared" si="452"/>
        <v>0</v>
      </c>
      <c r="AR111" s="66">
        <f t="shared" si="452"/>
        <v>0</v>
      </c>
      <c r="AS111" s="31" t="str">
        <f t="shared" ref="AS111:AS112" si="608">P$13&amp;P111&amp;","</f>
        <v>SimulationStorage,1,</v>
      </c>
      <c r="AT111" s="31" t="str">
        <f t="shared" ref="AT111:AT112" si="609">Q$13&amp;Q111&amp;","</f>
        <v>AnalysisStorage,1,</v>
      </c>
      <c r="AU111" s="31" t="str">
        <f t="shared" ref="AU111:AU112" si="610">R$13&amp;R111&amp;","</f>
        <v>LogRuleEvaluation,0,</v>
      </c>
      <c r="AV111" s="31" t="str">
        <f t="shared" ref="AV111:AV112" si="611">S$13&amp;S111&amp;","</f>
        <v>ParallelSimulations,1,</v>
      </c>
      <c r="AW111" s="31" t="str">
        <f t="shared" ref="AW111:AW112" si="612">T$13&amp;T111&amp;","</f>
        <v>DurationStats,0,</v>
      </c>
      <c r="AX111" s="31" t="str">
        <f t="shared" ref="AX111:AX112" si="613">U$13&amp;U111&amp;","</f>
        <v>AnalysisThruStep,8,</v>
      </c>
      <c r="AY111" s="31" t="str">
        <f t="shared" ref="AY111:AY112" si="614">V$13&amp;V111&amp;","</f>
        <v>DontAbortOnErrorsThruStep,8,</v>
      </c>
      <c r="AZ111" s="31" t="str">
        <f t="shared" ref="AZ111:AZ112" si="615">W$13&amp;W111&amp;","</f>
        <v>BypassValidFileChecks,1,</v>
      </c>
      <c r="BA111" s="31" t="str">
        <f t="shared" ref="BA111:BA112" si="616">X$13&amp;X111&amp;","</f>
        <v>BypassInputChecks,0,</v>
      </c>
      <c r="BB111" s="31" t="str">
        <f t="shared" ref="BB111:BB112" si="617">Y$13&amp;Y111&amp;","</f>
        <v>BypassUMLHChecks,0,</v>
      </c>
      <c r="BC111" s="31" t="str">
        <f t="shared" ref="BC111:BC112" si="618">Z$13&amp;Z111&amp;","</f>
        <v>BypassCheckSimRules,0,</v>
      </c>
      <c r="BD111" s="31" t="str">
        <f t="shared" ref="BD111:BD112" si="619">AA$13&amp;AA111&amp;","</f>
        <v>BypassCheckCodeRules,0,</v>
      </c>
      <c r="BE111" s="31" t="str">
        <f t="shared" si="587"/>
        <v>StoreResultsToModelInput,0,</v>
      </c>
      <c r="BF111" s="31" t="str">
        <f t="shared" si="588"/>
        <v>StoreBEMDetails,0,</v>
      </c>
      <c r="BG111" s="31" t="str">
        <f t="shared" si="589"/>
        <v>ModelRpt_ALL,0,</v>
      </c>
      <c r="BH111" s="31" t="str">
        <f t="shared" si="590"/>
        <v>ExportHourlyResults_All,0,</v>
      </c>
      <c r="BI111" s="31" t="str">
        <f t="shared" si="591"/>
        <v>ComplianceReportPDF,0,</v>
      </c>
      <c r="BJ111" s="31" t="str">
        <f t="shared" si="592"/>
        <v>ComplianceReportXML,0,</v>
      </c>
      <c r="BK111" s="31" t="str">
        <f t="shared" si="593"/>
        <v>QuickAnalysis,0,</v>
      </c>
      <c r="BL111" s="31" t="str">
        <f t="shared" si="594"/>
        <v>PromptUserUMLHWarning,0,</v>
      </c>
      <c r="BM111" s="31" t="str">
        <f t="shared" si="595"/>
        <v>BypassOpenStudio_all,0,</v>
      </c>
      <c r="BN111" s="31" t="str">
        <f t="shared" si="596"/>
        <v>BypassOpenStudio_zp,0,</v>
      </c>
      <c r="BO111" s="31" t="str">
        <f t="shared" si="597"/>
        <v>BypassOpenStudio_zb,0,</v>
      </c>
      <c r="BP111" s="31" t="str">
        <f t="shared" si="598"/>
        <v>BypassOpenStudio_ap,0,</v>
      </c>
      <c r="BQ111" s="31" t="str">
        <f t="shared" si="599"/>
        <v>BypassOpenStudio_ab,0,</v>
      </c>
      <c r="BR111" s="31" t="str">
        <f t="shared" si="600"/>
        <v>BypassOpenStudio_zp,0,</v>
      </c>
      <c r="BS111" s="31" t="str">
        <f t="shared" si="601"/>
        <v>BypassOpenStudio_zb,0,</v>
      </c>
      <c r="BT111" s="31" t="str">
        <f t="shared" si="602"/>
        <v>BypassOpenStudio_ap,0,</v>
      </c>
      <c r="BU111" s="31" t="str">
        <f t="shared" si="603"/>
        <v>BypassOpenStudio_ab,0,</v>
      </c>
    </row>
    <row r="112" spans="1:73" x14ac:dyDescent="0.25">
      <c r="A112" s="39">
        <f t="shared" si="604"/>
        <v>1</v>
      </c>
      <c r="B112" s="27" t="str">
        <f t="shared" si="605"/>
        <v>RulesetImplementationTests\080006-Whse-Run21\080006-Whse-Run21.cibd</v>
      </c>
      <c r="C112" s="27" t="str">
        <f t="shared" si="606"/>
        <v>BatchOut_160331_r3964_RIc\080006-Whse-Run21.cibd</v>
      </c>
      <c r="D112" s="27" t="str">
        <f t="shared" si="425"/>
        <v>BatchOut_160331_r3964_RIc\XML\</v>
      </c>
      <c r="E112" s="9" t="str">
        <f t="shared" si="607"/>
        <v>080006-Run21</v>
      </c>
      <c r="F112" s="22"/>
      <c r="G112" s="29"/>
      <c r="H112" s="23"/>
      <c r="I112" s="9" t="s">
        <v>11</v>
      </c>
      <c r="J112" s="94" t="str">
        <f t="shared" si="584"/>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2" s="15" t="s">
        <v>1</v>
      </c>
      <c r="L112" s="36">
        <f t="shared" si="438"/>
        <v>1</v>
      </c>
      <c r="M112" s="32" t="str">
        <f t="shared" si="585"/>
        <v>080006-Run21</v>
      </c>
      <c r="N112" s="28" t="s">
        <v>141</v>
      </c>
      <c r="O112" s="57" t="str">
        <f t="shared" si="586"/>
        <v>080006-Whse-Run21</v>
      </c>
      <c r="P112" s="63">
        <f t="shared" si="439"/>
        <v>1</v>
      </c>
      <c r="Q112" s="65">
        <f t="shared" si="440"/>
        <v>1</v>
      </c>
      <c r="R112" s="65">
        <f t="shared" si="441"/>
        <v>0</v>
      </c>
      <c r="S112" s="65">
        <f t="shared" si="441"/>
        <v>1</v>
      </c>
      <c r="T112" s="65">
        <f t="shared" si="441"/>
        <v>0</v>
      </c>
      <c r="U112" s="65">
        <f t="shared" si="441"/>
        <v>8</v>
      </c>
      <c r="V112" s="65">
        <f t="shared" si="441"/>
        <v>8</v>
      </c>
      <c r="W112" s="65">
        <f t="shared" si="441"/>
        <v>1</v>
      </c>
      <c r="X112" s="65">
        <f t="shared" si="441"/>
        <v>0</v>
      </c>
      <c r="Y112" s="65">
        <f t="shared" si="441"/>
        <v>0</v>
      </c>
      <c r="Z112" s="65">
        <f t="shared" si="441"/>
        <v>0</v>
      </c>
      <c r="AA112" s="65">
        <f t="shared" si="441"/>
        <v>0</v>
      </c>
      <c r="AB112" s="65">
        <f t="shared" si="441"/>
        <v>0</v>
      </c>
      <c r="AC112" s="65">
        <f t="shared" si="441"/>
        <v>0</v>
      </c>
      <c r="AD112" s="61">
        <f t="shared" si="441"/>
        <v>0</v>
      </c>
      <c r="AE112" s="61">
        <f t="shared" si="441"/>
        <v>0</v>
      </c>
      <c r="AF112" s="61">
        <f t="shared" si="441"/>
        <v>0</v>
      </c>
      <c r="AG112" s="61">
        <f t="shared" si="441"/>
        <v>0</v>
      </c>
      <c r="AH112" s="61">
        <f t="shared" ref="AH112" si="620">AH111</f>
        <v>0</v>
      </c>
      <c r="AI112" s="61">
        <f t="shared" si="583"/>
        <v>0</v>
      </c>
      <c r="AJ112" s="63">
        <f t="shared" si="451"/>
        <v>0</v>
      </c>
      <c r="AK112" s="64">
        <f t="shared" si="451"/>
        <v>0</v>
      </c>
      <c r="AL112" s="64">
        <f t="shared" si="451"/>
        <v>0</v>
      </c>
      <c r="AM112" s="64">
        <f t="shared" si="451"/>
        <v>0</v>
      </c>
      <c r="AN112" s="66">
        <f t="shared" si="451"/>
        <v>0</v>
      </c>
      <c r="AO112" s="63">
        <f t="shared" si="451"/>
        <v>0</v>
      </c>
      <c r="AP112" s="64">
        <f t="shared" si="451"/>
        <v>0</v>
      </c>
      <c r="AQ112" s="65">
        <f t="shared" si="451"/>
        <v>0</v>
      </c>
      <c r="AR112" s="66">
        <f t="shared" si="451"/>
        <v>0</v>
      </c>
      <c r="AS112" s="31" t="str">
        <f t="shared" si="608"/>
        <v>SimulationStorage,1,</v>
      </c>
      <c r="AT112" s="31" t="str">
        <f t="shared" si="609"/>
        <v>AnalysisStorage,1,</v>
      </c>
      <c r="AU112" s="31" t="str">
        <f t="shared" si="610"/>
        <v>LogRuleEvaluation,0,</v>
      </c>
      <c r="AV112" s="31" t="str">
        <f t="shared" si="611"/>
        <v>ParallelSimulations,1,</v>
      </c>
      <c r="AW112" s="31" t="str">
        <f t="shared" si="612"/>
        <v>DurationStats,0,</v>
      </c>
      <c r="AX112" s="31" t="str">
        <f t="shared" si="613"/>
        <v>AnalysisThruStep,8,</v>
      </c>
      <c r="AY112" s="31" t="str">
        <f t="shared" si="614"/>
        <v>DontAbortOnErrorsThruStep,8,</v>
      </c>
      <c r="AZ112" s="31" t="str">
        <f t="shared" si="615"/>
        <v>BypassValidFileChecks,1,</v>
      </c>
      <c r="BA112" s="31" t="str">
        <f t="shared" si="616"/>
        <v>BypassInputChecks,0,</v>
      </c>
      <c r="BB112" s="31" t="str">
        <f t="shared" si="617"/>
        <v>BypassUMLHChecks,0,</v>
      </c>
      <c r="BC112" s="31" t="str">
        <f t="shared" si="618"/>
        <v>BypassCheckSimRules,0,</v>
      </c>
      <c r="BD112" s="31" t="str">
        <f t="shared" si="619"/>
        <v>BypassCheckCodeRules,0,</v>
      </c>
      <c r="BE112" s="31" t="str">
        <f t="shared" si="587"/>
        <v>StoreResultsToModelInput,0,</v>
      </c>
      <c r="BF112" s="31" t="str">
        <f t="shared" si="588"/>
        <v>StoreBEMDetails,0,</v>
      </c>
      <c r="BG112" s="31" t="str">
        <f t="shared" si="589"/>
        <v>ModelRpt_ALL,0,</v>
      </c>
      <c r="BH112" s="31" t="str">
        <f t="shared" si="590"/>
        <v>ExportHourlyResults_All,0,</v>
      </c>
      <c r="BI112" s="31" t="str">
        <f t="shared" si="591"/>
        <v>ComplianceReportPDF,0,</v>
      </c>
      <c r="BJ112" s="31" t="str">
        <f t="shared" si="592"/>
        <v>ComplianceReportXML,0,</v>
      </c>
      <c r="BK112" s="31" t="str">
        <f t="shared" si="593"/>
        <v>QuickAnalysis,0,</v>
      </c>
      <c r="BL112" s="31" t="str">
        <f t="shared" si="594"/>
        <v>PromptUserUMLHWarning,0,</v>
      </c>
      <c r="BM112" s="31" t="str">
        <f t="shared" si="595"/>
        <v>BypassOpenStudio_all,0,</v>
      </c>
      <c r="BN112" s="31" t="str">
        <f t="shared" si="596"/>
        <v>BypassOpenStudio_zp,0,</v>
      </c>
      <c r="BO112" s="31" t="str">
        <f t="shared" si="597"/>
        <v>BypassOpenStudio_zb,0,</v>
      </c>
      <c r="BP112" s="31" t="str">
        <f t="shared" si="598"/>
        <v>BypassOpenStudio_ap,0,</v>
      </c>
      <c r="BQ112" s="31" t="str">
        <f t="shared" si="599"/>
        <v>BypassOpenStudio_ab,0,</v>
      </c>
      <c r="BR112" s="31" t="str">
        <f t="shared" si="600"/>
        <v>BypassOpenStudio_zp,0,</v>
      </c>
      <c r="BS112" s="31" t="str">
        <f t="shared" si="601"/>
        <v>BypassOpenStudio_zb,0,</v>
      </c>
      <c r="BT112" s="31" t="str">
        <f t="shared" si="602"/>
        <v>BypassOpenStudio_ap,0,</v>
      </c>
      <c r="BU112" s="31" t="str">
        <f t="shared" si="603"/>
        <v>BypassOpenStudio_ab,0,</v>
      </c>
    </row>
    <row r="113" spans="1:73" x14ac:dyDescent="0.25">
      <c r="A113" s="39">
        <f t="shared" si="556"/>
        <v>0</v>
      </c>
      <c r="B113" s="27" t="str">
        <f t="shared" si="557"/>
        <v>RulesetImplementationTests\\.cibd</v>
      </c>
      <c r="C113" s="27" t="str">
        <f t="shared" si="558"/>
        <v>BatchOut_160331_r3964_RIc\.cibd</v>
      </c>
      <c r="D113" s="27" t="str">
        <f t="shared" si="425"/>
        <v>BatchOut_160331_r3964_RIc\XML\</v>
      </c>
      <c r="E113" s="9">
        <f t="shared" si="559"/>
        <v>0</v>
      </c>
      <c r="F113" s="22"/>
      <c r="G113" s="29"/>
      <c r="H113" s="23"/>
      <c r="I113" s="9" t="s">
        <v>11</v>
      </c>
      <c r="J113" s="94" t="str">
        <f t="shared" si="392"/>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3" s="15" t="s">
        <v>1</v>
      </c>
      <c r="L113" s="36">
        <v>0</v>
      </c>
      <c r="M113" s="32"/>
      <c r="N113" s="28"/>
      <c r="O113" s="57"/>
      <c r="P113" s="63">
        <f t="shared" ref="P113:AR113" si="621">P109</f>
        <v>1</v>
      </c>
      <c r="Q113" s="65">
        <f t="shared" si="621"/>
        <v>1</v>
      </c>
      <c r="R113" s="65">
        <f t="shared" si="621"/>
        <v>0</v>
      </c>
      <c r="S113" s="65">
        <f t="shared" si="621"/>
        <v>1</v>
      </c>
      <c r="T113" s="65">
        <f t="shared" si="621"/>
        <v>0</v>
      </c>
      <c r="U113" s="65">
        <f t="shared" si="621"/>
        <v>8</v>
      </c>
      <c r="V113" s="65">
        <f t="shared" si="621"/>
        <v>8</v>
      </c>
      <c r="W113" s="65">
        <f t="shared" si="621"/>
        <v>1</v>
      </c>
      <c r="X113" s="65">
        <f t="shared" si="621"/>
        <v>0</v>
      </c>
      <c r="Y113" s="65">
        <f t="shared" si="621"/>
        <v>0</v>
      </c>
      <c r="Z113" s="65">
        <f t="shared" si="621"/>
        <v>0</v>
      </c>
      <c r="AA113" s="65">
        <f t="shared" si="621"/>
        <v>0</v>
      </c>
      <c r="AB113" s="65">
        <f t="shared" si="621"/>
        <v>0</v>
      </c>
      <c r="AC113" s="65">
        <f t="shared" si="621"/>
        <v>0</v>
      </c>
      <c r="AD113" s="61">
        <f t="shared" si="621"/>
        <v>0</v>
      </c>
      <c r="AE113" s="61">
        <f t="shared" si="621"/>
        <v>0</v>
      </c>
      <c r="AF113" s="61">
        <f t="shared" si="621"/>
        <v>0</v>
      </c>
      <c r="AG113" s="61">
        <f t="shared" si="621"/>
        <v>0</v>
      </c>
      <c r="AH113" s="61">
        <f t="shared" si="621"/>
        <v>0</v>
      </c>
      <c r="AI113" s="61">
        <f t="shared" si="621"/>
        <v>0</v>
      </c>
      <c r="AJ113" s="63">
        <f t="shared" si="621"/>
        <v>0</v>
      </c>
      <c r="AK113" s="64">
        <f t="shared" si="621"/>
        <v>0</v>
      </c>
      <c r="AL113" s="64">
        <f t="shared" si="621"/>
        <v>0</v>
      </c>
      <c r="AM113" s="64">
        <f t="shared" si="621"/>
        <v>0</v>
      </c>
      <c r="AN113" s="66">
        <f t="shared" si="621"/>
        <v>0</v>
      </c>
      <c r="AO113" s="63">
        <f t="shared" si="621"/>
        <v>0</v>
      </c>
      <c r="AP113" s="64">
        <f t="shared" si="621"/>
        <v>0</v>
      </c>
      <c r="AQ113" s="65">
        <f t="shared" si="621"/>
        <v>0</v>
      </c>
      <c r="AR113" s="66">
        <f t="shared" si="621"/>
        <v>0</v>
      </c>
      <c r="AS113" s="31" t="str">
        <f t="shared" si="564"/>
        <v>SimulationStorage,1,</v>
      </c>
      <c r="AT113" s="31" t="str">
        <f t="shared" si="565"/>
        <v>AnalysisStorage,1,</v>
      </c>
      <c r="AU113" s="31" t="str">
        <f t="shared" si="566"/>
        <v>LogRuleEvaluation,0,</v>
      </c>
      <c r="AV113" s="31" t="str">
        <f t="shared" si="567"/>
        <v>ParallelSimulations,1,</v>
      </c>
      <c r="AW113" s="31" t="str">
        <f t="shared" si="568"/>
        <v>DurationStats,0,</v>
      </c>
      <c r="AX113" s="31" t="str">
        <f t="shared" si="569"/>
        <v>AnalysisThruStep,8,</v>
      </c>
      <c r="AY113" s="31" t="str">
        <f t="shared" si="570"/>
        <v>DontAbortOnErrorsThruStep,8,</v>
      </c>
      <c r="AZ113" s="31" t="str">
        <f t="shared" si="571"/>
        <v>BypassValidFileChecks,1,</v>
      </c>
      <c r="BA113" s="31" t="str">
        <f t="shared" si="572"/>
        <v>BypassInputChecks,0,</v>
      </c>
      <c r="BB113" s="31" t="str">
        <f t="shared" si="573"/>
        <v>BypassUMLHChecks,0,</v>
      </c>
      <c r="BC113" s="31" t="str">
        <f t="shared" si="574"/>
        <v>BypassCheckSimRules,0,</v>
      </c>
      <c r="BD113" s="31" t="str">
        <f t="shared" si="575"/>
        <v>BypassCheckCodeRules,0,</v>
      </c>
      <c r="BE113" s="31" t="str">
        <f t="shared" si="407"/>
        <v>StoreResultsToModelInput,0,</v>
      </c>
      <c r="BF113" s="31" t="str">
        <f t="shared" si="408"/>
        <v>StoreBEMDetails,0,</v>
      </c>
      <c r="BG113" s="31" t="str">
        <f t="shared" si="409"/>
        <v>ModelRpt_ALL,0,</v>
      </c>
      <c r="BH113" s="31" t="str">
        <f t="shared" si="410"/>
        <v>ExportHourlyResults_All,0,</v>
      </c>
      <c r="BI113" s="31" t="str">
        <f t="shared" si="411"/>
        <v>ComplianceReportPDF,0,</v>
      </c>
      <c r="BJ113" s="31" t="str">
        <f t="shared" si="412"/>
        <v>ComplianceReportXML,0,</v>
      </c>
      <c r="BK113" s="31" t="str">
        <f t="shared" si="413"/>
        <v>QuickAnalysis,0,</v>
      </c>
      <c r="BL113" s="31" t="str">
        <f t="shared" si="413"/>
        <v>PromptUserUMLHWarning,0,</v>
      </c>
      <c r="BM113" s="31" t="str">
        <f t="shared" si="414"/>
        <v>BypassOpenStudio_all,0,</v>
      </c>
      <c r="BN113" s="31" t="str">
        <f t="shared" si="415"/>
        <v>BypassOpenStudio_zp,0,</v>
      </c>
      <c r="BO113" s="31" t="str">
        <f t="shared" si="416"/>
        <v>BypassOpenStudio_zb,0,</v>
      </c>
      <c r="BP113" s="31" t="str">
        <f t="shared" si="417"/>
        <v>BypassOpenStudio_ap,0,</v>
      </c>
      <c r="BQ113" s="31" t="str">
        <f t="shared" si="418"/>
        <v>BypassOpenStudio_ab,0,</v>
      </c>
      <c r="BR113" s="31" t="str">
        <f t="shared" si="419"/>
        <v>BypassOpenStudio_zp,0,</v>
      </c>
      <c r="BS113" s="31" t="str">
        <f t="shared" si="420"/>
        <v>BypassOpenStudio_zb,0,</v>
      </c>
      <c r="BT113" s="31" t="str">
        <f t="shared" si="421"/>
        <v>BypassOpenStudio_ap,0,</v>
      </c>
      <c r="BU113" s="31" t="str">
        <f t="shared" si="422"/>
        <v>BypassOpenStudio_ab,0,</v>
      </c>
    </row>
    <row r="114" spans="1:73" x14ac:dyDescent="0.25">
      <c r="A114" s="1" t="s">
        <v>1</v>
      </c>
      <c r="K114" s="15" t="s">
        <v>1</v>
      </c>
    </row>
    <row r="115" spans="1:73" x14ac:dyDescent="0.25">
      <c r="A115" s="1" t="s">
        <v>1</v>
      </c>
      <c r="B115"/>
      <c r="C115"/>
      <c r="D115" s="30"/>
      <c r="E115" s="16"/>
      <c r="F115" s="16"/>
      <c r="G115" s="16"/>
      <c r="H115" s="16"/>
      <c r="K115" s="15" t="s">
        <v>1</v>
      </c>
      <c r="L115" s="36" t="s">
        <v>337</v>
      </c>
      <c r="M115" t="s">
        <v>336</v>
      </c>
    </row>
    <row r="116" spans="1:73" x14ac:dyDescent="0.25">
      <c r="A116" s="1" t="s">
        <v>1</v>
      </c>
      <c r="B116"/>
      <c r="C116"/>
      <c r="D116" s="30"/>
      <c r="K116" s="15" t="s">
        <v>1</v>
      </c>
      <c r="L116" s="37" t="s">
        <v>45</v>
      </c>
      <c r="M116" s="53">
        <f>$M$7</f>
        <v>160331</v>
      </c>
    </row>
    <row r="117" spans="1:73" x14ac:dyDescent="0.25">
      <c r="A117" s="1" t="s">
        <v>1</v>
      </c>
      <c r="B117"/>
      <c r="C117"/>
      <c r="D117" s="30"/>
      <c r="K117" s="15" t="s">
        <v>1</v>
      </c>
      <c r="L117" s="14" t="s">
        <v>46</v>
      </c>
      <c r="M117" s="53" t="str">
        <f>$M$8</f>
        <v>r3964</v>
      </c>
      <c r="N117" s="52"/>
    </row>
    <row r="118" spans="1:73" x14ac:dyDescent="0.25">
      <c r="A118" s="1" t="s">
        <v>1</v>
      </c>
      <c r="B118"/>
      <c r="C118"/>
      <c r="D118" s="30"/>
      <c r="E118" s="30"/>
      <c r="F118" s="30"/>
      <c r="G118" s="30"/>
      <c r="H118" s="30"/>
      <c r="I118" s="26"/>
      <c r="K118" s="15" t="s">
        <v>1</v>
      </c>
      <c r="L118" s="35" t="s">
        <v>39</v>
      </c>
      <c r="M118" s="53" t="str">
        <f>$M$10</f>
        <v>BatchResults_160331_r3964.csv</v>
      </c>
      <c r="N118" s="1" t="s">
        <v>48</v>
      </c>
    </row>
    <row r="119" spans="1:73" x14ac:dyDescent="0.25">
      <c r="A119" s="1" t="s">
        <v>1</v>
      </c>
      <c r="B119"/>
      <c r="C119"/>
      <c r="K119" s="15" t="s">
        <v>1</v>
      </c>
      <c r="L119" s="14" t="s">
        <v>16</v>
      </c>
      <c r="M119" s="28" t="s">
        <v>338</v>
      </c>
      <c r="N119" s="1" t="s">
        <v>47</v>
      </c>
      <c r="AJ119" s="104"/>
      <c r="AK119" s="104"/>
      <c r="AL119" s="104"/>
      <c r="AM119" s="104"/>
      <c r="AN119" s="104"/>
      <c r="AO119" s="104"/>
      <c r="AP119" s="104"/>
      <c r="AQ119" s="104"/>
      <c r="AR119" s="104"/>
    </row>
    <row r="120" spans="1:73" x14ac:dyDescent="0.25">
      <c r="A120" s="1" t="s">
        <v>1</v>
      </c>
      <c r="K120" s="15" t="s">
        <v>1</v>
      </c>
      <c r="L120" s="14" t="s">
        <v>17</v>
      </c>
      <c r="M120" s="54" t="str">
        <f>"BatchOut"&amp;"_"&amp;M116&amp;"_"&amp;M117&amp;"_"&amp;L115&amp;"\"</f>
        <v>BatchOut_160331_r3964_SSTs\</v>
      </c>
      <c r="N120" s="1" t="s">
        <v>47</v>
      </c>
    </row>
    <row r="121" spans="1:73" x14ac:dyDescent="0.25">
      <c r="A121" s="1" t="s">
        <v>1</v>
      </c>
      <c r="K121" s="15" t="s">
        <v>1</v>
      </c>
      <c r="L121" s="14" t="s">
        <v>42</v>
      </c>
      <c r="M121" s="54" t="str">
        <f>M120&amp;"XML\"</f>
        <v>BatchOut_160331_r3964_SSTs\XML\</v>
      </c>
      <c r="N121" s="1" t="s">
        <v>47</v>
      </c>
      <c r="R121" s="31"/>
      <c r="S121" s="31"/>
      <c r="T121" s="31"/>
      <c r="U121" s="31"/>
      <c r="V121" s="31"/>
      <c r="W121" s="31"/>
      <c r="X121" s="31"/>
      <c r="Y121" s="31"/>
      <c r="Z121" s="31"/>
      <c r="AA121" s="31"/>
      <c r="AB121" s="31"/>
      <c r="AC121" s="31"/>
      <c r="AD121" s="31"/>
      <c r="AE121" s="31"/>
      <c r="AF121" s="31"/>
      <c r="AG121" s="31"/>
      <c r="AH121" s="31"/>
      <c r="AI121" s="31"/>
      <c r="AJ121" s="31"/>
      <c r="AK121" s="31"/>
      <c r="AL121" s="31"/>
      <c r="AM121" s="31"/>
      <c r="AN121" s="31"/>
      <c r="AO121" s="31"/>
      <c r="AP121" s="31"/>
      <c r="AQ121" s="31"/>
      <c r="AR121" s="31"/>
    </row>
    <row r="122" spans="1:73" x14ac:dyDescent="0.25">
      <c r="A122" s="11" t="s">
        <v>14</v>
      </c>
      <c r="B122" s="7" t="s">
        <v>6</v>
      </c>
      <c r="C122" s="7" t="s">
        <v>7</v>
      </c>
      <c r="D122" s="7" t="s">
        <v>40</v>
      </c>
      <c r="E122" s="7"/>
      <c r="F122" s="17" t="s">
        <v>21</v>
      </c>
      <c r="G122" s="7"/>
      <c r="H122" s="18"/>
      <c r="I122" s="7" t="s">
        <v>9</v>
      </c>
      <c r="J122" s="92" t="s">
        <v>12</v>
      </c>
      <c r="K122" s="15" t="s">
        <v>1</v>
      </c>
      <c r="L122" s="14"/>
      <c r="N122" s="51"/>
      <c r="O122" s="51"/>
      <c r="P122" s="55"/>
      <c r="Q122"/>
      <c r="R122"/>
      <c r="S122"/>
      <c r="T122"/>
      <c r="U122"/>
      <c r="V122"/>
      <c r="W122"/>
      <c r="X122"/>
      <c r="Y122"/>
      <c r="Z122"/>
      <c r="AA122"/>
      <c r="AB122"/>
      <c r="AC122"/>
      <c r="AD122"/>
      <c r="AE122"/>
      <c r="AF122"/>
      <c r="AG122"/>
      <c r="AH122"/>
      <c r="AI122"/>
      <c r="AJ122"/>
      <c r="AK122"/>
      <c r="AL122"/>
      <c r="AM122"/>
      <c r="AN122"/>
      <c r="AO122"/>
      <c r="AP122"/>
      <c r="AQ122"/>
      <c r="AR122"/>
      <c r="AS122"/>
    </row>
    <row r="123" spans="1:73" x14ac:dyDescent="0.25">
      <c r="A123" s="39">
        <f t="shared" ref="A123" si="622">L123</f>
        <v>1</v>
      </c>
      <c r="B123" s="27" t="str">
        <f>M$119&amp;N123&amp;".cibd"</f>
        <v>SoftwareSensitivityTests\StreamlinedApprovalSet\0300015-OffMed-Baseline.cibd</v>
      </c>
      <c r="C123" s="27" t="str">
        <f xml:space="preserve"> M$120 &amp; O123 &amp; ".cibd"</f>
        <v>BatchOut_160331_r3964_SSTs\0300015-OffMed-Baseline.cibd</v>
      </c>
      <c r="D123" s="27" t="str">
        <f>$M$121</f>
        <v>BatchOut_160331_r3964_SSTs\XML\</v>
      </c>
      <c r="E123" s="9" t="str">
        <f>M123</f>
        <v>0300015</v>
      </c>
      <c r="F123" s="22"/>
      <c r="G123" s="29"/>
      <c r="H123" s="23" t="str">
        <f>IF(F123&gt;1,1,"")</f>
        <v/>
      </c>
      <c r="I123" s="9" t="s">
        <v>11</v>
      </c>
      <c r="J123" s="94" t="str">
        <f t="shared" ref="J123:J186" si="623">CONCATENATE(AS123,AT123,AU123,AV123,AW123,AX123,AY123,AZ123,BA123,BB123,BC123,BD123,BE123,BF123,BG123,BH123,BI123,BJ123,BK123,BL123,BM123,BN123,BO123,BP123,BQ123,BR123,BS123,BT123,BU123)</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3" s="15" t="s">
        <v>1</v>
      </c>
      <c r="L123" s="36">
        <v>1</v>
      </c>
      <c r="M123" s="32" t="str">
        <f>LEFT(N123,7)</f>
        <v>0300015</v>
      </c>
      <c r="N123" s="28" t="s">
        <v>209</v>
      </c>
      <c r="O123" s="28" t="str">
        <f t="shared" ref="O123:O124" si="624">N123</f>
        <v>0300015-OffMed-Baseline</v>
      </c>
      <c r="P123" s="36">
        <f>P$17</f>
        <v>1</v>
      </c>
      <c r="Q123" s="36">
        <f t="shared" ref="Q123:AR123" si="625">Q$17</f>
        <v>1</v>
      </c>
      <c r="R123" s="36">
        <f t="shared" si="625"/>
        <v>0</v>
      </c>
      <c r="S123" s="36">
        <f t="shared" si="625"/>
        <v>1</v>
      </c>
      <c r="T123" s="36">
        <f t="shared" si="625"/>
        <v>0</v>
      </c>
      <c r="U123" s="36">
        <f t="shared" si="625"/>
        <v>8</v>
      </c>
      <c r="V123" s="36">
        <f t="shared" si="625"/>
        <v>8</v>
      </c>
      <c r="W123" s="36">
        <f t="shared" si="625"/>
        <v>1</v>
      </c>
      <c r="X123" s="36">
        <f t="shared" si="625"/>
        <v>0</v>
      </c>
      <c r="Y123" s="36">
        <f t="shared" si="625"/>
        <v>0</v>
      </c>
      <c r="Z123" s="36">
        <f t="shared" si="625"/>
        <v>0</v>
      </c>
      <c r="AA123" s="36">
        <f t="shared" si="625"/>
        <v>0</v>
      </c>
      <c r="AB123" s="36">
        <f t="shared" si="625"/>
        <v>0</v>
      </c>
      <c r="AC123" s="36">
        <f t="shared" si="625"/>
        <v>0</v>
      </c>
      <c r="AD123" s="36">
        <f t="shared" si="625"/>
        <v>0</v>
      </c>
      <c r="AE123" s="36">
        <f t="shared" si="625"/>
        <v>0</v>
      </c>
      <c r="AF123" s="36">
        <f t="shared" si="625"/>
        <v>0</v>
      </c>
      <c r="AG123" s="36">
        <f t="shared" si="625"/>
        <v>0</v>
      </c>
      <c r="AH123" s="36">
        <f t="shared" si="625"/>
        <v>0</v>
      </c>
      <c r="AI123" s="36">
        <f t="shared" si="625"/>
        <v>0</v>
      </c>
      <c r="AJ123" s="36">
        <f t="shared" si="625"/>
        <v>0</v>
      </c>
      <c r="AK123" s="36">
        <f t="shared" si="625"/>
        <v>0</v>
      </c>
      <c r="AL123" s="36">
        <f t="shared" si="625"/>
        <v>0</v>
      </c>
      <c r="AM123" s="36">
        <f t="shared" si="625"/>
        <v>0</v>
      </c>
      <c r="AN123" s="36">
        <f t="shared" si="625"/>
        <v>0</v>
      </c>
      <c r="AO123" s="36">
        <f t="shared" si="625"/>
        <v>0</v>
      </c>
      <c r="AP123" s="36">
        <f t="shared" si="625"/>
        <v>0</v>
      </c>
      <c r="AQ123" s="36">
        <f t="shared" si="625"/>
        <v>0</v>
      </c>
      <c r="AR123" s="36">
        <f t="shared" si="625"/>
        <v>0</v>
      </c>
      <c r="AS123" s="31" t="str">
        <f t="shared" ref="AS123:AS124" si="626">P$13&amp;P123&amp;","</f>
        <v>SimulationStorage,1,</v>
      </c>
      <c r="AT123" s="31" t="str">
        <f t="shared" ref="AT123:AT124" si="627">Q$13&amp;Q123&amp;","</f>
        <v>AnalysisStorage,1,</v>
      </c>
      <c r="AU123" s="31" t="str">
        <f t="shared" ref="AU123:AU124" si="628">R$13&amp;R123&amp;","</f>
        <v>LogRuleEvaluation,0,</v>
      </c>
      <c r="AV123" s="31" t="str">
        <f t="shared" ref="AV123:AV124" si="629">S$13&amp;S123&amp;","</f>
        <v>ParallelSimulations,1,</v>
      </c>
      <c r="AW123" s="31" t="str">
        <f t="shared" ref="AW123:AW124" si="630">T$13&amp;T123&amp;","</f>
        <v>DurationStats,0,</v>
      </c>
      <c r="AX123" s="31" t="str">
        <f t="shared" ref="AX123:AX124" si="631">U$13&amp;U123&amp;","</f>
        <v>AnalysisThruStep,8,</v>
      </c>
      <c r="AY123" s="31" t="str">
        <f t="shared" ref="AY123:AY124" si="632">V$13&amp;V123&amp;","</f>
        <v>DontAbortOnErrorsThruStep,8,</v>
      </c>
      <c r="AZ123" s="31" t="str">
        <f t="shared" ref="AZ123:AZ124" si="633">W$13&amp;W123&amp;","</f>
        <v>BypassValidFileChecks,1,</v>
      </c>
      <c r="BA123" s="31" t="str">
        <f t="shared" ref="BA123:BA124" si="634">X$13&amp;X123&amp;","</f>
        <v>BypassInputChecks,0,</v>
      </c>
      <c r="BB123" s="31" t="str">
        <f t="shared" ref="BB123:BB124" si="635">Y$13&amp;Y123&amp;","</f>
        <v>BypassUMLHChecks,0,</v>
      </c>
      <c r="BC123" s="31" t="str">
        <f t="shared" ref="BC123:BC124" si="636">Z$13&amp;Z123&amp;","</f>
        <v>BypassCheckSimRules,0,</v>
      </c>
      <c r="BD123" s="31" t="str">
        <f t="shared" ref="BD123:BD124" si="637">AA$13&amp;AA123&amp;","</f>
        <v>BypassCheckCodeRules,0,</v>
      </c>
      <c r="BE123" s="31" t="str">
        <f t="shared" ref="BE123:BE186" si="638">AB$13&amp;AB123&amp;","</f>
        <v>StoreResultsToModelInput,0,</v>
      </c>
      <c r="BF123" s="31" t="str">
        <f t="shared" ref="BF123:BF186" si="639">AC$13&amp;AC123&amp;","</f>
        <v>StoreBEMDetails,0,</v>
      </c>
      <c r="BG123" s="31" t="str">
        <f t="shared" ref="BG123:BG186" si="640">AD$13&amp;AD123&amp;","</f>
        <v>ModelRpt_ALL,0,</v>
      </c>
      <c r="BH123" s="31" t="str">
        <f t="shared" ref="BH123:BH186" si="641">AE$13&amp;AE123&amp;","</f>
        <v>ExportHourlyResults_All,0,</v>
      </c>
      <c r="BI123" s="31" t="str">
        <f t="shared" ref="BI123:BI186" si="642">AF$13&amp;AF123&amp;","</f>
        <v>ComplianceReportPDF,0,</v>
      </c>
      <c r="BJ123" s="31" t="str">
        <f t="shared" ref="BJ123:BJ186" si="643">AG$13&amp;AG123&amp;","</f>
        <v>ComplianceReportXML,0,</v>
      </c>
      <c r="BK123" s="31" t="str">
        <f t="shared" ref="BK123:BL186" si="644">AH$13&amp;AH123&amp;","</f>
        <v>QuickAnalysis,0,</v>
      </c>
      <c r="BL123" s="31" t="str">
        <f t="shared" si="644"/>
        <v>PromptUserUMLHWarning,0,</v>
      </c>
      <c r="BM123" s="31" t="str">
        <f t="shared" ref="BM123:BM186" si="645">AJ$13&amp;AJ123&amp;","</f>
        <v>BypassOpenStudio_all,0,</v>
      </c>
      <c r="BN123" s="31" t="str">
        <f t="shared" ref="BN123:BN186" si="646">AK$13&amp;AK123&amp;","</f>
        <v>BypassOpenStudio_zp,0,</v>
      </c>
      <c r="BO123" s="31" t="str">
        <f t="shared" ref="BO123:BO186" si="647">AL$13&amp;AL123&amp;","</f>
        <v>BypassOpenStudio_zb,0,</v>
      </c>
      <c r="BP123" s="31" t="str">
        <f t="shared" ref="BP123:BP186" si="648">AM$13&amp;AM123&amp;","</f>
        <v>BypassOpenStudio_ap,0,</v>
      </c>
      <c r="BQ123" s="31" t="str">
        <f t="shared" ref="BQ123:BQ186" si="649">AN$13&amp;AN123&amp;","</f>
        <v>BypassOpenStudio_ab,0,</v>
      </c>
      <c r="BR123" s="31" t="str">
        <f t="shared" ref="BR123:BR186" si="650">AO$13&amp;AO123&amp;","</f>
        <v>BypassOpenStudio_zp,0,</v>
      </c>
      <c r="BS123" s="31" t="str">
        <f t="shared" ref="BS123:BS186" si="651">AP$13&amp;AP123&amp;","</f>
        <v>BypassOpenStudio_zb,0,</v>
      </c>
      <c r="BT123" s="31" t="str">
        <f t="shared" ref="BT123:BT186" si="652">AQ$13&amp;AQ123&amp;","</f>
        <v>BypassOpenStudio_ap,0,</v>
      </c>
      <c r="BU123" s="31" t="str">
        <f t="shared" ref="BU123:BU186" si="653">AR$13&amp;AR123&amp;","</f>
        <v>BypassOpenStudio_ab,0,</v>
      </c>
    </row>
    <row r="124" spans="1:73" x14ac:dyDescent="0.25">
      <c r="A124" s="39">
        <f t="shared" ref="A124:A187" si="654">L124</f>
        <v>1</v>
      </c>
      <c r="B124" s="27" t="str">
        <f t="shared" ref="B124:B187" si="655">M$119&amp;N124&amp;".cibd"</f>
        <v>SoftwareSensitivityTests\StreamlinedApprovalSet\0314015-OffMed-FanPwrBox.cibd</v>
      </c>
      <c r="C124" s="27" t="str">
        <f t="shared" ref="C124:C187" si="656" xml:space="preserve"> M$120 &amp; O124 &amp; ".cibd"</f>
        <v>BatchOut_160331_r3964_SSTs\0314015-OffMed-FanPwrBox.cibd</v>
      </c>
      <c r="D124" s="27" t="str">
        <f t="shared" ref="D124:D187" si="657">$M$121</f>
        <v>BatchOut_160331_r3964_SSTs\XML\</v>
      </c>
      <c r="E124" s="9" t="str">
        <f t="shared" ref="E124:E187" si="658">M124</f>
        <v>0314015</v>
      </c>
      <c r="F124" s="22"/>
      <c r="G124" s="29"/>
      <c r="H124" s="23" t="str">
        <f t="shared" ref="H124:H187" si="659">IF(F124&gt;1,1,"")</f>
        <v/>
      </c>
      <c r="I124" s="9" t="s">
        <v>11</v>
      </c>
      <c r="J124"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4" s="15" t="s">
        <v>1</v>
      </c>
      <c r="L124" s="36">
        <f>L123</f>
        <v>1</v>
      </c>
      <c r="M124" s="32" t="str">
        <f t="shared" ref="M124:M187" si="660">LEFT(N124,7)</f>
        <v>0314015</v>
      </c>
      <c r="N124" s="28" t="s">
        <v>210</v>
      </c>
      <c r="O124" s="28" t="str">
        <f t="shared" si="624"/>
        <v>0314015-OffMed-FanPwrBox</v>
      </c>
      <c r="P124" s="36">
        <f>P123</f>
        <v>1</v>
      </c>
      <c r="Q124" s="36">
        <f t="shared" ref="Q124:AB148" si="661">Q123</f>
        <v>1</v>
      </c>
      <c r="R124" s="36">
        <f t="shared" ref="R124:AB147" si="662">R123</f>
        <v>0</v>
      </c>
      <c r="S124" s="36">
        <f t="shared" ref="S124:AB146" si="663">S123</f>
        <v>1</v>
      </c>
      <c r="T124" s="36">
        <f t="shared" ref="T124:AB145" si="664">T123</f>
        <v>0</v>
      </c>
      <c r="U124" s="36">
        <f t="shared" ref="U124:AB144" si="665">U123</f>
        <v>8</v>
      </c>
      <c r="V124" s="36">
        <f t="shared" ref="V124:AB143" si="666">V123</f>
        <v>8</v>
      </c>
      <c r="W124" s="36">
        <f t="shared" ref="W124:AB142" si="667">W123</f>
        <v>1</v>
      </c>
      <c r="X124" s="36">
        <f t="shared" ref="X124:AB141" si="668">X123</f>
        <v>0</v>
      </c>
      <c r="Y124" s="36">
        <f t="shared" ref="Y124:AB140" si="669">Y123</f>
        <v>0</v>
      </c>
      <c r="Z124" s="36">
        <f t="shared" ref="Z124:AB139" si="670">Z123</f>
        <v>0</v>
      </c>
      <c r="AA124" s="36">
        <f t="shared" ref="AA124:AB124" si="671">AA123</f>
        <v>0</v>
      </c>
      <c r="AB124" s="36">
        <f t="shared" si="671"/>
        <v>0</v>
      </c>
      <c r="AC124" s="36">
        <f t="shared" ref="AC124:AC187" si="672">AC123</f>
        <v>0</v>
      </c>
      <c r="AD124" s="36">
        <f t="shared" ref="AD124:AE187" si="673">AD123</f>
        <v>0</v>
      </c>
      <c r="AE124" s="36">
        <f t="shared" si="673"/>
        <v>0</v>
      </c>
      <c r="AF124" s="36">
        <f t="shared" ref="AF124:AG124" si="674">AF123</f>
        <v>0</v>
      </c>
      <c r="AG124" s="36">
        <f t="shared" si="674"/>
        <v>0</v>
      </c>
      <c r="AH124" s="36">
        <f t="shared" ref="AH124:AI124" si="675">AH123</f>
        <v>0</v>
      </c>
      <c r="AI124" s="36">
        <f t="shared" si="675"/>
        <v>0</v>
      </c>
      <c r="AJ124" s="36">
        <f t="shared" ref="AJ124:AJ187" si="676">AJ123</f>
        <v>0</v>
      </c>
      <c r="AK124" s="36">
        <f t="shared" ref="AK124:AK187" si="677">AK123</f>
        <v>0</v>
      </c>
      <c r="AL124" s="36">
        <f t="shared" ref="AL124:AL187" si="678">AL123</f>
        <v>0</v>
      </c>
      <c r="AM124" s="36">
        <f t="shared" ref="AM124:AM187" si="679">AM123</f>
        <v>0</v>
      </c>
      <c r="AN124" s="36">
        <f t="shared" ref="AN124:AN187" si="680">AN123</f>
        <v>0</v>
      </c>
      <c r="AO124" s="36">
        <f t="shared" ref="AO124:AO187" si="681">AO123</f>
        <v>0</v>
      </c>
      <c r="AP124" s="36">
        <f t="shared" ref="AP124:AP187" si="682">AP123</f>
        <v>0</v>
      </c>
      <c r="AQ124" s="36">
        <f t="shared" ref="AQ124:AQ187" si="683">AQ123</f>
        <v>0</v>
      </c>
      <c r="AR124" s="36">
        <f t="shared" ref="AR124:AR187" si="684">AR123</f>
        <v>0</v>
      </c>
      <c r="AS124" s="31" t="str">
        <f t="shared" si="626"/>
        <v>SimulationStorage,1,</v>
      </c>
      <c r="AT124" s="31" t="str">
        <f t="shared" si="627"/>
        <v>AnalysisStorage,1,</v>
      </c>
      <c r="AU124" s="31" t="str">
        <f t="shared" si="628"/>
        <v>LogRuleEvaluation,0,</v>
      </c>
      <c r="AV124" s="31" t="str">
        <f t="shared" si="629"/>
        <v>ParallelSimulations,1,</v>
      </c>
      <c r="AW124" s="31" t="str">
        <f t="shared" si="630"/>
        <v>DurationStats,0,</v>
      </c>
      <c r="AX124" s="31" t="str">
        <f t="shared" si="631"/>
        <v>AnalysisThruStep,8,</v>
      </c>
      <c r="AY124" s="31" t="str">
        <f t="shared" si="632"/>
        <v>DontAbortOnErrorsThruStep,8,</v>
      </c>
      <c r="AZ124" s="31" t="str">
        <f t="shared" si="633"/>
        <v>BypassValidFileChecks,1,</v>
      </c>
      <c r="BA124" s="31" t="str">
        <f t="shared" si="634"/>
        <v>BypassInputChecks,0,</v>
      </c>
      <c r="BB124" s="31" t="str">
        <f t="shared" si="635"/>
        <v>BypassUMLHChecks,0,</v>
      </c>
      <c r="BC124" s="31" t="str">
        <f t="shared" si="636"/>
        <v>BypassCheckSimRules,0,</v>
      </c>
      <c r="BD124" s="31" t="str">
        <f t="shared" si="637"/>
        <v>BypassCheckCodeRules,0,</v>
      </c>
      <c r="BE124" s="31" t="str">
        <f t="shared" si="638"/>
        <v>StoreResultsToModelInput,0,</v>
      </c>
      <c r="BF124" s="31" t="str">
        <f t="shared" si="639"/>
        <v>StoreBEMDetails,0,</v>
      </c>
      <c r="BG124" s="31" t="str">
        <f t="shared" si="640"/>
        <v>ModelRpt_ALL,0,</v>
      </c>
      <c r="BH124" s="31" t="str">
        <f t="shared" si="641"/>
        <v>ExportHourlyResults_All,0,</v>
      </c>
      <c r="BI124" s="31" t="str">
        <f t="shared" si="642"/>
        <v>ComplianceReportPDF,0,</v>
      </c>
      <c r="BJ124" s="31" t="str">
        <f t="shared" si="643"/>
        <v>ComplianceReportXML,0,</v>
      </c>
      <c r="BK124" s="31" t="str">
        <f t="shared" si="644"/>
        <v>QuickAnalysis,0,</v>
      </c>
      <c r="BL124" s="31" t="str">
        <f t="shared" si="644"/>
        <v>PromptUserUMLHWarning,0,</v>
      </c>
      <c r="BM124" s="31" t="str">
        <f t="shared" si="645"/>
        <v>BypassOpenStudio_all,0,</v>
      </c>
      <c r="BN124" s="31" t="str">
        <f t="shared" si="646"/>
        <v>BypassOpenStudio_zp,0,</v>
      </c>
      <c r="BO124" s="31" t="str">
        <f t="shared" si="647"/>
        <v>BypassOpenStudio_zb,0,</v>
      </c>
      <c r="BP124" s="31" t="str">
        <f t="shared" si="648"/>
        <v>BypassOpenStudio_ap,0,</v>
      </c>
      <c r="BQ124" s="31" t="str">
        <f t="shared" si="649"/>
        <v>BypassOpenStudio_ab,0,</v>
      </c>
      <c r="BR124" s="31" t="str">
        <f t="shared" si="650"/>
        <v>BypassOpenStudio_zp,0,</v>
      </c>
      <c r="BS124" s="31" t="str">
        <f t="shared" si="651"/>
        <v>BypassOpenStudio_zb,0,</v>
      </c>
      <c r="BT124" s="31" t="str">
        <f t="shared" si="652"/>
        <v>BypassOpenStudio_ap,0,</v>
      </c>
      <c r="BU124" s="31" t="str">
        <f t="shared" si="653"/>
        <v>BypassOpenStudio_ab,0,</v>
      </c>
    </row>
    <row r="125" spans="1:73" x14ac:dyDescent="0.25">
      <c r="A125" s="39">
        <f t="shared" si="654"/>
        <v>1</v>
      </c>
      <c r="B125" s="27" t="str">
        <f t="shared" si="655"/>
        <v>SoftwareSensitivityTests\StreamlinedApprovalSet\0312515-OffMed-Plenum.cibd</v>
      </c>
      <c r="C125" s="27" t="str">
        <f t="shared" si="656"/>
        <v>BatchOut_160331_r3964_SSTs\0312515-OffMed-Plenum.cibd</v>
      </c>
      <c r="D125" s="27" t="str">
        <f t="shared" si="657"/>
        <v>BatchOut_160331_r3964_SSTs\XML\</v>
      </c>
      <c r="E125" s="9" t="str">
        <f t="shared" si="658"/>
        <v>0312515</v>
      </c>
      <c r="F125" s="22"/>
      <c r="G125" s="29"/>
      <c r="H125" s="23" t="str">
        <f t="shared" si="659"/>
        <v/>
      </c>
      <c r="I125" s="9" t="s">
        <v>11</v>
      </c>
      <c r="J125"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5" s="15" t="s">
        <v>1</v>
      </c>
      <c r="L125" s="36">
        <f t="shared" ref="L125:L188" si="685">L124</f>
        <v>1</v>
      </c>
      <c r="M125" s="32" t="str">
        <f t="shared" si="660"/>
        <v>0312515</v>
      </c>
      <c r="N125" s="28" t="s">
        <v>211</v>
      </c>
      <c r="O125" s="28" t="str">
        <f t="shared" ref="O125:O188" si="686">N125</f>
        <v>0312515-OffMed-Plenum</v>
      </c>
      <c r="P125" s="36">
        <f t="shared" ref="P125:AB156" si="687">P124</f>
        <v>1</v>
      </c>
      <c r="Q125" s="36">
        <f t="shared" si="661"/>
        <v>1</v>
      </c>
      <c r="R125" s="36">
        <f t="shared" si="662"/>
        <v>0</v>
      </c>
      <c r="S125" s="36">
        <f t="shared" si="663"/>
        <v>1</v>
      </c>
      <c r="T125" s="36">
        <f t="shared" si="664"/>
        <v>0</v>
      </c>
      <c r="U125" s="36">
        <f t="shared" si="665"/>
        <v>8</v>
      </c>
      <c r="V125" s="36">
        <f t="shared" si="666"/>
        <v>8</v>
      </c>
      <c r="W125" s="36">
        <f t="shared" si="667"/>
        <v>1</v>
      </c>
      <c r="X125" s="36">
        <f t="shared" si="668"/>
        <v>0</v>
      </c>
      <c r="Y125" s="36">
        <f t="shared" si="669"/>
        <v>0</v>
      </c>
      <c r="Z125" s="36">
        <f t="shared" si="670"/>
        <v>0</v>
      </c>
      <c r="AA125" s="36">
        <f t="shared" si="670"/>
        <v>0</v>
      </c>
      <c r="AB125" s="36">
        <f t="shared" si="670"/>
        <v>0</v>
      </c>
      <c r="AC125" s="36">
        <f t="shared" si="672"/>
        <v>0</v>
      </c>
      <c r="AD125" s="36">
        <f t="shared" si="673"/>
        <v>0</v>
      </c>
      <c r="AE125" s="36">
        <f t="shared" si="673"/>
        <v>0</v>
      </c>
      <c r="AF125" s="36">
        <f t="shared" ref="AF125:AG125" si="688">AF124</f>
        <v>0</v>
      </c>
      <c r="AG125" s="36">
        <f t="shared" si="688"/>
        <v>0</v>
      </c>
      <c r="AH125" s="36">
        <f t="shared" ref="AH125:AI125" si="689">AH124</f>
        <v>0</v>
      </c>
      <c r="AI125" s="36">
        <f t="shared" si="689"/>
        <v>0</v>
      </c>
      <c r="AJ125" s="36">
        <f t="shared" si="676"/>
        <v>0</v>
      </c>
      <c r="AK125" s="36">
        <f t="shared" si="677"/>
        <v>0</v>
      </c>
      <c r="AL125" s="36">
        <f t="shared" si="678"/>
        <v>0</v>
      </c>
      <c r="AM125" s="36">
        <f t="shared" si="679"/>
        <v>0</v>
      </c>
      <c r="AN125" s="36">
        <f t="shared" si="680"/>
        <v>0</v>
      </c>
      <c r="AO125" s="36">
        <f t="shared" si="681"/>
        <v>0</v>
      </c>
      <c r="AP125" s="36">
        <f t="shared" si="682"/>
        <v>0</v>
      </c>
      <c r="AQ125" s="36">
        <f t="shared" si="683"/>
        <v>0</v>
      </c>
      <c r="AR125" s="36">
        <f t="shared" si="684"/>
        <v>0</v>
      </c>
      <c r="AS125" s="31" t="str">
        <f t="shared" ref="AS125:AS188" si="690">P$13&amp;P125&amp;","</f>
        <v>SimulationStorage,1,</v>
      </c>
      <c r="AT125" s="31" t="str">
        <f t="shared" ref="AT125:AT188" si="691">Q$13&amp;Q125&amp;","</f>
        <v>AnalysisStorage,1,</v>
      </c>
      <c r="AU125" s="31" t="str">
        <f t="shared" ref="AU125:AU188" si="692">R$13&amp;R125&amp;","</f>
        <v>LogRuleEvaluation,0,</v>
      </c>
      <c r="AV125" s="31" t="str">
        <f t="shared" ref="AV125:AV188" si="693">S$13&amp;S125&amp;","</f>
        <v>ParallelSimulations,1,</v>
      </c>
      <c r="AW125" s="31" t="str">
        <f t="shared" ref="AW125:AW188" si="694">T$13&amp;T125&amp;","</f>
        <v>DurationStats,0,</v>
      </c>
      <c r="AX125" s="31" t="str">
        <f t="shared" ref="AX125:AX188" si="695">U$13&amp;U125&amp;","</f>
        <v>AnalysisThruStep,8,</v>
      </c>
      <c r="AY125" s="31" t="str">
        <f t="shared" ref="AY125:AY188" si="696">V$13&amp;V125&amp;","</f>
        <v>DontAbortOnErrorsThruStep,8,</v>
      </c>
      <c r="AZ125" s="31" t="str">
        <f t="shared" ref="AZ125:AZ188" si="697">W$13&amp;W125&amp;","</f>
        <v>BypassValidFileChecks,1,</v>
      </c>
      <c r="BA125" s="31" t="str">
        <f t="shared" ref="BA125:BA188" si="698">X$13&amp;X125&amp;","</f>
        <v>BypassInputChecks,0,</v>
      </c>
      <c r="BB125" s="31" t="str">
        <f t="shared" ref="BB125:BB188" si="699">Y$13&amp;Y125&amp;","</f>
        <v>BypassUMLHChecks,0,</v>
      </c>
      <c r="BC125" s="31" t="str">
        <f t="shared" ref="BC125:BC188" si="700">Z$13&amp;Z125&amp;","</f>
        <v>BypassCheckSimRules,0,</v>
      </c>
      <c r="BD125" s="31" t="str">
        <f t="shared" ref="BD125:BD188" si="701">AA$13&amp;AA125&amp;","</f>
        <v>BypassCheckCodeRules,0,</v>
      </c>
      <c r="BE125" s="31" t="str">
        <f t="shared" si="638"/>
        <v>StoreResultsToModelInput,0,</v>
      </c>
      <c r="BF125" s="31" t="str">
        <f t="shared" si="639"/>
        <v>StoreBEMDetails,0,</v>
      </c>
      <c r="BG125" s="31" t="str">
        <f t="shared" si="640"/>
        <v>ModelRpt_ALL,0,</v>
      </c>
      <c r="BH125" s="31" t="str">
        <f t="shared" si="641"/>
        <v>ExportHourlyResults_All,0,</v>
      </c>
      <c r="BI125" s="31" t="str">
        <f t="shared" si="642"/>
        <v>ComplianceReportPDF,0,</v>
      </c>
      <c r="BJ125" s="31" t="str">
        <f t="shared" si="643"/>
        <v>ComplianceReportXML,0,</v>
      </c>
      <c r="BK125" s="31" t="str">
        <f t="shared" si="644"/>
        <v>QuickAnalysis,0,</v>
      </c>
      <c r="BL125" s="31" t="str">
        <f t="shared" si="644"/>
        <v>PromptUserUMLHWarning,0,</v>
      </c>
      <c r="BM125" s="31" t="str">
        <f t="shared" si="645"/>
        <v>BypassOpenStudio_all,0,</v>
      </c>
      <c r="BN125" s="31" t="str">
        <f t="shared" si="646"/>
        <v>BypassOpenStudio_zp,0,</v>
      </c>
      <c r="BO125" s="31" t="str">
        <f t="shared" si="647"/>
        <v>BypassOpenStudio_zb,0,</v>
      </c>
      <c r="BP125" s="31" t="str">
        <f t="shared" si="648"/>
        <v>BypassOpenStudio_ap,0,</v>
      </c>
      <c r="BQ125" s="31" t="str">
        <f t="shared" si="649"/>
        <v>BypassOpenStudio_ab,0,</v>
      </c>
      <c r="BR125" s="31" t="str">
        <f t="shared" si="650"/>
        <v>BypassOpenStudio_zp,0,</v>
      </c>
      <c r="BS125" s="31" t="str">
        <f t="shared" si="651"/>
        <v>BypassOpenStudio_zb,0,</v>
      </c>
      <c r="BT125" s="31" t="str">
        <f t="shared" si="652"/>
        <v>BypassOpenStudio_ap,0,</v>
      </c>
      <c r="BU125" s="31" t="str">
        <f t="shared" si="653"/>
        <v>BypassOpenStudio_ab,0,</v>
      </c>
    </row>
    <row r="126" spans="1:73" x14ac:dyDescent="0.25">
      <c r="A126" s="39">
        <f t="shared" si="654"/>
        <v>1</v>
      </c>
      <c r="B126" s="27" t="str">
        <f t="shared" si="655"/>
        <v>SoftwareSensitivityTests\StreamlinedApprovalSet\0314615-OffMed-LabwExhPVAV.cibd</v>
      </c>
      <c r="C126" s="27" t="str">
        <f t="shared" si="656"/>
        <v>BatchOut_160331_r3964_SSTs\0314615-OffMed-LabwExhPVAV.cibd</v>
      </c>
      <c r="D126" s="27" t="str">
        <f t="shared" si="657"/>
        <v>BatchOut_160331_r3964_SSTs\XML\</v>
      </c>
      <c r="E126" s="9" t="str">
        <f t="shared" si="658"/>
        <v>0314615</v>
      </c>
      <c r="F126" s="22"/>
      <c r="G126" s="29"/>
      <c r="H126" s="23" t="str">
        <f t="shared" si="659"/>
        <v/>
      </c>
      <c r="I126" s="9" t="s">
        <v>11</v>
      </c>
      <c r="J126"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6" s="15" t="s">
        <v>1</v>
      </c>
      <c r="L126" s="36">
        <f t="shared" si="685"/>
        <v>1</v>
      </c>
      <c r="M126" s="32" t="str">
        <f t="shared" si="660"/>
        <v>0314615</v>
      </c>
      <c r="N126" s="28" t="s">
        <v>212</v>
      </c>
      <c r="O126" s="28" t="str">
        <f t="shared" si="686"/>
        <v>0314615-OffMed-LabwExhPVAV</v>
      </c>
      <c r="P126" s="36">
        <f t="shared" si="687"/>
        <v>1</v>
      </c>
      <c r="Q126" s="36">
        <f t="shared" si="661"/>
        <v>1</v>
      </c>
      <c r="R126" s="36">
        <f t="shared" si="662"/>
        <v>0</v>
      </c>
      <c r="S126" s="36">
        <f t="shared" si="663"/>
        <v>1</v>
      </c>
      <c r="T126" s="36">
        <f t="shared" si="664"/>
        <v>0</v>
      </c>
      <c r="U126" s="36">
        <f t="shared" si="665"/>
        <v>8</v>
      </c>
      <c r="V126" s="36">
        <f t="shared" si="666"/>
        <v>8</v>
      </c>
      <c r="W126" s="36">
        <f t="shared" si="667"/>
        <v>1</v>
      </c>
      <c r="X126" s="36">
        <f t="shared" si="668"/>
        <v>0</v>
      </c>
      <c r="Y126" s="36">
        <f t="shared" si="669"/>
        <v>0</v>
      </c>
      <c r="Z126" s="36">
        <f t="shared" si="670"/>
        <v>0</v>
      </c>
      <c r="AA126" s="36">
        <f t="shared" si="670"/>
        <v>0</v>
      </c>
      <c r="AB126" s="36">
        <f t="shared" si="670"/>
        <v>0</v>
      </c>
      <c r="AC126" s="36">
        <f t="shared" si="672"/>
        <v>0</v>
      </c>
      <c r="AD126" s="36">
        <f t="shared" si="673"/>
        <v>0</v>
      </c>
      <c r="AE126" s="36">
        <f t="shared" si="673"/>
        <v>0</v>
      </c>
      <c r="AF126" s="36">
        <f t="shared" ref="AF126:AG126" si="702">AF125</f>
        <v>0</v>
      </c>
      <c r="AG126" s="36">
        <f t="shared" si="702"/>
        <v>0</v>
      </c>
      <c r="AH126" s="36">
        <f t="shared" ref="AH126:AI126" si="703">AH125</f>
        <v>0</v>
      </c>
      <c r="AI126" s="36">
        <f t="shared" si="703"/>
        <v>0</v>
      </c>
      <c r="AJ126" s="36">
        <f t="shared" si="676"/>
        <v>0</v>
      </c>
      <c r="AK126" s="36">
        <f t="shared" si="677"/>
        <v>0</v>
      </c>
      <c r="AL126" s="36">
        <f t="shared" si="678"/>
        <v>0</v>
      </c>
      <c r="AM126" s="36">
        <f t="shared" si="679"/>
        <v>0</v>
      </c>
      <c r="AN126" s="36">
        <f t="shared" si="680"/>
        <v>0</v>
      </c>
      <c r="AO126" s="36">
        <f t="shared" si="681"/>
        <v>0</v>
      </c>
      <c r="AP126" s="36">
        <f t="shared" si="682"/>
        <v>0</v>
      </c>
      <c r="AQ126" s="36">
        <f t="shared" si="683"/>
        <v>0</v>
      </c>
      <c r="AR126" s="36">
        <f t="shared" si="684"/>
        <v>0</v>
      </c>
      <c r="AS126" s="31" t="str">
        <f t="shared" si="690"/>
        <v>SimulationStorage,1,</v>
      </c>
      <c r="AT126" s="31" t="str">
        <f t="shared" si="691"/>
        <v>AnalysisStorage,1,</v>
      </c>
      <c r="AU126" s="31" t="str">
        <f t="shared" si="692"/>
        <v>LogRuleEvaluation,0,</v>
      </c>
      <c r="AV126" s="31" t="str">
        <f t="shared" si="693"/>
        <v>ParallelSimulations,1,</v>
      </c>
      <c r="AW126" s="31" t="str">
        <f t="shared" si="694"/>
        <v>DurationStats,0,</v>
      </c>
      <c r="AX126" s="31" t="str">
        <f t="shared" si="695"/>
        <v>AnalysisThruStep,8,</v>
      </c>
      <c r="AY126" s="31" t="str">
        <f t="shared" si="696"/>
        <v>DontAbortOnErrorsThruStep,8,</v>
      </c>
      <c r="AZ126" s="31" t="str">
        <f t="shared" si="697"/>
        <v>BypassValidFileChecks,1,</v>
      </c>
      <c r="BA126" s="31" t="str">
        <f t="shared" si="698"/>
        <v>BypassInputChecks,0,</v>
      </c>
      <c r="BB126" s="31" t="str">
        <f t="shared" si="699"/>
        <v>BypassUMLHChecks,0,</v>
      </c>
      <c r="BC126" s="31" t="str">
        <f t="shared" si="700"/>
        <v>BypassCheckSimRules,0,</v>
      </c>
      <c r="BD126" s="31" t="str">
        <f t="shared" si="701"/>
        <v>BypassCheckCodeRules,0,</v>
      </c>
      <c r="BE126" s="31" t="str">
        <f t="shared" si="638"/>
        <v>StoreResultsToModelInput,0,</v>
      </c>
      <c r="BF126" s="31" t="str">
        <f t="shared" si="639"/>
        <v>StoreBEMDetails,0,</v>
      </c>
      <c r="BG126" s="31" t="str">
        <f t="shared" si="640"/>
        <v>ModelRpt_ALL,0,</v>
      </c>
      <c r="BH126" s="31" t="str">
        <f t="shared" si="641"/>
        <v>ExportHourlyResults_All,0,</v>
      </c>
      <c r="BI126" s="31" t="str">
        <f t="shared" si="642"/>
        <v>ComplianceReportPDF,0,</v>
      </c>
      <c r="BJ126" s="31" t="str">
        <f t="shared" si="643"/>
        <v>ComplianceReportXML,0,</v>
      </c>
      <c r="BK126" s="31" t="str">
        <f t="shared" si="644"/>
        <v>QuickAnalysis,0,</v>
      </c>
      <c r="BL126" s="31" t="str">
        <f t="shared" si="644"/>
        <v>PromptUserUMLHWarning,0,</v>
      </c>
      <c r="BM126" s="31" t="str">
        <f t="shared" si="645"/>
        <v>BypassOpenStudio_all,0,</v>
      </c>
      <c r="BN126" s="31" t="str">
        <f t="shared" si="646"/>
        <v>BypassOpenStudio_zp,0,</v>
      </c>
      <c r="BO126" s="31" t="str">
        <f t="shared" si="647"/>
        <v>BypassOpenStudio_zb,0,</v>
      </c>
      <c r="BP126" s="31" t="str">
        <f t="shared" si="648"/>
        <v>BypassOpenStudio_ap,0,</v>
      </c>
      <c r="BQ126" s="31" t="str">
        <f t="shared" si="649"/>
        <v>BypassOpenStudio_ab,0,</v>
      </c>
      <c r="BR126" s="31" t="str">
        <f t="shared" si="650"/>
        <v>BypassOpenStudio_zp,0,</v>
      </c>
      <c r="BS126" s="31" t="str">
        <f t="shared" si="651"/>
        <v>BypassOpenStudio_zb,0,</v>
      </c>
      <c r="BT126" s="31" t="str">
        <f t="shared" si="652"/>
        <v>BypassOpenStudio_ap,0,</v>
      </c>
      <c r="BU126" s="31" t="str">
        <f t="shared" si="653"/>
        <v>BypassOpenStudio_ab,0,</v>
      </c>
    </row>
    <row r="127" spans="1:73" x14ac:dyDescent="0.25">
      <c r="A127" s="39">
        <f t="shared" si="654"/>
        <v>1</v>
      </c>
      <c r="B127" s="27" t="str">
        <f t="shared" si="655"/>
        <v>SoftwareSensitivityTests\StreamlinedApprovalSet\0313415-OffMed-LabwExhDOAS.cibd</v>
      </c>
      <c r="C127" s="27" t="str">
        <f t="shared" si="656"/>
        <v>BatchOut_160331_r3964_SSTs\0313415-OffMed-LabwExhDOAS.cibd</v>
      </c>
      <c r="D127" s="27" t="str">
        <f t="shared" si="657"/>
        <v>BatchOut_160331_r3964_SSTs\XML\</v>
      </c>
      <c r="E127" s="9" t="str">
        <f t="shared" si="658"/>
        <v>0313415</v>
      </c>
      <c r="F127" s="22"/>
      <c r="G127" s="29"/>
      <c r="H127" s="23" t="str">
        <f t="shared" si="659"/>
        <v/>
      </c>
      <c r="I127" s="9" t="s">
        <v>11</v>
      </c>
      <c r="J127"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7" s="15" t="s">
        <v>1</v>
      </c>
      <c r="L127" s="36">
        <f t="shared" si="685"/>
        <v>1</v>
      </c>
      <c r="M127" s="32" t="str">
        <f t="shared" si="660"/>
        <v>0313415</v>
      </c>
      <c r="N127" s="28" t="s">
        <v>213</v>
      </c>
      <c r="O127" s="28" t="str">
        <f t="shared" si="686"/>
        <v>0313415-OffMed-LabwExhDOAS</v>
      </c>
      <c r="P127" s="36">
        <f t="shared" si="687"/>
        <v>1</v>
      </c>
      <c r="Q127" s="36">
        <f t="shared" si="661"/>
        <v>1</v>
      </c>
      <c r="R127" s="36">
        <f t="shared" si="662"/>
        <v>0</v>
      </c>
      <c r="S127" s="36">
        <f t="shared" si="663"/>
        <v>1</v>
      </c>
      <c r="T127" s="36">
        <f t="shared" si="664"/>
        <v>0</v>
      </c>
      <c r="U127" s="36">
        <f t="shared" si="665"/>
        <v>8</v>
      </c>
      <c r="V127" s="36">
        <f t="shared" si="666"/>
        <v>8</v>
      </c>
      <c r="W127" s="36">
        <f t="shared" si="667"/>
        <v>1</v>
      </c>
      <c r="X127" s="36">
        <f t="shared" si="668"/>
        <v>0</v>
      </c>
      <c r="Y127" s="36">
        <f t="shared" si="669"/>
        <v>0</v>
      </c>
      <c r="Z127" s="36">
        <f t="shared" si="670"/>
        <v>0</v>
      </c>
      <c r="AA127" s="36">
        <f t="shared" si="670"/>
        <v>0</v>
      </c>
      <c r="AB127" s="36">
        <f t="shared" si="670"/>
        <v>0</v>
      </c>
      <c r="AC127" s="36">
        <f t="shared" si="672"/>
        <v>0</v>
      </c>
      <c r="AD127" s="36">
        <f t="shared" si="673"/>
        <v>0</v>
      </c>
      <c r="AE127" s="36">
        <f t="shared" si="673"/>
        <v>0</v>
      </c>
      <c r="AF127" s="36">
        <f t="shared" ref="AF127:AG127" si="704">AF126</f>
        <v>0</v>
      </c>
      <c r="AG127" s="36">
        <f t="shared" si="704"/>
        <v>0</v>
      </c>
      <c r="AH127" s="36">
        <f t="shared" ref="AH127:AI127" si="705">AH126</f>
        <v>0</v>
      </c>
      <c r="AI127" s="36">
        <f t="shared" si="705"/>
        <v>0</v>
      </c>
      <c r="AJ127" s="36">
        <f t="shared" si="676"/>
        <v>0</v>
      </c>
      <c r="AK127" s="36">
        <f t="shared" si="677"/>
        <v>0</v>
      </c>
      <c r="AL127" s="36">
        <f t="shared" si="678"/>
        <v>0</v>
      </c>
      <c r="AM127" s="36">
        <f t="shared" si="679"/>
        <v>0</v>
      </c>
      <c r="AN127" s="36">
        <f t="shared" si="680"/>
        <v>0</v>
      </c>
      <c r="AO127" s="36">
        <f t="shared" si="681"/>
        <v>0</v>
      </c>
      <c r="AP127" s="36">
        <f t="shared" si="682"/>
        <v>0</v>
      </c>
      <c r="AQ127" s="36">
        <f t="shared" si="683"/>
        <v>0</v>
      </c>
      <c r="AR127" s="36">
        <f t="shared" si="684"/>
        <v>0</v>
      </c>
      <c r="AS127" s="31" t="str">
        <f t="shared" si="690"/>
        <v>SimulationStorage,1,</v>
      </c>
      <c r="AT127" s="31" t="str">
        <f t="shared" si="691"/>
        <v>AnalysisStorage,1,</v>
      </c>
      <c r="AU127" s="31" t="str">
        <f t="shared" si="692"/>
        <v>LogRuleEvaluation,0,</v>
      </c>
      <c r="AV127" s="31" t="str">
        <f t="shared" si="693"/>
        <v>ParallelSimulations,1,</v>
      </c>
      <c r="AW127" s="31" t="str">
        <f t="shared" si="694"/>
        <v>DurationStats,0,</v>
      </c>
      <c r="AX127" s="31" t="str">
        <f t="shared" si="695"/>
        <v>AnalysisThruStep,8,</v>
      </c>
      <c r="AY127" s="31" t="str">
        <f t="shared" si="696"/>
        <v>DontAbortOnErrorsThruStep,8,</v>
      </c>
      <c r="AZ127" s="31" t="str">
        <f t="shared" si="697"/>
        <v>BypassValidFileChecks,1,</v>
      </c>
      <c r="BA127" s="31" t="str">
        <f t="shared" si="698"/>
        <v>BypassInputChecks,0,</v>
      </c>
      <c r="BB127" s="31" t="str">
        <f t="shared" si="699"/>
        <v>BypassUMLHChecks,0,</v>
      </c>
      <c r="BC127" s="31" t="str">
        <f t="shared" si="700"/>
        <v>BypassCheckSimRules,0,</v>
      </c>
      <c r="BD127" s="31" t="str">
        <f t="shared" si="701"/>
        <v>BypassCheckCodeRules,0,</v>
      </c>
      <c r="BE127" s="31" t="str">
        <f t="shared" si="638"/>
        <v>StoreResultsToModelInput,0,</v>
      </c>
      <c r="BF127" s="31" t="str">
        <f t="shared" si="639"/>
        <v>StoreBEMDetails,0,</v>
      </c>
      <c r="BG127" s="31" t="str">
        <f t="shared" si="640"/>
        <v>ModelRpt_ALL,0,</v>
      </c>
      <c r="BH127" s="31" t="str">
        <f t="shared" si="641"/>
        <v>ExportHourlyResults_All,0,</v>
      </c>
      <c r="BI127" s="31" t="str">
        <f t="shared" si="642"/>
        <v>ComplianceReportPDF,0,</v>
      </c>
      <c r="BJ127" s="31" t="str">
        <f t="shared" si="643"/>
        <v>ComplianceReportXML,0,</v>
      </c>
      <c r="BK127" s="31" t="str">
        <f t="shared" si="644"/>
        <v>QuickAnalysis,0,</v>
      </c>
      <c r="BL127" s="31" t="str">
        <f t="shared" si="644"/>
        <v>PromptUserUMLHWarning,0,</v>
      </c>
      <c r="BM127" s="31" t="str">
        <f t="shared" si="645"/>
        <v>BypassOpenStudio_all,0,</v>
      </c>
      <c r="BN127" s="31" t="str">
        <f t="shared" si="646"/>
        <v>BypassOpenStudio_zp,0,</v>
      </c>
      <c r="BO127" s="31" t="str">
        <f t="shared" si="647"/>
        <v>BypassOpenStudio_zb,0,</v>
      </c>
      <c r="BP127" s="31" t="str">
        <f t="shared" si="648"/>
        <v>BypassOpenStudio_ap,0,</v>
      </c>
      <c r="BQ127" s="31" t="str">
        <f t="shared" si="649"/>
        <v>BypassOpenStudio_ab,0,</v>
      </c>
      <c r="BR127" s="31" t="str">
        <f t="shared" si="650"/>
        <v>BypassOpenStudio_zp,0,</v>
      </c>
      <c r="BS127" s="31" t="str">
        <f t="shared" si="651"/>
        <v>BypassOpenStudio_zb,0,</v>
      </c>
      <c r="BT127" s="31" t="str">
        <f t="shared" si="652"/>
        <v>BypassOpenStudio_ap,0,</v>
      </c>
      <c r="BU127" s="31" t="str">
        <f t="shared" si="653"/>
        <v>BypassOpenStudio_ab,0,</v>
      </c>
    </row>
    <row r="128" spans="1:73" x14ac:dyDescent="0.25">
      <c r="A128" s="39">
        <f t="shared" si="654"/>
        <v>1</v>
      </c>
      <c r="B128" s="27" t="str">
        <f t="shared" si="655"/>
        <v>SoftwareSensitivityTests\StreamlinedApprovalSet\0300016-OffMed-Baseline.cibd</v>
      </c>
      <c r="C128" s="27" t="str">
        <f t="shared" si="656"/>
        <v>BatchOut_160331_r3964_SSTs\0300016-OffMed-Baseline.cibd</v>
      </c>
      <c r="D128" s="27" t="str">
        <f t="shared" si="657"/>
        <v>BatchOut_160331_r3964_SSTs\XML\</v>
      </c>
      <c r="E128" s="9" t="str">
        <f t="shared" si="658"/>
        <v>0300016</v>
      </c>
      <c r="F128" s="22"/>
      <c r="G128" s="29"/>
      <c r="H128" s="23" t="str">
        <f t="shared" si="659"/>
        <v/>
      </c>
      <c r="I128" s="9" t="s">
        <v>11</v>
      </c>
      <c r="J128"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8" s="15" t="s">
        <v>1</v>
      </c>
      <c r="L128" s="36">
        <f t="shared" si="685"/>
        <v>1</v>
      </c>
      <c r="M128" s="32" t="str">
        <f t="shared" si="660"/>
        <v>0300016</v>
      </c>
      <c r="N128" s="28" t="s">
        <v>214</v>
      </c>
      <c r="O128" s="28" t="str">
        <f t="shared" si="686"/>
        <v>0300016-OffMed-Baseline</v>
      </c>
      <c r="P128" s="36">
        <f t="shared" si="687"/>
        <v>1</v>
      </c>
      <c r="Q128" s="36">
        <f t="shared" si="661"/>
        <v>1</v>
      </c>
      <c r="R128" s="36">
        <f t="shared" si="662"/>
        <v>0</v>
      </c>
      <c r="S128" s="36">
        <f t="shared" si="663"/>
        <v>1</v>
      </c>
      <c r="T128" s="36">
        <f t="shared" si="664"/>
        <v>0</v>
      </c>
      <c r="U128" s="36">
        <f t="shared" si="665"/>
        <v>8</v>
      </c>
      <c r="V128" s="36">
        <f t="shared" si="666"/>
        <v>8</v>
      </c>
      <c r="W128" s="36">
        <f t="shared" si="667"/>
        <v>1</v>
      </c>
      <c r="X128" s="36">
        <f t="shared" si="668"/>
        <v>0</v>
      </c>
      <c r="Y128" s="36">
        <f t="shared" si="669"/>
        <v>0</v>
      </c>
      <c r="Z128" s="36">
        <f t="shared" si="670"/>
        <v>0</v>
      </c>
      <c r="AA128" s="36">
        <f t="shared" si="670"/>
        <v>0</v>
      </c>
      <c r="AB128" s="36">
        <f t="shared" si="670"/>
        <v>0</v>
      </c>
      <c r="AC128" s="36">
        <f t="shared" si="672"/>
        <v>0</v>
      </c>
      <c r="AD128" s="36">
        <f t="shared" si="673"/>
        <v>0</v>
      </c>
      <c r="AE128" s="36">
        <f t="shared" si="673"/>
        <v>0</v>
      </c>
      <c r="AF128" s="36">
        <f t="shared" ref="AF128:AG128" si="706">AF127</f>
        <v>0</v>
      </c>
      <c r="AG128" s="36">
        <f t="shared" si="706"/>
        <v>0</v>
      </c>
      <c r="AH128" s="36">
        <f t="shared" ref="AH128:AI128" si="707">AH127</f>
        <v>0</v>
      </c>
      <c r="AI128" s="36">
        <f t="shared" si="707"/>
        <v>0</v>
      </c>
      <c r="AJ128" s="36">
        <f t="shared" si="676"/>
        <v>0</v>
      </c>
      <c r="AK128" s="36">
        <f t="shared" si="677"/>
        <v>0</v>
      </c>
      <c r="AL128" s="36">
        <f t="shared" si="678"/>
        <v>0</v>
      </c>
      <c r="AM128" s="36">
        <f t="shared" si="679"/>
        <v>0</v>
      </c>
      <c r="AN128" s="36">
        <f t="shared" si="680"/>
        <v>0</v>
      </c>
      <c r="AO128" s="36">
        <f t="shared" si="681"/>
        <v>0</v>
      </c>
      <c r="AP128" s="36">
        <f t="shared" si="682"/>
        <v>0</v>
      </c>
      <c r="AQ128" s="36">
        <f t="shared" si="683"/>
        <v>0</v>
      </c>
      <c r="AR128" s="36">
        <f t="shared" si="684"/>
        <v>0</v>
      </c>
      <c r="AS128" s="31" t="str">
        <f t="shared" si="690"/>
        <v>SimulationStorage,1,</v>
      </c>
      <c r="AT128" s="31" t="str">
        <f t="shared" si="691"/>
        <v>AnalysisStorage,1,</v>
      </c>
      <c r="AU128" s="31" t="str">
        <f t="shared" si="692"/>
        <v>LogRuleEvaluation,0,</v>
      </c>
      <c r="AV128" s="31" t="str">
        <f t="shared" si="693"/>
        <v>ParallelSimulations,1,</v>
      </c>
      <c r="AW128" s="31" t="str">
        <f t="shared" si="694"/>
        <v>DurationStats,0,</v>
      </c>
      <c r="AX128" s="31" t="str">
        <f t="shared" si="695"/>
        <v>AnalysisThruStep,8,</v>
      </c>
      <c r="AY128" s="31" t="str">
        <f t="shared" si="696"/>
        <v>DontAbortOnErrorsThruStep,8,</v>
      </c>
      <c r="AZ128" s="31" t="str">
        <f t="shared" si="697"/>
        <v>BypassValidFileChecks,1,</v>
      </c>
      <c r="BA128" s="31" t="str">
        <f t="shared" si="698"/>
        <v>BypassInputChecks,0,</v>
      </c>
      <c r="BB128" s="31" t="str">
        <f t="shared" si="699"/>
        <v>BypassUMLHChecks,0,</v>
      </c>
      <c r="BC128" s="31" t="str">
        <f t="shared" si="700"/>
        <v>BypassCheckSimRules,0,</v>
      </c>
      <c r="BD128" s="31" t="str">
        <f t="shared" si="701"/>
        <v>BypassCheckCodeRules,0,</v>
      </c>
      <c r="BE128" s="31" t="str">
        <f t="shared" si="638"/>
        <v>StoreResultsToModelInput,0,</v>
      </c>
      <c r="BF128" s="31" t="str">
        <f t="shared" si="639"/>
        <v>StoreBEMDetails,0,</v>
      </c>
      <c r="BG128" s="31" t="str">
        <f t="shared" si="640"/>
        <v>ModelRpt_ALL,0,</v>
      </c>
      <c r="BH128" s="31" t="str">
        <f t="shared" si="641"/>
        <v>ExportHourlyResults_All,0,</v>
      </c>
      <c r="BI128" s="31" t="str">
        <f t="shared" si="642"/>
        <v>ComplianceReportPDF,0,</v>
      </c>
      <c r="BJ128" s="31" t="str">
        <f t="shared" si="643"/>
        <v>ComplianceReportXML,0,</v>
      </c>
      <c r="BK128" s="31" t="str">
        <f t="shared" si="644"/>
        <v>QuickAnalysis,0,</v>
      </c>
      <c r="BL128" s="31" t="str">
        <f t="shared" si="644"/>
        <v>PromptUserUMLHWarning,0,</v>
      </c>
      <c r="BM128" s="31" t="str">
        <f t="shared" si="645"/>
        <v>BypassOpenStudio_all,0,</v>
      </c>
      <c r="BN128" s="31" t="str">
        <f t="shared" si="646"/>
        <v>BypassOpenStudio_zp,0,</v>
      </c>
      <c r="BO128" s="31" t="str">
        <f t="shared" si="647"/>
        <v>BypassOpenStudio_zb,0,</v>
      </c>
      <c r="BP128" s="31" t="str">
        <f t="shared" si="648"/>
        <v>BypassOpenStudio_ap,0,</v>
      </c>
      <c r="BQ128" s="31" t="str">
        <f t="shared" si="649"/>
        <v>BypassOpenStudio_ab,0,</v>
      </c>
      <c r="BR128" s="31" t="str">
        <f t="shared" si="650"/>
        <v>BypassOpenStudio_zp,0,</v>
      </c>
      <c r="BS128" s="31" t="str">
        <f t="shared" si="651"/>
        <v>BypassOpenStudio_zb,0,</v>
      </c>
      <c r="BT128" s="31" t="str">
        <f t="shared" si="652"/>
        <v>BypassOpenStudio_ap,0,</v>
      </c>
      <c r="BU128" s="31" t="str">
        <f t="shared" si="653"/>
        <v>BypassOpenStudio_ab,0,</v>
      </c>
    </row>
    <row r="129" spans="1:73" x14ac:dyDescent="0.25">
      <c r="A129" s="39">
        <f t="shared" si="654"/>
        <v>1</v>
      </c>
      <c r="B129" s="27" t="str">
        <f t="shared" si="655"/>
        <v>SoftwareSensitivityTests\StreamlinedApprovalSet\0301916-OffMed-GlazingWindowUSHGC.cibd</v>
      </c>
      <c r="C129" s="27" t="str">
        <f t="shared" si="656"/>
        <v>BatchOut_160331_r3964_SSTs\0301916-OffMed-GlazingWindowUSHGC.cibd</v>
      </c>
      <c r="D129" s="27" t="str">
        <f t="shared" si="657"/>
        <v>BatchOut_160331_r3964_SSTs\XML\</v>
      </c>
      <c r="E129" s="9" t="str">
        <f t="shared" si="658"/>
        <v>0301916</v>
      </c>
      <c r="F129" s="22"/>
      <c r="G129" s="29"/>
      <c r="H129" s="23" t="str">
        <f t="shared" si="659"/>
        <v/>
      </c>
      <c r="I129" s="9" t="s">
        <v>11</v>
      </c>
      <c r="J129"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9" s="15" t="s">
        <v>1</v>
      </c>
      <c r="L129" s="36">
        <f t="shared" si="685"/>
        <v>1</v>
      </c>
      <c r="M129" s="32" t="str">
        <f t="shared" si="660"/>
        <v>0301916</v>
      </c>
      <c r="N129" s="28" t="s">
        <v>215</v>
      </c>
      <c r="O129" s="28" t="str">
        <f t="shared" si="686"/>
        <v>0301916-OffMed-GlazingWindowUSHGC</v>
      </c>
      <c r="P129" s="36">
        <f t="shared" si="687"/>
        <v>1</v>
      </c>
      <c r="Q129" s="36">
        <f t="shared" si="661"/>
        <v>1</v>
      </c>
      <c r="R129" s="36">
        <f t="shared" si="662"/>
        <v>0</v>
      </c>
      <c r="S129" s="36">
        <f t="shared" si="663"/>
        <v>1</v>
      </c>
      <c r="T129" s="36">
        <f t="shared" si="664"/>
        <v>0</v>
      </c>
      <c r="U129" s="36">
        <f t="shared" si="665"/>
        <v>8</v>
      </c>
      <c r="V129" s="36">
        <f t="shared" si="666"/>
        <v>8</v>
      </c>
      <c r="W129" s="36">
        <f t="shared" si="667"/>
        <v>1</v>
      </c>
      <c r="X129" s="36">
        <f t="shared" si="668"/>
        <v>0</v>
      </c>
      <c r="Y129" s="36">
        <f t="shared" si="669"/>
        <v>0</v>
      </c>
      <c r="Z129" s="36">
        <f t="shared" si="670"/>
        <v>0</v>
      </c>
      <c r="AA129" s="36">
        <f t="shared" si="670"/>
        <v>0</v>
      </c>
      <c r="AB129" s="36">
        <f t="shared" si="670"/>
        <v>0</v>
      </c>
      <c r="AC129" s="36">
        <f t="shared" si="672"/>
        <v>0</v>
      </c>
      <c r="AD129" s="36">
        <f t="shared" si="673"/>
        <v>0</v>
      </c>
      <c r="AE129" s="36">
        <f t="shared" si="673"/>
        <v>0</v>
      </c>
      <c r="AF129" s="36">
        <f t="shared" ref="AF129:AG129" si="708">AF128</f>
        <v>0</v>
      </c>
      <c r="AG129" s="36">
        <f t="shared" si="708"/>
        <v>0</v>
      </c>
      <c r="AH129" s="36">
        <f t="shared" ref="AH129:AI129" si="709">AH128</f>
        <v>0</v>
      </c>
      <c r="AI129" s="36">
        <f t="shared" si="709"/>
        <v>0</v>
      </c>
      <c r="AJ129" s="36">
        <f t="shared" si="676"/>
        <v>0</v>
      </c>
      <c r="AK129" s="36">
        <f t="shared" si="677"/>
        <v>0</v>
      </c>
      <c r="AL129" s="36">
        <f t="shared" si="678"/>
        <v>0</v>
      </c>
      <c r="AM129" s="36">
        <f t="shared" si="679"/>
        <v>0</v>
      </c>
      <c r="AN129" s="36">
        <f t="shared" si="680"/>
        <v>0</v>
      </c>
      <c r="AO129" s="36">
        <f t="shared" si="681"/>
        <v>0</v>
      </c>
      <c r="AP129" s="36">
        <f t="shared" si="682"/>
        <v>0</v>
      </c>
      <c r="AQ129" s="36">
        <f t="shared" si="683"/>
        <v>0</v>
      </c>
      <c r="AR129" s="36">
        <f t="shared" si="684"/>
        <v>0</v>
      </c>
      <c r="AS129" s="31" t="str">
        <f t="shared" si="690"/>
        <v>SimulationStorage,1,</v>
      </c>
      <c r="AT129" s="31" t="str">
        <f t="shared" si="691"/>
        <v>AnalysisStorage,1,</v>
      </c>
      <c r="AU129" s="31" t="str">
        <f t="shared" si="692"/>
        <v>LogRuleEvaluation,0,</v>
      </c>
      <c r="AV129" s="31" t="str">
        <f t="shared" si="693"/>
        <v>ParallelSimulations,1,</v>
      </c>
      <c r="AW129" s="31" t="str">
        <f t="shared" si="694"/>
        <v>DurationStats,0,</v>
      </c>
      <c r="AX129" s="31" t="str">
        <f t="shared" si="695"/>
        <v>AnalysisThruStep,8,</v>
      </c>
      <c r="AY129" s="31" t="str">
        <f t="shared" si="696"/>
        <v>DontAbortOnErrorsThruStep,8,</v>
      </c>
      <c r="AZ129" s="31" t="str">
        <f t="shared" si="697"/>
        <v>BypassValidFileChecks,1,</v>
      </c>
      <c r="BA129" s="31" t="str">
        <f t="shared" si="698"/>
        <v>BypassInputChecks,0,</v>
      </c>
      <c r="BB129" s="31" t="str">
        <f t="shared" si="699"/>
        <v>BypassUMLHChecks,0,</v>
      </c>
      <c r="BC129" s="31" t="str">
        <f t="shared" si="700"/>
        <v>BypassCheckSimRules,0,</v>
      </c>
      <c r="BD129" s="31" t="str">
        <f t="shared" si="701"/>
        <v>BypassCheckCodeRules,0,</v>
      </c>
      <c r="BE129" s="31" t="str">
        <f t="shared" si="638"/>
        <v>StoreResultsToModelInput,0,</v>
      </c>
      <c r="BF129" s="31" t="str">
        <f t="shared" si="639"/>
        <v>StoreBEMDetails,0,</v>
      </c>
      <c r="BG129" s="31" t="str">
        <f t="shared" si="640"/>
        <v>ModelRpt_ALL,0,</v>
      </c>
      <c r="BH129" s="31" t="str">
        <f t="shared" si="641"/>
        <v>ExportHourlyResults_All,0,</v>
      </c>
      <c r="BI129" s="31" t="str">
        <f t="shared" si="642"/>
        <v>ComplianceReportPDF,0,</v>
      </c>
      <c r="BJ129" s="31" t="str">
        <f t="shared" si="643"/>
        <v>ComplianceReportXML,0,</v>
      </c>
      <c r="BK129" s="31" t="str">
        <f t="shared" si="644"/>
        <v>QuickAnalysis,0,</v>
      </c>
      <c r="BL129" s="31" t="str">
        <f t="shared" si="644"/>
        <v>PromptUserUMLHWarning,0,</v>
      </c>
      <c r="BM129" s="31" t="str">
        <f t="shared" si="645"/>
        <v>BypassOpenStudio_all,0,</v>
      </c>
      <c r="BN129" s="31" t="str">
        <f t="shared" si="646"/>
        <v>BypassOpenStudio_zp,0,</v>
      </c>
      <c r="BO129" s="31" t="str">
        <f t="shared" si="647"/>
        <v>BypassOpenStudio_zb,0,</v>
      </c>
      <c r="BP129" s="31" t="str">
        <f t="shared" si="648"/>
        <v>BypassOpenStudio_ap,0,</v>
      </c>
      <c r="BQ129" s="31" t="str">
        <f t="shared" si="649"/>
        <v>BypassOpenStudio_ab,0,</v>
      </c>
      <c r="BR129" s="31" t="str">
        <f t="shared" si="650"/>
        <v>BypassOpenStudio_zp,0,</v>
      </c>
      <c r="BS129" s="31" t="str">
        <f t="shared" si="651"/>
        <v>BypassOpenStudio_zb,0,</v>
      </c>
      <c r="BT129" s="31" t="str">
        <f t="shared" si="652"/>
        <v>BypassOpenStudio_ap,0,</v>
      </c>
      <c r="BU129" s="31" t="str">
        <f t="shared" si="653"/>
        <v>BypassOpenStudio_ab,0,</v>
      </c>
    </row>
    <row r="130" spans="1:73" x14ac:dyDescent="0.25">
      <c r="A130" s="39">
        <f t="shared" si="654"/>
        <v>1</v>
      </c>
      <c r="B130" s="27" t="str">
        <f t="shared" si="655"/>
        <v>SoftwareSensitivityTests\StreamlinedApprovalSet\0303216-OffMed-LightingLowLPD.cibd</v>
      </c>
      <c r="C130" s="27" t="str">
        <f t="shared" si="656"/>
        <v>BatchOut_160331_r3964_SSTs\0303216-OffMed-LightingLowLPD.cibd</v>
      </c>
      <c r="D130" s="27" t="str">
        <f t="shared" si="657"/>
        <v>BatchOut_160331_r3964_SSTs\XML\</v>
      </c>
      <c r="E130" s="9" t="str">
        <f t="shared" si="658"/>
        <v>0303216</v>
      </c>
      <c r="F130" s="22"/>
      <c r="G130" s="29"/>
      <c r="H130" s="23" t="str">
        <f t="shared" si="659"/>
        <v/>
      </c>
      <c r="I130" s="9" t="s">
        <v>11</v>
      </c>
      <c r="J130"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0" s="15" t="s">
        <v>1</v>
      </c>
      <c r="L130" s="36">
        <f t="shared" si="685"/>
        <v>1</v>
      </c>
      <c r="M130" s="32" t="str">
        <f t="shared" si="660"/>
        <v>0303216</v>
      </c>
      <c r="N130" s="28" t="s">
        <v>216</v>
      </c>
      <c r="O130" s="28" t="str">
        <f t="shared" si="686"/>
        <v>0303216-OffMed-LightingLowLPD</v>
      </c>
      <c r="P130" s="36">
        <f t="shared" si="687"/>
        <v>1</v>
      </c>
      <c r="Q130" s="36">
        <f t="shared" si="661"/>
        <v>1</v>
      </c>
      <c r="R130" s="36">
        <f t="shared" si="662"/>
        <v>0</v>
      </c>
      <c r="S130" s="36">
        <f t="shared" si="663"/>
        <v>1</v>
      </c>
      <c r="T130" s="36">
        <f t="shared" si="664"/>
        <v>0</v>
      </c>
      <c r="U130" s="36">
        <f t="shared" si="665"/>
        <v>8</v>
      </c>
      <c r="V130" s="36">
        <f t="shared" si="666"/>
        <v>8</v>
      </c>
      <c r="W130" s="36">
        <f t="shared" si="667"/>
        <v>1</v>
      </c>
      <c r="X130" s="36">
        <f t="shared" si="668"/>
        <v>0</v>
      </c>
      <c r="Y130" s="36">
        <f t="shared" si="669"/>
        <v>0</v>
      </c>
      <c r="Z130" s="36">
        <f t="shared" si="670"/>
        <v>0</v>
      </c>
      <c r="AA130" s="36">
        <f t="shared" si="670"/>
        <v>0</v>
      </c>
      <c r="AB130" s="36">
        <f t="shared" si="670"/>
        <v>0</v>
      </c>
      <c r="AC130" s="36">
        <f t="shared" si="672"/>
        <v>0</v>
      </c>
      <c r="AD130" s="36">
        <f t="shared" si="673"/>
        <v>0</v>
      </c>
      <c r="AE130" s="36">
        <f t="shared" si="673"/>
        <v>0</v>
      </c>
      <c r="AF130" s="36">
        <f t="shared" ref="AF130:AG130" si="710">AF129</f>
        <v>0</v>
      </c>
      <c r="AG130" s="36">
        <f t="shared" si="710"/>
        <v>0</v>
      </c>
      <c r="AH130" s="36">
        <f t="shared" ref="AH130:AI130" si="711">AH129</f>
        <v>0</v>
      </c>
      <c r="AI130" s="36">
        <f t="shared" si="711"/>
        <v>0</v>
      </c>
      <c r="AJ130" s="36">
        <f t="shared" si="676"/>
        <v>0</v>
      </c>
      <c r="AK130" s="36">
        <f t="shared" si="677"/>
        <v>0</v>
      </c>
      <c r="AL130" s="36">
        <f t="shared" si="678"/>
        <v>0</v>
      </c>
      <c r="AM130" s="36">
        <f t="shared" si="679"/>
        <v>0</v>
      </c>
      <c r="AN130" s="36">
        <f t="shared" si="680"/>
        <v>0</v>
      </c>
      <c r="AO130" s="36">
        <f t="shared" si="681"/>
        <v>0</v>
      </c>
      <c r="AP130" s="36">
        <f t="shared" si="682"/>
        <v>0</v>
      </c>
      <c r="AQ130" s="36">
        <f t="shared" si="683"/>
        <v>0</v>
      </c>
      <c r="AR130" s="36">
        <f t="shared" si="684"/>
        <v>0</v>
      </c>
      <c r="AS130" s="31" t="str">
        <f t="shared" si="690"/>
        <v>SimulationStorage,1,</v>
      </c>
      <c r="AT130" s="31" t="str">
        <f t="shared" si="691"/>
        <v>AnalysisStorage,1,</v>
      </c>
      <c r="AU130" s="31" t="str">
        <f t="shared" si="692"/>
        <v>LogRuleEvaluation,0,</v>
      </c>
      <c r="AV130" s="31" t="str">
        <f t="shared" si="693"/>
        <v>ParallelSimulations,1,</v>
      </c>
      <c r="AW130" s="31" t="str">
        <f t="shared" si="694"/>
        <v>DurationStats,0,</v>
      </c>
      <c r="AX130" s="31" t="str">
        <f t="shared" si="695"/>
        <v>AnalysisThruStep,8,</v>
      </c>
      <c r="AY130" s="31" t="str">
        <f t="shared" si="696"/>
        <v>DontAbortOnErrorsThruStep,8,</v>
      </c>
      <c r="AZ130" s="31" t="str">
        <f t="shared" si="697"/>
        <v>BypassValidFileChecks,1,</v>
      </c>
      <c r="BA130" s="31" t="str">
        <f t="shared" si="698"/>
        <v>BypassInputChecks,0,</v>
      </c>
      <c r="BB130" s="31" t="str">
        <f t="shared" si="699"/>
        <v>BypassUMLHChecks,0,</v>
      </c>
      <c r="BC130" s="31" t="str">
        <f t="shared" si="700"/>
        <v>BypassCheckSimRules,0,</v>
      </c>
      <c r="BD130" s="31" t="str">
        <f t="shared" si="701"/>
        <v>BypassCheckCodeRules,0,</v>
      </c>
      <c r="BE130" s="31" t="str">
        <f t="shared" si="638"/>
        <v>StoreResultsToModelInput,0,</v>
      </c>
      <c r="BF130" s="31" t="str">
        <f t="shared" si="639"/>
        <v>StoreBEMDetails,0,</v>
      </c>
      <c r="BG130" s="31" t="str">
        <f t="shared" si="640"/>
        <v>ModelRpt_ALL,0,</v>
      </c>
      <c r="BH130" s="31" t="str">
        <f t="shared" si="641"/>
        <v>ExportHourlyResults_All,0,</v>
      </c>
      <c r="BI130" s="31" t="str">
        <f t="shared" si="642"/>
        <v>ComplianceReportPDF,0,</v>
      </c>
      <c r="BJ130" s="31" t="str">
        <f t="shared" si="643"/>
        <v>ComplianceReportXML,0,</v>
      </c>
      <c r="BK130" s="31" t="str">
        <f t="shared" si="644"/>
        <v>QuickAnalysis,0,</v>
      </c>
      <c r="BL130" s="31" t="str">
        <f t="shared" si="644"/>
        <v>PromptUserUMLHWarning,0,</v>
      </c>
      <c r="BM130" s="31" t="str">
        <f t="shared" si="645"/>
        <v>BypassOpenStudio_all,0,</v>
      </c>
      <c r="BN130" s="31" t="str">
        <f t="shared" si="646"/>
        <v>BypassOpenStudio_zp,0,</v>
      </c>
      <c r="BO130" s="31" t="str">
        <f t="shared" si="647"/>
        <v>BypassOpenStudio_zb,0,</v>
      </c>
      <c r="BP130" s="31" t="str">
        <f t="shared" si="648"/>
        <v>BypassOpenStudio_ap,0,</v>
      </c>
      <c r="BQ130" s="31" t="str">
        <f t="shared" si="649"/>
        <v>BypassOpenStudio_ab,0,</v>
      </c>
      <c r="BR130" s="31" t="str">
        <f t="shared" si="650"/>
        <v>BypassOpenStudio_zp,0,</v>
      </c>
      <c r="BS130" s="31" t="str">
        <f t="shared" si="651"/>
        <v>BypassOpenStudio_zb,0,</v>
      </c>
      <c r="BT130" s="31" t="str">
        <f t="shared" si="652"/>
        <v>BypassOpenStudio_ap,0,</v>
      </c>
      <c r="BU130" s="31" t="str">
        <f t="shared" si="653"/>
        <v>BypassOpenStudio_ab,0,</v>
      </c>
    </row>
    <row r="131" spans="1:73" x14ac:dyDescent="0.25">
      <c r="A131" s="39">
        <f t="shared" si="654"/>
        <v>1</v>
      </c>
      <c r="B131" s="27" t="str">
        <f t="shared" si="655"/>
        <v>SoftwareSensitivityTests\StreamlinedApprovalSet\0307216-OffMed-HVACPVAV Design.cibd</v>
      </c>
      <c r="C131" s="27" t="str">
        <f t="shared" si="656"/>
        <v>BatchOut_160331_r3964_SSTs\0307216-OffMed-HVACPVAV Design.cibd</v>
      </c>
      <c r="D131" s="27" t="str">
        <f t="shared" si="657"/>
        <v>BatchOut_160331_r3964_SSTs\XML\</v>
      </c>
      <c r="E131" s="9" t="str">
        <f t="shared" si="658"/>
        <v>0307216</v>
      </c>
      <c r="F131" s="22"/>
      <c r="G131" s="29"/>
      <c r="H131" s="23" t="str">
        <f t="shared" si="659"/>
        <v/>
      </c>
      <c r="I131" s="9" t="s">
        <v>11</v>
      </c>
      <c r="J131"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1" s="15" t="s">
        <v>1</v>
      </c>
      <c r="L131" s="36">
        <f t="shared" si="685"/>
        <v>1</v>
      </c>
      <c r="M131" s="32" t="str">
        <f t="shared" si="660"/>
        <v>0307216</v>
      </c>
      <c r="N131" s="28" t="s">
        <v>217</v>
      </c>
      <c r="O131" s="28" t="str">
        <f t="shared" si="686"/>
        <v>0307216-OffMed-HVACPVAV Design</v>
      </c>
      <c r="P131" s="36">
        <f t="shared" si="687"/>
        <v>1</v>
      </c>
      <c r="Q131" s="36">
        <f t="shared" si="661"/>
        <v>1</v>
      </c>
      <c r="R131" s="36">
        <f t="shared" si="662"/>
        <v>0</v>
      </c>
      <c r="S131" s="36">
        <f t="shared" si="663"/>
        <v>1</v>
      </c>
      <c r="T131" s="36">
        <f t="shared" si="664"/>
        <v>0</v>
      </c>
      <c r="U131" s="36">
        <f t="shared" si="665"/>
        <v>8</v>
      </c>
      <c r="V131" s="36">
        <f t="shared" si="666"/>
        <v>8</v>
      </c>
      <c r="W131" s="36">
        <f t="shared" si="667"/>
        <v>1</v>
      </c>
      <c r="X131" s="36">
        <f t="shared" si="668"/>
        <v>0</v>
      </c>
      <c r="Y131" s="36">
        <f t="shared" si="669"/>
        <v>0</v>
      </c>
      <c r="Z131" s="36">
        <f t="shared" si="670"/>
        <v>0</v>
      </c>
      <c r="AA131" s="36">
        <f t="shared" si="670"/>
        <v>0</v>
      </c>
      <c r="AB131" s="36">
        <f t="shared" si="670"/>
        <v>0</v>
      </c>
      <c r="AC131" s="36">
        <f t="shared" si="672"/>
        <v>0</v>
      </c>
      <c r="AD131" s="36">
        <f t="shared" si="673"/>
        <v>0</v>
      </c>
      <c r="AE131" s="36">
        <f t="shared" si="673"/>
        <v>0</v>
      </c>
      <c r="AF131" s="36">
        <f t="shared" ref="AF131:AG131" si="712">AF130</f>
        <v>0</v>
      </c>
      <c r="AG131" s="36">
        <f t="shared" si="712"/>
        <v>0</v>
      </c>
      <c r="AH131" s="36">
        <f t="shared" ref="AH131:AI131" si="713">AH130</f>
        <v>0</v>
      </c>
      <c r="AI131" s="36">
        <f t="shared" si="713"/>
        <v>0</v>
      </c>
      <c r="AJ131" s="36">
        <f t="shared" si="676"/>
        <v>0</v>
      </c>
      <c r="AK131" s="36">
        <f t="shared" si="677"/>
        <v>0</v>
      </c>
      <c r="AL131" s="36">
        <f t="shared" si="678"/>
        <v>0</v>
      </c>
      <c r="AM131" s="36">
        <f t="shared" si="679"/>
        <v>0</v>
      </c>
      <c r="AN131" s="36">
        <f t="shared" si="680"/>
        <v>0</v>
      </c>
      <c r="AO131" s="36">
        <f t="shared" si="681"/>
        <v>0</v>
      </c>
      <c r="AP131" s="36">
        <f t="shared" si="682"/>
        <v>0</v>
      </c>
      <c r="AQ131" s="36">
        <f t="shared" si="683"/>
        <v>0</v>
      </c>
      <c r="AR131" s="36">
        <f t="shared" si="684"/>
        <v>0</v>
      </c>
      <c r="AS131" s="31" t="str">
        <f t="shared" si="690"/>
        <v>SimulationStorage,1,</v>
      </c>
      <c r="AT131" s="31" t="str">
        <f t="shared" si="691"/>
        <v>AnalysisStorage,1,</v>
      </c>
      <c r="AU131" s="31" t="str">
        <f t="shared" si="692"/>
        <v>LogRuleEvaluation,0,</v>
      </c>
      <c r="AV131" s="31" t="str">
        <f t="shared" si="693"/>
        <v>ParallelSimulations,1,</v>
      </c>
      <c r="AW131" s="31" t="str">
        <f t="shared" si="694"/>
        <v>DurationStats,0,</v>
      </c>
      <c r="AX131" s="31" t="str">
        <f t="shared" si="695"/>
        <v>AnalysisThruStep,8,</v>
      </c>
      <c r="AY131" s="31" t="str">
        <f t="shared" si="696"/>
        <v>DontAbortOnErrorsThruStep,8,</v>
      </c>
      <c r="AZ131" s="31" t="str">
        <f t="shared" si="697"/>
        <v>BypassValidFileChecks,1,</v>
      </c>
      <c r="BA131" s="31" t="str">
        <f t="shared" si="698"/>
        <v>BypassInputChecks,0,</v>
      </c>
      <c r="BB131" s="31" t="str">
        <f t="shared" si="699"/>
        <v>BypassUMLHChecks,0,</v>
      </c>
      <c r="BC131" s="31" t="str">
        <f t="shared" si="700"/>
        <v>BypassCheckSimRules,0,</v>
      </c>
      <c r="BD131" s="31" t="str">
        <f t="shared" si="701"/>
        <v>BypassCheckCodeRules,0,</v>
      </c>
      <c r="BE131" s="31" t="str">
        <f t="shared" si="638"/>
        <v>StoreResultsToModelInput,0,</v>
      </c>
      <c r="BF131" s="31" t="str">
        <f t="shared" si="639"/>
        <v>StoreBEMDetails,0,</v>
      </c>
      <c r="BG131" s="31" t="str">
        <f t="shared" si="640"/>
        <v>ModelRpt_ALL,0,</v>
      </c>
      <c r="BH131" s="31" t="str">
        <f t="shared" si="641"/>
        <v>ExportHourlyResults_All,0,</v>
      </c>
      <c r="BI131" s="31" t="str">
        <f t="shared" si="642"/>
        <v>ComplianceReportPDF,0,</v>
      </c>
      <c r="BJ131" s="31" t="str">
        <f t="shared" si="643"/>
        <v>ComplianceReportXML,0,</v>
      </c>
      <c r="BK131" s="31" t="str">
        <f t="shared" si="644"/>
        <v>QuickAnalysis,0,</v>
      </c>
      <c r="BL131" s="31" t="str">
        <f t="shared" si="644"/>
        <v>PromptUserUMLHWarning,0,</v>
      </c>
      <c r="BM131" s="31" t="str">
        <f t="shared" si="645"/>
        <v>BypassOpenStudio_all,0,</v>
      </c>
      <c r="BN131" s="31" t="str">
        <f t="shared" si="646"/>
        <v>BypassOpenStudio_zp,0,</v>
      </c>
      <c r="BO131" s="31" t="str">
        <f t="shared" si="647"/>
        <v>BypassOpenStudio_zb,0,</v>
      </c>
      <c r="BP131" s="31" t="str">
        <f t="shared" si="648"/>
        <v>BypassOpenStudio_ap,0,</v>
      </c>
      <c r="BQ131" s="31" t="str">
        <f t="shared" si="649"/>
        <v>BypassOpenStudio_ab,0,</v>
      </c>
      <c r="BR131" s="31" t="str">
        <f t="shared" si="650"/>
        <v>BypassOpenStudio_zp,0,</v>
      </c>
      <c r="BS131" s="31" t="str">
        <f t="shared" si="651"/>
        <v>BypassOpenStudio_zb,0,</v>
      </c>
      <c r="BT131" s="31" t="str">
        <f t="shared" si="652"/>
        <v>BypassOpenStudio_ap,0,</v>
      </c>
      <c r="BU131" s="31" t="str">
        <f t="shared" si="653"/>
        <v>BypassOpenStudio_ab,0,</v>
      </c>
    </row>
    <row r="132" spans="1:73" x14ac:dyDescent="0.25">
      <c r="A132" s="39">
        <f t="shared" si="654"/>
        <v>1</v>
      </c>
      <c r="B132" s="27" t="str">
        <f t="shared" si="655"/>
        <v>SoftwareSensitivityTests\StreamlinedApprovalSet\0307316-OffMed-HVACPVAV SATControl.cibd</v>
      </c>
      <c r="C132" s="27" t="str">
        <f t="shared" si="656"/>
        <v>BatchOut_160331_r3964_SSTs\0307316-OffMed-HVACPVAV SATControl.cibd</v>
      </c>
      <c r="D132" s="27" t="str">
        <f t="shared" si="657"/>
        <v>BatchOut_160331_r3964_SSTs\XML\</v>
      </c>
      <c r="E132" s="9" t="str">
        <f t="shared" si="658"/>
        <v>0307316</v>
      </c>
      <c r="F132" s="22"/>
      <c r="G132" s="29"/>
      <c r="H132" s="23" t="str">
        <f t="shared" si="659"/>
        <v/>
      </c>
      <c r="I132" s="9" t="s">
        <v>11</v>
      </c>
      <c r="J132"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2" s="15" t="s">
        <v>1</v>
      </c>
      <c r="L132" s="36">
        <f t="shared" si="685"/>
        <v>1</v>
      </c>
      <c r="M132" s="32" t="str">
        <f t="shared" si="660"/>
        <v>0307316</v>
      </c>
      <c r="N132" s="28" t="s">
        <v>218</v>
      </c>
      <c r="O132" s="28" t="str">
        <f t="shared" si="686"/>
        <v>0307316-OffMed-HVACPVAV SATControl</v>
      </c>
      <c r="P132" s="36">
        <f t="shared" si="687"/>
        <v>1</v>
      </c>
      <c r="Q132" s="36">
        <f t="shared" si="661"/>
        <v>1</v>
      </c>
      <c r="R132" s="36">
        <f t="shared" si="662"/>
        <v>0</v>
      </c>
      <c r="S132" s="36">
        <f t="shared" si="663"/>
        <v>1</v>
      </c>
      <c r="T132" s="36">
        <f t="shared" si="664"/>
        <v>0</v>
      </c>
      <c r="U132" s="36">
        <f t="shared" si="665"/>
        <v>8</v>
      </c>
      <c r="V132" s="36">
        <f t="shared" si="666"/>
        <v>8</v>
      </c>
      <c r="W132" s="36">
        <f t="shared" si="667"/>
        <v>1</v>
      </c>
      <c r="X132" s="36">
        <f t="shared" si="668"/>
        <v>0</v>
      </c>
      <c r="Y132" s="36">
        <f t="shared" si="669"/>
        <v>0</v>
      </c>
      <c r="Z132" s="36">
        <f t="shared" si="670"/>
        <v>0</v>
      </c>
      <c r="AA132" s="36">
        <f t="shared" si="670"/>
        <v>0</v>
      </c>
      <c r="AB132" s="36">
        <f t="shared" si="670"/>
        <v>0</v>
      </c>
      <c r="AC132" s="36">
        <f t="shared" si="672"/>
        <v>0</v>
      </c>
      <c r="AD132" s="36">
        <f t="shared" si="673"/>
        <v>0</v>
      </c>
      <c r="AE132" s="36">
        <f t="shared" si="673"/>
        <v>0</v>
      </c>
      <c r="AF132" s="36">
        <f t="shared" ref="AF132:AG132" si="714">AF131</f>
        <v>0</v>
      </c>
      <c r="AG132" s="36">
        <f t="shared" si="714"/>
        <v>0</v>
      </c>
      <c r="AH132" s="36">
        <f t="shared" ref="AH132:AI132" si="715">AH131</f>
        <v>0</v>
      </c>
      <c r="AI132" s="36">
        <f t="shared" si="715"/>
        <v>0</v>
      </c>
      <c r="AJ132" s="36">
        <f t="shared" si="676"/>
        <v>0</v>
      </c>
      <c r="AK132" s="36">
        <f t="shared" si="677"/>
        <v>0</v>
      </c>
      <c r="AL132" s="36">
        <f t="shared" si="678"/>
        <v>0</v>
      </c>
      <c r="AM132" s="36">
        <f t="shared" si="679"/>
        <v>0</v>
      </c>
      <c r="AN132" s="36">
        <f t="shared" si="680"/>
        <v>0</v>
      </c>
      <c r="AO132" s="36">
        <f t="shared" si="681"/>
        <v>0</v>
      </c>
      <c r="AP132" s="36">
        <f t="shared" si="682"/>
        <v>0</v>
      </c>
      <c r="AQ132" s="36">
        <f t="shared" si="683"/>
        <v>0</v>
      </c>
      <c r="AR132" s="36">
        <f t="shared" si="684"/>
        <v>0</v>
      </c>
      <c r="AS132" s="31" t="str">
        <f t="shared" si="690"/>
        <v>SimulationStorage,1,</v>
      </c>
      <c r="AT132" s="31" t="str">
        <f t="shared" si="691"/>
        <v>AnalysisStorage,1,</v>
      </c>
      <c r="AU132" s="31" t="str">
        <f t="shared" si="692"/>
        <v>LogRuleEvaluation,0,</v>
      </c>
      <c r="AV132" s="31" t="str">
        <f t="shared" si="693"/>
        <v>ParallelSimulations,1,</v>
      </c>
      <c r="AW132" s="31" t="str">
        <f t="shared" si="694"/>
        <v>DurationStats,0,</v>
      </c>
      <c r="AX132" s="31" t="str">
        <f t="shared" si="695"/>
        <v>AnalysisThruStep,8,</v>
      </c>
      <c r="AY132" s="31" t="str">
        <f t="shared" si="696"/>
        <v>DontAbortOnErrorsThruStep,8,</v>
      </c>
      <c r="AZ132" s="31" t="str">
        <f t="shared" si="697"/>
        <v>BypassValidFileChecks,1,</v>
      </c>
      <c r="BA132" s="31" t="str">
        <f t="shared" si="698"/>
        <v>BypassInputChecks,0,</v>
      </c>
      <c r="BB132" s="31" t="str">
        <f t="shared" si="699"/>
        <v>BypassUMLHChecks,0,</v>
      </c>
      <c r="BC132" s="31" t="str">
        <f t="shared" si="700"/>
        <v>BypassCheckSimRules,0,</v>
      </c>
      <c r="BD132" s="31" t="str">
        <f t="shared" si="701"/>
        <v>BypassCheckCodeRules,0,</v>
      </c>
      <c r="BE132" s="31" t="str">
        <f t="shared" si="638"/>
        <v>StoreResultsToModelInput,0,</v>
      </c>
      <c r="BF132" s="31" t="str">
        <f t="shared" si="639"/>
        <v>StoreBEMDetails,0,</v>
      </c>
      <c r="BG132" s="31" t="str">
        <f t="shared" si="640"/>
        <v>ModelRpt_ALL,0,</v>
      </c>
      <c r="BH132" s="31" t="str">
        <f t="shared" si="641"/>
        <v>ExportHourlyResults_All,0,</v>
      </c>
      <c r="BI132" s="31" t="str">
        <f t="shared" si="642"/>
        <v>ComplianceReportPDF,0,</v>
      </c>
      <c r="BJ132" s="31" t="str">
        <f t="shared" si="643"/>
        <v>ComplianceReportXML,0,</v>
      </c>
      <c r="BK132" s="31" t="str">
        <f t="shared" si="644"/>
        <v>QuickAnalysis,0,</v>
      </c>
      <c r="BL132" s="31" t="str">
        <f t="shared" si="644"/>
        <v>PromptUserUMLHWarning,0,</v>
      </c>
      <c r="BM132" s="31" t="str">
        <f t="shared" si="645"/>
        <v>BypassOpenStudio_all,0,</v>
      </c>
      <c r="BN132" s="31" t="str">
        <f t="shared" si="646"/>
        <v>BypassOpenStudio_zp,0,</v>
      </c>
      <c r="BO132" s="31" t="str">
        <f t="shared" si="647"/>
        <v>BypassOpenStudio_zb,0,</v>
      </c>
      <c r="BP132" s="31" t="str">
        <f t="shared" si="648"/>
        <v>BypassOpenStudio_ap,0,</v>
      </c>
      <c r="BQ132" s="31" t="str">
        <f t="shared" si="649"/>
        <v>BypassOpenStudio_ab,0,</v>
      </c>
      <c r="BR132" s="31" t="str">
        <f t="shared" si="650"/>
        <v>BypassOpenStudio_zp,0,</v>
      </c>
      <c r="BS132" s="31" t="str">
        <f t="shared" si="651"/>
        <v>BypassOpenStudio_zb,0,</v>
      </c>
      <c r="BT132" s="31" t="str">
        <f t="shared" si="652"/>
        <v>BypassOpenStudio_ap,0,</v>
      </c>
      <c r="BU132" s="31" t="str">
        <f t="shared" si="653"/>
        <v>BypassOpenStudio_ab,0,</v>
      </c>
    </row>
    <row r="133" spans="1:73" x14ac:dyDescent="0.25">
      <c r="A133" s="39">
        <f t="shared" si="654"/>
        <v>1</v>
      </c>
      <c r="B133" s="27" t="str">
        <f t="shared" si="655"/>
        <v>SoftwareSensitivityTests\StreamlinedApprovalSet\0307516-OffMed-HVACPVAV EconomizerType.cibd</v>
      </c>
      <c r="C133" s="27" t="str">
        <f t="shared" si="656"/>
        <v>BatchOut_160331_r3964_SSTs\0307516-OffMed-HVACPVAV EconomizerType.cibd</v>
      </c>
      <c r="D133" s="27" t="str">
        <f t="shared" si="657"/>
        <v>BatchOut_160331_r3964_SSTs\XML\</v>
      </c>
      <c r="E133" s="9" t="str">
        <f t="shared" si="658"/>
        <v>0307516</v>
      </c>
      <c r="F133" s="22"/>
      <c r="G133" s="29"/>
      <c r="H133" s="23" t="str">
        <f t="shared" si="659"/>
        <v/>
      </c>
      <c r="I133" s="9" t="s">
        <v>11</v>
      </c>
      <c r="J133"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3" s="15" t="s">
        <v>1</v>
      </c>
      <c r="L133" s="36">
        <f t="shared" si="685"/>
        <v>1</v>
      </c>
      <c r="M133" s="32" t="str">
        <f t="shared" si="660"/>
        <v>0307516</v>
      </c>
      <c r="N133" s="28" t="s">
        <v>219</v>
      </c>
      <c r="O133" s="28" t="str">
        <f t="shared" si="686"/>
        <v>0307516-OffMed-HVACPVAV EconomizerType</v>
      </c>
      <c r="P133" s="36">
        <f t="shared" si="687"/>
        <v>1</v>
      </c>
      <c r="Q133" s="36">
        <f t="shared" si="661"/>
        <v>1</v>
      </c>
      <c r="R133" s="36">
        <f t="shared" si="662"/>
        <v>0</v>
      </c>
      <c r="S133" s="36">
        <f t="shared" si="663"/>
        <v>1</v>
      </c>
      <c r="T133" s="36">
        <f t="shared" si="664"/>
        <v>0</v>
      </c>
      <c r="U133" s="36">
        <f t="shared" si="665"/>
        <v>8</v>
      </c>
      <c r="V133" s="36">
        <f t="shared" si="666"/>
        <v>8</v>
      </c>
      <c r="W133" s="36">
        <f t="shared" si="667"/>
        <v>1</v>
      </c>
      <c r="X133" s="36">
        <f t="shared" si="668"/>
        <v>0</v>
      </c>
      <c r="Y133" s="36">
        <f t="shared" si="669"/>
        <v>0</v>
      </c>
      <c r="Z133" s="36">
        <f t="shared" si="670"/>
        <v>0</v>
      </c>
      <c r="AA133" s="36">
        <f t="shared" si="670"/>
        <v>0</v>
      </c>
      <c r="AB133" s="36">
        <f t="shared" si="670"/>
        <v>0</v>
      </c>
      <c r="AC133" s="36">
        <f t="shared" si="672"/>
        <v>0</v>
      </c>
      <c r="AD133" s="36">
        <f t="shared" si="673"/>
        <v>0</v>
      </c>
      <c r="AE133" s="36">
        <f t="shared" si="673"/>
        <v>0</v>
      </c>
      <c r="AF133" s="36">
        <f t="shared" ref="AF133:AG133" si="716">AF132</f>
        <v>0</v>
      </c>
      <c r="AG133" s="36">
        <f t="shared" si="716"/>
        <v>0</v>
      </c>
      <c r="AH133" s="36">
        <f t="shared" ref="AH133:AI133" si="717">AH132</f>
        <v>0</v>
      </c>
      <c r="AI133" s="36">
        <f t="shared" si="717"/>
        <v>0</v>
      </c>
      <c r="AJ133" s="36">
        <f t="shared" si="676"/>
        <v>0</v>
      </c>
      <c r="AK133" s="36">
        <f t="shared" si="677"/>
        <v>0</v>
      </c>
      <c r="AL133" s="36">
        <f t="shared" si="678"/>
        <v>0</v>
      </c>
      <c r="AM133" s="36">
        <f t="shared" si="679"/>
        <v>0</v>
      </c>
      <c r="AN133" s="36">
        <f t="shared" si="680"/>
        <v>0</v>
      </c>
      <c r="AO133" s="36">
        <f t="shared" si="681"/>
        <v>0</v>
      </c>
      <c r="AP133" s="36">
        <f t="shared" si="682"/>
        <v>0</v>
      </c>
      <c r="AQ133" s="36">
        <f t="shared" si="683"/>
        <v>0</v>
      </c>
      <c r="AR133" s="36">
        <f t="shared" si="684"/>
        <v>0</v>
      </c>
      <c r="AS133" s="31" t="str">
        <f t="shared" si="690"/>
        <v>SimulationStorage,1,</v>
      </c>
      <c r="AT133" s="31" t="str">
        <f t="shared" si="691"/>
        <v>AnalysisStorage,1,</v>
      </c>
      <c r="AU133" s="31" t="str">
        <f t="shared" si="692"/>
        <v>LogRuleEvaluation,0,</v>
      </c>
      <c r="AV133" s="31" t="str">
        <f t="shared" si="693"/>
        <v>ParallelSimulations,1,</v>
      </c>
      <c r="AW133" s="31" t="str">
        <f t="shared" si="694"/>
        <v>DurationStats,0,</v>
      </c>
      <c r="AX133" s="31" t="str">
        <f t="shared" si="695"/>
        <v>AnalysisThruStep,8,</v>
      </c>
      <c r="AY133" s="31" t="str">
        <f t="shared" si="696"/>
        <v>DontAbortOnErrorsThruStep,8,</v>
      </c>
      <c r="AZ133" s="31" t="str">
        <f t="shared" si="697"/>
        <v>BypassValidFileChecks,1,</v>
      </c>
      <c r="BA133" s="31" t="str">
        <f t="shared" si="698"/>
        <v>BypassInputChecks,0,</v>
      </c>
      <c r="BB133" s="31" t="str">
        <f t="shared" si="699"/>
        <v>BypassUMLHChecks,0,</v>
      </c>
      <c r="BC133" s="31" t="str">
        <f t="shared" si="700"/>
        <v>BypassCheckSimRules,0,</v>
      </c>
      <c r="BD133" s="31" t="str">
        <f t="shared" si="701"/>
        <v>BypassCheckCodeRules,0,</v>
      </c>
      <c r="BE133" s="31" t="str">
        <f t="shared" si="638"/>
        <v>StoreResultsToModelInput,0,</v>
      </c>
      <c r="BF133" s="31" t="str">
        <f t="shared" si="639"/>
        <v>StoreBEMDetails,0,</v>
      </c>
      <c r="BG133" s="31" t="str">
        <f t="shared" si="640"/>
        <v>ModelRpt_ALL,0,</v>
      </c>
      <c r="BH133" s="31" t="str">
        <f t="shared" si="641"/>
        <v>ExportHourlyResults_All,0,</v>
      </c>
      <c r="BI133" s="31" t="str">
        <f t="shared" si="642"/>
        <v>ComplianceReportPDF,0,</v>
      </c>
      <c r="BJ133" s="31" t="str">
        <f t="shared" si="643"/>
        <v>ComplianceReportXML,0,</v>
      </c>
      <c r="BK133" s="31" t="str">
        <f t="shared" si="644"/>
        <v>QuickAnalysis,0,</v>
      </c>
      <c r="BL133" s="31" t="str">
        <f t="shared" si="644"/>
        <v>PromptUserUMLHWarning,0,</v>
      </c>
      <c r="BM133" s="31" t="str">
        <f t="shared" si="645"/>
        <v>BypassOpenStudio_all,0,</v>
      </c>
      <c r="BN133" s="31" t="str">
        <f t="shared" si="646"/>
        <v>BypassOpenStudio_zp,0,</v>
      </c>
      <c r="BO133" s="31" t="str">
        <f t="shared" si="647"/>
        <v>BypassOpenStudio_zb,0,</v>
      </c>
      <c r="BP133" s="31" t="str">
        <f t="shared" si="648"/>
        <v>BypassOpenStudio_ap,0,</v>
      </c>
      <c r="BQ133" s="31" t="str">
        <f t="shared" si="649"/>
        <v>BypassOpenStudio_ab,0,</v>
      </c>
      <c r="BR133" s="31" t="str">
        <f t="shared" si="650"/>
        <v>BypassOpenStudio_zp,0,</v>
      </c>
      <c r="BS133" s="31" t="str">
        <f t="shared" si="651"/>
        <v>BypassOpenStudio_zb,0,</v>
      </c>
      <c r="BT133" s="31" t="str">
        <f t="shared" si="652"/>
        <v>BypassOpenStudio_ap,0,</v>
      </c>
      <c r="BU133" s="31" t="str">
        <f t="shared" si="653"/>
        <v>BypassOpenStudio_ab,0,</v>
      </c>
    </row>
    <row r="134" spans="1:73" x14ac:dyDescent="0.25">
      <c r="A134" s="39">
        <f t="shared" si="654"/>
        <v>1</v>
      </c>
      <c r="B134" s="27" t="str">
        <f t="shared" si="655"/>
        <v>SoftwareSensitivityTests\StreamlinedApprovalSet\0314116-OffMed-FanPwrBox.cibd</v>
      </c>
      <c r="C134" s="27" t="str">
        <f t="shared" si="656"/>
        <v>BatchOut_160331_r3964_SSTs\0314116-OffMed-FanPwrBox.cibd</v>
      </c>
      <c r="D134" s="27" t="str">
        <f t="shared" si="657"/>
        <v>BatchOut_160331_r3964_SSTs\XML\</v>
      </c>
      <c r="E134" s="9" t="str">
        <f t="shared" si="658"/>
        <v>0314116</v>
      </c>
      <c r="F134" s="22"/>
      <c r="G134" s="29"/>
      <c r="H134" s="23" t="str">
        <f t="shared" si="659"/>
        <v/>
      </c>
      <c r="I134" s="9" t="s">
        <v>11</v>
      </c>
      <c r="J134"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4" s="15" t="s">
        <v>1</v>
      </c>
      <c r="L134" s="36">
        <f t="shared" si="685"/>
        <v>1</v>
      </c>
      <c r="M134" s="32" t="str">
        <f t="shared" si="660"/>
        <v>0314116</v>
      </c>
      <c r="N134" s="28" t="s">
        <v>220</v>
      </c>
      <c r="O134" s="28" t="str">
        <f t="shared" si="686"/>
        <v>0314116-OffMed-FanPwrBox</v>
      </c>
      <c r="P134" s="36">
        <f t="shared" si="687"/>
        <v>1</v>
      </c>
      <c r="Q134" s="36">
        <f t="shared" si="661"/>
        <v>1</v>
      </c>
      <c r="R134" s="36">
        <f t="shared" si="662"/>
        <v>0</v>
      </c>
      <c r="S134" s="36">
        <f t="shared" si="663"/>
        <v>1</v>
      </c>
      <c r="T134" s="36">
        <f t="shared" si="664"/>
        <v>0</v>
      </c>
      <c r="U134" s="36">
        <f t="shared" si="665"/>
        <v>8</v>
      </c>
      <c r="V134" s="36">
        <f t="shared" si="666"/>
        <v>8</v>
      </c>
      <c r="W134" s="36">
        <f t="shared" si="667"/>
        <v>1</v>
      </c>
      <c r="X134" s="36">
        <f t="shared" si="668"/>
        <v>0</v>
      </c>
      <c r="Y134" s="36">
        <f t="shared" si="669"/>
        <v>0</v>
      </c>
      <c r="Z134" s="36">
        <f t="shared" si="670"/>
        <v>0</v>
      </c>
      <c r="AA134" s="36">
        <f t="shared" si="670"/>
        <v>0</v>
      </c>
      <c r="AB134" s="36">
        <f t="shared" si="670"/>
        <v>0</v>
      </c>
      <c r="AC134" s="36">
        <f t="shared" si="672"/>
        <v>0</v>
      </c>
      <c r="AD134" s="36">
        <f t="shared" si="673"/>
        <v>0</v>
      </c>
      <c r="AE134" s="36">
        <f t="shared" si="673"/>
        <v>0</v>
      </c>
      <c r="AF134" s="36">
        <f t="shared" ref="AF134:AG134" si="718">AF133</f>
        <v>0</v>
      </c>
      <c r="AG134" s="36">
        <f t="shared" si="718"/>
        <v>0</v>
      </c>
      <c r="AH134" s="36">
        <f t="shared" ref="AH134:AI134" si="719">AH133</f>
        <v>0</v>
      </c>
      <c r="AI134" s="36">
        <f t="shared" si="719"/>
        <v>0</v>
      </c>
      <c r="AJ134" s="36">
        <f t="shared" si="676"/>
        <v>0</v>
      </c>
      <c r="AK134" s="36">
        <f t="shared" si="677"/>
        <v>0</v>
      </c>
      <c r="AL134" s="36">
        <f t="shared" si="678"/>
        <v>0</v>
      </c>
      <c r="AM134" s="36">
        <f t="shared" si="679"/>
        <v>0</v>
      </c>
      <c r="AN134" s="36">
        <f t="shared" si="680"/>
        <v>0</v>
      </c>
      <c r="AO134" s="36">
        <f t="shared" si="681"/>
        <v>0</v>
      </c>
      <c r="AP134" s="36">
        <f t="shared" si="682"/>
        <v>0</v>
      </c>
      <c r="AQ134" s="36">
        <f t="shared" si="683"/>
        <v>0</v>
      </c>
      <c r="AR134" s="36">
        <f t="shared" si="684"/>
        <v>0</v>
      </c>
      <c r="AS134" s="31" t="str">
        <f t="shared" si="690"/>
        <v>SimulationStorage,1,</v>
      </c>
      <c r="AT134" s="31" t="str">
        <f t="shared" si="691"/>
        <v>AnalysisStorage,1,</v>
      </c>
      <c r="AU134" s="31" t="str">
        <f t="shared" si="692"/>
        <v>LogRuleEvaluation,0,</v>
      </c>
      <c r="AV134" s="31" t="str">
        <f t="shared" si="693"/>
        <v>ParallelSimulations,1,</v>
      </c>
      <c r="AW134" s="31" t="str">
        <f t="shared" si="694"/>
        <v>DurationStats,0,</v>
      </c>
      <c r="AX134" s="31" t="str">
        <f t="shared" si="695"/>
        <v>AnalysisThruStep,8,</v>
      </c>
      <c r="AY134" s="31" t="str">
        <f t="shared" si="696"/>
        <v>DontAbortOnErrorsThruStep,8,</v>
      </c>
      <c r="AZ134" s="31" t="str">
        <f t="shared" si="697"/>
        <v>BypassValidFileChecks,1,</v>
      </c>
      <c r="BA134" s="31" t="str">
        <f t="shared" si="698"/>
        <v>BypassInputChecks,0,</v>
      </c>
      <c r="BB134" s="31" t="str">
        <f t="shared" si="699"/>
        <v>BypassUMLHChecks,0,</v>
      </c>
      <c r="BC134" s="31" t="str">
        <f t="shared" si="700"/>
        <v>BypassCheckSimRules,0,</v>
      </c>
      <c r="BD134" s="31" t="str">
        <f t="shared" si="701"/>
        <v>BypassCheckCodeRules,0,</v>
      </c>
      <c r="BE134" s="31" t="str">
        <f t="shared" si="638"/>
        <v>StoreResultsToModelInput,0,</v>
      </c>
      <c r="BF134" s="31" t="str">
        <f t="shared" si="639"/>
        <v>StoreBEMDetails,0,</v>
      </c>
      <c r="BG134" s="31" t="str">
        <f t="shared" si="640"/>
        <v>ModelRpt_ALL,0,</v>
      </c>
      <c r="BH134" s="31" t="str">
        <f t="shared" si="641"/>
        <v>ExportHourlyResults_All,0,</v>
      </c>
      <c r="BI134" s="31" t="str">
        <f t="shared" si="642"/>
        <v>ComplianceReportPDF,0,</v>
      </c>
      <c r="BJ134" s="31" t="str">
        <f t="shared" si="643"/>
        <v>ComplianceReportXML,0,</v>
      </c>
      <c r="BK134" s="31" t="str">
        <f t="shared" si="644"/>
        <v>QuickAnalysis,0,</v>
      </c>
      <c r="BL134" s="31" t="str">
        <f t="shared" si="644"/>
        <v>PromptUserUMLHWarning,0,</v>
      </c>
      <c r="BM134" s="31" t="str">
        <f t="shared" si="645"/>
        <v>BypassOpenStudio_all,0,</v>
      </c>
      <c r="BN134" s="31" t="str">
        <f t="shared" si="646"/>
        <v>BypassOpenStudio_zp,0,</v>
      </c>
      <c r="BO134" s="31" t="str">
        <f t="shared" si="647"/>
        <v>BypassOpenStudio_zb,0,</v>
      </c>
      <c r="BP134" s="31" t="str">
        <f t="shared" si="648"/>
        <v>BypassOpenStudio_ap,0,</v>
      </c>
      <c r="BQ134" s="31" t="str">
        <f t="shared" si="649"/>
        <v>BypassOpenStudio_ab,0,</v>
      </c>
      <c r="BR134" s="31" t="str">
        <f t="shared" si="650"/>
        <v>BypassOpenStudio_zp,0,</v>
      </c>
      <c r="BS134" s="31" t="str">
        <f t="shared" si="651"/>
        <v>BypassOpenStudio_zb,0,</v>
      </c>
      <c r="BT134" s="31" t="str">
        <f t="shared" si="652"/>
        <v>BypassOpenStudio_ap,0,</v>
      </c>
      <c r="BU134" s="31" t="str">
        <f t="shared" si="653"/>
        <v>BypassOpenStudio_ab,0,</v>
      </c>
    </row>
    <row r="135" spans="1:73" x14ac:dyDescent="0.25">
      <c r="A135" s="39">
        <f t="shared" si="654"/>
        <v>1</v>
      </c>
      <c r="B135" s="27" t="str">
        <f t="shared" si="655"/>
        <v>SoftwareSensitivityTests\StreamlinedApprovalSet\0312616-OffMed-Plenum.cibd</v>
      </c>
      <c r="C135" s="27" t="str">
        <f t="shared" si="656"/>
        <v>BatchOut_160331_r3964_SSTs\0312616-OffMed-Plenum.cibd</v>
      </c>
      <c r="D135" s="27" t="str">
        <f t="shared" si="657"/>
        <v>BatchOut_160331_r3964_SSTs\XML\</v>
      </c>
      <c r="E135" s="9" t="str">
        <f t="shared" si="658"/>
        <v>0312616</v>
      </c>
      <c r="F135" s="22"/>
      <c r="G135" s="29"/>
      <c r="H135" s="23" t="str">
        <f t="shared" si="659"/>
        <v/>
      </c>
      <c r="I135" s="9" t="s">
        <v>11</v>
      </c>
      <c r="J135"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5" s="15" t="s">
        <v>1</v>
      </c>
      <c r="L135" s="36">
        <f t="shared" si="685"/>
        <v>1</v>
      </c>
      <c r="M135" s="32" t="str">
        <f t="shared" si="660"/>
        <v>0312616</v>
      </c>
      <c r="N135" s="28" t="s">
        <v>221</v>
      </c>
      <c r="O135" s="28" t="str">
        <f t="shared" si="686"/>
        <v>0312616-OffMed-Plenum</v>
      </c>
      <c r="P135" s="36">
        <f t="shared" si="687"/>
        <v>1</v>
      </c>
      <c r="Q135" s="36">
        <f t="shared" si="661"/>
        <v>1</v>
      </c>
      <c r="R135" s="36">
        <f t="shared" si="662"/>
        <v>0</v>
      </c>
      <c r="S135" s="36">
        <f t="shared" si="663"/>
        <v>1</v>
      </c>
      <c r="T135" s="36">
        <f t="shared" si="664"/>
        <v>0</v>
      </c>
      <c r="U135" s="36">
        <f t="shared" si="665"/>
        <v>8</v>
      </c>
      <c r="V135" s="36">
        <f t="shared" si="666"/>
        <v>8</v>
      </c>
      <c r="W135" s="36">
        <f t="shared" si="667"/>
        <v>1</v>
      </c>
      <c r="X135" s="36">
        <f t="shared" si="668"/>
        <v>0</v>
      </c>
      <c r="Y135" s="36">
        <f t="shared" si="669"/>
        <v>0</v>
      </c>
      <c r="Z135" s="36">
        <f t="shared" si="670"/>
        <v>0</v>
      </c>
      <c r="AA135" s="36">
        <f t="shared" si="670"/>
        <v>0</v>
      </c>
      <c r="AB135" s="36">
        <f t="shared" si="670"/>
        <v>0</v>
      </c>
      <c r="AC135" s="36">
        <f t="shared" si="672"/>
        <v>0</v>
      </c>
      <c r="AD135" s="36">
        <f t="shared" si="673"/>
        <v>0</v>
      </c>
      <c r="AE135" s="36">
        <f t="shared" si="673"/>
        <v>0</v>
      </c>
      <c r="AF135" s="36">
        <f t="shared" ref="AF135:AG135" si="720">AF134</f>
        <v>0</v>
      </c>
      <c r="AG135" s="36">
        <f t="shared" si="720"/>
        <v>0</v>
      </c>
      <c r="AH135" s="36">
        <f t="shared" ref="AH135:AI135" si="721">AH134</f>
        <v>0</v>
      </c>
      <c r="AI135" s="36">
        <f t="shared" si="721"/>
        <v>0</v>
      </c>
      <c r="AJ135" s="36">
        <f t="shared" si="676"/>
        <v>0</v>
      </c>
      <c r="AK135" s="36">
        <f t="shared" si="677"/>
        <v>0</v>
      </c>
      <c r="AL135" s="36">
        <f t="shared" si="678"/>
        <v>0</v>
      </c>
      <c r="AM135" s="36">
        <f t="shared" si="679"/>
        <v>0</v>
      </c>
      <c r="AN135" s="36">
        <f t="shared" si="680"/>
        <v>0</v>
      </c>
      <c r="AO135" s="36">
        <f t="shared" si="681"/>
        <v>0</v>
      </c>
      <c r="AP135" s="36">
        <f t="shared" si="682"/>
        <v>0</v>
      </c>
      <c r="AQ135" s="36">
        <f t="shared" si="683"/>
        <v>0</v>
      </c>
      <c r="AR135" s="36">
        <f t="shared" si="684"/>
        <v>0</v>
      </c>
      <c r="AS135" s="31" t="str">
        <f t="shared" si="690"/>
        <v>SimulationStorage,1,</v>
      </c>
      <c r="AT135" s="31" t="str">
        <f t="shared" si="691"/>
        <v>AnalysisStorage,1,</v>
      </c>
      <c r="AU135" s="31" t="str">
        <f t="shared" si="692"/>
        <v>LogRuleEvaluation,0,</v>
      </c>
      <c r="AV135" s="31" t="str">
        <f t="shared" si="693"/>
        <v>ParallelSimulations,1,</v>
      </c>
      <c r="AW135" s="31" t="str">
        <f t="shared" si="694"/>
        <v>DurationStats,0,</v>
      </c>
      <c r="AX135" s="31" t="str">
        <f t="shared" si="695"/>
        <v>AnalysisThruStep,8,</v>
      </c>
      <c r="AY135" s="31" t="str">
        <f t="shared" si="696"/>
        <v>DontAbortOnErrorsThruStep,8,</v>
      </c>
      <c r="AZ135" s="31" t="str">
        <f t="shared" si="697"/>
        <v>BypassValidFileChecks,1,</v>
      </c>
      <c r="BA135" s="31" t="str">
        <f t="shared" si="698"/>
        <v>BypassInputChecks,0,</v>
      </c>
      <c r="BB135" s="31" t="str">
        <f t="shared" si="699"/>
        <v>BypassUMLHChecks,0,</v>
      </c>
      <c r="BC135" s="31" t="str">
        <f t="shared" si="700"/>
        <v>BypassCheckSimRules,0,</v>
      </c>
      <c r="BD135" s="31" t="str">
        <f t="shared" si="701"/>
        <v>BypassCheckCodeRules,0,</v>
      </c>
      <c r="BE135" s="31" t="str">
        <f t="shared" si="638"/>
        <v>StoreResultsToModelInput,0,</v>
      </c>
      <c r="BF135" s="31" t="str">
        <f t="shared" si="639"/>
        <v>StoreBEMDetails,0,</v>
      </c>
      <c r="BG135" s="31" t="str">
        <f t="shared" si="640"/>
        <v>ModelRpt_ALL,0,</v>
      </c>
      <c r="BH135" s="31" t="str">
        <f t="shared" si="641"/>
        <v>ExportHourlyResults_All,0,</v>
      </c>
      <c r="BI135" s="31" t="str">
        <f t="shared" si="642"/>
        <v>ComplianceReportPDF,0,</v>
      </c>
      <c r="BJ135" s="31" t="str">
        <f t="shared" si="643"/>
        <v>ComplianceReportXML,0,</v>
      </c>
      <c r="BK135" s="31" t="str">
        <f t="shared" si="644"/>
        <v>QuickAnalysis,0,</v>
      </c>
      <c r="BL135" s="31" t="str">
        <f t="shared" si="644"/>
        <v>PromptUserUMLHWarning,0,</v>
      </c>
      <c r="BM135" s="31" t="str">
        <f t="shared" si="645"/>
        <v>BypassOpenStudio_all,0,</v>
      </c>
      <c r="BN135" s="31" t="str">
        <f t="shared" si="646"/>
        <v>BypassOpenStudio_zp,0,</v>
      </c>
      <c r="BO135" s="31" t="str">
        <f t="shared" si="647"/>
        <v>BypassOpenStudio_zb,0,</v>
      </c>
      <c r="BP135" s="31" t="str">
        <f t="shared" si="648"/>
        <v>BypassOpenStudio_ap,0,</v>
      </c>
      <c r="BQ135" s="31" t="str">
        <f t="shared" si="649"/>
        <v>BypassOpenStudio_ab,0,</v>
      </c>
      <c r="BR135" s="31" t="str">
        <f t="shared" si="650"/>
        <v>BypassOpenStudio_zp,0,</v>
      </c>
      <c r="BS135" s="31" t="str">
        <f t="shared" si="651"/>
        <v>BypassOpenStudio_zb,0,</v>
      </c>
      <c r="BT135" s="31" t="str">
        <f t="shared" si="652"/>
        <v>BypassOpenStudio_ap,0,</v>
      </c>
      <c r="BU135" s="31" t="str">
        <f t="shared" si="653"/>
        <v>BypassOpenStudio_ab,0,</v>
      </c>
    </row>
    <row r="136" spans="1:73" x14ac:dyDescent="0.25">
      <c r="A136" s="39">
        <f t="shared" si="654"/>
        <v>1</v>
      </c>
      <c r="B136" s="27" t="str">
        <f t="shared" si="655"/>
        <v>SoftwareSensitivityTests\StreamlinedApprovalSet\0314716-OffMed-LabwExhPVAV.cibd</v>
      </c>
      <c r="C136" s="27" t="str">
        <f t="shared" si="656"/>
        <v>BatchOut_160331_r3964_SSTs\0314716-OffMed-LabwExhPVAV.cibd</v>
      </c>
      <c r="D136" s="27" t="str">
        <f t="shared" si="657"/>
        <v>BatchOut_160331_r3964_SSTs\XML\</v>
      </c>
      <c r="E136" s="9" t="str">
        <f t="shared" si="658"/>
        <v>0314716</v>
      </c>
      <c r="F136" s="22"/>
      <c r="G136" s="29"/>
      <c r="H136" s="23" t="str">
        <f t="shared" si="659"/>
        <v/>
      </c>
      <c r="I136" s="9" t="s">
        <v>11</v>
      </c>
      <c r="J136"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6" s="15" t="s">
        <v>1</v>
      </c>
      <c r="L136" s="36">
        <f t="shared" si="685"/>
        <v>1</v>
      </c>
      <c r="M136" s="32" t="str">
        <f t="shared" si="660"/>
        <v>0314716</v>
      </c>
      <c r="N136" s="28" t="s">
        <v>222</v>
      </c>
      <c r="O136" s="28" t="str">
        <f t="shared" si="686"/>
        <v>0314716-OffMed-LabwExhPVAV</v>
      </c>
      <c r="P136" s="36">
        <f t="shared" si="687"/>
        <v>1</v>
      </c>
      <c r="Q136" s="36">
        <f t="shared" si="661"/>
        <v>1</v>
      </c>
      <c r="R136" s="36">
        <f t="shared" si="662"/>
        <v>0</v>
      </c>
      <c r="S136" s="36">
        <f t="shared" si="663"/>
        <v>1</v>
      </c>
      <c r="T136" s="36">
        <f t="shared" si="664"/>
        <v>0</v>
      </c>
      <c r="U136" s="36">
        <f t="shared" si="665"/>
        <v>8</v>
      </c>
      <c r="V136" s="36">
        <f t="shared" si="666"/>
        <v>8</v>
      </c>
      <c r="W136" s="36">
        <f t="shared" si="667"/>
        <v>1</v>
      </c>
      <c r="X136" s="36">
        <f t="shared" si="668"/>
        <v>0</v>
      </c>
      <c r="Y136" s="36">
        <f t="shared" si="669"/>
        <v>0</v>
      </c>
      <c r="Z136" s="36">
        <f t="shared" si="670"/>
        <v>0</v>
      </c>
      <c r="AA136" s="36">
        <f t="shared" si="670"/>
        <v>0</v>
      </c>
      <c r="AB136" s="36">
        <f t="shared" si="670"/>
        <v>0</v>
      </c>
      <c r="AC136" s="36">
        <f t="shared" si="672"/>
        <v>0</v>
      </c>
      <c r="AD136" s="36">
        <f t="shared" si="673"/>
        <v>0</v>
      </c>
      <c r="AE136" s="36">
        <f t="shared" si="673"/>
        <v>0</v>
      </c>
      <c r="AF136" s="36">
        <f t="shared" ref="AF136:AG136" si="722">AF135</f>
        <v>0</v>
      </c>
      <c r="AG136" s="36">
        <f t="shared" si="722"/>
        <v>0</v>
      </c>
      <c r="AH136" s="36">
        <f t="shared" ref="AH136:AI136" si="723">AH135</f>
        <v>0</v>
      </c>
      <c r="AI136" s="36">
        <f t="shared" si="723"/>
        <v>0</v>
      </c>
      <c r="AJ136" s="36">
        <f t="shared" si="676"/>
        <v>0</v>
      </c>
      <c r="AK136" s="36">
        <f t="shared" si="677"/>
        <v>0</v>
      </c>
      <c r="AL136" s="36">
        <f t="shared" si="678"/>
        <v>0</v>
      </c>
      <c r="AM136" s="36">
        <f t="shared" si="679"/>
        <v>0</v>
      </c>
      <c r="AN136" s="36">
        <f t="shared" si="680"/>
        <v>0</v>
      </c>
      <c r="AO136" s="36">
        <f t="shared" si="681"/>
        <v>0</v>
      </c>
      <c r="AP136" s="36">
        <f t="shared" si="682"/>
        <v>0</v>
      </c>
      <c r="AQ136" s="36">
        <f t="shared" si="683"/>
        <v>0</v>
      </c>
      <c r="AR136" s="36">
        <f t="shared" si="684"/>
        <v>0</v>
      </c>
      <c r="AS136" s="31" t="str">
        <f t="shared" si="690"/>
        <v>SimulationStorage,1,</v>
      </c>
      <c r="AT136" s="31" t="str">
        <f t="shared" si="691"/>
        <v>AnalysisStorage,1,</v>
      </c>
      <c r="AU136" s="31" t="str">
        <f t="shared" si="692"/>
        <v>LogRuleEvaluation,0,</v>
      </c>
      <c r="AV136" s="31" t="str">
        <f t="shared" si="693"/>
        <v>ParallelSimulations,1,</v>
      </c>
      <c r="AW136" s="31" t="str">
        <f t="shared" si="694"/>
        <v>DurationStats,0,</v>
      </c>
      <c r="AX136" s="31" t="str">
        <f t="shared" si="695"/>
        <v>AnalysisThruStep,8,</v>
      </c>
      <c r="AY136" s="31" t="str">
        <f t="shared" si="696"/>
        <v>DontAbortOnErrorsThruStep,8,</v>
      </c>
      <c r="AZ136" s="31" t="str">
        <f t="shared" si="697"/>
        <v>BypassValidFileChecks,1,</v>
      </c>
      <c r="BA136" s="31" t="str">
        <f t="shared" si="698"/>
        <v>BypassInputChecks,0,</v>
      </c>
      <c r="BB136" s="31" t="str">
        <f t="shared" si="699"/>
        <v>BypassUMLHChecks,0,</v>
      </c>
      <c r="BC136" s="31" t="str">
        <f t="shared" si="700"/>
        <v>BypassCheckSimRules,0,</v>
      </c>
      <c r="BD136" s="31" t="str">
        <f t="shared" si="701"/>
        <v>BypassCheckCodeRules,0,</v>
      </c>
      <c r="BE136" s="31" t="str">
        <f t="shared" si="638"/>
        <v>StoreResultsToModelInput,0,</v>
      </c>
      <c r="BF136" s="31" t="str">
        <f t="shared" si="639"/>
        <v>StoreBEMDetails,0,</v>
      </c>
      <c r="BG136" s="31" t="str">
        <f t="shared" si="640"/>
        <v>ModelRpt_ALL,0,</v>
      </c>
      <c r="BH136" s="31" t="str">
        <f t="shared" si="641"/>
        <v>ExportHourlyResults_All,0,</v>
      </c>
      <c r="BI136" s="31" t="str">
        <f t="shared" si="642"/>
        <v>ComplianceReportPDF,0,</v>
      </c>
      <c r="BJ136" s="31" t="str">
        <f t="shared" si="643"/>
        <v>ComplianceReportXML,0,</v>
      </c>
      <c r="BK136" s="31" t="str">
        <f t="shared" si="644"/>
        <v>QuickAnalysis,0,</v>
      </c>
      <c r="BL136" s="31" t="str">
        <f t="shared" si="644"/>
        <v>PromptUserUMLHWarning,0,</v>
      </c>
      <c r="BM136" s="31" t="str">
        <f t="shared" si="645"/>
        <v>BypassOpenStudio_all,0,</v>
      </c>
      <c r="BN136" s="31" t="str">
        <f t="shared" si="646"/>
        <v>BypassOpenStudio_zp,0,</v>
      </c>
      <c r="BO136" s="31" t="str">
        <f t="shared" si="647"/>
        <v>BypassOpenStudio_zb,0,</v>
      </c>
      <c r="BP136" s="31" t="str">
        <f t="shared" si="648"/>
        <v>BypassOpenStudio_ap,0,</v>
      </c>
      <c r="BQ136" s="31" t="str">
        <f t="shared" si="649"/>
        <v>BypassOpenStudio_ab,0,</v>
      </c>
      <c r="BR136" s="31" t="str">
        <f t="shared" si="650"/>
        <v>BypassOpenStudio_zp,0,</v>
      </c>
      <c r="BS136" s="31" t="str">
        <f t="shared" si="651"/>
        <v>BypassOpenStudio_zb,0,</v>
      </c>
      <c r="BT136" s="31" t="str">
        <f t="shared" si="652"/>
        <v>BypassOpenStudio_ap,0,</v>
      </c>
      <c r="BU136" s="31" t="str">
        <f t="shared" si="653"/>
        <v>BypassOpenStudio_ab,0,</v>
      </c>
    </row>
    <row r="137" spans="1:73" x14ac:dyDescent="0.25">
      <c r="A137" s="39">
        <f t="shared" si="654"/>
        <v>1</v>
      </c>
      <c r="B137" s="27" t="str">
        <f t="shared" si="655"/>
        <v>SoftwareSensitivityTests\StreamlinedApprovalSet\0313516-OffMed-LabwExhDOAS.cibd</v>
      </c>
      <c r="C137" s="27" t="str">
        <f t="shared" si="656"/>
        <v>BatchOut_160331_r3964_SSTs\0313516-OffMed-LabwExhDOAS.cibd</v>
      </c>
      <c r="D137" s="27" t="str">
        <f t="shared" si="657"/>
        <v>BatchOut_160331_r3964_SSTs\XML\</v>
      </c>
      <c r="E137" s="9" t="str">
        <f t="shared" si="658"/>
        <v>0313516</v>
      </c>
      <c r="F137" s="22"/>
      <c r="G137" s="29"/>
      <c r="H137" s="23" t="str">
        <f t="shared" si="659"/>
        <v/>
      </c>
      <c r="I137" s="9" t="s">
        <v>11</v>
      </c>
      <c r="J137"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7" s="15" t="s">
        <v>1</v>
      </c>
      <c r="L137" s="36">
        <f t="shared" si="685"/>
        <v>1</v>
      </c>
      <c r="M137" s="32" t="str">
        <f t="shared" si="660"/>
        <v>0313516</v>
      </c>
      <c r="N137" s="28" t="s">
        <v>223</v>
      </c>
      <c r="O137" s="28" t="str">
        <f t="shared" si="686"/>
        <v>0313516-OffMed-LabwExhDOAS</v>
      </c>
      <c r="P137" s="36">
        <f t="shared" si="687"/>
        <v>1</v>
      </c>
      <c r="Q137" s="36">
        <f t="shared" si="661"/>
        <v>1</v>
      </c>
      <c r="R137" s="36">
        <f t="shared" si="662"/>
        <v>0</v>
      </c>
      <c r="S137" s="36">
        <f t="shared" si="663"/>
        <v>1</v>
      </c>
      <c r="T137" s="36">
        <f t="shared" si="664"/>
        <v>0</v>
      </c>
      <c r="U137" s="36">
        <f t="shared" si="665"/>
        <v>8</v>
      </c>
      <c r="V137" s="36">
        <f t="shared" si="666"/>
        <v>8</v>
      </c>
      <c r="W137" s="36">
        <f t="shared" si="667"/>
        <v>1</v>
      </c>
      <c r="X137" s="36">
        <f t="shared" si="668"/>
        <v>0</v>
      </c>
      <c r="Y137" s="36">
        <f t="shared" si="669"/>
        <v>0</v>
      </c>
      <c r="Z137" s="36">
        <f t="shared" si="670"/>
        <v>0</v>
      </c>
      <c r="AA137" s="36">
        <f t="shared" si="670"/>
        <v>0</v>
      </c>
      <c r="AB137" s="36">
        <f t="shared" si="670"/>
        <v>0</v>
      </c>
      <c r="AC137" s="36">
        <f t="shared" si="672"/>
        <v>0</v>
      </c>
      <c r="AD137" s="36">
        <f t="shared" si="673"/>
        <v>0</v>
      </c>
      <c r="AE137" s="36">
        <f t="shared" si="673"/>
        <v>0</v>
      </c>
      <c r="AF137" s="36">
        <f t="shared" ref="AF137:AG137" si="724">AF136</f>
        <v>0</v>
      </c>
      <c r="AG137" s="36">
        <f t="shared" si="724"/>
        <v>0</v>
      </c>
      <c r="AH137" s="36">
        <f t="shared" ref="AH137:AI137" si="725">AH136</f>
        <v>0</v>
      </c>
      <c r="AI137" s="36">
        <f t="shared" si="725"/>
        <v>0</v>
      </c>
      <c r="AJ137" s="36">
        <f t="shared" si="676"/>
        <v>0</v>
      </c>
      <c r="AK137" s="36">
        <f t="shared" si="677"/>
        <v>0</v>
      </c>
      <c r="AL137" s="36">
        <f t="shared" si="678"/>
        <v>0</v>
      </c>
      <c r="AM137" s="36">
        <f t="shared" si="679"/>
        <v>0</v>
      </c>
      <c r="AN137" s="36">
        <f t="shared" si="680"/>
        <v>0</v>
      </c>
      <c r="AO137" s="36">
        <f t="shared" si="681"/>
        <v>0</v>
      </c>
      <c r="AP137" s="36">
        <f t="shared" si="682"/>
        <v>0</v>
      </c>
      <c r="AQ137" s="36">
        <f t="shared" si="683"/>
        <v>0</v>
      </c>
      <c r="AR137" s="36">
        <f t="shared" si="684"/>
        <v>0</v>
      </c>
      <c r="AS137" s="31" t="str">
        <f t="shared" si="690"/>
        <v>SimulationStorage,1,</v>
      </c>
      <c r="AT137" s="31" t="str">
        <f t="shared" si="691"/>
        <v>AnalysisStorage,1,</v>
      </c>
      <c r="AU137" s="31" t="str">
        <f t="shared" si="692"/>
        <v>LogRuleEvaluation,0,</v>
      </c>
      <c r="AV137" s="31" t="str">
        <f t="shared" si="693"/>
        <v>ParallelSimulations,1,</v>
      </c>
      <c r="AW137" s="31" t="str">
        <f t="shared" si="694"/>
        <v>DurationStats,0,</v>
      </c>
      <c r="AX137" s="31" t="str">
        <f t="shared" si="695"/>
        <v>AnalysisThruStep,8,</v>
      </c>
      <c r="AY137" s="31" t="str">
        <f t="shared" si="696"/>
        <v>DontAbortOnErrorsThruStep,8,</v>
      </c>
      <c r="AZ137" s="31" t="str">
        <f t="shared" si="697"/>
        <v>BypassValidFileChecks,1,</v>
      </c>
      <c r="BA137" s="31" t="str">
        <f t="shared" si="698"/>
        <v>BypassInputChecks,0,</v>
      </c>
      <c r="BB137" s="31" t="str">
        <f t="shared" si="699"/>
        <v>BypassUMLHChecks,0,</v>
      </c>
      <c r="BC137" s="31" t="str">
        <f t="shared" si="700"/>
        <v>BypassCheckSimRules,0,</v>
      </c>
      <c r="BD137" s="31" t="str">
        <f t="shared" si="701"/>
        <v>BypassCheckCodeRules,0,</v>
      </c>
      <c r="BE137" s="31" t="str">
        <f t="shared" si="638"/>
        <v>StoreResultsToModelInput,0,</v>
      </c>
      <c r="BF137" s="31" t="str">
        <f t="shared" si="639"/>
        <v>StoreBEMDetails,0,</v>
      </c>
      <c r="BG137" s="31" t="str">
        <f t="shared" si="640"/>
        <v>ModelRpt_ALL,0,</v>
      </c>
      <c r="BH137" s="31" t="str">
        <f t="shared" si="641"/>
        <v>ExportHourlyResults_All,0,</v>
      </c>
      <c r="BI137" s="31" t="str">
        <f t="shared" si="642"/>
        <v>ComplianceReportPDF,0,</v>
      </c>
      <c r="BJ137" s="31" t="str">
        <f t="shared" si="643"/>
        <v>ComplianceReportXML,0,</v>
      </c>
      <c r="BK137" s="31" t="str">
        <f t="shared" si="644"/>
        <v>QuickAnalysis,0,</v>
      </c>
      <c r="BL137" s="31" t="str">
        <f t="shared" si="644"/>
        <v>PromptUserUMLHWarning,0,</v>
      </c>
      <c r="BM137" s="31" t="str">
        <f t="shared" si="645"/>
        <v>BypassOpenStudio_all,0,</v>
      </c>
      <c r="BN137" s="31" t="str">
        <f t="shared" si="646"/>
        <v>BypassOpenStudio_zp,0,</v>
      </c>
      <c r="BO137" s="31" t="str">
        <f t="shared" si="647"/>
        <v>BypassOpenStudio_zb,0,</v>
      </c>
      <c r="BP137" s="31" t="str">
        <f t="shared" si="648"/>
        <v>BypassOpenStudio_ap,0,</v>
      </c>
      <c r="BQ137" s="31" t="str">
        <f t="shared" si="649"/>
        <v>BypassOpenStudio_ab,0,</v>
      </c>
      <c r="BR137" s="31" t="str">
        <f t="shared" si="650"/>
        <v>BypassOpenStudio_zp,0,</v>
      </c>
      <c r="BS137" s="31" t="str">
        <f t="shared" si="651"/>
        <v>BypassOpenStudio_zb,0,</v>
      </c>
      <c r="BT137" s="31" t="str">
        <f t="shared" si="652"/>
        <v>BypassOpenStudio_ap,0,</v>
      </c>
      <c r="BU137" s="31" t="str">
        <f t="shared" si="653"/>
        <v>BypassOpenStudio_ab,0,</v>
      </c>
    </row>
    <row r="138" spans="1:73" x14ac:dyDescent="0.25">
      <c r="A138" s="39">
        <f t="shared" si="654"/>
        <v>1</v>
      </c>
      <c r="B138" s="27" t="str">
        <f t="shared" si="655"/>
        <v>SoftwareSensitivityTests\StreamlinedApprovalSet\0300006-OffMed-Baseline.cibd</v>
      </c>
      <c r="C138" s="27" t="str">
        <f t="shared" si="656"/>
        <v>BatchOut_160331_r3964_SSTs\0300006-OffMed-Baseline.cibd</v>
      </c>
      <c r="D138" s="27" t="str">
        <f t="shared" si="657"/>
        <v>BatchOut_160331_r3964_SSTs\XML\</v>
      </c>
      <c r="E138" s="9" t="str">
        <f t="shared" si="658"/>
        <v>0300006</v>
      </c>
      <c r="F138" s="22"/>
      <c r="G138" s="29"/>
      <c r="H138" s="23" t="str">
        <f t="shared" si="659"/>
        <v/>
      </c>
      <c r="I138" s="9" t="s">
        <v>11</v>
      </c>
      <c r="J138"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8" s="15" t="s">
        <v>1</v>
      </c>
      <c r="L138" s="36">
        <f t="shared" si="685"/>
        <v>1</v>
      </c>
      <c r="M138" s="32" t="str">
        <f t="shared" si="660"/>
        <v>0300006</v>
      </c>
      <c r="N138" s="28" t="s">
        <v>224</v>
      </c>
      <c r="O138" s="28" t="str">
        <f t="shared" si="686"/>
        <v>0300006-OffMed-Baseline</v>
      </c>
      <c r="P138" s="36">
        <f t="shared" si="687"/>
        <v>1</v>
      </c>
      <c r="Q138" s="36">
        <f t="shared" si="661"/>
        <v>1</v>
      </c>
      <c r="R138" s="36">
        <f t="shared" si="662"/>
        <v>0</v>
      </c>
      <c r="S138" s="36">
        <f t="shared" si="663"/>
        <v>1</v>
      </c>
      <c r="T138" s="36">
        <f t="shared" si="664"/>
        <v>0</v>
      </c>
      <c r="U138" s="36">
        <f t="shared" si="665"/>
        <v>8</v>
      </c>
      <c r="V138" s="36">
        <f t="shared" si="666"/>
        <v>8</v>
      </c>
      <c r="W138" s="36">
        <f t="shared" si="667"/>
        <v>1</v>
      </c>
      <c r="X138" s="36">
        <f t="shared" si="668"/>
        <v>0</v>
      </c>
      <c r="Y138" s="36">
        <f t="shared" si="669"/>
        <v>0</v>
      </c>
      <c r="Z138" s="36">
        <f t="shared" si="670"/>
        <v>0</v>
      </c>
      <c r="AA138" s="36">
        <f t="shared" si="670"/>
        <v>0</v>
      </c>
      <c r="AB138" s="36">
        <f t="shared" si="670"/>
        <v>0</v>
      </c>
      <c r="AC138" s="36">
        <f t="shared" si="672"/>
        <v>0</v>
      </c>
      <c r="AD138" s="36">
        <f t="shared" si="673"/>
        <v>0</v>
      </c>
      <c r="AE138" s="36">
        <f t="shared" si="673"/>
        <v>0</v>
      </c>
      <c r="AF138" s="36">
        <f t="shared" ref="AF138:AG138" si="726">AF137</f>
        <v>0</v>
      </c>
      <c r="AG138" s="36">
        <f t="shared" si="726"/>
        <v>0</v>
      </c>
      <c r="AH138" s="36">
        <f t="shared" ref="AH138:AI138" si="727">AH137</f>
        <v>0</v>
      </c>
      <c r="AI138" s="36">
        <f t="shared" si="727"/>
        <v>0</v>
      </c>
      <c r="AJ138" s="36">
        <f t="shared" si="676"/>
        <v>0</v>
      </c>
      <c r="AK138" s="36">
        <f t="shared" si="677"/>
        <v>0</v>
      </c>
      <c r="AL138" s="36">
        <f t="shared" si="678"/>
        <v>0</v>
      </c>
      <c r="AM138" s="36">
        <f t="shared" si="679"/>
        <v>0</v>
      </c>
      <c r="AN138" s="36">
        <f t="shared" si="680"/>
        <v>0</v>
      </c>
      <c r="AO138" s="36">
        <f t="shared" si="681"/>
        <v>0</v>
      </c>
      <c r="AP138" s="36">
        <f t="shared" si="682"/>
        <v>0</v>
      </c>
      <c r="AQ138" s="36">
        <f t="shared" si="683"/>
        <v>0</v>
      </c>
      <c r="AR138" s="36">
        <f t="shared" si="684"/>
        <v>0</v>
      </c>
      <c r="AS138" s="31" t="str">
        <f t="shared" si="690"/>
        <v>SimulationStorage,1,</v>
      </c>
      <c r="AT138" s="31" t="str">
        <f t="shared" si="691"/>
        <v>AnalysisStorage,1,</v>
      </c>
      <c r="AU138" s="31" t="str">
        <f t="shared" si="692"/>
        <v>LogRuleEvaluation,0,</v>
      </c>
      <c r="AV138" s="31" t="str">
        <f t="shared" si="693"/>
        <v>ParallelSimulations,1,</v>
      </c>
      <c r="AW138" s="31" t="str">
        <f t="shared" si="694"/>
        <v>DurationStats,0,</v>
      </c>
      <c r="AX138" s="31" t="str">
        <f t="shared" si="695"/>
        <v>AnalysisThruStep,8,</v>
      </c>
      <c r="AY138" s="31" t="str">
        <f t="shared" si="696"/>
        <v>DontAbortOnErrorsThruStep,8,</v>
      </c>
      <c r="AZ138" s="31" t="str">
        <f t="shared" si="697"/>
        <v>BypassValidFileChecks,1,</v>
      </c>
      <c r="BA138" s="31" t="str">
        <f t="shared" si="698"/>
        <v>BypassInputChecks,0,</v>
      </c>
      <c r="BB138" s="31" t="str">
        <f t="shared" si="699"/>
        <v>BypassUMLHChecks,0,</v>
      </c>
      <c r="BC138" s="31" t="str">
        <f t="shared" si="700"/>
        <v>BypassCheckSimRules,0,</v>
      </c>
      <c r="BD138" s="31" t="str">
        <f t="shared" si="701"/>
        <v>BypassCheckCodeRules,0,</v>
      </c>
      <c r="BE138" s="31" t="str">
        <f t="shared" si="638"/>
        <v>StoreResultsToModelInput,0,</v>
      </c>
      <c r="BF138" s="31" t="str">
        <f t="shared" si="639"/>
        <v>StoreBEMDetails,0,</v>
      </c>
      <c r="BG138" s="31" t="str">
        <f t="shared" si="640"/>
        <v>ModelRpt_ALL,0,</v>
      </c>
      <c r="BH138" s="31" t="str">
        <f t="shared" si="641"/>
        <v>ExportHourlyResults_All,0,</v>
      </c>
      <c r="BI138" s="31" t="str">
        <f t="shared" si="642"/>
        <v>ComplianceReportPDF,0,</v>
      </c>
      <c r="BJ138" s="31" t="str">
        <f t="shared" si="643"/>
        <v>ComplianceReportXML,0,</v>
      </c>
      <c r="BK138" s="31" t="str">
        <f t="shared" si="644"/>
        <v>QuickAnalysis,0,</v>
      </c>
      <c r="BL138" s="31" t="str">
        <f t="shared" si="644"/>
        <v>PromptUserUMLHWarning,0,</v>
      </c>
      <c r="BM138" s="31" t="str">
        <f t="shared" si="645"/>
        <v>BypassOpenStudio_all,0,</v>
      </c>
      <c r="BN138" s="31" t="str">
        <f t="shared" si="646"/>
        <v>BypassOpenStudio_zp,0,</v>
      </c>
      <c r="BO138" s="31" t="str">
        <f t="shared" si="647"/>
        <v>BypassOpenStudio_zb,0,</v>
      </c>
      <c r="BP138" s="31" t="str">
        <f t="shared" si="648"/>
        <v>BypassOpenStudio_ap,0,</v>
      </c>
      <c r="BQ138" s="31" t="str">
        <f t="shared" si="649"/>
        <v>BypassOpenStudio_ab,0,</v>
      </c>
      <c r="BR138" s="31" t="str">
        <f t="shared" si="650"/>
        <v>BypassOpenStudio_zp,0,</v>
      </c>
      <c r="BS138" s="31" t="str">
        <f t="shared" si="651"/>
        <v>BypassOpenStudio_zb,0,</v>
      </c>
      <c r="BT138" s="31" t="str">
        <f t="shared" si="652"/>
        <v>BypassOpenStudio_ap,0,</v>
      </c>
      <c r="BU138" s="31" t="str">
        <f t="shared" si="653"/>
        <v>BypassOpenStudio_ab,0,</v>
      </c>
    </row>
    <row r="139" spans="1:73" x14ac:dyDescent="0.25">
      <c r="A139" s="39">
        <f t="shared" si="654"/>
        <v>1</v>
      </c>
      <c r="B139" s="27" t="str">
        <f t="shared" si="655"/>
        <v>SoftwareSensitivityTests\StreamlinedApprovalSet\0314206-OffMed-FanPwrBox.cibd</v>
      </c>
      <c r="C139" s="27" t="str">
        <f t="shared" si="656"/>
        <v>BatchOut_160331_r3964_SSTs\0314206-OffMed-FanPwrBox.cibd</v>
      </c>
      <c r="D139" s="27" t="str">
        <f t="shared" si="657"/>
        <v>BatchOut_160331_r3964_SSTs\XML\</v>
      </c>
      <c r="E139" s="9" t="str">
        <f t="shared" si="658"/>
        <v>0314206</v>
      </c>
      <c r="F139" s="22"/>
      <c r="G139" s="29"/>
      <c r="H139" s="23" t="str">
        <f t="shared" si="659"/>
        <v/>
      </c>
      <c r="I139" s="9" t="s">
        <v>11</v>
      </c>
      <c r="J139"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9" s="15" t="s">
        <v>1</v>
      </c>
      <c r="L139" s="36">
        <f t="shared" si="685"/>
        <v>1</v>
      </c>
      <c r="M139" s="32" t="str">
        <f t="shared" si="660"/>
        <v>0314206</v>
      </c>
      <c r="N139" s="28" t="s">
        <v>225</v>
      </c>
      <c r="O139" s="28" t="str">
        <f t="shared" si="686"/>
        <v>0314206-OffMed-FanPwrBox</v>
      </c>
      <c r="P139" s="36">
        <f t="shared" si="687"/>
        <v>1</v>
      </c>
      <c r="Q139" s="36">
        <f t="shared" si="661"/>
        <v>1</v>
      </c>
      <c r="R139" s="36">
        <f t="shared" si="662"/>
        <v>0</v>
      </c>
      <c r="S139" s="36">
        <f t="shared" si="663"/>
        <v>1</v>
      </c>
      <c r="T139" s="36">
        <f t="shared" si="664"/>
        <v>0</v>
      </c>
      <c r="U139" s="36">
        <f t="shared" si="665"/>
        <v>8</v>
      </c>
      <c r="V139" s="36">
        <f t="shared" si="666"/>
        <v>8</v>
      </c>
      <c r="W139" s="36">
        <f t="shared" si="667"/>
        <v>1</v>
      </c>
      <c r="X139" s="36">
        <f t="shared" si="668"/>
        <v>0</v>
      </c>
      <c r="Y139" s="36">
        <f t="shared" si="669"/>
        <v>0</v>
      </c>
      <c r="Z139" s="36">
        <f t="shared" si="670"/>
        <v>0</v>
      </c>
      <c r="AA139" s="36">
        <f t="shared" si="670"/>
        <v>0</v>
      </c>
      <c r="AB139" s="36">
        <f t="shared" si="670"/>
        <v>0</v>
      </c>
      <c r="AC139" s="36">
        <f t="shared" si="672"/>
        <v>0</v>
      </c>
      <c r="AD139" s="36">
        <f t="shared" si="673"/>
        <v>0</v>
      </c>
      <c r="AE139" s="36">
        <f t="shared" si="673"/>
        <v>0</v>
      </c>
      <c r="AF139" s="36">
        <f t="shared" ref="AF139:AG139" si="728">AF138</f>
        <v>0</v>
      </c>
      <c r="AG139" s="36">
        <f t="shared" si="728"/>
        <v>0</v>
      </c>
      <c r="AH139" s="36">
        <f t="shared" ref="AH139:AI139" si="729">AH138</f>
        <v>0</v>
      </c>
      <c r="AI139" s="36">
        <f t="shared" si="729"/>
        <v>0</v>
      </c>
      <c r="AJ139" s="36">
        <f t="shared" si="676"/>
        <v>0</v>
      </c>
      <c r="AK139" s="36">
        <f t="shared" si="677"/>
        <v>0</v>
      </c>
      <c r="AL139" s="36">
        <f t="shared" si="678"/>
        <v>0</v>
      </c>
      <c r="AM139" s="36">
        <f t="shared" si="679"/>
        <v>0</v>
      </c>
      <c r="AN139" s="36">
        <f t="shared" si="680"/>
        <v>0</v>
      </c>
      <c r="AO139" s="36">
        <f t="shared" si="681"/>
        <v>0</v>
      </c>
      <c r="AP139" s="36">
        <f t="shared" si="682"/>
        <v>0</v>
      </c>
      <c r="AQ139" s="36">
        <f t="shared" si="683"/>
        <v>0</v>
      </c>
      <c r="AR139" s="36">
        <f t="shared" si="684"/>
        <v>0</v>
      </c>
      <c r="AS139" s="31" t="str">
        <f t="shared" si="690"/>
        <v>SimulationStorage,1,</v>
      </c>
      <c r="AT139" s="31" t="str">
        <f t="shared" si="691"/>
        <v>AnalysisStorage,1,</v>
      </c>
      <c r="AU139" s="31" t="str">
        <f t="shared" si="692"/>
        <v>LogRuleEvaluation,0,</v>
      </c>
      <c r="AV139" s="31" t="str">
        <f t="shared" si="693"/>
        <v>ParallelSimulations,1,</v>
      </c>
      <c r="AW139" s="31" t="str">
        <f t="shared" si="694"/>
        <v>DurationStats,0,</v>
      </c>
      <c r="AX139" s="31" t="str">
        <f t="shared" si="695"/>
        <v>AnalysisThruStep,8,</v>
      </c>
      <c r="AY139" s="31" t="str">
        <f t="shared" si="696"/>
        <v>DontAbortOnErrorsThruStep,8,</v>
      </c>
      <c r="AZ139" s="31" t="str">
        <f t="shared" si="697"/>
        <v>BypassValidFileChecks,1,</v>
      </c>
      <c r="BA139" s="31" t="str">
        <f t="shared" si="698"/>
        <v>BypassInputChecks,0,</v>
      </c>
      <c r="BB139" s="31" t="str">
        <f t="shared" si="699"/>
        <v>BypassUMLHChecks,0,</v>
      </c>
      <c r="BC139" s="31" t="str">
        <f t="shared" si="700"/>
        <v>BypassCheckSimRules,0,</v>
      </c>
      <c r="BD139" s="31" t="str">
        <f t="shared" si="701"/>
        <v>BypassCheckCodeRules,0,</v>
      </c>
      <c r="BE139" s="31" t="str">
        <f t="shared" si="638"/>
        <v>StoreResultsToModelInput,0,</v>
      </c>
      <c r="BF139" s="31" t="str">
        <f t="shared" si="639"/>
        <v>StoreBEMDetails,0,</v>
      </c>
      <c r="BG139" s="31" t="str">
        <f t="shared" si="640"/>
        <v>ModelRpt_ALL,0,</v>
      </c>
      <c r="BH139" s="31" t="str">
        <f t="shared" si="641"/>
        <v>ExportHourlyResults_All,0,</v>
      </c>
      <c r="BI139" s="31" t="str">
        <f t="shared" si="642"/>
        <v>ComplianceReportPDF,0,</v>
      </c>
      <c r="BJ139" s="31" t="str">
        <f t="shared" si="643"/>
        <v>ComplianceReportXML,0,</v>
      </c>
      <c r="BK139" s="31" t="str">
        <f t="shared" si="644"/>
        <v>QuickAnalysis,0,</v>
      </c>
      <c r="BL139" s="31" t="str">
        <f t="shared" si="644"/>
        <v>PromptUserUMLHWarning,0,</v>
      </c>
      <c r="BM139" s="31" t="str">
        <f t="shared" si="645"/>
        <v>BypassOpenStudio_all,0,</v>
      </c>
      <c r="BN139" s="31" t="str">
        <f t="shared" si="646"/>
        <v>BypassOpenStudio_zp,0,</v>
      </c>
      <c r="BO139" s="31" t="str">
        <f t="shared" si="647"/>
        <v>BypassOpenStudio_zb,0,</v>
      </c>
      <c r="BP139" s="31" t="str">
        <f t="shared" si="648"/>
        <v>BypassOpenStudio_ap,0,</v>
      </c>
      <c r="BQ139" s="31" t="str">
        <f t="shared" si="649"/>
        <v>BypassOpenStudio_ab,0,</v>
      </c>
      <c r="BR139" s="31" t="str">
        <f t="shared" si="650"/>
        <v>BypassOpenStudio_zp,0,</v>
      </c>
      <c r="BS139" s="31" t="str">
        <f t="shared" si="651"/>
        <v>BypassOpenStudio_zb,0,</v>
      </c>
      <c r="BT139" s="31" t="str">
        <f t="shared" si="652"/>
        <v>BypassOpenStudio_ap,0,</v>
      </c>
      <c r="BU139" s="31" t="str">
        <f t="shared" si="653"/>
        <v>BypassOpenStudio_ab,0,</v>
      </c>
    </row>
    <row r="140" spans="1:73" x14ac:dyDescent="0.25">
      <c r="A140" s="39">
        <f t="shared" si="654"/>
        <v>1</v>
      </c>
      <c r="B140" s="27" t="str">
        <f t="shared" si="655"/>
        <v>SoftwareSensitivityTests\StreamlinedApprovalSet\0312706-OffMed-Plenum.cibd</v>
      </c>
      <c r="C140" s="27" t="str">
        <f t="shared" si="656"/>
        <v>BatchOut_160331_r3964_SSTs\0312706-OffMed-Plenum.cibd</v>
      </c>
      <c r="D140" s="27" t="str">
        <f t="shared" si="657"/>
        <v>BatchOut_160331_r3964_SSTs\XML\</v>
      </c>
      <c r="E140" s="9" t="str">
        <f t="shared" si="658"/>
        <v>0312706</v>
      </c>
      <c r="F140" s="22"/>
      <c r="G140" s="29"/>
      <c r="H140" s="23" t="str">
        <f t="shared" si="659"/>
        <v/>
      </c>
      <c r="I140" s="9" t="s">
        <v>11</v>
      </c>
      <c r="J140"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0" s="15" t="s">
        <v>1</v>
      </c>
      <c r="L140" s="36">
        <f t="shared" si="685"/>
        <v>1</v>
      </c>
      <c r="M140" s="32" t="str">
        <f t="shared" si="660"/>
        <v>0312706</v>
      </c>
      <c r="N140" s="28" t="s">
        <v>226</v>
      </c>
      <c r="O140" s="28" t="str">
        <f t="shared" si="686"/>
        <v>0312706-OffMed-Plenum</v>
      </c>
      <c r="P140" s="36">
        <f t="shared" si="687"/>
        <v>1</v>
      </c>
      <c r="Q140" s="36">
        <f t="shared" si="661"/>
        <v>1</v>
      </c>
      <c r="R140" s="36">
        <f t="shared" si="662"/>
        <v>0</v>
      </c>
      <c r="S140" s="36">
        <f t="shared" si="663"/>
        <v>1</v>
      </c>
      <c r="T140" s="36">
        <f t="shared" si="664"/>
        <v>0</v>
      </c>
      <c r="U140" s="36">
        <f t="shared" si="665"/>
        <v>8</v>
      </c>
      <c r="V140" s="36">
        <f t="shared" si="666"/>
        <v>8</v>
      </c>
      <c r="W140" s="36">
        <f t="shared" si="667"/>
        <v>1</v>
      </c>
      <c r="X140" s="36">
        <f t="shared" si="668"/>
        <v>0</v>
      </c>
      <c r="Y140" s="36">
        <f t="shared" si="669"/>
        <v>0</v>
      </c>
      <c r="Z140" s="36">
        <f t="shared" si="669"/>
        <v>0</v>
      </c>
      <c r="AA140" s="36">
        <f t="shared" si="669"/>
        <v>0</v>
      </c>
      <c r="AB140" s="36">
        <f t="shared" si="669"/>
        <v>0</v>
      </c>
      <c r="AC140" s="36">
        <f t="shared" si="672"/>
        <v>0</v>
      </c>
      <c r="AD140" s="36">
        <f t="shared" si="673"/>
        <v>0</v>
      </c>
      <c r="AE140" s="36">
        <f t="shared" si="673"/>
        <v>0</v>
      </c>
      <c r="AF140" s="36">
        <f t="shared" ref="AF140:AG140" si="730">AF139</f>
        <v>0</v>
      </c>
      <c r="AG140" s="36">
        <f t="shared" si="730"/>
        <v>0</v>
      </c>
      <c r="AH140" s="36">
        <f t="shared" ref="AH140:AI140" si="731">AH139</f>
        <v>0</v>
      </c>
      <c r="AI140" s="36">
        <f t="shared" si="731"/>
        <v>0</v>
      </c>
      <c r="AJ140" s="36">
        <f t="shared" si="676"/>
        <v>0</v>
      </c>
      <c r="AK140" s="36">
        <f t="shared" si="677"/>
        <v>0</v>
      </c>
      <c r="AL140" s="36">
        <f t="shared" si="678"/>
        <v>0</v>
      </c>
      <c r="AM140" s="36">
        <f t="shared" si="679"/>
        <v>0</v>
      </c>
      <c r="AN140" s="36">
        <f t="shared" si="680"/>
        <v>0</v>
      </c>
      <c r="AO140" s="36">
        <f t="shared" si="681"/>
        <v>0</v>
      </c>
      <c r="AP140" s="36">
        <f t="shared" si="682"/>
        <v>0</v>
      </c>
      <c r="AQ140" s="36">
        <f t="shared" si="683"/>
        <v>0</v>
      </c>
      <c r="AR140" s="36">
        <f t="shared" si="684"/>
        <v>0</v>
      </c>
      <c r="AS140" s="31" t="str">
        <f t="shared" si="690"/>
        <v>SimulationStorage,1,</v>
      </c>
      <c r="AT140" s="31" t="str">
        <f t="shared" si="691"/>
        <v>AnalysisStorage,1,</v>
      </c>
      <c r="AU140" s="31" t="str">
        <f t="shared" si="692"/>
        <v>LogRuleEvaluation,0,</v>
      </c>
      <c r="AV140" s="31" t="str">
        <f t="shared" si="693"/>
        <v>ParallelSimulations,1,</v>
      </c>
      <c r="AW140" s="31" t="str">
        <f t="shared" si="694"/>
        <v>DurationStats,0,</v>
      </c>
      <c r="AX140" s="31" t="str">
        <f t="shared" si="695"/>
        <v>AnalysisThruStep,8,</v>
      </c>
      <c r="AY140" s="31" t="str">
        <f t="shared" si="696"/>
        <v>DontAbortOnErrorsThruStep,8,</v>
      </c>
      <c r="AZ140" s="31" t="str">
        <f t="shared" si="697"/>
        <v>BypassValidFileChecks,1,</v>
      </c>
      <c r="BA140" s="31" t="str">
        <f t="shared" si="698"/>
        <v>BypassInputChecks,0,</v>
      </c>
      <c r="BB140" s="31" t="str">
        <f t="shared" si="699"/>
        <v>BypassUMLHChecks,0,</v>
      </c>
      <c r="BC140" s="31" t="str">
        <f t="shared" si="700"/>
        <v>BypassCheckSimRules,0,</v>
      </c>
      <c r="BD140" s="31" t="str">
        <f t="shared" si="701"/>
        <v>BypassCheckCodeRules,0,</v>
      </c>
      <c r="BE140" s="31" t="str">
        <f t="shared" si="638"/>
        <v>StoreResultsToModelInput,0,</v>
      </c>
      <c r="BF140" s="31" t="str">
        <f t="shared" si="639"/>
        <v>StoreBEMDetails,0,</v>
      </c>
      <c r="BG140" s="31" t="str">
        <f t="shared" si="640"/>
        <v>ModelRpt_ALL,0,</v>
      </c>
      <c r="BH140" s="31" t="str">
        <f t="shared" si="641"/>
        <v>ExportHourlyResults_All,0,</v>
      </c>
      <c r="BI140" s="31" t="str">
        <f t="shared" si="642"/>
        <v>ComplianceReportPDF,0,</v>
      </c>
      <c r="BJ140" s="31" t="str">
        <f t="shared" si="643"/>
        <v>ComplianceReportXML,0,</v>
      </c>
      <c r="BK140" s="31" t="str">
        <f t="shared" si="644"/>
        <v>QuickAnalysis,0,</v>
      </c>
      <c r="BL140" s="31" t="str">
        <f t="shared" si="644"/>
        <v>PromptUserUMLHWarning,0,</v>
      </c>
      <c r="BM140" s="31" t="str">
        <f t="shared" si="645"/>
        <v>BypassOpenStudio_all,0,</v>
      </c>
      <c r="BN140" s="31" t="str">
        <f t="shared" si="646"/>
        <v>BypassOpenStudio_zp,0,</v>
      </c>
      <c r="BO140" s="31" t="str">
        <f t="shared" si="647"/>
        <v>BypassOpenStudio_zb,0,</v>
      </c>
      <c r="BP140" s="31" t="str">
        <f t="shared" si="648"/>
        <v>BypassOpenStudio_ap,0,</v>
      </c>
      <c r="BQ140" s="31" t="str">
        <f t="shared" si="649"/>
        <v>BypassOpenStudio_ab,0,</v>
      </c>
      <c r="BR140" s="31" t="str">
        <f t="shared" si="650"/>
        <v>BypassOpenStudio_zp,0,</v>
      </c>
      <c r="BS140" s="31" t="str">
        <f t="shared" si="651"/>
        <v>BypassOpenStudio_zb,0,</v>
      </c>
      <c r="BT140" s="31" t="str">
        <f t="shared" si="652"/>
        <v>BypassOpenStudio_ap,0,</v>
      </c>
      <c r="BU140" s="31" t="str">
        <f t="shared" si="653"/>
        <v>BypassOpenStudio_ab,0,</v>
      </c>
    </row>
    <row r="141" spans="1:73" x14ac:dyDescent="0.25">
      <c r="A141" s="39">
        <f t="shared" si="654"/>
        <v>1</v>
      </c>
      <c r="B141" s="27" t="str">
        <f t="shared" si="655"/>
        <v>SoftwareSensitivityTests\StreamlinedApprovalSet\0314806-OffMed-LabwExhPVAV.cibd</v>
      </c>
      <c r="C141" s="27" t="str">
        <f t="shared" si="656"/>
        <v>BatchOut_160331_r3964_SSTs\0314806-OffMed-LabwExhPVAV.cibd</v>
      </c>
      <c r="D141" s="27" t="str">
        <f t="shared" si="657"/>
        <v>BatchOut_160331_r3964_SSTs\XML\</v>
      </c>
      <c r="E141" s="9" t="str">
        <f t="shared" si="658"/>
        <v>0314806</v>
      </c>
      <c r="F141" s="22"/>
      <c r="G141" s="29"/>
      <c r="H141" s="23" t="str">
        <f t="shared" si="659"/>
        <v/>
      </c>
      <c r="I141" s="9" t="s">
        <v>11</v>
      </c>
      <c r="J141"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1" s="15" t="s">
        <v>1</v>
      </c>
      <c r="L141" s="36">
        <f t="shared" si="685"/>
        <v>1</v>
      </c>
      <c r="M141" s="32" t="str">
        <f t="shared" si="660"/>
        <v>0314806</v>
      </c>
      <c r="N141" s="28" t="s">
        <v>227</v>
      </c>
      <c r="O141" s="28" t="str">
        <f t="shared" si="686"/>
        <v>0314806-OffMed-LabwExhPVAV</v>
      </c>
      <c r="P141" s="36">
        <f t="shared" si="687"/>
        <v>1</v>
      </c>
      <c r="Q141" s="36">
        <f t="shared" si="661"/>
        <v>1</v>
      </c>
      <c r="R141" s="36">
        <f t="shared" si="662"/>
        <v>0</v>
      </c>
      <c r="S141" s="36">
        <f t="shared" si="663"/>
        <v>1</v>
      </c>
      <c r="T141" s="36">
        <f t="shared" si="664"/>
        <v>0</v>
      </c>
      <c r="U141" s="36">
        <f t="shared" si="665"/>
        <v>8</v>
      </c>
      <c r="V141" s="36">
        <f t="shared" si="666"/>
        <v>8</v>
      </c>
      <c r="W141" s="36">
        <f t="shared" si="667"/>
        <v>1</v>
      </c>
      <c r="X141" s="36">
        <f t="shared" si="668"/>
        <v>0</v>
      </c>
      <c r="Y141" s="36">
        <f t="shared" si="668"/>
        <v>0</v>
      </c>
      <c r="Z141" s="36">
        <f t="shared" si="668"/>
        <v>0</v>
      </c>
      <c r="AA141" s="36">
        <f t="shared" si="668"/>
        <v>0</v>
      </c>
      <c r="AB141" s="36">
        <f t="shared" si="668"/>
        <v>0</v>
      </c>
      <c r="AC141" s="36">
        <f t="shared" si="672"/>
        <v>0</v>
      </c>
      <c r="AD141" s="36">
        <f t="shared" si="673"/>
        <v>0</v>
      </c>
      <c r="AE141" s="36">
        <f t="shared" si="673"/>
        <v>0</v>
      </c>
      <c r="AF141" s="36">
        <f t="shared" ref="AF141:AG141" si="732">AF140</f>
        <v>0</v>
      </c>
      <c r="AG141" s="36">
        <f t="shared" si="732"/>
        <v>0</v>
      </c>
      <c r="AH141" s="36">
        <f t="shared" ref="AH141:AI141" si="733">AH140</f>
        <v>0</v>
      </c>
      <c r="AI141" s="36">
        <f t="shared" si="733"/>
        <v>0</v>
      </c>
      <c r="AJ141" s="36">
        <f t="shared" si="676"/>
        <v>0</v>
      </c>
      <c r="AK141" s="36">
        <f t="shared" si="677"/>
        <v>0</v>
      </c>
      <c r="AL141" s="36">
        <f t="shared" si="678"/>
        <v>0</v>
      </c>
      <c r="AM141" s="36">
        <f t="shared" si="679"/>
        <v>0</v>
      </c>
      <c r="AN141" s="36">
        <f t="shared" si="680"/>
        <v>0</v>
      </c>
      <c r="AO141" s="36">
        <f t="shared" si="681"/>
        <v>0</v>
      </c>
      <c r="AP141" s="36">
        <f t="shared" si="682"/>
        <v>0</v>
      </c>
      <c r="AQ141" s="36">
        <f t="shared" si="683"/>
        <v>0</v>
      </c>
      <c r="AR141" s="36">
        <f t="shared" si="684"/>
        <v>0</v>
      </c>
      <c r="AS141" s="31" t="str">
        <f t="shared" si="690"/>
        <v>SimulationStorage,1,</v>
      </c>
      <c r="AT141" s="31" t="str">
        <f t="shared" si="691"/>
        <v>AnalysisStorage,1,</v>
      </c>
      <c r="AU141" s="31" t="str">
        <f t="shared" si="692"/>
        <v>LogRuleEvaluation,0,</v>
      </c>
      <c r="AV141" s="31" t="str">
        <f t="shared" si="693"/>
        <v>ParallelSimulations,1,</v>
      </c>
      <c r="AW141" s="31" t="str">
        <f t="shared" si="694"/>
        <v>DurationStats,0,</v>
      </c>
      <c r="AX141" s="31" t="str">
        <f t="shared" si="695"/>
        <v>AnalysisThruStep,8,</v>
      </c>
      <c r="AY141" s="31" t="str">
        <f t="shared" si="696"/>
        <v>DontAbortOnErrorsThruStep,8,</v>
      </c>
      <c r="AZ141" s="31" t="str">
        <f t="shared" si="697"/>
        <v>BypassValidFileChecks,1,</v>
      </c>
      <c r="BA141" s="31" t="str">
        <f t="shared" si="698"/>
        <v>BypassInputChecks,0,</v>
      </c>
      <c r="BB141" s="31" t="str">
        <f t="shared" si="699"/>
        <v>BypassUMLHChecks,0,</v>
      </c>
      <c r="BC141" s="31" t="str">
        <f t="shared" si="700"/>
        <v>BypassCheckSimRules,0,</v>
      </c>
      <c r="BD141" s="31" t="str">
        <f t="shared" si="701"/>
        <v>BypassCheckCodeRules,0,</v>
      </c>
      <c r="BE141" s="31" t="str">
        <f t="shared" si="638"/>
        <v>StoreResultsToModelInput,0,</v>
      </c>
      <c r="BF141" s="31" t="str">
        <f t="shared" si="639"/>
        <v>StoreBEMDetails,0,</v>
      </c>
      <c r="BG141" s="31" t="str">
        <f t="shared" si="640"/>
        <v>ModelRpt_ALL,0,</v>
      </c>
      <c r="BH141" s="31" t="str">
        <f t="shared" si="641"/>
        <v>ExportHourlyResults_All,0,</v>
      </c>
      <c r="BI141" s="31" t="str">
        <f t="shared" si="642"/>
        <v>ComplianceReportPDF,0,</v>
      </c>
      <c r="BJ141" s="31" t="str">
        <f t="shared" si="643"/>
        <v>ComplianceReportXML,0,</v>
      </c>
      <c r="BK141" s="31" t="str">
        <f t="shared" si="644"/>
        <v>QuickAnalysis,0,</v>
      </c>
      <c r="BL141" s="31" t="str">
        <f t="shared" si="644"/>
        <v>PromptUserUMLHWarning,0,</v>
      </c>
      <c r="BM141" s="31" t="str">
        <f t="shared" si="645"/>
        <v>BypassOpenStudio_all,0,</v>
      </c>
      <c r="BN141" s="31" t="str">
        <f t="shared" si="646"/>
        <v>BypassOpenStudio_zp,0,</v>
      </c>
      <c r="BO141" s="31" t="str">
        <f t="shared" si="647"/>
        <v>BypassOpenStudio_zb,0,</v>
      </c>
      <c r="BP141" s="31" t="str">
        <f t="shared" si="648"/>
        <v>BypassOpenStudio_ap,0,</v>
      </c>
      <c r="BQ141" s="31" t="str">
        <f t="shared" si="649"/>
        <v>BypassOpenStudio_ab,0,</v>
      </c>
      <c r="BR141" s="31" t="str">
        <f t="shared" si="650"/>
        <v>BypassOpenStudio_zp,0,</v>
      </c>
      <c r="BS141" s="31" t="str">
        <f t="shared" si="651"/>
        <v>BypassOpenStudio_zb,0,</v>
      </c>
      <c r="BT141" s="31" t="str">
        <f t="shared" si="652"/>
        <v>BypassOpenStudio_ap,0,</v>
      </c>
      <c r="BU141" s="31" t="str">
        <f t="shared" si="653"/>
        <v>BypassOpenStudio_ab,0,</v>
      </c>
    </row>
    <row r="142" spans="1:73" x14ac:dyDescent="0.25">
      <c r="A142" s="39">
        <f t="shared" si="654"/>
        <v>1</v>
      </c>
      <c r="B142" s="27" t="str">
        <f t="shared" si="655"/>
        <v>SoftwareSensitivityTests\StreamlinedApprovalSet\0313606-OffMed-LabwExhDOAS.cibd</v>
      </c>
      <c r="C142" s="27" t="str">
        <f t="shared" si="656"/>
        <v>BatchOut_160331_r3964_SSTs\0313606-OffMed-LabwExhDOAS.cibd</v>
      </c>
      <c r="D142" s="27" t="str">
        <f t="shared" si="657"/>
        <v>BatchOut_160331_r3964_SSTs\XML\</v>
      </c>
      <c r="E142" s="9" t="str">
        <f t="shared" si="658"/>
        <v>0313606</v>
      </c>
      <c r="F142" s="22"/>
      <c r="G142" s="29"/>
      <c r="H142" s="23" t="str">
        <f t="shared" si="659"/>
        <v/>
      </c>
      <c r="I142" s="9" t="s">
        <v>11</v>
      </c>
      <c r="J142"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2" s="15" t="s">
        <v>1</v>
      </c>
      <c r="L142" s="36">
        <f t="shared" si="685"/>
        <v>1</v>
      </c>
      <c r="M142" s="32" t="str">
        <f t="shared" si="660"/>
        <v>0313606</v>
      </c>
      <c r="N142" s="28" t="s">
        <v>228</v>
      </c>
      <c r="O142" s="28" t="str">
        <f t="shared" si="686"/>
        <v>0313606-OffMed-LabwExhDOAS</v>
      </c>
      <c r="P142" s="36">
        <f t="shared" si="687"/>
        <v>1</v>
      </c>
      <c r="Q142" s="36">
        <f t="shared" si="661"/>
        <v>1</v>
      </c>
      <c r="R142" s="36">
        <f t="shared" si="662"/>
        <v>0</v>
      </c>
      <c r="S142" s="36">
        <f t="shared" si="663"/>
        <v>1</v>
      </c>
      <c r="T142" s="36">
        <f t="shared" si="664"/>
        <v>0</v>
      </c>
      <c r="U142" s="36">
        <f t="shared" si="665"/>
        <v>8</v>
      </c>
      <c r="V142" s="36">
        <f t="shared" si="666"/>
        <v>8</v>
      </c>
      <c r="W142" s="36">
        <f t="shared" si="667"/>
        <v>1</v>
      </c>
      <c r="X142" s="36">
        <f t="shared" si="667"/>
        <v>0</v>
      </c>
      <c r="Y142" s="36">
        <f t="shared" si="667"/>
        <v>0</v>
      </c>
      <c r="Z142" s="36">
        <f t="shared" si="667"/>
        <v>0</v>
      </c>
      <c r="AA142" s="36">
        <f t="shared" si="667"/>
        <v>0</v>
      </c>
      <c r="AB142" s="36">
        <f t="shared" si="667"/>
        <v>0</v>
      </c>
      <c r="AC142" s="36">
        <f t="shared" si="672"/>
        <v>0</v>
      </c>
      <c r="AD142" s="36">
        <f t="shared" si="673"/>
        <v>0</v>
      </c>
      <c r="AE142" s="36">
        <f t="shared" si="673"/>
        <v>0</v>
      </c>
      <c r="AF142" s="36">
        <f t="shared" ref="AF142:AG142" si="734">AF141</f>
        <v>0</v>
      </c>
      <c r="AG142" s="36">
        <f t="shared" si="734"/>
        <v>0</v>
      </c>
      <c r="AH142" s="36">
        <f t="shared" ref="AH142:AI142" si="735">AH141</f>
        <v>0</v>
      </c>
      <c r="AI142" s="36">
        <f t="shared" si="735"/>
        <v>0</v>
      </c>
      <c r="AJ142" s="36">
        <f t="shared" si="676"/>
        <v>0</v>
      </c>
      <c r="AK142" s="36">
        <f t="shared" si="677"/>
        <v>0</v>
      </c>
      <c r="AL142" s="36">
        <f t="shared" si="678"/>
        <v>0</v>
      </c>
      <c r="AM142" s="36">
        <f t="shared" si="679"/>
        <v>0</v>
      </c>
      <c r="AN142" s="36">
        <f t="shared" si="680"/>
        <v>0</v>
      </c>
      <c r="AO142" s="36">
        <f t="shared" si="681"/>
        <v>0</v>
      </c>
      <c r="AP142" s="36">
        <f t="shared" si="682"/>
        <v>0</v>
      </c>
      <c r="AQ142" s="36">
        <f t="shared" si="683"/>
        <v>0</v>
      </c>
      <c r="AR142" s="36">
        <f t="shared" si="684"/>
        <v>0</v>
      </c>
      <c r="AS142" s="31" t="str">
        <f t="shared" si="690"/>
        <v>SimulationStorage,1,</v>
      </c>
      <c r="AT142" s="31" t="str">
        <f t="shared" si="691"/>
        <v>AnalysisStorage,1,</v>
      </c>
      <c r="AU142" s="31" t="str">
        <f t="shared" si="692"/>
        <v>LogRuleEvaluation,0,</v>
      </c>
      <c r="AV142" s="31" t="str">
        <f t="shared" si="693"/>
        <v>ParallelSimulations,1,</v>
      </c>
      <c r="AW142" s="31" t="str">
        <f t="shared" si="694"/>
        <v>DurationStats,0,</v>
      </c>
      <c r="AX142" s="31" t="str">
        <f t="shared" si="695"/>
        <v>AnalysisThruStep,8,</v>
      </c>
      <c r="AY142" s="31" t="str">
        <f t="shared" si="696"/>
        <v>DontAbortOnErrorsThruStep,8,</v>
      </c>
      <c r="AZ142" s="31" t="str">
        <f t="shared" si="697"/>
        <v>BypassValidFileChecks,1,</v>
      </c>
      <c r="BA142" s="31" t="str">
        <f t="shared" si="698"/>
        <v>BypassInputChecks,0,</v>
      </c>
      <c r="BB142" s="31" t="str">
        <f t="shared" si="699"/>
        <v>BypassUMLHChecks,0,</v>
      </c>
      <c r="BC142" s="31" t="str">
        <f t="shared" si="700"/>
        <v>BypassCheckSimRules,0,</v>
      </c>
      <c r="BD142" s="31" t="str">
        <f t="shared" si="701"/>
        <v>BypassCheckCodeRules,0,</v>
      </c>
      <c r="BE142" s="31" t="str">
        <f t="shared" si="638"/>
        <v>StoreResultsToModelInput,0,</v>
      </c>
      <c r="BF142" s="31" t="str">
        <f t="shared" si="639"/>
        <v>StoreBEMDetails,0,</v>
      </c>
      <c r="BG142" s="31" t="str">
        <f t="shared" si="640"/>
        <v>ModelRpt_ALL,0,</v>
      </c>
      <c r="BH142" s="31" t="str">
        <f t="shared" si="641"/>
        <v>ExportHourlyResults_All,0,</v>
      </c>
      <c r="BI142" s="31" t="str">
        <f t="shared" si="642"/>
        <v>ComplianceReportPDF,0,</v>
      </c>
      <c r="BJ142" s="31" t="str">
        <f t="shared" si="643"/>
        <v>ComplianceReportXML,0,</v>
      </c>
      <c r="BK142" s="31" t="str">
        <f t="shared" si="644"/>
        <v>QuickAnalysis,0,</v>
      </c>
      <c r="BL142" s="31" t="str">
        <f t="shared" si="644"/>
        <v>PromptUserUMLHWarning,0,</v>
      </c>
      <c r="BM142" s="31" t="str">
        <f t="shared" si="645"/>
        <v>BypassOpenStudio_all,0,</v>
      </c>
      <c r="BN142" s="31" t="str">
        <f t="shared" si="646"/>
        <v>BypassOpenStudio_zp,0,</v>
      </c>
      <c r="BO142" s="31" t="str">
        <f t="shared" si="647"/>
        <v>BypassOpenStudio_zb,0,</v>
      </c>
      <c r="BP142" s="31" t="str">
        <f t="shared" si="648"/>
        <v>BypassOpenStudio_ap,0,</v>
      </c>
      <c r="BQ142" s="31" t="str">
        <f t="shared" si="649"/>
        <v>BypassOpenStudio_ab,0,</v>
      </c>
      <c r="BR142" s="31" t="str">
        <f t="shared" si="650"/>
        <v>BypassOpenStudio_zp,0,</v>
      </c>
      <c r="BS142" s="31" t="str">
        <f t="shared" si="651"/>
        <v>BypassOpenStudio_zb,0,</v>
      </c>
      <c r="BT142" s="31" t="str">
        <f t="shared" si="652"/>
        <v>BypassOpenStudio_ap,0,</v>
      </c>
      <c r="BU142" s="31" t="str">
        <f t="shared" si="653"/>
        <v>BypassOpenStudio_ab,0,</v>
      </c>
    </row>
    <row r="143" spans="1:73" x14ac:dyDescent="0.25">
      <c r="A143" s="39">
        <f t="shared" si="654"/>
        <v>1</v>
      </c>
      <c r="B143" s="27" t="str">
        <f t="shared" si="655"/>
        <v>SoftwareSensitivityTests\StreamlinedApprovalSet\0500015-RetlMed-Baseline.cibd</v>
      </c>
      <c r="C143" s="27" t="str">
        <f t="shared" si="656"/>
        <v>BatchOut_160331_r3964_SSTs\0500015-RetlMed-Baseline.cibd</v>
      </c>
      <c r="D143" s="27" t="str">
        <f t="shared" si="657"/>
        <v>BatchOut_160331_r3964_SSTs\XML\</v>
      </c>
      <c r="E143" s="9" t="str">
        <f t="shared" si="658"/>
        <v>0500015</v>
      </c>
      <c r="F143" s="22"/>
      <c r="G143" s="29"/>
      <c r="H143" s="23" t="str">
        <f t="shared" si="659"/>
        <v/>
      </c>
      <c r="I143" s="9" t="s">
        <v>11</v>
      </c>
      <c r="J143"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3" s="15" t="s">
        <v>1</v>
      </c>
      <c r="L143" s="36">
        <f t="shared" si="685"/>
        <v>1</v>
      </c>
      <c r="M143" s="32" t="str">
        <f t="shared" si="660"/>
        <v>0500015</v>
      </c>
      <c r="N143" s="28" t="s">
        <v>229</v>
      </c>
      <c r="O143" s="28" t="str">
        <f t="shared" si="686"/>
        <v>0500015-RetlMed-Baseline</v>
      </c>
      <c r="P143" s="36">
        <f t="shared" si="687"/>
        <v>1</v>
      </c>
      <c r="Q143" s="36">
        <f t="shared" si="661"/>
        <v>1</v>
      </c>
      <c r="R143" s="36">
        <f t="shared" si="662"/>
        <v>0</v>
      </c>
      <c r="S143" s="36">
        <f t="shared" si="663"/>
        <v>1</v>
      </c>
      <c r="T143" s="36">
        <f t="shared" si="664"/>
        <v>0</v>
      </c>
      <c r="U143" s="36">
        <f t="shared" si="665"/>
        <v>8</v>
      </c>
      <c r="V143" s="36">
        <f t="shared" si="666"/>
        <v>8</v>
      </c>
      <c r="W143" s="36">
        <f t="shared" si="666"/>
        <v>1</v>
      </c>
      <c r="X143" s="36">
        <f t="shared" si="666"/>
        <v>0</v>
      </c>
      <c r="Y143" s="36">
        <f t="shared" si="666"/>
        <v>0</v>
      </c>
      <c r="Z143" s="36">
        <f t="shared" si="666"/>
        <v>0</v>
      </c>
      <c r="AA143" s="36">
        <f t="shared" si="666"/>
        <v>0</v>
      </c>
      <c r="AB143" s="36">
        <f t="shared" si="666"/>
        <v>0</v>
      </c>
      <c r="AC143" s="36">
        <f t="shared" si="672"/>
        <v>0</v>
      </c>
      <c r="AD143" s="36">
        <f t="shared" si="673"/>
        <v>0</v>
      </c>
      <c r="AE143" s="36">
        <f t="shared" si="673"/>
        <v>0</v>
      </c>
      <c r="AF143" s="36">
        <f t="shared" ref="AF143:AG143" si="736">AF142</f>
        <v>0</v>
      </c>
      <c r="AG143" s="36">
        <f t="shared" si="736"/>
        <v>0</v>
      </c>
      <c r="AH143" s="36">
        <f t="shared" ref="AH143:AI143" si="737">AH142</f>
        <v>0</v>
      </c>
      <c r="AI143" s="36">
        <f t="shared" si="737"/>
        <v>0</v>
      </c>
      <c r="AJ143" s="36">
        <f t="shared" si="676"/>
        <v>0</v>
      </c>
      <c r="AK143" s="36">
        <f t="shared" si="677"/>
        <v>0</v>
      </c>
      <c r="AL143" s="36">
        <f t="shared" si="678"/>
        <v>0</v>
      </c>
      <c r="AM143" s="36">
        <f t="shared" si="679"/>
        <v>0</v>
      </c>
      <c r="AN143" s="36">
        <f t="shared" si="680"/>
        <v>0</v>
      </c>
      <c r="AO143" s="36">
        <f t="shared" si="681"/>
        <v>0</v>
      </c>
      <c r="AP143" s="36">
        <f t="shared" si="682"/>
        <v>0</v>
      </c>
      <c r="AQ143" s="36">
        <f t="shared" si="683"/>
        <v>0</v>
      </c>
      <c r="AR143" s="36">
        <f t="shared" si="684"/>
        <v>0</v>
      </c>
      <c r="AS143" s="31" t="str">
        <f t="shared" si="690"/>
        <v>SimulationStorage,1,</v>
      </c>
      <c r="AT143" s="31" t="str">
        <f t="shared" si="691"/>
        <v>AnalysisStorage,1,</v>
      </c>
      <c r="AU143" s="31" t="str">
        <f t="shared" si="692"/>
        <v>LogRuleEvaluation,0,</v>
      </c>
      <c r="AV143" s="31" t="str">
        <f t="shared" si="693"/>
        <v>ParallelSimulations,1,</v>
      </c>
      <c r="AW143" s="31" t="str">
        <f t="shared" si="694"/>
        <v>DurationStats,0,</v>
      </c>
      <c r="AX143" s="31" t="str">
        <f t="shared" si="695"/>
        <v>AnalysisThruStep,8,</v>
      </c>
      <c r="AY143" s="31" t="str">
        <f t="shared" si="696"/>
        <v>DontAbortOnErrorsThruStep,8,</v>
      </c>
      <c r="AZ143" s="31" t="str">
        <f t="shared" si="697"/>
        <v>BypassValidFileChecks,1,</v>
      </c>
      <c r="BA143" s="31" t="str">
        <f t="shared" si="698"/>
        <v>BypassInputChecks,0,</v>
      </c>
      <c r="BB143" s="31" t="str">
        <f t="shared" si="699"/>
        <v>BypassUMLHChecks,0,</v>
      </c>
      <c r="BC143" s="31" t="str">
        <f t="shared" si="700"/>
        <v>BypassCheckSimRules,0,</v>
      </c>
      <c r="BD143" s="31" t="str">
        <f t="shared" si="701"/>
        <v>BypassCheckCodeRules,0,</v>
      </c>
      <c r="BE143" s="31" t="str">
        <f t="shared" si="638"/>
        <v>StoreResultsToModelInput,0,</v>
      </c>
      <c r="BF143" s="31" t="str">
        <f t="shared" si="639"/>
        <v>StoreBEMDetails,0,</v>
      </c>
      <c r="BG143" s="31" t="str">
        <f t="shared" si="640"/>
        <v>ModelRpt_ALL,0,</v>
      </c>
      <c r="BH143" s="31" t="str">
        <f t="shared" si="641"/>
        <v>ExportHourlyResults_All,0,</v>
      </c>
      <c r="BI143" s="31" t="str">
        <f t="shared" si="642"/>
        <v>ComplianceReportPDF,0,</v>
      </c>
      <c r="BJ143" s="31" t="str">
        <f t="shared" si="643"/>
        <v>ComplianceReportXML,0,</v>
      </c>
      <c r="BK143" s="31" t="str">
        <f t="shared" si="644"/>
        <v>QuickAnalysis,0,</v>
      </c>
      <c r="BL143" s="31" t="str">
        <f t="shared" si="644"/>
        <v>PromptUserUMLHWarning,0,</v>
      </c>
      <c r="BM143" s="31" t="str">
        <f t="shared" si="645"/>
        <v>BypassOpenStudio_all,0,</v>
      </c>
      <c r="BN143" s="31" t="str">
        <f t="shared" si="646"/>
        <v>BypassOpenStudio_zp,0,</v>
      </c>
      <c r="BO143" s="31" t="str">
        <f t="shared" si="647"/>
        <v>BypassOpenStudio_zb,0,</v>
      </c>
      <c r="BP143" s="31" t="str">
        <f t="shared" si="648"/>
        <v>BypassOpenStudio_ap,0,</v>
      </c>
      <c r="BQ143" s="31" t="str">
        <f t="shared" si="649"/>
        <v>BypassOpenStudio_ab,0,</v>
      </c>
      <c r="BR143" s="31" t="str">
        <f t="shared" si="650"/>
        <v>BypassOpenStudio_zp,0,</v>
      </c>
      <c r="BS143" s="31" t="str">
        <f t="shared" si="651"/>
        <v>BypassOpenStudio_zb,0,</v>
      </c>
      <c r="BT143" s="31" t="str">
        <f t="shared" si="652"/>
        <v>BypassOpenStudio_ap,0,</v>
      </c>
      <c r="BU143" s="31" t="str">
        <f t="shared" si="653"/>
        <v>BypassOpenStudio_ab,0,</v>
      </c>
    </row>
    <row r="144" spans="1:73" x14ac:dyDescent="0.25">
      <c r="A144" s="39">
        <f t="shared" si="654"/>
        <v>1</v>
      </c>
      <c r="B144" s="27" t="str">
        <f t="shared" si="655"/>
        <v>SoftwareSensitivityTests\StreamlinedApprovalSet\0500115-RetlMed-EnvelopeRoofInsulation.cibd</v>
      </c>
      <c r="C144" s="27" t="str">
        <f t="shared" si="656"/>
        <v>BatchOut_160331_r3964_SSTs\0500115-RetlMed-EnvelopeRoofInsulation.cibd</v>
      </c>
      <c r="D144" s="27" t="str">
        <f t="shared" si="657"/>
        <v>BatchOut_160331_r3964_SSTs\XML\</v>
      </c>
      <c r="E144" s="9" t="str">
        <f t="shared" si="658"/>
        <v>0500115</v>
      </c>
      <c r="F144" s="22"/>
      <c r="G144" s="29"/>
      <c r="H144" s="23" t="str">
        <f t="shared" si="659"/>
        <v/>
      </c>
      <c r="I144" s="9" t="s">
        <v>11</v>
      </c>
      <c r="J144"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4" s="15" t="s">
        <v>1</v>
      </c>
      <c r="L144" s="36">
        <f t="shared" si="685"/>
        <v>1</v>
      </c>
      <c r="M144" s="32" t="str">
        <f t="shared" si="660"/>
        <v>0500115</v>
      </c>
      <c r="N144" s="28" t="s">
        <v>230</v>
      </c>
      <c r="O144" s="28" t="str">
        <f t="shared" si="686"/>
        <v>0500115-RetlMed-EnvelopeRoofInsulation</v>
      </c>
      <c r="P144" s="36">
        <f t="shared" si="687"/>
        <v>1</v>
      </c>
      <c r="Q144" s="36">
        <f t="shared" si="661"/>
        <v>1</v>
      </c>
      <c r="R144" s="36">
        <f t="shared" si="662"/>
        <v>0</v>
      </c>
      <c r="S144" s="36">
        <f t="shared" si="663"/>
        <v>1</v>
      </c>
      <c r="T144" s="36">
        <f t="shared" si="664"/>
        <v>0</v>
      </c>
      <c r="U144" s="36">
        <f t="shared" si="665"/>
        <v>8</v>
      </c>
      <c r="V144" s="36">
        <f t="shared" si="665"/>
        <v>8</v>
      </c>
      <c r="W144" s="36">
        <f t="shared" si="665"/>
        <v>1</v>
      </c>
      <c r="X144" s="36">
        <f t="shared" si="665"/>
        <v>0</v>
      </c>
      <c r="Y144" s="36">
        <f t="shared" si="665"/>
        <v>0</v>
      </c>
      <c r="Z144" s="36">
        <f t="shared" si="665"/>
        <v>0</v>
      </c>
      <c r="AA144" s="36">
        <f t="shared" si="665"/>
        <v>0</v>
      </c>
      <c r="AB144" s="36">
        <f t="shared" si="665"/>
        <v>0</v>
      </c>
      <c r="AC144" s="36">
        <f t="shared" si="672"/>
        <v>0</v>
      </c>
      <c r="AD144" s="36">
        <f t="shared" si="673"/>
        <v>0</v>
      </c>
      <c r="AE144" s="36">
        <f t="shared" si="673"/>
        <v>0</v>
      </c>
      <c r="AF144" s="36">
        <f t="shared" ref="AF144:AG144" si="738">AF143</f>
        <v>0</v>
      </c>
      <c r="AG144" s="36">
        <f t="shared" si="738"/>
        <v>0</v>
      </c>
      <c r="AH144" s="36">
        <f t="shared" ref="AH144:AI144" si="739">AH143</f>
        <v>0</v>
      </c>
      <c r="AI144" s="36">
        <f t="shared" si="739"/>
        <v>0</v>
      </c>
      <c r="AJ144" s="36">
        <f t="shared" si="676"/>
        <v>0</v>
      </c>
      <c r="AK144" s="36">
        <f t="shared" si="677"/>
        <v>0</v>
      </c>
      <c r="AL144" s="36">
        <f t="shared" si="678"/>
        <v>0</v>
      </c>
      <c r="AM144" s="36">
        <f t="shared" si="679"/>
        <v>0</v>
      </c>
      <c r="AN144" s="36">
        <f t="shared" si="680"/>
        <v>0</v>
      </c>
      <c r="AO144" s="36">
        <f t="shared" si="681"/>
        <v>0</v>
      </c>
      <c r="AP144" s="36">
        <f t="shared" si="682"/>
        <v>0</v>
      </c>
      <c r="AQ144" s="36">
        <f t="shared" si="683"/>
        <v>0</v>
      </c>
      <c r="AR144" s="36">
        <f t="shared" si="684"/>
        <v>0</v>
      </c>
      <c r="AS144" s="31" t="str">
        <f t="shared" si="690"/>
        <v>SimulationStorage,1,</v>
      </c>
      <c r="AT144" s="31" t="str">
        <f t="shared" si="691"/>
        <v>AnalysisStorage,1,</v>
      </c>
      <c r="AU144" s="31" t="str">
        <f t="shared" si="692"/>
        <v>LogRuleEvaluation,0,</v>
      </c>
      <c r="AV144" s="31" t="str">
        <f t="shared" si="693"/>
        <v>ParallelSimulations,1,</v>
      </c>
      <c r="AW144" s="31" t="str">
        <f t="shared" si="694"/>
        <v>DurationStats,0,</v>
      </c>
      <c r="AX144" s="31" t="str">
        <f t="shared" si="695"/>
        <v>AnalysisThruStep,8,</v>
      </c>
      <c r="AY144" s="31" t="str">
        <f t="shared" si="696"/>
        <v>DontAbortOnErrorsThruStep,8,</v>
      </c>
      <c r="AZ144" s="31" t="str">
        <f t="shared" si="697"/>
        <v>BypassValidFileChecks,1,</v>
      </c>
      <c r="BA144" s="31" t="str">
        <f t="shared" si="698"/>
        <v>BypassInputChecks,0,</v>
      </c>
      <c r="BB144" s="31" t="str">
        <f t="shared" si="699"/>
        <v>BypassUMLHChecks,0,</v>
      </c>
      <c r="BC144" s="31" t="str">
        <f t="shared" si="700"/>
        <v>BypassCheckSimRules,0,</v>
      </c>
      <c r="BD144" s="31" t="str">
        <f t="shared" si="701"/>
        <v>BypassCheckCodeRules,0,</v>
      </c>
      <c r="BE144" s="31" t="str">
        <f t="shared" si="638"/>
        <v>StoreResultsToModelInput,0,</v>
      </c>
      <c r="BF144" s="31" t="str">
        <f t="shared" si="639"/>
        <v>StoreBEMDetails,0,</v>
      </c>
      <c r="BG144" s="31" t="str">
        <f t="shared" si="640"/>
        <v>ModelRpt_ALL,0,</v>
      </c>
      <c r="BH144" s="31" t="str">
        <f t="shared" si="641"/>
        <v>ExportHourlyResults_All,0,</v>
      </c>
      <c r="BI144" s="31" t="str">
        <f t="shared" si="642"/>
        <v>ComplianceReportPDF,0,</v>
      </c>
      <c r="BJ144" s="31" t="str">
        <f t="shared" si="643"/>
        <v>ComplianceReportXML,0,</v>
      </c>
      <c r="BK144" s="31" t="str">
        <f t="shared" si="644"/>
        <v>QuickAnalysis,0,</v>
      </c>
      <c r="BL144" s="31" t="str">
        <f t="shared" si="644"/>
        <v>PromptUserUMLHWarning,0,</v>
      </c>
      <c r="BM144" s="31" t="str">
        <f t="shared" si="645"/>
        <v>BypassOpenStudio_all,0,</v>
      </c>
      <c r="BN144" s="31" t="str">
        <f t="shared" si="646"/>
        <v>BypassOpenStudio_zp,0,</v>
      </c>
      <c r="BO144" s="31" t="str">
        <f t="shared" si="647"/>
        <v>BypassOpenStudio_zb,0,</v>
      </c>
      <c r="BP144" s="31" t="str">
        <f t="shared" si="648"/>
        <v>BypassOpenStudio_ap,0,</v>
      </c>
      <c r="BQ144" s="31" t="str">
        <f t="shared" si="649"/>
        <v>BypassOpenStudio_ab,0,</v>
      </c>
      <c r="BR144" s="31" t="str">
        <f t="shared" si="650"/>
        <v>BypassOpenStudio_zp,0,</v>
      </c>
      <c r="BS144" s="31" t="str">
        <f t="shared" si="651"/>
        <v>BypassOpenStudio_zb,0,</v>
      </c>
      <c r="BT144" s="31" t="str">
        <f t="shared" si="652"/>
        <v>BypassOpenStudio_ap,0,</v>
      </c>
      <c r="BU144" s="31" t="str">
        <f t="shared" si="653"/>
        <v>BypassOpenStudio_ab,0,</v>
      </c>
    </row>
    <row r="145" spans="1:73" x14ac:dyDescent="0.25">
      <c r="A145" s="39">
        <f t="shared" si="654"/>
        <v>1</v>
      </c>
      <c r="B145" s="27" t="str">
        <f t="shared" si="655"/>
        <v>SoftwareSensitivityTests\StreamlinedApprovalSet\0500215-RetlMed-EnvelopeWallInsulation.cibd</v>
      </c>
      <c r="C145" s="27" t="str">
        <f t="shared" si="656"/>
        <v>BatchOut_160331_r3964_SSTs\0500215-RetlMed-EnvelopeWallInsulation.cibd</v>
      </c>
      <c r="D145" s="27" t="str">
        <f t="shared" si="657"/>
        <v>BatchOut_160331_r3964_SSTs\XML\</v>
      </c>
      <c r="E145" s="9" t="str">
        <f t="shared" si="658"/>
        <v>0500215</v>
      </c>
      <c r="F145" s="22"/>
      <c r="G145" s="29"/>
      <c r="H145" s="23" t="str">
        <f t="shared" si="659"/>
        <v/>
      </c>
      <c r="I145" s="9" t="s">
        <v>11</v>
      </c>
      <c r="J145"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5" s="15" t="s">
        <v>1</v>
      </c>
      <c r="L145" s="36">
        <f t="shared" si="685"/>
        <v>1</v>
      </c>
      <c r="M145" s="32" t="str">
        <f t="shared" si="660"/>
        <v>0500215</v>
      </c>
      <c r="N145" s="28" t="s">
        <v>231</v>
      </c>
      <c r="O145" s="28" t="str">
        <f t="shared" si="686"/>
        <v>0500215-RetlMed-EnvelopeWallInsulation</v>
      </c>
      <c r="P145" s="36">
        <f t="shared" si="687"/>
        <v>1</v>
      </c>
      <c r="Q145" s="36">
        <f t="shared" si="661"/>
        <v>1</v>
      </c>
      <c r="R145" s="36">
        <f t="shared" si="662"/>
        <v>0</v>
      </c>
      <c r="S145" s="36">
        <f t="shared" si="663"/>
        <v>1</v>
      </c>
      <c r="T145" s="36">
        <f t="shared" si="664"/>
        <v>0</v>
      </c>
      <c r="U145" s="36">
        <f t="shared" si="664"/>
        <v>8</v>
      </c>
      <c r="V145" s="36">
        <f t="shared" si="664"/>
        <v>8</v>
      </c>
      <c r="W145" s="36">
        <f t="shared" si="664"/>
        <v>1</v>
      </c>
      <c r="X145" s="36">
        <f t="shared" si="664"/>
        <v>0</v>
      </c>
      <c r="Y145" s="36">
        <f t="shared" si="664"/>
        <v>0</v>
      </c>
      <c r="Z145" s="36">
        <f t="shared" si="664"/>
        <v>0</v>
      </c>
      <c r="AA145" s="36">
        <f t="shared" si="664"/>
        <v>0</v>
      </c>
      <c r="AB145" s="36">
        <f t="shared" si="664"/>
        <v>0</v>
      </c>
      <c r="AC145" s="36">
        <f t="shared" si="672"/>
        <v>0</v>
      </c>
      <c r="AD145" s="36">
        <f t="shared" si="673"/>
        <v>0</v>
      </c>
      <c r="AE145" s="36">
        <f t="shared" si="673"/>
        <v>0</v>
      </c>
      <c r="AF145" s="36">
        <f t="shared" ref="AF145:AG145" si="740">AF144</f>
        <v>0</v>
      </c>
      <c r="AG145" s="36">
        <f t="shared" si="740"/>
        <v>0</v>
      </c>
      <c r="AH145" s="36">
        <f t="shared" ref="AH145:AI145" si="741">AH144</f>
        <v>0</v>
      </c>
      <c r="AI145" s="36">
        <f t="shared" si="741"/>
        <v>0</v>
      </c>
      <c r="AJ145" s="36">
        <f t="shared" si="676"/>
        <v>0</v>
      </c>
      <c r="AK145" s="36">
        <f t="shared" si="677"/>
        <v>0</v>
      </c>
      <c r="AL145" s="36">
        <f t="shared" si="678"/>
        <v>0</v>
      </c>
      <c r="AM145" s="36">
        <f t="shared" si="679"/>
        <v>0</v>
      </c>
      <c r="AN145" s="36">
        <f t="shared" si="680"/>
        <v>0</v>
      </c>
      <c r="AO145" s="36">
        <f t="shared" si="681"/>
        <v>0</v>
      </c>
      <c r="AP145" s="36">
        <f t="shared" si="682"/>
        <v>0</v>
      </c>
      <c r="AQ145" s="36">
        <f t="shared" si="683"/>
        <v>0</v>
      </c>
      <c r="AR145" s="36">
        <f t="shared" si="684"/>
        <v>0</v>
      </c>
      <c r="AS145" s="31" t="str">
        <f t="shared" si="690"/>
        <v>SimulationStorage,1,</v>
      </c>
      <c r="AT145" s="31" t="str">
        <f t="shared" si="691"/>
        <v>AnalysisStorage,1,</v>
      </c>
      <c r="AU145" s="31" t="str">
        <f t="shared" si="692"/>
        <v>LogRuleEvaluation,0,</v>
      </c>
      <c r="AV145" s="31" t="str">
        <f t="shared" si="693"/>
        <v>ParallelSimulations,1,</v>
      </c>
      <c r="AW145" s="31" t="str">
        <f t="shared" si="694"/>
        <v>DurationStats,0,</v>
      </c>
      <c r="AX145" s="31" t="str">
        <f t="shared" si="695"/>
        <v>AnalysisThruStep,8,</v>
      </c>
      <c r="AY145" s="31" t="str">
        <f t="shared" si="696"/>
        <v>DontAbortOnErrorsThruStep,8,</v>
      </c>
      <c r="AZ145" s="31" t="str">
        <f t="shared" si="697"/>
        <v>BypassValidFileChecks,1,</v>
      </c>
      <c r="BA145" s="31" t="str">
        <f t="shared" si="698"/>
        <v>BypassInputChecks,0,</v>
      </c>
      <c r="BB145" s="31" t="str">
        <f t="shared" si="699"/>
        <v>BypassUMLHChecks,0,</v>
      </c>
      <c r="BC145" s="31" t="str">
        <f t="shared" si="700"/>
        <v>BypassCheckSimRules,0,</v>
      </c>
      <c r="BD145" s="31" t="str">
        <f t="shared" si="701"/>
        <v>BypassCheckCodeRules,0,</v>
      </c>
      <c r="BE145" s="31" t="str">
        <f t="shared" si="638"/>
        <v>StoreResultsToModelInput,0,</v>
      </c>
      <c r="BF145" s="31" t="str">
        <f t="shared" si="639"/>
        <v>StoreBEMDetails,0,</v>
      </c>
      <c r="BG145" s="31" t="str">
        <f t="shared" si="640"/>
        <v>ModelRpt_ALL,0,</v>
      </c>
      <c r="BH145" s="31" t="str">
        <f t="shared" si="641"/>
        <v>ExportHourlyResults_All,0,</v>
      </c>
      <c r="BI145" s="31" t="str">
        <f t="shared" si="642"/>
        <v>ComplianceReportPDF,0,</v>
      </c>
      <c r="BJ145" s="31" t="str">
        <f t="shared" si="643"/>
        <v>ComplianceReportXML,0,</v>
      </c>
      <c r="BK145" s="31" t="str">
        <f t="shared" si="644"/>
        <v>QuickAnalysis,0,</v>
      </c>
      <c r="BL145" s="31" t="str">
        <f t="shared" si="644"/>
        <v>PromptUserUMLHWarning,0,</v>
      </c>
      <c r="BM145" s="31" t="str">
        <f t="shared" si="645"/>
        <v>BypassOpenStudio_all,0,</v>
      </c>
      <c r="BN145" s="31" t="str">
        <f t="shared" si="646"/>
        <v>BypassOpenStudio_zp,0,</v>
      </c>
      <c r="BO145" s="31" t="str">
        <f t="shared" si="647"/>
        <v>BypassOpenStudio_zb,0,</v>
      </c>
      <c r="BP145" s="31" t="str">
        <f t="shared" si="648"/>
        <v>BypassOpenStudio_ap,0,</v>
      </c>
      <c r="BQ145" s="31" t="str">
        <f t="shared" si="649"/>
        <v>BypassOpenStudio_ab,0,</v>
      </c>
      <c r="BR145" s="31" t="str">
        <f t="shared" si="650"/>
        <v>BypassOpenStudio_zp,0,</v>
      </c>
      <c r="BS145" s="31" t="str">
        <f t="shared" si="651"/>
        <v>BypassOpenStudio_zb,0,</v>
      </c>
      <c r="BT145" s="31" t="str">
        <f t="shared" si="652"/>
        <v>BypassOpenStudio_ap,0,</v>
      </c>
      <c r="BU145" s="31" t="str">
        <f t="shared" si="653"/>
        <v>BypassOpenStudio_ab,0,</v>
      </c>
    </row>
    <row r="146" spans="1:73" x14ac:dyDescent="0.25">
      <c r="A146" s="39">
        <f t="shared" si="654"/>
        <v>1</v>
      </c>
      <c r="B146" s="27" t="str">
        <f t="shared" si="655"/>
        <v>SoftwareSensitivityTests\StreamlinedApprovalSet\0500315-RetlMed-EnvelopeHeavy.cibd</v>
      </c>
      <c r="C146" s="27" t="str">
        <f t="shared" si="656"/>
        <v>BatchOut_160331_r3964_SSTs\0500315-RetlMed-EnvelopeHeavy.cibd</v>
      </c>
      <c r="D146" s="27" t="str">
        <f t="shared" si="657"/>
        <v>BatchOut_160331_r3964_SSTs\XML\</v>
      </c>
      <c r="E146" s="9" t="str">
        <f t="shared" si="658"/>
        <v>0500315</v>
      </c>
      <c r="F146" s="22"/>
      <c r="G146" s="29"/>
      <c r="H146" s="23" t="str">
        <f t="shared" si="659"/>
        <v/>
      </c>
      <c r="I146" s="9" t="s">
        <v>11</v>
      </c>
      <c r="J146"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6" s="15" t="s">
        <v>1</v>
      </c>
      <c r="L146" s="36">
        <f t="shared" si="685"/>
        <v>1</v>
      </c>
      <c r="M146" s="32" t="str">
        <f t="shared" si="660"/>
        <v>0500315</v>
      </c>
      <c r="N146" s="28" t="s">
        <v>232</v>
      </c>
      <c r="O146" s="28" t="str">
        <f t="shared" si="686"/>
        <v>0500315-RetlMed-EnvelopeHeavy</v>
      </c>
      <c r="P146" s="36">
        <f t="shared" si="687"/>
        <v>1</v>
      </c>
      <c r="Q146" s="36">
        <f t="shared" si="661"/>
        <v>1</v>
      </c>
      <c r="R146" s="36">
        <f t="shared" si="662"/>
        <v>0</v>
      </c>
      <c r="S146" s="36">
        <f t="shared" si="663"/>
        <v>1</v>
      </c>
      <c r="T146" s="36">
        <f t="shared" si="663"/>
        <v>0</v>
      </c>
      <c r="U146" s="36">
        <f t="shared" si="663"/>
        <v>8</v>
      </c>
      <c r="V146" s="36">
        <f t="shared" si="663"/>
        <v>8</v>
      </c>
      <c r="W146" s="36">
        <f t="shared" si="663"/>
        <v>1</v>
      </c>
      <c r="X146" s="36">
        <f t="shared" si="663"/>
        <v>0</v>
      </c>
      <c r="Y146" s="36">
        <f t="shared" si="663"/>
        <v>0</v>
      </c>
      <c r="Z146" s="36">
        <f t="shared" si="663"/>
        <v>0</v>
      </c>
      <c r="AA146" s="36">
        <f t="shared" si="663"/>
        <v>0</v>
      </c>
      <c r="AB146" s="36">
        <f t="shared" si="663"/>
        <v>0</v>
      </c>
      <c r="AC146" s="36">
        <f t="shared" si="672"/>
        <v>0</v>
      </c>
      <c r="AD146" s="36">
        <f t="shared" si="673"/>
        <v>0</v>
      </c>
      <c r="AE146" s="36">
        <f t="shared" si="673"/>
        <v>0</v>
      </c>
      <c r="AF146" s="36">
        <f t="shared" ref="AF146:AG146" si="742">AF145</f>
        <v>0</v>
      </c>
      <c r="AG146" s="36">
        <f t="shared" si="742"/>
        <v>0</v>
      </c>
      <c r="AH146" s="36">
        <f t="shared" ref="AH146:AI146" si="743">AH145</f>
        <v>0</v>
      </c>
      <c r="AI146" s="36">
        <f t="shared" si="743"/>
        <v>0</v>
      </c>
      <c r="AJ146" s="36">
        <f t="shared" si="676"/>
        <v>0</v>
      </c>
      <c r="AK146" s="36">
        <f t="shared" si="677"/>
        <v>0</v>
      </c>
      <c r="AL146" s="36">
        <f t="shared" si="678"/>
        <v>0</v>
      </c>
      <c r="AM146" s="36">
        <f t="shared" si="679"/>
        <v>0</v>
      </c>
      <c r="AN146" s="36">
        <f t="shared" si="680"/>
        <v>0</v>
      </c>
      <c r="AO146" s="36">
        <f t="shared" si="681"/>
        <v>0</v>
      </c>
      <c r="AP146" s="36">
        <f t="shared" si="682"/>
        <v>0</v>
      </c>
      <c r="AQ146" s="36">
        <f t="shared" si="683"/>
        <v>0</v>
      </c>
      <c r="AR146" s="36">
        <f t="shared" si="684"/>
        <v>0</v>
      </c>
      <c r="AS146" s="31" t="str">
        <f t="shared" si="690"/>
        <v>SimulationStorage,1,</v>
      </c>
      <c r="AT146" s="31" t="str">
        <f t="shared" si="691"/>
        <v>AnalysisStorage,1,</v>
      </c>
      <c r="AU146" s="31" t="str">
        <f t="shared" si="692"/>
        <v>LogRuleEvaluation,0,</v>
      </c>
      <c r="AV146" s="31" t="str">
        <f t="shared" si="693"/>
        <v>ParallelSimulations,1,</v>
      </c>
      <c r="AW146" s="31" t="str">
        <f t="shared" si="694"/>
        <v>DurationStats,0,</v>
      </c>
      <c r="AX146" s="31" t="str">
        <f t="shared" si="695"/>
        <v>AnalysisThruStep,8,</v>
      </c>
      <c r="AY146" s="31" t="str">
        <f t="shared" si="696"/>
        <v>DontAbortOnErrorsThruStep,8,</v>
      </c>
      <c r="AZ146" s="31" t="str">
        <f t="shared" si="697"/>
        <v>BypassValidFileChecks,1,</v>
      </c>
      <c r="BA146" s="31" t="str">
        <f t="shared" si="698"/>
        <v>BypassInputChecks,0,</v>
      </c>
      <c r="BB146" s="31" t="str">
        <f t="shared" si="699"/>
        <v>BypassUMLHChecks,0,</v>
      </c>
      <c r="BC146" s="31" t="str">
        <f t="shared" si="700"/>
        <v>BypassCheckSimRules,0,</v>
      </c>
      <c r="BD146" s="31" t="str">
        <f t="shared" si="701"/>
        <v>BypassCheckCodeRules,0,</v>
      </c>
      <c r="BE146" s="31" t="str">
        <f t="shared" si="638"/>
        <v>StoreResultsToModelInput,0,</v>
      </c>
      <c r="BF146" s="31" t="str">
        <f t="shared" si="639"/>
        <v>StoreBEMDetails,0,</v>
      </c>
      <c r="BG146" s="31" t="str">
        <f t="shared" si="640"/>
        <v>ModelRpt_ALL,0,</v>
      </c>
      <c r="BH146" s="31" t="str">
        <f t="shared" si="641"/>
        <v>ExportHourlyResults_All,0,</v>
      </c>
      <c r="BI146" s="31" t="str">
        <f t="shared" si="642"/>
        <v>ComplianceReportPDF,0,</v>
      </c>
      <c r="BJ146" s="31" t="str">
        <f t="shared" si="643"/>
        <v>ComplianceReportXML,0,</v>
      </c>
      <c r="BK146" s="31" t="str">
        <f t="shared" si="644"/>
        <v>QuickAnalysis,0,</v>
      </c>
      <c r="BL146" s="31" t="str">
        <f t="shared" si="644"/>
        <v>PromptUserUMLHWarning,0,</v>
      </c>
      <c r="BM146" s="31" t="str">
        <f t="shared" si="645"/>
        <v>BypassOpenStudio_all,0,</v>
      </c>
      <c r="BN146" s="31" t="str">
        <f t="shared" si="646"/>
        <v>BypassOpenStudio_zp,0,</v>
      </c>
      <c r="BO146" s="31" t="str">
        <f t="shared" si="647"/>
        <v>BypassOpenStudio_zb,0,</v>
      </c>
      <c r="BP146" s="31" t="str">
        <f t="shared" si="648"/>
        <v>BypassOpenStudio_ap,0,</v>
      </c>
      <c r="BQ146" s="31" t="str">
        <f t="shared" si="649"/>
        <v>BypassOpenStudio_ab,0,</v>
      </c>
      <c r="BR146" s="31" t="str">
        <f t="shared" si="650"/>
        <v>BypassOpenStudio_zp,0,</v>
      </c>
      <c r="BS146" s="31" t="str">
        <f t="shared" si="651"/>
        <v>BypassOpenStudio_zb,0,</v>
      </c>
      <c r="BT146" s="31" t="str">
        <f t="shared" si="652"/>
        <v>BypassOpenStudio_ap,0,</v>
      </c>
      <c r="BU146" s="31" t="str">
        <f t="shared" si="653"/>
        <v>BypassOpenStudio_ab,0,</v>
      </c>
    </row>
    <row r="147" spans="1:73" x14ac:dyDescent="0.25">
      <c r="A147" s="39">
        <f t="shared" si="654"/>
        <v>1</v>
      </c>
      <c r="B147" s="27" t="str">
        <f t="shared" si="655"/>
        <v>SoftwareSensitivityTests\StreamlinedApprovalSet\0512815-RetlMed-SZVAV.cibd</v>
      </c>
      <c r="C147" s="27" t="str">
        <f t="shared" si="656"/>
        <v>BatchOut_160331_r3964_SSTs\0512815-RetlMed-SZVAV.cibd</v>
      </c>
      <c r="D147" s="27" t="str">
        <f t="shared" si="657"/>
        <v>BatchOut_160331_r3964_SSTs\XML\</v>
      </c>
      <c r="E147" s="9" t="str">
        <f t="shared" si="658"/>
        <v>0512815</v>
      </c>
      <c r="F147" s="22"/>
      <c r="G147" s="29"/>
      <c r="H147" s="23" t="str">
        <f t="shared" si="659"/>
        <v/>
      </c>
      <c r="I147" s="9" t="s">
        <v>11</v>
      </c>
      <c r="J147"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7" s="15" t="s">
        <v>1</v>
      </c>
      <c r="L147" s="36">
        <f t="shared" si="685"/>
        <v>1</v>
      </c>
      <c r="M147" s="32" t="str">
        <f t="shared" si="660"/>
        <v>0512815</v>
      </c>
      <c r="N147" s="28" t="s">
        <v>233</v>
      </c>
      <c r="O147" s="28" t="str">
        <f t="shared" si="686"/>
        <v>0512815-RetlMed-SZVAV</v>
      </c>
      <c r="P147" s="36">
        <f t="shared" si="687"/>
        <v>1</v>
      </c>
      <c r="Q147" s="36">
        <f t="shared" si="661"/>
        <v>1</v>
      </c>
      <c r="R147" s="36">
        <f t="shared" si="662"/>
        <v>0</v>
      </c>
      <c r="S147" s="36">
        <f t="shared" si="662"/>
        <v>1</v>
      </c>
      <c r="T147" s="36">
        <f t="shared" si="662"/>
        <v>0</v>
      </c>
      <c r="U147" s="36">
        <f t="shared" si="662"/>
        <v>8</v>
      </c>
      <c r="V147" s="36">
        <f t="shared" si="662"/>
        <v>8</v>
      </c>
      <c r="W147" s="36">
        <f t="shared" si="662"/>
        <v>1</v>
      </c>
      <c r="X147" s="36">
        <f t="shared" si="662"/>
        <v>0</v>
      </c>
      <c r="Y147" s="36">
        <f t="shared" si="662"/>
        <v>0</v>
      </c>
      <c r="Z147" s="36">
        <f t="shared" si="662"/>
        <v>0</v>
      </c>
      <c r="AA147" s="36">
        <f t="shared" si="662"/>
        <v>0</v>
      </c>
      <c r="AB147" s="36">
        <f t="shared" si="662"/>
        <v>0</v>
      </c>
      <c r="AC147" s="36">
        <f t="shared" si="672"/>
        <v>0</v>
      </c>
      <c r="AD147" s="36">
        <f t="shared" si="673"/>
        <v>0</v>
      </c>
      <c r="AE147" s="36">
        <f t="shared" si="673"/>
        <v>0</v>
      </c>
      <c r="AF147" s="36">
        <f t="shared" ref="AF147:AG147" si="744">AF146</f>
        <v>0</v>
      </c>
      <c r="AG147" s="36">
        <f t="shared" si="744"/>
        <v>0</v>
      </c>
      <c r="AH147" s="36">
        <f t="shared" ref="AH147:AI147" si="745">AH146</f>
        <v>0</v>
      </c>
      <c r="AI147" s="36">
        <f t="shared" si="745"/>
        <v>0</v>
      </c>
      <c r="AJ147" s="36">
        <f t="shared" si="676"/>
        <v>0</v>
      </c>
      <c r="AK147" s="36">
        <f t="shared" si="677"/>
        <v>0</v>
      </c>
      <c r="AL147" s="36">
        <f t="shared" si="678"/>
        <v>0</v>
      </c>
      <c r="AM147" s="36">
        <f t="shared" si="679"/>
        <v>0</v>
      </c>
      <c r="AN147" s="36">
        <f t="shared" si="680"/>
        <v>0</v>
      </c>
      <c r="AO147" s="36">
        <f t="shared" si="681"/>
        <v>0</v>
      </c>
      <c r="AP147" s="36">
        <f t="shared" si="682"/>
        <v>0</v>
      </c>
      <c r="AQ147" s="36">
        <f t="shared" si="683"/>
        <v>0</v>
      </c>
      <c r="AR147" s="36">
        <f t="shared" si="684"/>
        <v>0</v>
      </c>
      <c r="AS147" s="31" t="str">
        <f t="shared" si="690"/>
        <v>SimulationStorage,1,</v>
      </c>
      <c r="AT147" s="31" t="str">
        <f t="shared" si="691"/>
        <v>AnalysisStorage,1,</v>
      </c>
      <c r="AU147" s="31" t="str">
        <f t="shared" si="692"/>
        <v>LogRuleEvaluation,0,</v>
      </c>
      <c r="AV147" s="31" t="str">
        <f t="shared" si="693"/>
        <v>ParallelSimulations,1,</v>
      </c>
      <c r="AW147" s="31" t="str">
        <f t="shared" si="694"/>
        <v>DurationStats,0,</v>
      </c>
      <c r="AX147" s="31" t="str">
        <f t="shared" si="695"/>
        <v>AnalysisThruStep,8,</v>
      </c>
      <c r="AY147" s="31" t="str">
        <f t="shared" si="696"/>
        <v>DontAbortOnErrorsThruStep,8,</v>
      </c>
      <c r="AZ147" s="31" t="str">
        <f t="shared" si="697"/>
        <v>BypassValidFileChecks,1,</v>
      </c>
      <c r="BA147" s="31" t="str">
        <f t="shared" si="698"/>
        <v>BypassInputChecks,0,</v>
      </c>
      <c r="BB147" s="31" t="str">
        <f t="shared" si="699"/>
        <v>BypassUMLHChecks,0,</v>
      </c>
      <c r="BC147" s="31" t="str">
        <f t="shared" si="700"/>
        <v>BypassCheckSimRules,0,</v>
      </c>
      <c r="BD147" s="31" t="str">
        <f t="shared" si="701"/>
        <v>BypassCheckCodeRules,0,</v>
      </c>
      <c r="BE147" s="31" t="str">
        <f t="shared" si="638"/>
        <v>StoreResultsToModelInput,0,</v>
      </c>
      <c r="BF147" s="31" t="str">
        <f t="shared" si="639"/>
        <v>StoreBEMDetails,0,</v>
      </c>
      <c r="BG147" s="31" t="str">
        <f t="shared" si="640"/>
        <v>ModelRpt_ALL,0,</v>
      </c>
      <c r="BH147" s="31" t="str">
        <f t="shared" si="641"/>
        <v>ExportHourlyResults_All,0,</v>
      </c>
      <c r="BI147" s="31" t="str">
        <f t="shared" si="642"/>
        <v>ComplianceReportPDF,0,</v>
      </c>
      <c r="BJ147" s="31" t="str">
        <f t="shared" si="643"/>
        <v>ComplianceReportXML,0,</v>
      </c>
      <c r="BK147" s="31" t="str">
        <f t="shared" si="644"/>
        <v>QuickAnalysis,0,</v>
      </c>
      <c r="BL147" s="31" t="str">
        <f t="shared" si="644"/>
        <v>PromptUserUMLHWarning,0,</v>
      </c>
      <c r="BM147" s="31" t="str">
        <f t="shared" si="645"/>
        <v>BypassOpenStudio_all,0,</v>
      </c>
      <c r="BN147" s="31" t="str">
        <f t="shared" si="646"/>
        <v>BypassOpenStudio_zp,0,</v>
      </c>
      <c r="BO147" s="31" t="str">
        <f t="shared" si="647"/>
        <v>BypassOpenStudio_zb,0,</v>
      </c>
      <c r="BP147" s="31" t="str">
        <f t="shared" si="648"/>
        <v>BypassOpenStudio_ap,0,</v>
      </c>
      <c r="BQ147" s="31" t="str">
        <f t="shared" si="649"/>
        <v>BypassOpenStudio_ab,0,</v>
      </c>
      <c r="BR147" s="31" t="str">
        <f t="shared" si="650"/>
        <v>BypassOpenStudio_zp,0,</v>
      </c>
      <c r="BS147" s="31" t="str">
        <f t="shared" si="651"/>
        <v>BypassOpenStudio_zb,0,</v>
      </c>
      <c r="BT147" s="31" t="str">
        <f t="shared" si="652"/>
        <v>BypassOpenStudio_ap,0,</v>
      </c>
      <c r="BU147" s="31" t="str">
        <f t="shared" si="653"/>
        <v>BypassOpenStudio_ab,0,</v>
      </c>
    </row>
    <row r="148" spans="1:73" x14ac:dyDescent="0.25">
      <c r="A148" s="39">
        <f t="shared" si="654"/>
        <v>1</v>
      </c>
      <c r="B148" s="27" t="str">
        <f t="shared" si="655"/>
        <v>SoftwareSensitivityTests\StreamlinedApprovalSet\0500016-RetlMed-Baseline.cibd</v>
      </c>
      <c r="C148" s="27" t="str">
        <f t="shared" si="656"/>
        <v>BatchOut_160331_r3964_SSTs\0500016-RetlMed-Baseline.cibd</v>
      </c>
      <c r="D148" s="27" t="str">
        <f t="shared" si="657"/>
        <v>BatchOut_160331_r3964_SSTs\XML\</v>
      </c>
      <c r="E148" s="9" t="str">
        <f t="shared" si="658"/>
        <v>0500016</v>
      </c>
      <c r="F148" s="22"/>
      <c r="G148" s="29"/>
      <c r="H148" s="23" t="str">
        <f t="shared" si="659"/>
        <v/>
      </c>
      <c r="I148" s="9" t="s">
        <v>11</v>
      </c>
      <c r="J148"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8" s="15" t="s">
        <v>1</v>
      </c>
      <c r="L148" s="36">
        <f t="shared" si="685"/>
        <v>1</v>
      </c>
      <c r="M148" s="32" t="str">
        <f t="shared" si="660"/>
        <v>0500016</v>
      </c>
      <c r="N148" s="28" t="s">
        <v>234</v>
      </c>
      <c r="O148" s="28" t="str">
        <f t="shared" si="686"/>
        <v>0500016-RetlMed-Baseline</v>
      </c>
      <c r="P148" s="36">
        <f t="shared" si="687"/>
        <v>1</v>
      </c>
      <c r="Q148" s="36">
        <f t="shared" si="661"/>
        <v>1</v>
      </c>
      <c r="R148" s="36">
        <f t="shared" si="661"/>
        <v>0</v>
      </c>
      <c r="S148" s="36">
        <f t="shared" si="661"/>
        <v>1</v>
      </c>
      <c r="T148" s="36">
        <f t="shared" si="661"/>
        <v>0</v>
      </c>
      <c r="U148" s="36">
        <f t="shared" si="661"/>
        <v>8</v>
      </c>
      <c r="V148" s="36">
        <f t="shared" si="661"/>
        <v>8</v>
      </c>
      <c r="W148" s="36">
        <f t="shared" si="661"/>
        <v>1</v>
      </c>
      <c r="X148" s="36">
        <f t="shared" si="661"/>
        <v>0</v>
      </c>
      <c r="Y148" s="36">
        <f t="shared" si="661"/>
        <v>0</v>
      </c>
      <c r="Z148" s="36">
        <f t="shared" si="661"/>
        <v>0</v>
      </c>
      <c r="AA148" s="36">
        <f t="shared" si="661"/>
        <v>0</v>
      </c>
      <c r="AB148" s="36">
        <f t="shared" si="661"/>
        <v>0</v>
      </c>
      <c r="AC148" s="36">
        <f t="shared" si="672"/>
        <v>0</v>
      </c>
      <c r="AD148" s="36">
        <f t="shared" si="673"/>
        <v>0</v>
      </c>
      <c r="AE148" s="36">
        <f t="shared" si="673"/>
        <v>0</v>
      </c>
      <c r="AF148" s="36">
        <f t="shared" ref="AF148:AG148" si="746">AF147</f>
        <v>0</v>
      </c>
      <c r="AG148" s="36">
        <f t="shared" si="746"/>
        <v>0</v>
      </c>
      <c r="AH148" s="36">
        <f t="shared" ref="AH148:AI148" si="747">AH147</f>
        <v>0</v>
      </c>
      <c r="AI148" s="36">
        <f t="shared" si="747"/>
        <v>0</v>
      </c>
      <c r="AJ148" s="36">
        <f t="shared" si="676"/>
        <v>0</v>
      </c>
      <c r="AK148" s="36">
        <f t="shared" si="677"/>
        <v>0</v>
      </c>
      <c r="AL148" s="36">
        <f t="shared" si="678"/>
        <v>0</v>
      </c>
      <c r="AM148" s="36">
        <f t="shared" si="679"/>
        <v>0</v>
      </c>
      <c r="AN148" s="36">
        <f t="shared" si="680"/>
        <v>0</v>
      </c>
      <c r="AO148" s="36">
        <f t="shared" si="681"/>
        <v>0</v>
      </c>
      <c r="AP148" s="36">
        <f t="shared" si="682"/>
        <v>0</v>
      </c>
      <c r="AQ148" s="36">
        <f t="shared" si="683"/>
        <v>0</v>
      </c>
      <c r="AR148" s="36">
        <f t="shared" si="684"/>
        <v>0</v>
      </c>
      <c r="AS148" s="31" t="str">
        <f t="shared" si="690"/>
        <v>SimulationStorage,1,</v>
      </c>
      <c r="AT148" s="31" t="str">
        <f t="shared" si="691"/>
        <v>AnalysisStorage,1,</v>
      </c>
      <c r="AU148" s="31" t="str">
        <f t="shared" si="692"/>
        <v>LogRuleEvaluation,0,</v>
      </c>
      <c r="AV148" s="31" t="str">
        <f t="shared" si="693"/>
        <v>ParallelSimulations,1,</v>
      </c>
      <c r="AW148" s="31" t="str">
        <f t="shared" si="694"/>
        <v>DurationStats,0,</v>
      </c>
      <c r="AX148" s="31" t="str">
        <f t="shared" si="695"/>
        <v>AnalysisThruStep,8,</v>
      </c>
      <c r="AY148" s="31" t="str">
        <f t="shared" si="696"/>
        <v>DontAbortOnErrorsThruStep,8,</v>
      </c>
      <c r="AZ148" s="31" t="str">
        <f t="shared" si="697"/>
        <v>BypassValidFileChecks,1,</v>
      </c>
      <c r="BA148" s="31" t="str">
        <f t="shared" si="698"/>
        <v>BypassInputChecks,0,</v>
      </c>
      <c r="BB148" s="31" t="str">
        <f t="shared" si="699"/>
        <v>BypassUMLHChecks,0,</v>
      </c>
      <c r="BC148" s="31" t="str">
        <f t="shared" si="700"/>
        <v>BypassCheckSimRules,0,</v>
      </c>
      <c r="BD148" s="31" t="str">
        <f t="shared" si="701"/>
        <v>BypassCheckCodeRules,0,</v>
      </c>
      <c r="BE148" s="31" t="str">
        <f t="shared" si="638"/>
        <v>StoreResultsToModelInput,0,</v>
      </c>
      <c r="BF148" s="31" t="str">
        <f t="shared" si="639"/>
        <v>StoreBEMDetails,0,</v>
      </c>
      <c r="BG148" s="31" t="str">
        <f t="shared" si="640"/>
        <v>ModelRpt_ALL,0,</v>
      </c>
      <c r="BH148" s="31" t="str">
        <f t="shared" si="641"/>
        <v>ExportHourlyResults_All,0,</v>
      </c>
      <c r="BI148" s="31" t="str">
        <f t="shared" si="642"/>
        <v>ComplianceReportPDF,0,</v>
      </c>
      <c r="BJ148" s="31" t="str">
        <f t="shared" si="643"/>
        <v>ComplianceReportXML,0,</v>
      </c>
      <c r="BK148" s="31" t="str">
        <f t="shared" si="644"/>
        <v>QuickAnalysis,0,</v>
      </c>
      <c r="BL148" s="31" t="str">
        <f t="shared" si="644"/>
        <v>PromptUserUMLHWarning,0,</v>
      </c>
      <c r="BM148" s="31" t="str">
        <f t="shared" si="645"/>
        <v>BypassOpenStudio_all,0,</v>
      </c>
      <c r="BN148" s="31" t="str">
        <f t="shared" si="646"/>
        <v>BypassOpenStudio_zp,0,</v>
      </c>
      <c r="BO148" s="31" t="str">
        <f t="shared" si="647"/>
        <v>BypassOpenStudio_zb,0,</v>
      </c>
      <c r="BP148" s="31" t="str">
        <f t="shared" si="648"/>
        <v>BypassOpenStudio_ap,0,</v>
      </c>
      <c r="BQ148" s="31" t="str">
        <f t="shared" si="649"/>
        <v>BypassOpenStudio_ab,0,</v>
      </c>
      <c r="BR148" s="31" t="str">
        <f t="shared" si="650"/>
        <v>BypassOpenStudio_zp,0,</v>
      </c>
      <c r="BS148" s="31" t="str">
        <f t="shared" si="651"/>
        <v>BypassOpenStudio_zb,0,</v>
      </c>
      <c r="BT148" s="31" t="str">
        <f t="shared" si="652"/>
        <v>BypassOpenStudio_ap,0,</v>
      </c>
      <c r="BU148" s="31" t="str">
        <f t="shared" si="653"/>
        <v>BypassOpenStudio_ab,0,</v>
      </c>
    </row>
    <row r="149" spans="1:73" x14ac:dyDescent="0.25">
      <c r="A149" s="39">
        <f t="shared" si="654"/>
        <v>1</v>
      </c>
      <c r="B149" s="27" t="str">
        <f t="shared" si="655"/>
        <v>SoftwareSensitivityTests\StreamlinedApprovalSet\0512916-RetlMed-SZVAV.cibd</v>
      </c>
      <c r="C149" s="27" t="str">
        <f t="shared" si="656"/>
        <v>BatchOut_160331_r3964_SSTs\0512916-RetlMed-SZVAV.cibd</v>
      </c>
      <c r="D149" s="27" t="str">
        <f t="shared" si="657"/>
        <v>BatchOut_160331_r3964_SSTs\XML\</v>
      </c>
      <c r="E149" s="9" t="str">
        <f t="shared" si="658"/>
        <v>0512916</v>
      </c>
      <c r="F149" s="22"/>
      <c r="G149" s="29"/>
      <c r="H149" s="23" t="str">
        <f t="shared" si="659"/>
        <v/>
      </c>
      <c r="I149" s="9" t="s">
        <v>11</v>
      </c>
      <c r="J149"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9" s="15" t="s">
        <v>1</v>
      </c>
      <c r="L149" s="36">
        <f t="shared" si="685"/>
        <v>1</v>
      </c>
      <c r="M149" s="32" t="str">
        <f t="shared" si="660"/>
        <v>0512916</v>
      </c>
      <c r="N149" s="28" t="s">
        <v>235</v>
      </c>
      <c r="O149" s="28" t="str">
        <f t="shared" si="686"/>
        <v>0512916-RetlMed-SZVAV</v>
      </c>
      <c r="P149" s="36">
        <f t="shared" si="687"/>
        <v>1</v>
      </c>
      <c r="Q149" s="36">
        <f t="shared" si="687"/>
        <v>1</v>
      </c>
      <c r="R149" s="36">
        <f t="shared" si="687"/>
        <v>0</v>
      </c>
      <c r="S149" s="36">
        <f t="shared" si="687"/>
        <v>1</v>
      </c>
      <c r="T149" s="36">
        <f t="shared" si="687"/>
        <v>0</v>
      </c>
      <c r="U149" s="36">
        <f t="shared" si="687"/>
        <v>8</v>
      </c>
      <c r="V149" s="36">
        <f t="shared" si="687"/>
        <v>8</v>
      </c>
      <c r="W149" s="36">
        <f t="shared" si="687"/>
        <v>1</v>
      </c>
      <c r="X149" s="36">
        <f t="shared" si="687"/>
        <v>0</v>
      </c>
      <c r="Y149" s="36">
        <f t="shared" si="687"/>
        <v>0</v>
      </c>
      <c r="Z149" s="36">
        <f t="shared" si="687"/>
        <v>0</v>
      </c>
      <c r="AA149" s="36">
        <f t="shared" si="687"/>
        <v>0</v>
      </c>
      <c r="AB149" s="36">
        <f t="shared" si="687"/>
        <v>0</v>
      </c>
      <c r="AC149" s="36">
        <f t="shared" si="672"/>
        <v>0</v>
      </c>
      <c r="AD149" s="36">
        <f t="shared" si="673"/>
        <v>0</v>
      </c>
      <c r="AE149" s="36">
        <f t="shared" si="673"/>
        <v>0</v>
      </c>
      <c r="AF149" s="36">
        <f t="shared" ref="AF149:AG149" si="748">AF148</f>
        <v>0</v>
      </c>
      <c r="AG149" s="36">
        <f t="shared" si="748"/>
        <v>0</v>
      </c>
      <c r="AH149" s="36">
        <f t="shared" ref="AH149:AI149" si="749">AH148</f>
        <v>0</v>
      </c>
      <c r="AI149" s="36">
        <f t="shared" si="749"/>
        <v>0</v>
      </c>
      <c r="AJ149" s="36">
        <f t="shared" si="676"/>
        <v>0</v>
      </c>
      <c r="AK149" s="36">
        <f t="shared" si="677"/>
        <v>0</v>
      </c>
      <c r="AL149" s="36">
        <f t="shared" si="678"/>
        <v>0</v>
      </c>
      <c r="AM149" s="36">
        <f t="shared" si="679"/>
        <v>0</v>
      </c>
      <c r="AN149" s="36">
        <f t="shared" si="680"/>
        <v>0</v>
      </c>
      <c r="AO149" s="36">
        <f t="shared" si="681"/>
        <v>0</v>
      </c>
      <c r="AP149" s="36">
        <f t="shared" si="682"/>
        <v>0</v>
      </c>
      <c r="AQ149" s="36">
        <f t="shared" si="683"/>
        <v>0</v>
      </c>
      <c r="AR149" s="36">
        <f t="shared" si="684"/>
        <v>0</v>
      </c>
      <c r="AS149" s="31" t="str">
        <f t="shared" si="690"/>
        <v>SimulationStorage,1,</v>
      </c>
      <c r="AT149" s="31" t="str">
        <f t="shared" si="691"/>
        <v>AnalysisStorage,1,</v>
      </c>
      <c r="AU149" s="31" t="str">
        <f t="shared" si="692"/>
        <v>LogRuleEvaluation,0,</v>
      </c>
      <c r="AV149" s="31" t="str">
        <f t="shared" si="693"/>
        <v>ParallelSimulations,1,</v>
      </c>
      <c r="AW149" s="31" t="str">
        <f t="shared" si="694"/>
        <v>DurationStats,0,</v>
      </c>
      <c r="AX149" s="31" t="str">
        <f t="shared" si="695"/>
        <v>AnalysisThruStep,8,</v>
      </c>
      <c r="AY149" s="31" t="str">
        <f t="shared" si="696"/>
        <v>DontAbortOnErrorsThruStep,8,</v>
      </c>
      <c r="AZ149" s="31" t="str">
        <f t="shared" si="697"/>
        <v>BypassValidFileChecks,1,</v>
      </c>
      <c r="BA149" s="31" t="str">
        <f t="shared" si="698"/>
        <v>BypassInputChecks,0,</v>
      </c>
      <c r="BB149" s="31" t="str">
        <f t="shared" si="699"/>
        <v>BypassUMLHChecks,0,</v>
      </c>
      <c r="BC149" s="31" t="str">
        <f t="shared" si="700"/>
        <v>BypassCheckSimRules,0,</v>
      </c>
      <c r="BD149" s="31" t="str">
        <f t="shared" si="701"/>
        <v>BypassCheckCodeRules,0,</v>
      </c>
      <c r="BE149" s="31" t="str">
        <f t="shared" si="638"/>
        <v>StoreResultsToModelInput,0,</v>
      </c>
      <c r="BF149" s="31" t="str">
        <f t="shared" si="639"/>
        <v>StoreBEMDetails,0,</v>
      </c>
      <c r="BG149" s="31" t="str">
        <f t="shared" si="640"/>
        <v>ModelRpt_ALL,0,</v>
      </c>
      <c r="BH149" s="31" t="str">
        <f t="shared" si="641"/>
        <v>ExportHourlyResults_All,0,</v>
      </c>
      <c r="BI149" s="31" t="str">
        <f t="shared" si="642"/>
        <v>ComplianceReportPDF,0,</v>
      </c>
      <c r="BJ149" s="31" t="str">
        <f t="shared" si="643"/>
        <v>ComplianceReportXML,0,</v>
      </c>
      <c r="BK149" s="31" t="str">
        <f t="shared" si="644"/>
        <v>QuickAnalysis,0,</v>
      </c>
      <c r="BL149" s="31" t="str">
        <f t="shared" si="644"/>
        <v>PromptUserUMLHWarning,0,</v>
      </c>
      <c r="BM149" s="31" t="str">
        <f t="shared" si="645"/>
        <v>BypassOpenStudio_all,0,</v>
      </c>
      <c r="BN149" s="31" t="str">
        <f t="shared" si="646"/>
        <v>BypassOpenStudio_zp,0,</v>
      </c>
      <c r="BO149" s="31" t="str">
        <f t="shared" si="647"/>
        <v>BypassOpenStudio_zb,0,</v>
      </c>
      <c r="BP149" s="31" t="str">
        <f t="shared" si="648"/>
        <v>BypassOpenStudio_ap,0,</v>
      </c>
      <c r="BQ149" s="31" t="str">
        <f t="shared" si="649"/>
        <v>BypassOpenStudio_ab,0,</v>
      </c>
      <c r="BR149" s="31" t="str">
        <f t="shared" si="650"/>
        <v>BypassOpenStudio_zp,0,</v>
      </c>
      <c r="BS149" s="31" t="str">
        <f t="shared" si="651"/>
        <v>BypassOpenStudio_zb,0,</v>
      </c>
      <c r="BT149" s="31" t="str">
        <f t="shared" si="652"/>
        <v>BypassOpenStudio_ap,0,</v>
      </c>
      <c r="BU149" s="31" t="str">
        <f t="shared" si="653"/>
        <v>BypassOpenStudio_ab,0,</v>
      </c>
    </row>
    <row r="150" spans="1:73" x14ac:dyDescent="0.25">
      <c r="A150" s="39">
        <f t="shared" si="654"/>
        <v>1</v>
      </c>
      <c r="B150" s="27" t="str">
        <f t="shared" si="655"/>
        <v>SoftwareSensitivityTests\StreamlinedApprovalSet\0500006-RetlMed-Baseline.cibd</v>
      </c>
      <c r="C150" s="27" t="str">
        <f t="shared" si="656"/>
        <v>BatchOut_160331_r3964_SSTs\0500006-RetlMed-Baseline.cibd</v>
      </c>
      <c r="D150" s="27" t="str">
        <f t="shared" si="657"/>
        <v>BatchOut_160331_r3964_SSTs\XML\</v>
      </c>
      <c r="E150" s="9" t="str">
        <f t="shared" si="658"/>
        <v>0500006</v>
      </c>
      <c r="F150" s="22"/>
      <c r="G150" s="29"/>
      <c r="H150" s="23" t="str">
        <f t="shared" si="659"/>
        <v/>
      </c>
      <c r="I150" s="9" t="s">
        <v>11</v>
      </c>
      <c r="J150"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0" s="15" t="s">
        <v>1</v>
      </c>
      <c r="L150" s="36">
        <f t="shared" si="685"/>
        <v>1</v>
      </c>
      <c r="M150" s="32" t="str">
        <f t="shared" si="660"/>
        <v>0500006</v>
      </c>
      <c r="N150" s="28" t="s">
        <v>236</v>
      </c>
      <c r="O150" s="28" t="str">
        <f t="shared" si="686"/>
        <v>0500006-RetlMed-Baseline</v>
      </c>
      <c r="P150" s="36">
        <f t="shared" si="687"/>
        <v>1</v>
      </c>
      <c r="Q150" s="36">
        <f t="shared" si="687"/>
        <v>1</v>
      </c>
      <c r="R150" s="36">
        <f t="shared" si="687"/>
        <v>0</v>
      </c>
      <c r="S150" s="36">
        <f t="shared" si="687"/>
        <v>1</v>
      </c>
      <c r="T150" s="36">
        <f t="shared" si="687"/>
        <v>0</v>
      </c>
      <c r="U150" s="36">
        <f t="shared" si="687"/>
        <v>8</v>
      </c>
      <c r="V150" s="36">
        <f t="shared" si="687"/>
        <v>8</v>
      </c>
      <c r="W150" s="36">
        <f t="shared" si="687"/>
        <v>1</v>
      </c>
      <c r="X150" s="36">
        <f t="shared" si="687"/>
        <v>0</v>
      </c>
      <c r="Y150" s="36">
        <f t="shared" si="687"/>
        <v>0</v>
      </c>
      <c r="Z150" s="36">
        <f t="shared" si="687"/>
        <v>0</v>
      </c>
      <c r="AA150" s="36">
        <f t="shared" si="687"/>
        <v>0</v>
      </c>
      <c r="AB150" s="36">
        <f t="shared" si="687"/>
        <v>0</v>
      </c>
      <c r="AC150" s="36">
        <f t="shared" si="672"/>
        <v>0</v>
      </c>
      <c r="AD150" s="36">
        <f t="shared" si="673"/>
        <v>0</v>
      </c>
      <c r="AE150" s="36">
        <f t="shared" si="673"/>
        <v>0</v>
      </c>
      <c r="AF150" s="36">
        <f t="shared" ref="AF150:AG150" si="750">AF149</f>
        <v>0</v>
      </c>
      <c r="AG150" s="36">
        <f t="shared" si="750"/>
        <v>0</v>
      </c>
      <c r="AH150" s="36">
        <f t="shared" ref="AH150:AI150" si="751">AH149</f>
        <v>0</v>
      </c>
      <c r="AI150" s="36">
        <f t="shared" si="751"/>
        <v>0</v>
      </c>
      <c r="AJ150" s="36">
        <f t="shared" si="676"/>
        <v>0</v>
      </c>
      <c r="AK150" s="36">
        <f t="shared" si="677"/>
        <v>0</v>
      </c>
      <c r="AL150" s="36">
        <f t="shared" si="678"/>
        <v>0</v>
      </c>
      <c r="AM150" s="36">
        <f t="shared" si="679"/>
        <v>0</v>
      </c>
      <c r="AN150" s="36">
        <f t="shared" si="680"/>
        <v>0</v>
      </c>
      <c r="AO150" s="36">
        <f t="shared" si="681"/>
        <v>0</v>
      </c>
      <c r="AP150" s="36">
        <f t="shared" si="682"/>
        <v>0</v>
      </c>
      <c r="AQ150" s="36">
        <f t="shared" si="683"/>
        <v>0</v>
      </c>
      <c r="AR150" s="36">
        <f t="shared" si="684"/>
        <v>0</v>
      </c>
      <c r="AS150" s="31" t="str">
        <f t="shared" si="690"/>
        <v>SimulationStorage,1,</v>
      </c>
      <c r="AT150" s="31" t="str">
        <f t="shared" si="691"/>
        <v>AnalysisStorage,1,</v>
      </c>
      <c r="AU150" s="31" t="str">
        <f t="shared" si="692"/>
        <v>LogRuleEvaluation,0,</v>
      </c>
      <c r="AV150" s="31" t="str">
        <f t="shared" si="693"/>
        <v>ParallelSimulations,1,</v>
      </c>
      <c r="AW150" s="31" t="str">
        <f t="shared" si="694"/>
        <v>DurationStats,0,</v>
      </c>
      <c r="AX150" s="31" t="str">
        <f t="shared" si="695"/>
        <v>AnalysisThruStep,8,</v>
      </c>
      <c r="AY150" s="31" t="str">
        <f t="shared" si="696"/>
        <v>DontAbortOnErrorsThruStep,8,</v>
      </c>
      <c r="AZ150" s="31" t="str">
        <f t="shared" si="697"/>
        <v>BypassValidFileChecks,1,</v>
      </c>
      <c r="BA150" s="31" t="str">
        <f t="shared" si="698"/>
        <v>BypassInputChecks,0,</v>
      </c>
      <c r="BB150" s="31" t="str">
        <f t="shared" si="699"/>
        <v>BypassUMLHChecks,0,</v>
      </c>
      <c r="BC150" s="31" t="str">
        <f t="shared" si="700"/>
        <v>BypassCheckSimRules,0,</v>
      </c>
      <c r="BD150" s="31" t="str">
        <f t="shared" si="701"/>
        <v>BypassCheckCodeRules,0,</v>
      </c>
      <c r="BE150" s="31" t="str">
        <f t="shared" si="638"/>
        <v>StoreResultsToModelInput,0,</v>
      </c>
      <c r="BF150" s="31" t="str">
        <f t="shared" si="639"/>
        <v>StoreBEMDetails,0,</v>
      </c>
      <c r="BG150" s="31" t="str">
        <f t="shared" si="640"/>
        <v>ModelRpt_ALL,0,</v>
      </c>
      <c r="BH150" s="31" t="str">
        <f t="shared" si="641"/>
        <v>ExportHourlyResults_All,0,</v>
      </c>
      <c r="BI150" s="31" t="str">
        <f t="shared" si="642"/>
        <v>ComplianceReportPDF,0,</v>
      </c>
      <c r="BJ150" s="31" t="str">
        <f t="shared" si="643"/>
        <v>ComplianceReportXML,0,</v>
      </c>
      <c r="BK150" s="31" t="str">
        <f t="shared" si="644"/>
        <v>QuickAnalysis,0,</v>
      </c>
      <c r="BL150" s="31" t="str">
        <f t="shared" si="644"/>
        <v>PromptUserUMLHWarning,0,</v>
      </c>
      <c r="BM150" s="31" t="str">
        <f t="shared" si="645"/>
        <v>BypassOpenStudio_all,0,</v>
      </c>
      <c r="BN150" s="31" t="str">
        <f t="shared" si="646"/>
        <v>BypassOpenStudio_zp,0,</v>
      </c>
      <c r="BO150" s="31" t="str">
        <f t="shared" si="647"/>
        <v>BypassOpenStudio_zb,0,</v>
      </c>
      <c r="BP150" s="31" t="str">
        <f t="shared" si="648"/>
        <v>BypassOpenStudio_ap,0,</v>
      </c>
      <c r="BQ150" s="31" t="str">
        <f t="shared" si="649"/>
        <v>BypassOpenStudio_ab,0,</v>
      </c>
      <c r="BR150" s="31" t="str">
        <f t="shared" si="650"/>
        <v>BypassOpenStudio_zp,0,</v>
      </c>
      <c r="BS150" s="31" t="str">
        <f t="shared" si="651"/>
        <v>BypassOpenStudio_zb,0,</v>
      </c>
      <c r="BT150" s="31" t="str">
        <f t="shared" si="652"/>
        <v>BypassOpenStudio_ap,0,</v>
      </c>
      <c r="BU150" s="31" t="str">
        <f t="shared" si="653"/>
        <v>BypassOpenStudio_ab,0,</v>
      </c>
    </row>
    <row r="151" spans="1:73" x14ac:dyDescent="0.25">
      <c r="A151" s="39">
        <f t="shared" si="654"/>
        <v>1</v>
      </c>
      <c r="B151" s="27" t="str">
        <f t="shared" si="655"/>
        <v>SoftwareSensitivityTests\StreamlinedApprovalSet\0513006-RetlMed-SZVAV.cibd</v>
      </c>
      <c r="C151" s="27" t="str">
        <f t="shared" si="656"/>
        <v>BatchOut_160331_r3964_SSTs\0513006-RetlMed-SZVAV.cibd</v>
      </c>
      <c r="D151" s="27" t="str">
        <f t="shared" si="657"/>
        <v>BatchOut_160331_r3964_SSTs\XML\</v>
      </c>
      <c r="E151" s="9" t="str">
        <f t="shared" si="658"/>
        <v>0513006</v>
      </c>
      <c r="F151" s="22"/>
      <c r="G151" s="29"/>
      <c r="H151" s="23" t="str">
        <f t="shared" si="659"/>
        <v/>
      </c>
      <c r="I151" s="9" t="s">
        <v>11</v>
      </c>
      <c r="J151"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1" s="15" t="s">
        <v>1</v>
      </c>
      <c r="L151" s="36">
        <f t="shared" si="685"/>
        <v>1</v>
      </c>
      <c r="M151" s="32" t="str">
        <f t="shared" si="660"/>
        <v>0513006</v>
      </c>
      <c r="N151" s="28" t="s">
        <v>237</v>
      </c>
      <c r="O151" s="28" t="str">
        <f t="shared" si="686"/>
        <v>0513006-RetlMed-SZVAV</v>
      </c>
      <c r="P151" s="36">
        <f t="shared" si="687"/>
        <v>1</v>
      </c>
      <c r="Q151" s="36">
        <f t="shared" si="687"/>
        <v>1</v>
      </c>
      <c r="R151" s="36">
        <f t="shared" si="687"/>
        <v>0</v>
      </c>
      <c r="S151" s="36">
        <f t="shared" si="687"/>
        <v>1</v>
      </c>
      <c r="T151" s="36">
        <f t="shared" si="687"/>
        <v>0</v>
      </c>
      <c r="U151" s="36">
        <f t="shared" si="687"/>
        <v>8</v>
      </c>
      <c r="V151" s="36">
        <f t="shared" si="687"/>
        <v>8</v>
      </c>
      <c r="W151" s="36">
        <f t="shared" si="687"/>
        <v>1</v>
      </c>
      <c r="X151" s="36">
        <f t="shared" si="687"/>
        <v>0</v>
      </c>
      <c r="Y151" s="36">
        <f t="shared" si="687"/>
        <v>0</v>
      </c>
      <c r="Z151" s="36">
        <f t="shared" si="687"/>
        <v>0</v>
      </c>
      <c r="AA151" s="36">
        <f t="shared" si="687"/>
        <v>0</v>
      </c>
      <c r="AB151" s="36">
        <f t="shared" si="687"/>
        <v>0</v>
      </c>
      <c r="AC151" s="36">
        <f t="shared" si="672"/>
        <v>0</v>
      </c>
      <c r="AD151" s="36">
        <f t="shared" si="673"/>
        <v>0</v>
      </c>
      <c r="AE151" s="36">
        <f t="shared" si="673"/>
        <v>0</v>
      </c>
      <c r="AF151" s="36">
        <f t="shared" ref="AF151:AG151" si="752">AF150</f>
        <v>0</v>
      </c>
      <c r="AG151" s="36">
        <f t="shared" si="752"/>
        <v>0</v>
      </c>
      <c r="AH151" s="36">
        <f t="shared" ref="AH151:AI151" si="753">AH150</f>
        <v>0</v>
      </c>
      <c r="AI151" s="36">
        <f t="shared" si="753"/>
        <v>0</v>
      </c>
      <c r="AJ151" s="36">
        <f t="shared" si="676"/>
        <v>0</v>
      </c>
      <c r="AK151" s="36">
        <f t="shared" si="677"/>
        <v>0</v>
      </c>
      <c r="AL151" s="36">
        <f t="shared" si="678"/>
        <v>0</v>
      </c>
      <c r="AM151" s="36">
        <f t="shared" si="679"/>
        <v>0</v>
      </c>
      <c r="AN151" s="36">
        <f t="shared" si="680"/>
        <v>0</v>
      </c>
      <c r="AO151" s="36">
        <f t="shared" si="681"/>
        <v>0</v>
      </c>
      <c r="AP151" s="36">
        <f t="shared" si="682"/>
        <v>0</v>
      </c>
      <c r="AQ151" s="36">
        <f t="shared" si="683"/>
        <v>0</v>
      </c>
      <c r="AR151" s="36">
        <f t="shared" si="684"/>
        <v>0</v>
      </c>
      <c r="AS151" s="31" t="str">
        <f t="shared" si="690"/>
        <v>SimulationStorage,1,</v>
      </c>
      <c r="AT151" s="31" t="str">
        <f t="shared" si="691"/>
        <v>AnalysisStorage,1,</v>
      </c>
      <c r="AU151" s="31" t="str">
        <f t="shared" si="692"/>
        <v>LogRuleEvaluation,0,</v>
      </c>
      <c r="AV151" s="31" t="str">
        <f t="shared" si="693"/>
        <v>ParallelSimulations,1,</v>
      </c>
      <c r="AW151" s="31" t="str">
        <f t="shared" si="694"/>
        <v>DurationStats,0,</v>
      </c>
      <c r="AX151" s="31" t="str">
        <f t="shared" si="695"/>
        <v>AnalysisThruStep,8,</v>
      </c>
      <c r="AY151" s="31" t="str">
        <f t="shared" si="696"/>
        <v>DontAbortOnErrorsThruStep,8,</v>
      </c>
      <c r="AZ151" s="31" t="str">
        <f t="shared" si="697"/>
        <v>BypassValidFileChecks,1,</v>
      </c>
      <c r="BA151" s="31" t="str">
        <f t="shared" si="698"/>
        <v>BypassInputChecks,0,</v>
      </c>
      <c r="BB151" s="31" t="str">
        <f t="shared" si="699"/>
        <v>BypassUMLHChecks,0,</v>
      </c>
      <c r="BC151" s="31" t="str">
        <f t="shared" si="700"/>
        <v>BypassCheckSimRules,0,</v>
      </c>
      <c r="BD151" s="31" t="str">
        <f t="shared" si="701"/>
        <v>BypassCheckCodeRules,0,</v>
      </c>
      <c r="BE151" s="31" t="str">
        <f t="shared" si="638"/>
        <v>StoreResultsToModelInput,0,</v>
      </c>
      <c r="BF151" s="31" t="str">
        <f t="shared" si="639"/>
        <v>StoreBEMDetails,0,</v>
      </c>
      <c r="BG151" s="31" t="str">
        <f t="shared" si="640"/>
        <v>ModelRpt_ALL,0,</v>
      </c>
      <c r="BH151" s="31" t="str">
        <f t="shared" si="641"/>
        <v>ExportHourlyResults_All,0,</v>
      </c>
      <c r="BI151" s="31" t="str">
        <f t="shared" si="642"/>
        <v>ComplianceReportPDF,0,</v>
      </c>
      <c r="BJ151" s="31" t="str">
        <f t="shared" si="643"/>
        <v>ComplianceReportXML,0,</v>
      </c>
      <c r="BK151" s="31" t="str">
        <f t="shared" si="644"/>
        <v>QuickAnalysis,0,</v>
      </c>
      <c r="BL151" s="31" t="str">
        <f t="shared" si="644"/>
        <v>PromptUserUMLHWarning,0,</v>
      </c>
      <c r="BM151" s="31" t="str">
        <f t="shared" si="645"/>
        <v>BypassOpenStudio_all,0,</v>
      </c>
      <c r="BN151" s="31" t="str">
        <f t="shared" si="646"/>
        <v>BypassOpenStudio_zp,0,</v>
      </c>
      <c r="BO151" s="31" t="str">
        <f t="shared" si="647"/>
        <v>BypassOpenStudio_zb,0,</v>
      </c>
      <c r="BP151" s="31" t="str">
        <f t="shared" si="648"/>
        <v>BypassOpenStudio_ap,0,</v>
      </c>
      <c r="BQ151" s="31" t="str">
        <f t="shared" si="649"/>
        <v>BypassOpenStudio_ab,0,</v>
      </c>
      <c r="BR151" s="31" t="str">
        <f t="shared" si="650"/>
        <v>BypassOpenStudio_zp,0,</v>
      </c>
      <c r="BS151" s="31" t="str">
        <f t="shared" si="651"/>
        <v>BypassOpenStudio_zb,0,</v>
      </c>
      <c r="BT151" s="31" t="str">
        <f t="shared" si="652"/>
        <v>BypassOpenStudio_ap,0,</v>
      </c>
      <c r="BU151" s="31" t="str">
        <f t="shared" si="653"/>
        <v>BypassOpenStudio_ab,0,</v>
      </c>
    </row>
    <row r="152" spans="1:73" x14ac:dyDescent="0.25">
      <c r="A152" s="39">
        <f t="shared" si="654"/>
        <v>1</v>
      </c>
      <c r="B152" s="27" t="str">
        <f t="shared" si="655"/>
        <v>SoftwareSensitivityTests\StreamlinedApprovalSet\0400015-OffLrg-CRAH.cibd</v>
      </c>
      <c r="C152" s="27" t="str">
        <f t="shared" si="656"/>
        <v>BatchOut_160331_r3964_SSTs\0400015-OffLrg-CRAH.cibd</v>
      </c>
      <c r="D152" s="27" t="str">
        <f t="shared" si="657"/>
        <v>BatchOut_160331_r3964_SSTs\XML\</v>
      </c>
      <c r="E152" s="9" t="str">
        <f t="shared" si="658"/>
        <v>0400015</v>
      </c>
      <c r="F152" s="22"/>
      <c r="G152" s="29"/>
      <c r="H152" s="23" t="str">
        <f t="shared" si="659"/>
        <v/>
      </c>
      <c r="I152" s="9" t="s">
        <v>11</v>
      </c>
      <c r="J152"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2" s="15" t="s">
        <v>1</v>
      </c>
      <c r="L152" s="36">
        <f t="shared" si="685"/>
        <v>1</v>
      </c>
      <c r="M152" s="32" t="str">
        <f t="shared" si="660"/>
        <v>0400015</v>
      </c>
      <c r="N152" s="28" t="s">
        <v>238</v>
      </c>
      <c r="O152" s="28" t="str">
        <f t="shared" si="686"/>
        <v>0400015-OffLrg-CRAH</v>
      </c>
      <c r="P152" s="36">
        <f t="shared" si="687"/>
        <v>1</v>
      </c>
      <c r="Q152" s="36">
        <f t="shared" si="687"/>
        <v>1</v>
      </c>
      <c r="R152" s="36">
        <f t="shared" si="687"/>
        <v>0</v>
      </c>
      <c r="S152" s="36">
        <f t="shared" si="687"/>
        <v>1</v>
      </c>
      <c r="T152" s="36">
        <f t="shared" si="687"/>
        <v>0</v>
      </c>
      <c r="U152" s="36">
        <f t="shared" si="687"/>
        <v>8</v>
      </c>
      <c r="V152" s="36">
        <f t="shared" si="687"/>
        <v>8</v>
      </c>
      <c r="W152" s="36">
        <f t="shared" si="687"/>
        <v>1</v>
      </c>
      <c r="X152" s="36">
        <f t="shared" si="687"/>
        <v>0</v>
      </c>
      <c r="Y152" s="36">
        <f t="shared" si="687"/>
        <v>0</v>
      </c>
      <c r="Z152" s="36">
        <f t="shared" si="687"/>
        <v>0</v>
      </c>
      <c r="AA152" s="36">
        <f t="shared" si="687"/>
        <v>0</v>
      </c>
      <c r="AB152" s="36">
        <f t="shared" si="687"/>
        <v>0</v>
      </c>
      <c r="AC152" s="36">
        <f t="shared" si="672"/>
        <v>0</v>
      </c>
      <c r="AD152" s="36">
        <f t="shared" si="673"/>
        <v>0</v>
      </c>
      <c r="AE152" s="36">
        <f t="shared" si="673"/>
        <v>0</v>
      </c>
      <c r="AF152" s="36">
        <f t="shared" ref="AF152:AG152" si="754">AF151</f>
        <v>0</v>
      </c>
      <c r="AG152" s="36">
        <f t="shared" si="754"/>
        <v>0</v>
      </c>
      <c r="AH152" s="36">
        <f t="shared" ref="AH152:AI152" si="755">AH151</f>
        <v>0</v>
      </c>
      <c r="AI152" s="36">
        <f t="shared" si="755"/>
        <v>0</v>
      </c>
      <c r="AJ152" s="36">
        <f t="shared" si="676"/>
        <v>0</v>
      </c>
      <c r="AK152" s="36">
        <f t="shared" si="677"/>
        <v>0</v>
      </c>
      <c r="AL152" s="36">
        <f t="shared" si="678"/>
        <v>0</v>
      </c>
      <c r="AM152" s="36">
        <f t="shared" si="679"/>
        <v>0</v>
      </c>
      <c r="AN152" s="36">
        <f t="shared" si="680"/>
        <v>0</v>
      </c>
      <c r="AO152" s="36">
        <f t="shared" si="681"/>
        <v>0</v>
      </c>
      <c r="AP152" s="36">
        <f t="shared" si="682"/>
        <v>0</v>
      </c>
      <c r="AQ152" s="36">
        <f t="shared" si="683"/>
        <v>0</v>
      </c>
      <c r="AR152" s="36">
        <f t="shared" si="684"/>
        <v>0</v>
      </c>
      <c r="AS152" s="31" t="str">
        <f t="shared" si="690"/>
        <v>SimulationStorage,1,</v>
      </c>
      <c r="AT152" s="31" t="str">
        <f t="shared" si="691"/>
        <v>AnalysisStorage,1,</v>
      </c>
      <c r="AU152" s="31" t="str">
        <f t="shared" si="692"/>
        <v>LogRuleEvaluation,0,</v>
      </c>
      <c r="AV152" s="31" t="str">
        <f t="shared" si="693"/>
        <v>ParallelSimulations,1,</v>
      </c>
      <c r="AW152" s="31" t="str">
        <f t="shared" si="694"/>
        <v>DurationStats,0,</v>
      </c>
      <c r="AX152" s="31" t="str">
        <f t="shared" si="695"/>
        <v>AnalysisThruStep,8,</v>
      </c>
      <c r="AY152" s="31" t="str">
        <f t="shared" si="696"/>
        <v>DontAbortOnErrorsThruStep,8,</v>
      </c>
      <c r="AZ152" s="31" t="str">
        <f t="shared" si="697"/>
        <v>BypassValidFileChecks,1,</v>
      </c>
      <c r="BA152" s="31" t="str">
        <f t="shared" si="698"/>
        <v>BypassInputChecks,0,</v>
      </c>
      <c r="BB152" s="31" t="str">
        <f t="shared" si="699"/>
        <v>BypassUMLHChecks,0,</v>
      </c>
      <c r="BC152" s="31" t="str">
        <f t="shared" si="700"/>
        <v>BypassCheckSimRules,0,</v>
      </c>
      <c r="BD152" s="31" t="str">
        <f t="shared" si="701"/>
        <v>BypassCheckCodeRules,0,</v>
      </c>
      <c r="BE152" s="31" t="str">
        <f t="shared" si="638"/>
        <v>StoreResultsToModelInput,0,</v>
      </c>
      <c r="BF152" s="31" t="str">
        <f t="shared" si="639"/>
        <v>StoreBEMDetails,0,</v>
      </c>
      <c r="BG152" s="31" t="str">
        <f t="shared" si="640"/>
        <v>ModelRpt_ALL,0,</v>
      </c>
      <c r="BH152" s="31" t="str">
        <f t="shared" si="641"/>
        <v>ExportHourlyResults_All,0,</v>
      </c>
      <c r="BI152" s="31" t="str">
        <f t="shared" si="642"/>
        <v>ComplianceReportPDF,0,</v>
      </c>
      <c r="BJ152" s="31" t="str">
        <f t="shared" si="643"/>
        <v>ComplianceReportXML,0,</v>
      </c>
      <c r="BK152" s="31" t="str">
        <f t="shared" si="644"/>
        <v>QuickAnalysis,0,</v>
      </c>
      <c r="BL152" s="31" t="str">
        <f t="shared" si="644"/>
        <v>PromptUserUMLHWarning,0,</v>
      </c>
      <c r="BM152" s="31" t="str">
        <f t="shared" si="645"/>
        <v>BypassOpenStudio_all,0,</v>
      </c>
      <c r="BN152" s="31" t="str">
        <f t="shared" si="646"/>
        <v>BypassOpenStudio_zp,0,</v>
      </c>
      <c r="BO152" s="31" t="str">
        <f t="shared" si="647"/>
        <v>BypassOpenStudio_zb,0,</v>
      </c>
      <c r="BP152" s="31" t="str">
        <f t="shared" si="648"/>
        <v>BypassOpenStudio_ap,0,</v>
      </c>
      <c r="BQ152" s="31" t="str">
        <f t="shared" si="649"/>
        <v>BypassOpenStudio_ab,0,</v>
      </c>
      <c r="BR152" s="31" t="str">
        <f t="shared" si="650"/>
        <v>BypassOpenStudio_zp,0,</v>
      </c>
      <c r="BS152" s="31" t="str">
        <f t="shared" si="651"/>
        <v>BypassOpenStudio_zb,0,</v>
      </c>
      <c r="BT152" s="31" t="str">
        <f t="shared" si="652"/>
        <v>BypassOpenStudio_ap,0,</v>
      </c>
      <c r="BU152" s="31" t="str">
        <f t="shared" si="653"/>
        <v>BypassOpenStudio_ab,0,</v>
      </c>
    </row>
    <row r="153" spans="1:73" x14ac:dyDescent="0.25">
      <c r="A153" s="39">
        <f t="shared" si="654"/>
        <v>1</v>
      </c>
      <c r="B153" s="27" t="str">
        <f t="shared" si="655"/>
        <v>SoftwareSensitivityTests\StreamlinedApprovalSet\0413115-OffLrg-CRAC.cibd</v>
      </c>
      <c r="C153" s="27" t="str">
        <f t="shared" si="656"/>
        <v>BatchOut_160331_r3964_SSTs\0413115-OffLrg-CRAC.cibd</v>
      </c>
      <c r="D153" s="27" t="str">
        <f t="shared" si="657"/>
        <v>BatchOut_160331_r3964_SSTs\XML\</v>
      </c>
      <c r="E153" s="9" t="str">
        <f t="shared" si="658"/>
        <v>0413115</v>
      </c>
      <c r="F153" s="22"/>
      <c r="G153" s="29"/>
      <c r="H153" s="23" t="str">
        <f t="shared" si="659"/>
        <v/>
      </c>
      <c r="I153" s="9" t="s">
        <v>11</v>
      </c>
      <c r="J153"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3" s="15" t="s">
        <v>1</v>
      </c>
      <c r="L153" s="36">
        <f t="shared" si="685"/>
        <v>1</v>
      </c>
      <c r="M153" s="32" t="str">
        <f t="shared" si="660"/>
        <v>0413115</v>
      </c>
      <c r="N153" s="28" t="s">
        <v>239</v>
      </c>
      <c r="O153" s="28" t="str">
        <f t="shared" si="686"/>
        <v>0413115-OffLrg-CRAC</v>
      </c>
      <c r="P153" s="36">
        <f t="shared" si="687"/>
        <v>1</v>
      </c>
      <c r="Q153" s="36">
        <f t="shared" si="687"/>
        <v>1</v>
      </c>
      <c r="R153" s="36">
        <f t="shared" si="687"/>
        <v>0</v>
      </c>
      <c r="S153" s="36">
        <f t="shared" si="687"/>
        <v>1</v>
      </c>
      <c r="T153" s="36">
        <f t="shared" si="687"/>
        <v>0</v>
      </c>
      <c r="U153" s="36">
        <f t="shared" si="687"/>
        <v>8</v>
      </c>
      <c r="V153" s="36">
        <f t="shared" si="687"/>
        <v>8</v>
      </c>
      <c r="W153" s="36">
        <f t="shared" si="687"/>
        <v>1</v>
      </c>
      <c r="X153" s="36">
        <f t="shared" si="687"/>
        <v>0</v>
      </c>
      <c r="Y153" s="36">
        <f t="shared" si="687"/>
        <v>0</v>
      </c>
      <c r="Z153" s="36">
        <f t="shared" si="687"/>
        <v>0</v>
      </c>
      <c r="AA153" s="36">
        <f t="shared" si="687"/>
        <v>0</v>
      </c>
      <c r="AB153" s="36">
        <f t="shared" si="687"/>
        <v>0</v>
      </c>
      <c r="AC153" s="36">
        <f t="shared" si="672"/>
        <v>0</v>
      </c>
      <c r="AD153" s="36">
        <f t="shared" si="673"/>
        <v>0</v>
      </c>
      <c r="AE153" s="36">
        <f t="shared" si="673"/>
        <v>0</v>
      </c>
      <c r="AF153" s="36">
        <f t="shared" ref="AF153:AG153" si="756">AF152</f>
        <v>0</v>
      </c>
      <c r="AG153" s="36">
        <f t="shared" si="756"/>
        <v>0</v>
      </c>
      <c r="AH153" s="36">
        <f t="shared" ref="AH153:AI153" si="757">AH152</f>
        <v>0</v>
      </c>
      <c r="AI153" s="36">
        <f t="shared" si="757"/>
        <v>0</v>
      </c>
      <c r="AJ153" s="36">
        <f t="shared" si="676"/>
        <v>0</v>
      </c>
      <c r="AK153" s="36">
        <f t="shared" si="677"/>
        <v>0</v>
      </c>
      <c r="AL153" s="36">
        <f t="shared" si="678"/>
        <v>0</v>
      </c>
      <c r="AM153" s="36">
        <f t="shared" si="679"/>
        <v>0</v>
      </c>
      <c r="AN153" s="36">
        <f t="shared" si="680"/>
        <v>0</v>
      </c>
      <c r="AO153" s="36">
        <f t="shared" si="681"/>
        <v>0</v>
      </c>
      <c r="AP153" s="36">
        <f t="shared" si="682"/>
        <v>0</v>
      </c>
      <c r="AQ153" s="36">
        <f t="shared" si="683"/>
        <v>0</v>
      </c>
      <c r="AR153" s="36">
        <f t="shared" si="684"/>
        <v>0</v>
      </c>
      <c r="AS153" s="31" t="str">
        <f t="shared" si="690"/>
        <v>SimulationStorage,1,</v>
      </c>
      <c r="AT153" s="31" t="str">
        <f t="shared" si="691"/>
        <v>AnalysisStorage,1,</v>
      </c>
      <c r="AU153" s="31" t="str">
        <f t="shared" si="692"/>
        <v>LogRuleEvaluation,0,</v>
      </c>
      <c r="AV153" s="31" t="str">
        <f t="shared" si="693"/>
        <v>ParallelSimulations,1,</v>
      </c>
      <c r="AW153" s="31" t="str">
        <f t="shared" si="694"/>
        <v>DurationStats,0,</v>
      </c>
      <c r="AX153" s="31" t="str">
        <f t="shared" si="695"/>
        <v>AnalysisThruStep,8,</v>
      </c>
      <c r="AY153" s="31" t="str">
        <f t="shared" si="696"/>
        <v>DontAbortOnErrorsThruStep,8,</v>
      </c>
      <c r="AZ153" s="31" t="str">
        <f t="shared" si="697"/>
        <v>BypassValidFileChecks,1,</v>
      </c>
      <c r="BA153" s="31" t="str">
        <f t="shared" si="698"/>
        <v>BypassInputChecks,0,</v>
      </c>
      <c r="BB153" s="31" t="str">
        <f t="shared" si="699"/>
        <v>BypassUMLHChecks,0,</v>
      </c>
      <c r="BC153" s="31" t="str">
        <f t="shared" si="700"/>
        <v>BypassCheckSimRules,0,</v>
      </c>
      <c r="BD153" s="31" t="str">
        <f t="shared" si="701"/>
        <v>BypassCheckCodeRules,0,</v>
      </c>
      <c r="BE153" s="31" t="str">
        <f t="shared" si="638"/>
        <v>StoreResultsToModelInput,0,</v>
      </c>
      <c r="BF153" s="31" t="str">
        <f t="shared" si="639"/>
        <v>StoreBEMDetails,0,</v>
      </c>
      <c r="BG153" s="31" t="str">
        <f t="shared" si="640"/>
        <v>ModelRpt_ALL,0,</v>
      </c>
      <c r="BH153" s="31" t="str">
        <f t="shared" si="641"/>
        <v>ExportHourlyResults_All,0,</v>
      </c>
      <c r="BI153" s="31" t="str">
        <f t="shared" si="642"/>
        <v>ComplianceReportPDF,0,</v>
      </c>
      <c r="BJ153" s="31" t="str">
        <f t="shared" si="643"/>
        <v>ComplianceReportXML,0,</v>
      </c>
      <c r="BK153" s="31" t="str">
        <f t="shared" si="644"/>
        <v>QuickAnalysis,0,</v>
      </c>
      <c r="BL153" s="31" t="str">
        <f t="shared" si="644"/>
        <v>PromptUserUMLHWarning,0,</v>
      </c>
      <c r="BM153" s="31" t="str">
        <f t="shared" si="645"/>
        <v>BypassOpenStudio_all,0,</v>
      </c>
      <c r="BN153" s="31" t="str">
        <f t="shared" si="646"/>
        <v>BypassOpenStudio_zp,0,</v>
      </c>
      <c r="BO153" s="31" t="str">
        <f t="shared" si="647"/>
        <v>BypassOpenStudio_zb,0,</v>
      </c>
      <c r="BP153" s="31" t="str">
        <f t="shared" si="648"/>
        <v>BypassOpenStudio_ap,0,</v>
      </c>
      <c r="BQ153" s="31" t="str">
        <f t="shared" si="649"/>
        <v>BypassOpenStudio_ab,0,</v>
      </c>
      <c r="BR153" s="31" t="str">
        <f t="shared" si="650"/>
        <v>BypassOpenStudio_zp,0,</v>
      </c>
      <c r="BS153" s="31" t="str">
        <f t="shared" si="651"/>
        <v>BypassOpenStudio_zb,0,</v>
      </c>
      <c r="BT153" s="31" t="str">
        <f t="shared" si="652"/>
        <v>BypassOpenStudio_ap,0,</v>
      </c>
      <c r="BU153" s="31" t="str">
        <f t="shared" si="653"/>
        <v>BypassOpenStudio_ab,0,</v>
      </c>
    </row>
    <row r="154" spans="1:73" x14ac:dyDescent="0.25">
      <c r="A154" s="39">
        <f t="shared" si="654"/>
        <v>1</v>
      </c>
      <c r="B154" s="27" t="str">
        <f t="shared" si="655"/>
        <v>SoftwareSensitivityTests\StreamlinedApprovalSet\0400016-OffLrg-CRAH.cibd</v>
      </c>
      <c r="C154" s="27" t="str">
        <f t="shared" si="656"/>
        <v>BatchOut_160331_r3964_SSTs\0400016-OffLrg-CRAH.cibd</v>
      </c>
      <c r="D154" s="27" t="str">
        <f t="shared" si="657"/>
        <v>BatchOut_160331_r3964_SSTs\XML\</v>
      </c>
      <c r="E154" s="9" t="str">
        <f t="shared" si="658"/>
        <v>0400016</v>
      </c>
      <c r="F154" s="22"/>
      <c r="G154" s="29"/>
      <c r="H154" s="23" t="str">
        <f t="shared" si="659"/>
        <v/>
      </c>
      <c r="I154" s="9" t="s">
        <v>11</v>
      </c>
      <c r="J154"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4" s="15" t="s">
        <v>1</v>
      </c>
      <c r="L154" s="36">
        <f t="shared" si="685"/>
        <v>1</v>
      </c>
      <c r="M154" s="32" t="str">
        <f t="shared" si="660"/>
        <v>0400016</v>
      </c>
      <c r="N154" s="28" t="s">
        <v>240</v>
      </c>
      <c r="O154" s="28" t="str">
        <f t="shared" si="686"/>
        <v>0400016-OffLrg-CRAH</v>
      </c>
      <c r="P154" s="36">
        <f t="shared" si="687"/>
        <v>1</v>
      </c>
      <c r="Q154" s="36">
        <f t="shared" si="687"/>
        <v>1</v>
      </c>
      <c r="R154" s="36">
        <f t="shared" si="687"/>
        <v>0</v>
      </c>
      <c r="S154" s="36">
        <f t="shared" si="687"/>
        <v>1</v>
      </c>
      <c r="T154" s="36">
        <f t="shared" si="687"/>
        <v>0</v>
      </c>
      <c r="U154" s="36">
        <f t="shared" si="687"/>
        <v>8</v>
      </c>
      <c r="V154" s="36">
        <f t="shared" si="687"/>
        <v>8</v>
      </c>
      <c r="W154" s="36">
        <f t="shared" si="687"/>
        <v>1</v>
      </c>
      <c r="X154" s="36">
        <f t="shared" si="687"/>
        <v>0</v>
      </c>
      <c r="Y154" s="36">
        <f t="shared" si="687"/>
        <v>0</v>
      </c>
      <c r="Z154" s="36">
        <f t="shared" si="687"/>
        <v>0</v>
      </c>
      <c r="AA154" s="36">
        <f t="shared" si="687"/>
        <v>0</v>
      </c>
      <c r="AB154" s="36">
        <f t="shared" si="687"/>
        <v>0</v>
      </c>
      <c r="AC154" s="36">
        <f t="shared" si="672"/>
        <v>0</v>
      </c>
      <c r="AD154" s="36">
        <f t="shared" si="673"/>
        <v>0</v>
      </c>
      <c r="AE154" s="36">
        <f t="shared" si="673"/>
        <v>0</v>
      </c>
      <c r="AF154" s="36">
        <f t="shared" ref="AF154:AG154" si="758">AF153</f>
        <v>0</v>
      </c>
      <c r="AG154" s="36">
        <f t="shared" si="758"/>
        <v>0</v>
      </c>
      <c r="AH154" s="36">
        <f t="shared" ref="AH154:AI154" si="759">AH153</f>
        <v>0</v>
      </c>
      <c r="AI154" s="36">
        <f t="shared" si="759"/>
        <v>0</v>
      </c>
      <c r="AJ154" s="36">
        <f t="shared" si="676"/>
        <v>0</v>
      </c>
      <c r="AK154" s="36">
        <f t="shared" si="677"/>
        <v>0</v>
      </c>
      <c r="AL154" s="36">
        <f t="shared" si="678"/>
        <v>0</v>
      </c>
      <c r="AM154" s="36">
        <f t="shared" si="679"/>
        <v>0</v>
      </c>
      <c r="AN154" s="36">
        <f t="shared" si="680"/>
        <v>0</v>
      </c>
      <c r="AO154" s="36">
        <f t="shared" si="681"/>
        <v>0</v>
      </c>
      <c r="AP154" s="36">
        <f t="shared" si="682"/>
        <v>0</v>
      </c>
      <c r="AQ154" s="36">
        <f t="shared" si="683"/>
        <v>0</v>
      </c>
      <c r="AR154" s="36">
        <f t="shared" si="684"/>
        <v>0</v>
      </c>
      <c r="AS154" s="31" t="str">
        <f t="shared" si="690"/>
        <v>SimulationStorage,1,</v>
      </c>
      <c r="AT154" s="31" t="str">
        <f t="shared" si="691"/>
        <v>AnalysisStorage,1,</v>
      </c>
      <c r="AU154" s="31" t="str">
        <f t="shared" si="692"/>
        <v>LogRuleEvaluation,0,</v>
      </c>
      <c r="AV154" s="31" t="str">
        <f t="shared" si="693"/>
        <v>ParallelSimulations,1,</v>
      </c>
      <c r="AW154" s="31" t="str">
        <f t="shared" si="694"/>
        <v>DurationStats,0,</v>
      </c>
      <c r="AX154" s="31" t="str">
        <f t="shared" si="695"/>
        <v>AnalysisThruStep,8,</v>
      </c>
      <c r="AY154" s="31" t="str">
        <f t="shared" si="696"/>
        <v>DontAbortOnErrorsThruStep,8,</v>
      </c>
      <c r="AZ154" s="31" t="str">
        <f t="shared" si="697"/>
        <v>BypassValidFileChecks,1,</v>
      </c>
      <c r="BA154" s="31" t="str">
        <f t="shared" si="698"/>
        <v>BypassInputChecks,0,</v>
      </c>
      <c r="BB154" s="31" t="str">
        <f t="shared" si="699"/>
        <v>BypassUMLHChecks,0,</v>
      </c>
      <c r="BC154" s="31" t="str">
        <f t="shared" si="700"/>
        <v>BypassCheckSimRules,0,</v>
      </c>
      <c r="BD154" s="31" t="str">
        <f t="shared" si="701"/>
        <v>BypassCheckCodeRules,0,</v>
      </c>
      <c r="BE154" s="31" t="str">
        <f t="shared" si="638"/>
        <v>StoreResultsToModelInput,0,</v>
      </c>
      <c r="BF154" s="31" t="str">
        <f t="shared" si="639"/>
        <v>StoreBEMDetails,0,</v>
      </c>
      <c r="BG154" s="31" t="str">
        <f t="shared" si="640"/>
        <v>ModelRpt_ALL,0,</v>
      </c>
      <c r="BH154" s="31" t="str">
        <f t="shared" si="641"/>
        <v>ExportHourlyResults_All,0,</v>
      </c>
      <c r="BI154" s="31" t="str">
        <f t="shared" si="642"/>
        <v>ComplianceReportPDF,0,</v>
      </c>
      <c r="BJ154" s="31" t="str">
        <f t="shared" si="643"/>
        <v>ComplianceReportXML,0,</v>
      </c>
      <c r="BK154" s="31" t="str">
        <f t="shared" si="644"/>
        <v>QuickAnalysis,0,</v>
      </c>
      <c r="BL154" s="31" t="str">
        <f t="shared" si="644"/>
        <v>PromptUserUMLHWarning,0,</v>
      </c>
      <c r="BM154" s="31" t="str">
        <f t="shared" si="645"/>
        <v>BypassOpenStudio_all,0,</v>
      </c>
      <c r="BN154" s="31" t="str">
        <f t="shared" si="646"/>
        <v>BypassOpenStudio_zp,0,</v>
      </c>
      <c r="BO154" s="31" t="str">
        <f t="shared" si="647"/>
        <v>BypassOpenStudio_zb,0,</v>
      </c>
      <c r="BP154" s="31" t="str">
        <f t="shared" si="648"/>
        <v>BypassOpenStudio_ap,0,</v>
      </c>
      <c r="BQ154" s="31" t="str">
        <f t="shared" si="649"/>
        <v>BypassOpenStudio_ab,0,</v>
      </c>
      <c r="BR154" s="31" t="str">
        <f t="shared" si="650"/>
        <v>BypassOpenStudio_zp,0,</v>
      </c>
      <c r="BS154" s="31" t="str">
        <f t="shared" si="651"/>
        <v>BypassOpenStudio_zb,0,</v>
      </c>
      <c r="BT154" s="31" t="str">
        <f t="shared" si="652"/>
        <v>BypassOpenStudio_ap,0,</v>
      </c>
      <c r="BU154" s="31" t="str">
        <f t="shared" si="653"/>
        <v>BypassOpenStudio_ab,0,</v>
      </c>
    </row>
    <row r="155" spans="1:73" x14ac:dyDescent="0.25">
      <c r="A155" s="39">
        <f t="shared" si="654"/>
        <v>1</v>
      </c>
      <c r="B155" s="27" t="str">
        <f t="shared" si="655"/>
        <v>SoftwareSensitivityTests\StreamlinedApprovalSet\0413216-OffLrg-CRAC.cibd</v>
      </c>
      <c r="C155" s="27" t="str">
        <f t="shared" si="656"/>
        <v>BatchOut_160331_r3964_SSTs\0413216-OffLrg-CRAC.cibd</v>
      </c>
      <c r="D155" s="27" t="str">
        <f t="shared" si="657"/>
        <v>BatchOut_160331_r3964_SSTs\XML\</v>
      </c>
      <c r="E155" s="9" t="str">
        <f t="shared" si="658"/>
        <v>0413216</v>
      </c>
      <c r="F155" s="22"/>
      <c r="G155" s="29"/>
      <c r="H155" s="23" t="str">
        <f t="shared" si="659"/>
        <v/>
      </c>
      <c r="I155" s="9" t="s">
        <v>11</v>
      </c>
      <c r="J155"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5" s="15" t="s">
        <v>1</v>
      </c>
      <c r="L155" s="36">
        <f t="shared" si="685"/>
        <v>1</v>
      </c>
      <c r="M155" s="32" t="str">
        <f t="shared" si="660"/>
        <v>0413216</v>
      </c>
      <c r="N155" s="28" t="s">
        <v>241</v>
      </c>
      <c r="O155" s="28" t="str">
        <f t="shared" si="686"/>
        <v>0413216-OffLrg-CRAC</v>
      </c>
      <c r="P155" s="36">
        <f t="shared" si="687"/>
        <v>1</v>
      </c>
      <c r="Q155" s="36">
        <f t="shared" si="687"/>
        <v>1</v>
      </c>
      <c r="R155" s="36">
        <f t="shared" si="687"/>
        <v>0</v>
      </c>
      <c r="S155" s="36">
        <f t="shared" si="687"/>
        <v>1</v>
      </c>
      <c r="T155" s="36">
        <f t="shared" si="687"/>
        <v>0</v>
      </c>
      <c r="U155" s="36">
        <f t="shared" si="687"/>
        <v>8</v>
      </c>
      <c r="V155" s="36">
        <f t="shared" si="687"/>
        <v>8</v>
      </c>
      <c r="W155" s="36">
        <f t="shared" si="687"/>
        <v>1</v>
      </c>
      <c r="X155" s="36">
        <f t="shared" si="687"/>
        <v>0</v>
      </c>
      <c r="Y155" s="36">
        <f t="shared" si="687"/>
        <v>0</v>
      </c>
      <c r="Z155" s="36">
        <f t="shared" si="687"/>
        <v>0</v>
      </c>
      <c r="AA155" s="36">
        <f t="shared" si="687"/>
        <v>0</v>
      </c>
      <c r="AB155" s="36">
        <f t="shared" si="687"/>
        <v>0</v>
      </c>
      <c r="AC155" s="36">
        <f t="shared" si="672"/>
        <v>0</v>
      </c>
      <c r="AD155" s="36">
        <f t="shared" si="673"/>
        <v>0</v>
      </c>
      <c r="AE155" s="36">
        <f t="shared" si="673"/>
        <v>0</v>
      </c>
      <c r="AF155" s="36">
        <f t="shared" ref="AF155:AG155" si="760">AF154</f>
        <v>0</v>
      </c>
      <c r="AG155" s="36">
        <f t="shared" si="760"/>
        <v>0</v>
      </c>
      <c r="AH155" s="36">
        <f t="shared" ref="AH155:AI155" si="761">AH154</f>
        <v>0</v>
      </c>
      <c r="AI155" s="36">
        <f t="shared" si="761"/>
        <v>0</v>
      </c>
      <c r="AJ155" s="36">
        <f t="shared" si="676"/>
        <v>0</v>
      </c>
      <c r="AK155" s="36">
        <f t="shared" si="677"/>
        <v>0</v>
      </c>
      <c r="AL155" s="36">
        <f t="shared" si="678"/>
        <v>0</v>
      </c>
      <c r="AM155" s="36">
        <f t="shared" si="679"/>
        <v>0</v>
      </c>
      <c r="AN155" s="36">
        <f t="shared" si="680"/>
        <v>0</v>
      </c>
      <c r="AO155" s="36">
        <f t="shared" si="681"/>
        <v>0</v>
      </c>
      <c r="AP155" s="36">
        <f t="shared" si="682"/>
        <v>0</v>
      </c>
      <c r="AQ155" s="36">
        <f t="shared" si="683"/>
        <v>0</v>
      </c>
      <c r="AR155" s="36">
        <f t="shared" si="684"/>
        <v>0</v>
      </c>
      <c r="AS155" s="31" t="str">
        <f t="shared" si="690"/>
        <v>SimulationStorage,1,</v>
      </c>
      <c r="AT155" s="31" t="str">
        <f t="shared" si="691"/>
        <v>AnalysisStorage,1,</v>
      </c>
      <c r="AU155" s="31" t="str">
        <f t="shared" si="692"/>
        <v>LogRuleEvaluation,0,</v>
      </c>
      <c r="AV155" s="31" t="str">
        <f t="shared" si="693"/>
        <v>ParallelSimulations,1,</v>
      </c>
      <c r="AW155" s="31" t="str">
        <f t="shared" si="694"/>
        <v>DurationStats,0,</v>
      </c>
      <c r="AX155" s="31" t="str">
        <f t="shared" si="695"/>
        <v>AnalysisThruStep,8,</v>
      </c>
      <c r="AY155" s="31" t="str">
        <f t="shared" si="696"/>
        <v>DontAbortOnErrorsThruStep,8,</v>
      </c>
      <c r="AZ155" s="31" t="str">
        <f t="shared" si="697"/>
        <v>BypassValidFileChecks,1,</v>
      </c>
      <c r="BA155" s="31" t="str">
        <f t="shared" si="698"/>
        <v>BypassInputChecks,0,</v>
      </c>
      <c r="BB155" s="31" t="str">
        <f t="shared" si="699"/>
        <v>BypassUMLHChecks,0,</v>
      </c>
      <c r="BC155" s="31" t="str">
        <f t="shared" si="700"/>
        <v>BypassCheckSimRules,0,</v>
      </c>
      <c r="BD155" s="31" t="str">
        <f t="shared" si="701"/>
        <v>BypassCheckCodeRules,0,</v>
      </c>
      <c r="BE155" s="31" t="str">
        <f t="shared" si="638"/>
        <v>StoreResultsToModelInput,0,</v>
      </c>
      <c r="BF155" s="31" t="str">
        <f t="shared" si="639"/>
        <v>StoreBEMDetails,0,</v>
      </c>
      <c r="BG155" s="31" t="str">
        <f t="shared" si="640"/>
        <v>ModelRpt_ALL,0,</v>
      </c>
      <c r="BH155" s="31" t="str">
        <f t="shared" si="641"/>
        <v>ExportHourlyResults_All,0,</v>
      </c>
      <c r="BI155" s="31" t="str">
        <f t="shared" si="642"/>
        <v>ComplianceReportPDF,0,</v>
      </c>
      <c r="BJ155" s="31" t="str">
        <f t="shared" si="643"/>
        <v>ComplianceReportXML,0,</v>
      </c>
      <c r="BK155" s="31" t="str">
        <f t="shared" si="644"/>
        <v>QuickAnalysis,0,</v>
      </c>
      <c r="BL155" s="31" t="str">
        <f t="shared" si="644"/>
        <v>PromptUserUMLHWarning,0,</v>
      </c>
      <c r="BM155" s="31" t="str">
        <f t="shared" si="645"/>
        <v>BypassOpenStudio_all,0,</v>
      </c>
      <c r="BN155" s="31" t="str">
        <f t="shared" si="646"/>
        <v>BypassOpenStudio_zp,0,</v>
      </c>
      <c r="BO155" s="31" t="str">
        <f t="shared" si="647"/>
        <v>BypassOpenStudio_zb,0,</v>
      </c>
      <c r="BP155" s="31" t="str">
        <f t="shared" si="648"/>
        <v>BypassOpenStudio_ap,0,</v>
      </c>
      <c r="BQ155" s="31" t="str">
        <f t="shared" si="649"/>
        <v>BypassOpenStudio_ab,0,</v>
      </c>
      <c r="BR155" s="31" t="str">
        <f t="shared" si="650"/>
        <v>BypassOpenStudio_zp,0,</v>
      </c>
      <c r="BS155" s="31" t="str">
        <f t="shared" si="651"/>
        <v>BypassOpenStudio_zb,0,</v>
      </c>
      <c r="BT155" s="31" t="str">
        <f t="shared" si="652"/>
        <v>BypassOpenStudio_ap,0,</v>
      </c>
      <c r="BU155" s="31" t="str">
        <f t="shared" si="653"/>
        <v>BypassOpenStudio_ab,0,</v>
      </c>
    </row>
    <row r="156" spans="1:73" x14ac:dyDescent="0.25">
      <c r="A156" s="39">
        <f t="shared" si="654"/>
        <v>1</v>
      </c>
      <c r="B156" s="27" t="str">
        <f t="shared" si="655"/>
        <v>SoftwareSensitivityTests\StreamlinedApprovalSet\0400006-OffLrg-CRAH.cibd</v>
      </c>
      <c r="C156" s="27" t="str">
        <f t="shared" si="656"/>
        <v>BatchOut_160331_r3964_SSTs\0400006-OffLrg-CRAH.cibd</v>
      </c>
      <c r="D156" s="27" t="str">
        <f t="shared" si="657"/>
        <v>BatchOut_160331_r3964_SSTs\XML\</v>
      </c>
      <c r="E156" s="9" t="str">
        <f t="shared" si="658"/>
        <v>0400006</v>
      </c>
      <c r="F156" s="22"/>
      <c r="G156" s="29"/>
      <c r="H156" s="23" t="str">
        <f t="shared" si="659"/>
        <v/>
      </c>
      <c r="I156" s="9" t="s">
        <v>11</v>
      </c>
      <c r="J156"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6" s="15" t="s">
        <v>1</v>
      </c>
      <c r="L156" s="36">
        <f t="shared" si="685"/>
        <v>1</v>
      </c>
      <c r="M156" s="32" t="str">
        <f t="shared" si="660"/>
        <v>0400006</v>
      </c>
      <c r="N156" s="28" t="s">
        <v>242</v>
      </c>
      <c r="O156" s="28" t="str">
        <f t="shared" si="686"/>
        <v>0400006-OffLrg-CRAH</v>
      </c>
      <c r="P156" s="36">
        <f t="shared" si="687"/>
        <v>1</v>
      </c>
      <c r="Q156" s="36">
        <f t="shared" si="687"/>
        <v>1</v>
      </c>
      <c r="R156" s="36">
        <f t="shared" si="687"/>
        <v>0</v>
      </c>
      <c r="S156" s="36">
        <f t="shared" si="687"/>
        <v>1</v>
      </c>
      <c r="T156" s="36">
        <f t="shared" si="687"/>
        <v>0</v>
      </c>
      <c r="U156" s="36">
        <f t="shared" si="687"/>
        <v>8</v>
      </c>
      <c r="V156" s="36">
        <f t="shared" si="687"/>
        <v>8</v>
      </c>
      <c r="W156" s="36">
        <f t="shared" si="687"/>
        <v>1</v>
      </c>
      <c r="X156" s="36">
        <f t="shared" si="687"/>
        <v>0</v>
      </c>
      <c r="Y156" s="36">
        <f t="shared" si="687"/>
        <v>0</v>
      </c>
      <c r="Z156" s="36">
        <f t="shared" si="687"/>
        <v>0</v>
      </c>
      <c r="AA156" s="36">
        <f t="shared" si="687"/>
        <v>0</v>
      </c>
      <c r="AB156" s="36">
        <f t="shared" si="687"/>
        <v>0</v>
      </c>
      <c r="AC156" s="36">
        <f t="shared" si="672"/>
        <v>0</v>
      </c>
      <c r="AD156" s="36">
        <f t="shared" si="673"/>
        <v>0</v>
      </c>
      <c r="AE156" s="36">
        <f t="shared" si="673"/>
        <v>0</v>
      </c>
      <c r="AF156" s="36">
        <f t="shared" ref="AF156:AG156" si="762">AF155</f>
        <v>0</v>
      </c>
      <c r="AG156" s="36">
        <f t="shared" si="762"/>
        <v>0</v>
      </c>
      <c r="AH156" s="36">
        <f t="shared" ref="AH156:AI156" si="763">AH155</f>
        <v>0</v>
      </c>
      <c r="AI156" s="36">
        <f t="shared" si="763"/>
        <v>0</v>
      </c>
      <c r="AJ156" s="36">
        <f t="shared" si="676"/>
        <v>0</v>
      </c>
      <c r="AK156" s="36">
        <f t="shared" si="677"/>
        <v>0</v>
      </c>
      <c r="AL156" s="36">
        <f t="shared" si="678"/>
        <v>0</v>
      </c>
      <c r="AM156" s="36">
        <f t="shared" si="679"/>
        <v>0</v>
      </c>
      <c r="AN156" s="36">
        <f t="shared" si="680"/>
        <v>0</v>
      </c>
      <c r="AO156" s="36">
        <f t="shared" si="681"/>
        <v>0</v>
      </c>
      <c r="AP156" s="36">
        <f t="shared" si="682"/>
        <v>0</v>
      </c>
      <c r="AQ156" s="36">
        <f t="shared" si="683"/>
        <v>0</v>
      </c>
      <c r="AR156" s="36">
        <f t="shared" si="684"/>
        <v>0</v>
      </c>
      <c r="AS156" s="31" t="str">
        <f t="shared" si="690"/>
        <v>SimulationStorage,1,</v>
      </c>
      <c r="AT156" s="31" t="str">
        <f t="shared" si="691"/>
        <v>AnalysisStorage,1,</v>
      </c>
      <c r="AU156" s="31" t="str">
        <f t="shared" si="692"/>
        <v>LogRuleEvaluation,0,</v>
      </c>
      <c r="AV156" s="31" t="str">
        <f t="shared" si="693"/>
        <v>ParallelSimulations,1,</v>
      </c>
      <c r="AW156" s="31" t="str">
        <f t="shared" si="694"/>
        <v>DurationStats,0,</v>
      </c>
      <c r="AX156" s="31" t="str">
        <f t="shared" si="695"/>
        <v>AnalysisThruStep,8,</v>
      </c>
      <c r="AY156" s="31" t="str">
        <f t="shared" si="696"/>
        <v>DontAbortOnErrorsThruStep,8,</v>
      </c>
      <c r="AZ156" s="31" t="str">
        <f t="shared" si="697"/>
        <v>BypassValidFileChecks,1,</v>
      </c>
      <c r="BA156" s="31" t="str">
        <f t="shared" si="698"/>
        <v>BypassInputChecks,0,</v>
      </c>
      <c r="BB156" s="31" t="str">
        <f t="shared" si="699"/>
        <v>BypassUMLHChecks,0,</v>
      </c>
      <c r="BC156" s="31" t="str">
        <f t="shared" si="700"/>
        <v>BypassCheckSimRules,0,</v>
      </c>
      <c r="BD156" s="31" t="str">
        <f t="shared" si="701"/>
        <v>BypassCheckCodeRules,0,</v>
      </c>
      <c r="BE156" s="31" t="str">
        <f t="shared" si="638"/>
        <v>StoreResultsToModelInput,0,</v>
      </c>
      <c r="BF156" s="31" t="str">
        <f t="shared" si="639"/>
        <v>StoreBEMDetails,0,</v>
      </c>
      <c r="BG156" s="31" t="str">
        <f t="shared" si="640"/>
        <v>ModelRpt_ALL,0,</v>
      </c>
      <c r="BH156" s="31" t="str">
        <f t="shared" si="641"/>
        <v>ExportHourlyResults_All,0,</v>
      </c>
      <c r="BI156" s="31" t="str">
        <f t="shared" si="642"/>
        <v>ComplianceReportPDF,0,</v>
      </c>
      <c r="BJ156" s="31" t="str">
        <f t="shared" si="643"/>
        <v>ComplianceReportXML,0,</v>
      </c>
      <c r="BK156" s="31" t="str">
        <f t="shared" si="644"/>
        <v>QuickAnalysis,0,</v>
      </c>
      <c r="BL156" s="31" t="str">
        <f t="shared" si="644"/>
        <v>PromptUserUMLHWarning,0,</v>
      </c>
      <c r="BM156" s="31" t="str">
        <f t="shared" si="645"/>
        <v>BypassOpenStudio_all,0,</v>
      </c>
      <c r="BN156" s="31" t="str">
        <f t="shared" si="646"/>
        <v>BypassOpenStudio_zp,0,</v>
      </c>
      <c r="BO156" s="31" t="str">
        <f t="shared" si="647"/>
        <v>BypassOpenStudio_zb,0,</v>
      </c>
      <c r="BP156" s="31" t="str">
        <f t="shared" si="648"/>
        <v>BypassOpenStudio_ap,0,</v>
      </c>
      <c r="BQ156" s="31" t="str">
        <f t="shared" si="649"/>
        <v>BypassOpenStudio_ab,0,</v>
      </c>
      <c r="BR156" s="31" t="str">
        <f t="shared" si="650"/>
        <v>BypassOpenStudio_zp,0,</v>
      </c>
      <c r="BS156" s="31" t="str">
        <f t="shared" si="651"/>
        <v>BypassOpenStudio_zb,0,</v>
      </c>
      <c r="BT156" s="31" t="str">
        <f t="shared" si="652"/>
        <v>BypassOpenStudio_ap,0,</v>
      </c>
      <c r="BU156" s="31" t="str">
        <f t="shared" si="653"/>
        <v>BypassOpenStudio_ab,0,</v>
      </c>
    </row>
    <row r="157" spans="1:73" x14ac:dyDescent="0.25">
      <c r="A157" s="39">
        <f t="shared" si="654"/>
        <v>1</v>
      </c>
      <c r="B157" s="27" t="str">
        <f t="shared" si="655"/>
        <v>SoftwareSensitivityTests\StreamlinedApprovalSet\0413306-OffLrg-CRAC.cibd</v>
      </c>
      <c r="C157" s="27" t="str">
        <f t="shared" si="656"/>
        <v>BatchOut_160331_r3964_SSTs\0413306-OffLrg-CRAC.cibd</v>
      </c>
      <c r="D157" s="27" t="str">
        <f t="shared" si="657"/>
        <v>BatchOut_160331_r3964_SSTs\XML\</v>
      </c>
      <c r="E157" s="9" t="str">
        <f t="shared" si="658"/>
        <v>0413306</v>
      </c>
      <c r="F157" s="22"/>
      <c r="G157" s="29"/>
      <c r="H157" s="23" t="str">
        <f t="shared" si="659"/>
        <v/>
      </c>
      <c r="I157" s="9" t="s">
        <v>11</v>
      </c>
      <c r="J157"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7" s="15" t="s">
        <v>1</v>
      </c>
      <c r="L157" s="36">
        <f t="shared" si="685"/>
        <v>1</v>
      </c>
      <c r="M157" s="32" t="str">
        <f t="shared" si="660"/>
        <v>0413306</v>
      </c>
      <c r="N157" s="28" t="s">
        <v>243</v>
      </c>
      <c r="O157" s="28" t="str">
        <f t="shared" si="686"/>
        <v>0413306-OffLrg-CRAC</v>
      </c>
      <c r="P157" s="36">
        <f t="shared" ref="P157:AB176" si="764">P156</f>
        <v>1</v>
      </c>
      <c r="Q157" s="36">
        <f t="shared" si="764"/>
        <v>1</v>
      </c>
      <c r="R157" s="36">
        <f t="shared" si="764"/>
        <v>0</v>
      </c>
      <c r="S157" s="36">
        <f t="shared" si="764"/>
        <v>1</v>
      </c>
      <c r="T157" s="36">
        <f t="shared" si="764"/>
        <v>0</v>
      </c>
      <c r="U157" s="36">
        <f t="shared" si="764"/>
        <v>8</v>
      </c>
      <c r="V157" s="36">
        <f t="shared" si="764"/>
        <v>8</v>
      </c>
      <c r="W157" s="36">
        <f t="shared" si="764"/>
        <v>1</v>
      </c>
      <c r="X157" s="36">
        <f t="shared" si="764"/>
        <v>0</v>
      </c>
      <c r="Y157" s="36">
        <f t="shared" si="764"/>
        <v>0</v>
      </c>
      <c r="Z157" s="36">
        <f t="shared" si="764"/>
        <v>0</v>
      </c>
      <c r="AA157" s="36">
        <f t="shared" si="764"/>
        <v>0</v>
      </c>
      <c r="AB157" s="36">
        <f t="shared" si="764"/>
        <v>0</v>
      </c>
      <c r="AC157" s="36">
        <f t="shared" si="672"/>
        <v>0</v>
      </c>
      <c r="AD157" s="36">
        <f t="shared" si="673"/>
        <v>0</v>
      </c>
      <c r="AE157" s="36">
        <f t="shared" si="673"/>
        <v>0</v>
      </c>
      <c r="AF157" s="36">
        <f t="shared" ref="AF157:AG157" si="765">AF156</f>
        <v>0</v>
      </c>
      <c r="AG157" s="36">
        <f t="shared" si="765"/>
        <v>0</v>
      </c>
      <c r="AH157" s="36">
        <f t="shared" ref="AH157:AI157" si="766">AH156</f>
        <v>0</v>
      </c>
      <c r="AI157" s="36">
        <f t="shared" si="766"/>
        <v>0</v>
      </c>
      <c r="AJ157" s="36">
        <f t="shared" si="676"/>
        <v>0</v>
      </c>
      <c r="AK157" s="36">
        <f t="shared" si="677"/>
        <v>0</v>
      </c>
      <c r="AL157" s="36">
        <f t="shared" si="678"/>
        <v>0</v>
      </c>
      <c r="AM157" s="36">
        <f t="shared" si="679"/>
        <v>0</v>
      </c>
      <c r="AN157" s="36">
        <f t="shared" si="680"/>
        <v>0</v>
      </c>
      <c r="AO157" s="36">
        <f t="shared" si="681"/>
        <v>0</v>
      </c>
      <c r="AP157" s="36">
        <f t="shared" si="682"/>
        <v>0</v>
      </c>
      <c r="AQ157" s="36">
        <f t="shared" si="683"/>
        <v>0</v>
      </c>
      <c r="AR157" s="36">
        <f t="shared" si="684"/>
        <v>0</v>
      </c>
      <c r="AS157" s="31" t="str">
        <f t="shared" si="690"/>
        <v>SimulationStorage,1,</v>
      </c>
      <c r="AT157" s="31" t="str">
        <f t="shared" si="691"/>
        <v>AnalysisStorage,1,</v>
      </c>
      <c r="AU157" s="31" t="str">
        <f t="shared" si="692"/>
        <v>LogRuleEvaluation,0,</v>
      </c>
      <c r="AV157" s="31" t="str">
        <f t="shared" si="693"/>
        <v>ParallelSimulations,1,</v>
      </c>
      <c r="AW157" s="31" t="str">
        <f t="shared" si="694"/>
        <v>DurationStats,0,</v>
      </c>
      <c r="AX157" s="31" t="str">
        <f t="shared" si="695"/>
        <v>AnalysisThruStep,8,</v>
      </c>
      <c r="AY157" s="31" t="str">
        <f t="shared" si="696"/>
        <v>DontAbortOnErrorsThruStep,8,</v>
      </c>
      <c r="AZ157" s="31" t="str">
        <f t="shared" si="697"/>
        <v>BypassValidFileChecks,1,</v>
      </c>
      <c r="BA157" s="31" t="str">
        <f t="shared" si="698"/>
        <v>BypassInputChecks,0,</v>
      </c>
      <c r="BB157" s="31" t="str">
        <f t="shared" si="699"/>
        <v>BypassUMLHChecks,0,</v>
      </c>
      <c r="BC157" s="31" t="str">
        <f t="shared" si="700"/>
        <v>BypassCheckSimRules,0,</v>
      </c>
      <c r="BD157" s="31" t="str">
        <f t="shared" si="701"/>
        <v>BypassCheckCodeRules,0,</v>
      </c>
      <c r="BE157" s="31" t="str">
        <f t="shared" si="638"/>
        <v>StoreResultsToModelInput,0,</v>
      </c>
      <c r="BF157" s="31" t="str">
        <f t="shared" si="639"/>
        <v>StoreBEMDetails,0,</v>
      </c>
      <c r="BG157" s="31" t="str">
        <f t="shared" si="640"/>
        <v>ModelRpt_ALL,0,</v>
      </c>
      <c r="BH157" s="31" t="str">
        <f t="shared" si="641"/>
        <v>ExportHourlyResults_All,0,</v>
      </c>
      <c r="BI157" s="31" t="str">
        <f t="shared" si="642"/>
        <v>ComplianceReportPDF,0,</v>
      </c>
      <c r="BJ157" s="31" t="str">
        <f t="shared" si="643"/>
        <v>ComplianceReportXML,0,</v>
      </c>
      <c r="BK157" s="31" t="str">
        <f t="shared" si="644"/>
        <v>QuickAnalysis,0,</v>
      </c>
      <c r="BL157" s="31" t="str">
        <f t="shared" si="644"/>
        <v>PromptUserUMLHWarning,0,</v>
      </c>
      <c r="BM157" s="31" t="str">
        <f t="shared" si="645"/>
        <v>BypassOpenStudio_all,0,</v>
      </c>
      <c r="BN157" s="31" t="str">
        <f t="shared" si="646"/>
        <v>BypassOpenStudio_zp,0,</v>
      </c>
      <c r="BO157" s="31" t="str">
        <f t="shared" si="647"/>
        <v>BypassOpenStudio_zb,0,</v>
      </c>
      <c r="BP157" s="31" t="str">
        <f t="shared" si="648"/>
        <v>BypassOpenStudio_ap,0,</v>
      </c>
      <c r="BQ157" s="31" t="str">
        <f t="shared" si="649"/>
        <v>BypassOpenStudio_ab,0,</v>
      </c>
      <c r="BR157" s="31" t="str">
        <f t="shared" si="650"/>
        <v>BypassOpenStudio_zp,0,</v>
      </c>
      <c r="BS157" s="31" t="str">
        <f t="shared" si="651"/>
        <v>BypassOpenStudio_zb,0,</v>
      </c>
      <c r="BT157" s="31" t="str">
        <f t="shared" si="652"/>
        <v>BypassOpenStudio_ap,0,</v>
      </c>
      <c r="BU157" s="31" t="str">
        <f t="shared" si="653"/>
        <v>BypassOpenStudio_ab,0,</v>
      </c>
    </row>
    <row r="158" spans="1:73" x14ac:dyDescent="0.25">
      <c r="A158" s="39">
        <f t="shared" si="654"/>
        <v>1</v>
      </c>
      <c r="B158" s="27" t="str">
        <f t="shared" si="655"/>
        <v>SoftwareSensitivityTests\StreamlinedApprovalSet\1000015-RetlStrp-BaselinePTAC.cibd</v>
      </c>
      <c r="C158" s="27" t="str">
        <f t="shared" si="656"/>
        <v>BatchOut_160331_r3964_SSTs\1000015-RetlStrp-BaselinePTAC.cibd</v>
      </c>
      <c r="D158" s="27" t="str">
        <f t="shared" si="657"/>
        <v>BatchOut_160331_r3964_SSTs\XML\</v>
      </c>
      <c r="E158" s="9" t="str">
        <f t="shared" si="658"/>
        <v>1000015</v>
      </c>
      <c r="F158" s="22"/>
      <c r="G158" s="29"/>
      <c r="H158" s="23" t="str">
        <f t="shared" si="659"/>
        <v/>
      </c>
      <c r="I158" s="9" t="s">
        <v>11</v>
      </c>
      <c r="J158"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8" s="15" t="s">
        <v>1</v>
      </c>
      <c r="L158" s="36">
        <f t="shared" si="685"/>
        <v>1</v>
      </c>
      <c r="M158" s="32" t="str">
        <f t="shared" si="660"/>
        <v>1000015</v>
      </c>
      <c r="N158" s="28" t="s">
        <v>244</v>
      </c>
      <c r="O158" s="28" t="str">
        <f t="shared" si="686"/>
        <v>1000015-RetlStrp-BaselinePTAC</v>
      </c>
      <c r="P158" s="36">
        <f t="shared" si="764"/>
        <v>1</v>
      </c>
      <c r="Q158" s="36">
        <f t="shared" si="764"/>
        <v>1</v>
      </c>
      <c r="R158" s="36">
        <f t="shared" si="764"/>
        <v>0</v>
      </c>
      <c r="S158" s="36">
        <f t="shared" si="764"/>
        <v>1</v>
      </c>
      <c r="T158" s="36">
        <f t="shared" si="764"/>
        <v>0</v>
      </c>
      <c r="U158" s="36">
        <f t="shared" si="764"/>
        <v>8</v>
      </c>
      <c r="V158" s="36">
        <f t="shared" si="764"/>
        <v>8</v>
      </c>
      <c r="W158" s="36">
        <f t="shared" si="764"/>
        <v>1</v>
      </c>
      <c r="X158" s="36">
        <f t="shared" si="764"/>
        <v>0</v>
      </c>
      <c r="Y158" s="36">
        <f t="shared" si="764"/>
        <v>0</v>
      </c>
      <c r="Z158" s="36">
        <f t="shared" si="764"/>
        <v>0</v>
      </c>
      <c r="AA158" s="36">
        <f t="shared" si="764"/>
        <v>0</v>
      </c>
      <c r="AB158" s="36">
        <f t="shared" si="764"/>
        <v>0</v>
      </c>
      <c r="AC158" s="36">
        <f t="shared" si="672"/>
        <v>0</v>
      </c>
      <c r="AD158" s="36">
        <f t="shared" si="673"/>
        <v>0</v>
      </c>
      <c r="AE158" s="36">
        <f t="shared" si="673"/>
        <v>0</v>
      </c>
      <c r="AF158" s="36">
        <f t="shared" ref="AF158:AG158" si="767">AF157</f>
        <v>0</v>
      </c>
      <c r="AG158" s="36">
        <f t="shared" si="767"/>
        <v>0</v>
      </c>
      <c r="AH158" s="36">
        <f t="shared" ref="AH158:AI158" si="768">AH157</f>
        <v>0</v>
      </c>
      <c r="AI158" s="36">
        <f t="shared" si="768"/>
        <v>0</v>
      </c>
      <c r="AJ158" s="36">
        <f t="shared" si="676"/>
        <v>0</v>
      </c>
      <c r="AK158" s="36">
        <f t="shared" si="677"/>
        <v>0</v>
      </c>
      <c r="AL158" s="36">
        <f t="shared" si="678"/>
        <v>0</v>
      </c>
      <c r="AM158" s="36">
        <f t="shared" si="679"/>
        <v>0</v>
      </c>
      <c r="AN158" s="36">
        <f t="shared" si="680"/>
        <v>0</v>
      </c>
      <c r="AO158" s="36">
        <f t="shared" si="681"/>
        <v>0</v>
      </c>
      <c r="AP158" s="36">
        <f t="shared" si="682"/>
        <v>0</v>
      </c>
      <c r="AQ158" s="36">
        <f t="shared" si="683"/>
        <v>0</v>
      </c>
      <c r="AR158" s="36">
        <f t="shared" si="684"/>
        <v>0</v>
      </c>
      <c r="AS158" s="31" t="str">
        <f t="shared" si="690"/>
        <v>SimulationStorage,1,</v>
      </c>
      <c r="AT158" s="31" t="str">
        <f t="shared" si="691"/>
        <v>AnalysisStorage,1,</v>
      </c>
      <c r="AU158" s="31" t="str">
        <f t="shared" si="692"/>
        <v>LogRuleEvaluation,0,</v>
      </c>
      <c r="AV158" s="31" t="str">
        <f t="shared" si="693"/>
        <v>ParallelSimulations,1,</v>
      </c>
      <c r="AW158" s="31" t="str">
        <f t="shared" si="694"/>
        <v>DurationStats,0,</v>
      </c>
      <c r="AX158" s="31" t="str">
        <f t="shared" si="695"/>
        <v>AnalysisThruStep,8,</v>
      </c>
      <c r="AY158" s="31" t="str">
        <f t="shared" si="696"/>
        <v>DontAbortOnErrorsThruStep,8,</v>
      </c>
      <c r="AZ158" s="31" t="str">
        <f t="shared" si="697"/>
        <v>BypassValidFileChecks,1,</v>
      </c>
      <c r="BA158" s="31" t="str">
        <f t="shared" si="698"/>
        <v>BypassInputChecks,0,</v>
      </c>
      <c r="BB158" s="31" t="str">
        <f t="shared" si="699"/>
        <v>BypassUMLHChecks,0,</v>
      </c>
      <c r="BC158" s="31" t="str">
        <f t="shared" si="700"/>
        <v>BypassCheckSimRules,0,</v>
      </c>
      <c r="BD158" s="31" t="str">
        <f t="shared" si="701"/>
        <v>BypassCheckCodeRules,0,</v>
      </c>
      <c r="BE158" s="31" t="str">
        <f t="shared" si="638"/>
        <v>StoreResultsToModelInput,0,</v>
      </c>
      <c r="BF158" s="31" t="str">
        <f t="shared" si="639"/>
        <v>StoreBEMDetails,0,</v>
      </c>
      <c r="BG158" s="31" t="str">
        <f t="shared" si="640"/>
        <v>ModelRpt_ALL,0,</v>
      </c>
      <c r="BH158" s="31" t="str">
        <f t="shared" si="641"/>
        <v>ExportHourlyResults_All,0,</v>
      </c>
      <c r="BI158" s="31" t="str">
        <f t="shared" si="642"/>
        <v>ComplianceReportPDF,0,</v>
      </c>
      <c r="BJ158" s="31" t="str">
        <f t="shared" si="643"/>
        <v>ComplianceReportXML,0,</v>
      </c>
      <c r="BK158" s="31" t="str">
        <f t="shared" si="644"/>
        <v>QuickAnalysis,0,</v>
      </c>
      <c r="BL158" s="31" t="str">
        <f t="shared" si="644"/>
        <v>PromptUserUMLHWarning,0,</v>
      </c>
      <c r="BM158" s="31" t="str">
        <f t="shared" si="645"/>
        <v>BypassOpenStudio_all,0,</v>
      </c>
      <c r="BN158" s="31" t="str">
        <f t="shared" si="646"/>
        <v>BypassOpenStudio_zp,0,</v>
      </c>
      <c r="BO158" s="31" t="str">
        <f t="shared" si="647"/>
        <v>BypassOpenStudio_zb,0,</v>
      </c>
      <c r="BP158" s="31" t="str">
        <f t="shared" si="648"/>
        <v>BypassOpenStudio_ap,0,</v>
      </c>
      <c r="BQ158" s="31" t="str">
        <f t="shared" si="649"/>
        <v>BypassOpenStudio_ab,0,</v>
      </c>
      <c r="BR158" s="31" t="str">
        <f t="shared" si="650"/>
        <v>BypassOpenStudio_zp,0,</v>
      </c>
      <c r="BS158" s="31" t="str">
        <f t="shared" si="651"/>
        <v>BypassOpenStudio_zb,0,</v>
      </c>
      <c r="BT158" s="31" t="str">
        <f t="shared" si="652"/>
        <v>BypassOpenStudio_ap,0,</v>
      </c>
      <c r="BU158" s="31" t="str">
        <f t="shared" si="653"/>
        <v>BypassOpenStudio_ab,0,</v>
      </c>
    </row>
    <row r="159" spans="1:73" x14ac:dyDescent="0.25">
      <c r="A159" s="39">
        <f t="shared" si="654"/>
        <v>1</v>
      </c>
      <c r="B159" s="27" t="str">
        <f t="shared" si="655"/>
        <v>SoftwareSensitivityTests\StreamlinedApprovalSet\1010515-RetlStrp-FPFC.cibd</v>
      </c>
      <c r="C159" s="27" t="str">
        <f t="shared" si="656"/>
        <v>BatchOut_160331_r3964_SSTs\1010515-RetlStrp-FPFC.cibd</v>
      </c>
      <c r="D159" s="27" t="str">
        <f t="shared" si="657"/>
        <v>BatchOut_160331_r3964_SSTs\XML\</v>
      </c>
      <c r="E159" s="9" t="str">
        <f t="shared" si="658"/>
        <v>1010515</v>
      </c>
      <c r="F159" s="22"/>
      <c r="G159" s="29"/>
      <c r="H159" s="23" t="str">
        <f t="shared" si="659"/>
        <v/>
      </c>
      <c r="I159" s="9" t="s">
        <v>11</v>
      </c>
      <c r="J159"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9" s="15" t="s">
        <v>1</v>
      </c>
      <c r="L159" s="36">
        <f t="shared" si="685"/>
        <v>1</v>
      </c>
      <c r="M159" s="32" t="str">
        <f t="shared" si="660"/>
        <v>1010515</v>
      </c>
      <c r="N159" s="28" t="s">
        <v>245</v>
      </c>
      <c r="O159" s="28" t="str">
        <f t="shared" si="686"/>
        <v>1010515-RetlStrp-FPFC</v>
      </c>
      <c r="P159" s="36">
        <f t="shared" si="764"/>
        <v>1</v>
      </c>
      <c r="Q159" s="36">
        <f t="shared" si="764"/>
        <v>1</v>
      </c>
      <c r="R159" s="36">
        <f t="shared" si="764"/>
        <v>0</v>
      </c>
      <c r="S159" s="36">
        <f t="shared" si="764"/>
        <v>1</v>
      </c>
      <c r="T159" s="36">
        <f t="shared" si="764"/>
        <v>0</v>
      </c>
      <c r="U159" s="36">
        <f t="shared" si="764"/>
        <v>8</v>
      </c>
      <c r="V159" s="36">
        <f t="shared" si="764"/>
        <v>8</v>
      </c>
      <c r="W159" s="36">
        <f t="shared" si="764"/>
        <v>1</v>
      </c>
      <c r="X159" s="36">
        <f t="shared" si="764"/>
        <v>0</v>
      </c>
      <c r="Y159" s="36">
        <f t="shared" si="764"/>
        <v>0</v>
      </c>
      <c r="Z159" s="36">
        <f t="shared" si="764"/>
        <v>0</v>
      </c>
      <c r="AA159" s="36">
        <f t="shared" si="764"/>
        <v>0</v>
      </c>
      <c r="AB159" s="36">
        <f t="shared" si="764"/>
        <v>0</v>
      </c>
      <c r="AC159" s="36">
        <f t="shared" si="672"/>
        <v>0</v>
      </c>
      <c r="AD159" s="36">
        <f t="shared" si="673"/>
        <v>0</v>
      </c>
      <c r="AE159" s="36">
        <f t="shared" si="673"/>
        <v>0</v>
      </c>
      <c r="AF159" s="36">
        <f t="shared" ref="AF159:AG159" si="769">AF158</f>
        <v>0</v>
      </c>
      <c r="AG159" s="36">
        <f t="shared" si="769"/>
        <v>0</v>
      </c>
      <c r="AH159" s="36">
        <f t="shared" ref="AH159:AI159" si="770">AH158</f>
        <v>0</v>
      </c>
      <c r="AI159" s="36">
        <f t="shared" si="770"/>
        <v>0</v>
      </c>
      <c r="AJ159" s="36">
        <f t="shared" si="676"/>
        <v>0</v>
      </c>
      <c r="AK159" s="36">
        <f t="shared" si="677"/>
        <v>0</v>
      </c>
      <c r="AL159" s="36">
        <f t="shared" si="678"/>
        <v>0</v>
      </c>
      <c r="AM159" s="36">
        <f t="shared" si="679"/>
        <v>0</v>
      </c>
      <c r="AN159" s="36">
        <f t="shared" si="680"/>
        <v>0</v>
      </c>
      <c r="AO159" s="36">
        <f t="shared" si="681"/>
        <v>0</v>
      </c>
      <c r="AP159" s="36">
        <f t="shared" si="682"/>
        <v>0</v>
      </c>
      <c r="AQ159" s="36">
        <f t="shared" si="683"/>
        <v>0</v>
      </c>
      <c r="AR159" s="36">
        <f t="shared" si="684"/>
        <v>0</v>
      </c>
      <c r="AS159" s="31" t="str">
        <f t="shared" si="690"/>
        <v>SimulationStorage,1,</v>
      </c>
      <c r="AT159" s="31" t="str">
        <f t="shared" si="691"/>
        <v>AnalysisStorage,1,</v>
      </c>
      <c r="AU159" s="31" t="str">
        <f t="shared" si="692"/>
        <v>LogRuleEvaluation,0,</v>
      </c>
      <c r="AV159" s="31" t="str">
        <f t="shared" si="693"/>
        <v>ParallelSimulations,1,</v>
      </c>
      <c r="AW159" s="31" t="str">
        <f t="shared" si="694"/>
        <v>DurationStats,0,</v>
      </c>
      <c r="AX159" s="31" t="str">
        <f t="shared" si="695"/>
        <v>AnalysisThruStep,8,</v>
      </c>
      <c r="AY159" s="31" t="str">
        <f t="shared" si="696"/>
        <v>DontAbortOnErrorsThruStep,8,</v>
      </c>
      <c r="AZ159" s="31" t="str">
        <f t="shared" si="697"/>
        <v>BypassValidFileChecks,1,</v>
      </c>
      <c r="BA159" s="31" t="str">
        <f t="shared" si="698"/>
        <v>BypassInputChecks,0,</v>
      </c>
      <c r="BB159" s="31" t="str">
        <f t="shared" si="699"/>
        <v>BypassUMLHChecks,0,</v>
      </c>
      <c r="BC159" s="31" t="str">
        <f t="shared" si="700"/>
        <v>BypassCheckSimRules,0,</v>
      </c>
      <c r="BD159" s="31" t="str">
        <f t="shared" si="701"/>
        <v>BypassCheckCodeRules,0,</v>
      </c>
      <c r="BE159" s="31" t="str">
        <f t="shared" si="638"/>
        <v>StoreResultsToModelInput,0,</v>
      </c>
      <c r="BF159" s="31" t="str">
        <f t="shared" si="639"/>
        <v>StoreBEMDetails,0,</v>
      </c>
      <c r="BG159" s="31" t="str">
        <f t="shared" si="640"/>
        <v>ModelRpt_ALL,0,</v>
      </c>
      <c r="BH159" s="31" t="str">
        <f t="shared" si="641"/>
        <v>ExportHourlyResults_All,0,</v>
      </c>
      <c r="BI159" s="31" t="str">
        <f t="shared" si="642"/>
        <v>ComplianceReportPDF,0,</v>
      </c>
      <c r="BJ159" s="31" t="str">
        <f t="shared" si="643"/>
        <v>ComplianceReportXML,0,</v>
      </c>
      <c r="BK159" s="31" t="str">
        <f t="shared" si="644"/>
        <v>QuickAnalysis,0,</v>
      </c>
      <c r="BL159" s="31" t="str">
        <f t="shared" si="644"/>
        <v>PromptUserUMLHWarning,0,</v>
      </c>
      <c r="BM159" s="31" t="str">
        <f t="shared" si="645"/>
        <v>BypassOpenStudio_all,0,</v>
      </c>
      <c r="BN159" s="31" t="str">
        <f t="shared" si="646"/>
        <v>BypassOpenStudio_zp,0,</v>
      </c>
      <c r="BO159" s="31" t="str">
        <f t="shared" si="647"/>
        <v>BypassOpenStudio_zb,0,</v>
      </c>
      <c r="BP159" s="31" t="str">
        <f t="shared" si="648"/>
        <v>BypassOpenStudio_ap,0,</v>
      </c>
      <c r="BQ159" s="31" t="str">
        <f t="shared" si="649"/>
        <v>BypassOpenStudio_ab,0,</v>
      </c>
      <c r="BR159" s="31" t="str">
        <f t="shared" si="650"/>
        <v>BypassOpenStudio_zp,0,</v>
      </c>
      <c r="BS159" s="31" t="str">
        <f t="shared" si="651"/>
        <v>BypassOpenStudio_zb,0,</v>
      </c>
      <c r="BT159" s="31" t="str">
        <f t="shared" si="652"/>
        <v>BypassOpenStudio_ap,0,</v>
      </c>
      <c r="BU159" s="31" t="str">
        <f t="shared" si="653"/>
        <v>BypassOpenStudio_ab,0,</v>
      </c>
    </row>
    <row r="160" spans="1:73" x14ac:dyDescent="0.25">
      <c r="A160" s="39">
        <f t="shared" si="654"/>
        <v>1</v>
      </c>
      <c r="B160" s="27" t="str">
        <f t="shared" si="655"/>
        <v>SoftwareSensitivityTests\StreamlinedApprovalSet\1014315-RetlStrp-WSHP.cibd</v>
      </c>
      <c r="C160" s="27" t="str">
        <f t="shared" si="656"/>
        <v>BatchOut_160331_r3964_SSTs\1014315-RetlStrp-WSHP.cibd</v>
      </c>
      <c r="D160" s="27" t="str">
        <f t="shared" si="657"/>
        <v>BatchOut_160331_r3964_SSTs\XML\</v>
      </c>
      <c r="E160" s="9" t="str">
        <f t="shared" si="658"/>
        <v>1014315</v>
      </c>
      <c r="F160" s="22"/>
      <c r="G160" s="29"/>
      <c r="H160" s="23" t="str">
        <f t="shared" si="659"/>
        <v/>
      </c>
      <c r="I160" s="9" t="s">
        <v>11</v>
      </c>
      <c r="J160"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0" s="15" t="s">
        <v>1</v>
      </c>
      <c r="L160" s="36">
        <f t="shared" si="685"/>
        <v>1</v>
      </c>
      <c r="M160" s="32" t="str">
        <f t="shared" si="660"/>
        <v>1014315</v>
      </c>
      <c r="N160" s="28" t="s">
        <v>246</v>
      </c>
      <c r="O160" s="28" t="str">
        <f t="shared" si="686"/>
        <v>1014315-RetlStrp-WSHP</v>
      </c>
      <c r="P160" s="36">
        <f t="shared" si="764"/>
        <v>1</v>
      </c>
      <c r="Q160" s="36">
        <f t="shared" si="764"/>
        <v>1</v>
      </c>
      <c r="R160" s="36">
        <f t="shared" si="764"/>
        <v>0</v>
      </c>
      <c r="S160" s="36">
        <f t="shared" si="764"/>
        <v>1</v>
      </c>
      <c r="T160" s="36">
        <f t="shared" si="764"/>
        <v>0</v>
      </c>
      <c r="U160" s="36">
        <f t="shared" si="764"/>
        <v>8</v>
      </c>
      <c r="V160" s="36">
        <f t="shared" si="764"/>
        <v>8</v>
      </c>
      <c r="W160" s="36">
        <f t="shared" si="764"/>
        <v>1</v>
      </c>
      <c r="X160" s="36">
        <f t="shared" si="764"/>
        <v>0</v>
      </c>
      <c r="Y160" s="36">
        <f t="shared" si="764"/>
        <v>0</v>
      </c>
      <c r="Z160" s="36">
        <f t="shared" si="764"/>
        <v>0</v>
      </c>
      <c r="AA160" s="36">
        <f t="shared" si="764"/>
        <v>0</v>
      </c>
      <c r="AB160" s="36">
        <f t="shared" si="764"/>
        <v>0</v>
      </c>
      <c r="AC160" s="36">
        <f t="shared" si="672"/>
        <v>0</v>
      </c>
      <c r="AD160" s="36">
        <f t="shared" si="673"/>
        <v>0</v>
      </c>
      <c r="AE160" s="36">
        <f t="shared" si="673"/>
        <v>0</v>
      </c>
      <c r="AF160" s="36">
        <f t="shared" ref="AF160:AG160" si="771">AF159</f>
        <v>0</v>
      </c>
      <c r="AG160" s="36">
        <f t="shared" si="771"/>
        <v>0</v>
      </c>
      <c r="AH160" s="36">
        <f t="shared" ref="AH160:AI160" si="772">AH159</f>
        <v>0</v>
      </c>
      <c r="AI160" s="36">
        <f t="shared" si="772"/>
        <v>0</v>
      </c>
      <c r="AJ160" s="36">
        <f t="shared" si="676"/>
        <v>0</v>
      </c>
      <c r="AK160" s="36">
        <f t="shared" si="677"/>
        <v>0</v>
      </c>
      <c r="AL160" s="36">
        <f t="shared" si="678"/>
        <v>0</v>
      </c>
      <c r="AM160" s="36">
        <f t="shared" si="679"/>
        <v>0</v>
      </c>
      <c r="AN160" s="36">
        <f t="shared" si="680"/>
        <v>0</v>
      </c>
      <c r="AO160" s="36">
        <f t="shared" si="681"/>
        <v>0</v>
      </c>
      <c r="AP160" s="36">
        <f t="shared" si="682"/>
        <v>0</v>
      </c>
      <c r="AQ160" s="36">
        <f t="shared" si="683"/>
        <v>0</v>
      </c>
      <c r="AR160" s="36">
        <f t="shared" si="684"/>
        <v>0</v>
      </c>
      <c r="AS160" s="31" t="str">
        <f t="shared" si="690"/>
        <v>SimulationStorage,1,</v>
      </c>
      <c r="AT160" s="31" t="str">
        <f t="shared" si="691"/>
        <v>AnalysisStorage,1,</v>
      </c>
      <c r="AU160" s="31" t="str">
        <f t="shared" si="692"/>
        <v>LogRuleEvaluation,0,</v>
      </c>
      <c r="AV160" s="31" t="str">
        <f t="shared" si="693"/>
        <v>ParallelSimulations,1,</v>
      </c>
      <c r="AW160" s="31" t="str">
        <f t="shared" si="694"/>
        <v>DurationStats,0,</v>
      </c>
      <c r="AX160" s="31" t="str">
        <f t="shared" si="695"/>
        <v>AnalysisThruStep,8,</v>
      </c>
      <c r="AY160" s="31" t="str">
        <f t="shared" si="696"/>
        <v>DontAbortOnErrorsThruStep,8,</v>
      </c>
      <c r="AZ160" s="31" t="str">
        <f t="shared" si="697"/>
        <v>BypassValidFileChecks,1,</v>
      </c>
      <c r="BA160" s="31" t="str">
        <f t="shared" si="698"/>
        <v>BypassInputChecks,0,</v>
      </c>
      <c r="BB160" s="31" t="str">
        <f t="shared" si="699"/>
        <v>BypassUMLHChecks,0,</v>
      </c>
      <c r="BC160" s="31" t="str">
        <f t="shared" si="700"/>
        <v>BypassCheckSimRules,0,</v>
      </c>
      <c r="BD160" s="31" t="str">
        <f t="shared" si="701"/>
        <v>BypassCheckCodeRules,0,</v>
      </c>
      <c r="BE160" s="31" t="str">
        <f t="shared" si="638"/>
        <v>StoreResultsToModelInput,0,</v>
      </c>
      <c r="BF160" s="31" t="str">
        <f t="shared" si="639"/>
        <v>StoreBEMDetails,0,</v>
      </c>
      <c r="BG160" s="31" t="str">
        <f t="shared" si="640"/>
        <v>ModelRpt_ALL,0,</v>
      </c>
      <c r="BH160" s="31" t="str">
        <f t="shared" si="641"/>
        <v>ExportHourlyResults_All,0,</v>
      </c>
      <c r="BI160" s="31" t="str">
        <f t="shared" si="642"/>
        <v>ComplianceReportPDF,0,</v>
      </c>
      <c r="BJ160" s="31" t="str">
        <f t="shared" si="643"/>
        <v>ComplianceReportXML,0,</v>
      </c>
      <c r="BK160" s="31" t="str">
        <f t="shared" si="644"/>
        <v>QuickAnalysis,0,</v>
      </c>
      <c r="BL160" s="31" t="str">
        <f t="shared" si="644"/>
        <v>PromptUserUMLHWarning,0,</v>
      </c>
      <c r="BM160" s="31" t="str">
        <f t="shared" si="645"/>
        <v>BypassOpenStudio_all,0,</v>
      </c>
      <c r="BN160" s="31" t="str">
        <f t="shared" si="646"/>
        <v>BypassOpenStudio_zp,0,</v>
      </c>
      <c r="BO160" s="31" t="str">
        <f t="shared" si="647"/>
        <v>BypassOpenStudio_zb,0,</v>
      </c>
      <c r="BP160" s="31" t="str">
        <f t="shared" si="648"/>
        <v>BypassOpenStudio_ap,0,</v>
      </c>
      <c r="BQ160" s="31" t="str">
        <f t="shared" si="649"/>
        <v>BypassOpenStudio_ab,0,</v>
      </c>
      <c r="BR160" s="31" t="str">
        <f t="shared" si="650"/>
        <v>BypassOpenStudio_zp,0,</v>
      </c>
      <c r="BS160" s="31" t="str">
        <f t="shared" si="651"/>
        <v>BypassOpenStudio_zb,0,</v>
      </c>
      <c r="BT160" s="31" t="str">
        <f t="shared" si="652"/>
        <v>BypassOpenStudio_ap,0,</v>
      </c>
      <c r="BU160" s="31" t="str">
        <f t="shared" si="653"/>
        <v>BypassOpenStudio_ab,0,</v>
      </c>
    </row>
    <row r="161" spans="1:73" x14ac:dyDescent="0.25">
      <c r="A161" s="39">
        <f t="shared" si="654"/>
        <v>1</v>
      </c>
      <c r="B161" s="27" t="str">
        <f t="shared" si="655"/>
        <v>SoftwareSensitivityTests\StreamlinedApprovalSet\1000016-RetlStrp-BaselinePTAC.cibd</v>
      </c>
      <c r="C161" s="27" t="str">
        <f t="shared" si="656"/>
        <v>BatchOut_160331_r3964_SSTs\1000016-RetlStrp-BaselinePTAC.cibd</v>
      </c>
      <c r="D161" s="27" t="str">
        <f t="shared" si="657"/>
        <v>BatchOut_160331_r3964_SSTs\XML\</v>
      </c>
      <c r="E161" s="9" t="str">
        <f t="shared" si="658"/>
        <v>1000016</v>
      </c>
      <c r="F161" s="22"/>
      <c r="G161" s="29"/>
      <c r="H161" s="23" t="str">
        <f t="shared" si="659"/>
        <v/>
      </c>
      <c r="I161" s="9" t="s">
        <v>11</v>
      </c>
      <c r="J161"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1" s="15" t="s">
        <v>1</v>
      </c>
      <c r="L161" s="36">
        <f t="shared" si="685"/>
        <v>1</v>
      </c>
      <c r="M161" s="32" t="str">
        <f t="shared" si="660"/>
        <v>1000016</v>
      </c>
      <c r="N161" s="28" t="s">
        <v>247</v>
      </c>
      <c r="O161" s="28" t="str">
        <f t="shared" si="686"/>
        <v>1000016-RetlStrp-BaselinePTAC</v>
      </c>
      <c r="P161" s="36">
        <f t="shared" si="764"/>
        <v>1</v>
      </c>
      <c r="Q161" s="36">
        <f t="shared" si="764"/>
        <v>1</v>
      </c>
      <c r="R161" s="36">
        <f t="shared" si="764"/>
        <v>0</v>
      </c>
      <c r="S161" s="36">
        <f t="shared" si="764"/>
        <v>1</v>
      </c>
      <c r="T161" s="36">
        <f t="shared" si="764"/>
        <v>0</v>
      </c>
      <c r="U161" s="36">
        <f t="shared" si="764"/>
        <v>8</v>
      </c>
      <c r="V161" s="36">
        <f t="shared" si="764"/>
        <v>8</v>
      </c>
      <c r="W161" s="36">
        <f t="shared" si="764"/>
        <v>1</v>
      </c>
      <c r="X161" s="36">
        <f t="shared" si="764"/>
        <v>0</v>
      </c>
      <c r="Y161" s="36">
        <f t="shared" si="764"/>
        <v>0</v>
      </c>
      <c r="Z161" s="36">
        <f t="shared" si="764"/>
        <v>0</v>
      </c>
      <c r="AA161" s="36">
        <f t="shared" si="764"/>
        <v>0</v>
      </c>
      <c r="AB161" s="36">
        <f t="shared" si="764"/>
        <v>0</v>
      </c>
      <c r="AC161" s="36">
        <f t="shared" si="672"/>
        <v>0</v>
      </c>
      <c r="AD161" s="36">
        <f t="shared" si="673"/>
        <v>0</v>
      </c>
      <c r="AE161" s="36">
        <f t="shared" si="673"/>
        <v>0</v>
      </c>
      <c r="AF161" s="36">
        <f t="shared" ref="AF161:AG161" si="773">AF160</f>
        <v>0</v>
      </c>
      <c r="AG161" s="36">
        <f t="shared" si="773"/>
        <v>0</v>
      </c>
      <c r="AH161" s="36">
        <f t="shared" ref="AH161:AI161" si="774">AH160</f>
        <v>0</v>
      </c>
      <c r="AI161" s="36">
        <f t="shared" si="774"/>
        <v>0</v>
      </c>
      <c r="AJ161" s="36">
        <f t="shared" si="676"/>
        <v>0</v>
      </c>
      <c r="AK161" s="36">
        <f t="shared" si="677"/>
        <v>0</v>
      </c>
      <c r="AL161" s="36">
        <f t="shared" si="678"/>
        <v>0</v>
      </c>
      <c r="AM161" s="36">
        <f t="shared" si="679"/>
        <v>0</v>
      </c>
      <c r="AN161" s="36">
        <f t="shared" si="680"/>
        <v>0</v>
      </c>
      <c r="AO161" s="36">
        <f t="shared" si="681"/>
        <v>0</v>
      </c>
      <c r="AP161" s="36">
        <f t="shared" si="682"/>
        <v>0</v>
      </c>
      <c r="AQ161" s="36">
        <f t="shared" si="683"/>
        <v>0</v>
      </c>
      <c r="AR161" s="36">
        <f t="shared" si="684"/>
        <v>0</v>
      </c>
      <c r="AS161" s="31" t="str">
        <f t="shared" si="690"/>
        <v>SimulationStorage,1,</v>
      </c>
      <c r="AT161" s="31" t="str">
        <f t="shared" si="691"/>
        <v>AnalysisStorage,1,</v>
      </c>
      <c r="AU161" s="31" t="str">
        <f t="shared" si="692"/>
        <v>LogRuleEvaluation,0,</v>
      </c>
      <c r="AV161" s="31" t="str">
        <f t="shared" si="693"/>
        <v>ParallelSimulations,1,</v>
      </c>
      <c r="AW161" s="31" t="str">
        <f t="shared" si="694"/>
        <v>DurationStats,0,</v>
      </c>
      <c r="AX161" s="31" t="str">
        <f t="shared" si="695"/>
        <v>AnalysisThruStep,8,</v>
      </c>
      <c r="AY161" s="31" t="str">
        <f t="shared" si="696"/>
        <v>DontAbortOnErrorsThruStep,8,</v>
      </c>
      <c r="AZ161" s="31" t="str">
        <f t="shared" si="697"/>
        <v>BypassValidFileChecks,1,</v>
      </c>
      <c r="BA161" s="31" t="str">
        <f t="shared" si="698"/>
        <v>BypassInputChecks,0,</v>
      </c>
      <c r="BB161" s="31" t="str">
        <f t="shared" si="699"/>
        <v>BypassUMLHChecks,0,</v>
      </c>
      <c r="BC161" s="31" t="str">
        <f t="shared" si="700"/>
        <v>BypassCheckSimRules,0,</v>
      </c>
      <c r="BD161" s="31" t="str">
        <f t="shared" si="701"/>
        <v>BypassCheckCodeRules,0,</v>
      </c>
      <c r="BE161" s="31" t="str">
        <f t="shared" si="638"/>
        <v>StoreResultsToModelInput,0,</v>
      </c>
      <c r="BF161" s="31" t="str">
        <f t="shared" si="639"/>
        <v>StoreBEMDetails,0,</v>
      </c>
      <c r="BG161" s="31" t="str">
        <f t="shared" si="640"/>
        <v>ModelRpt_ALL,0,</v>
      </c>
      <c r="BH161" s="31" t="str">
        <f t="shared" si="641"/>
        <v>ExportHourlyResults_All,0,</v>
      </c>
      <c r="BI161" s="31" t="str">
        <f t="shared" si="642"/>
        <v>ComplianceReportPDF,0,</v>
      </c>
      <c r="BJ161" s="31" t="str">
        <f t="shared" si="643"/>
        <v>ComplianceReportXML,0,</v>
      </c>
      <c r="BK161" s="31" t="str">
        <f t="shared" si="644"/>
        <v>QuickAnalysis,0,</v>
      </c>
      <c r="BL161" s="31" t="str">
        <f t="shared" si="644"/>
        <v>PromptUserUMLHWarning,0,</v>
      </c>
      <c r="BM161" s="31" t="str">
        <f t="shared" si="645"/>
        <v>BypassOpenStudio_all,0,</v>
      </c>
      <c r="BN161" s="31" t="str">
        <f t="shared" si="646"/>
        <v>BypassOpenStudio_zp,0,</v>
      </c>
      <c r="BO161" s="31" t="str">
        <f t="shared" si="647"/>
        <v>BypassOpenStudio_zb,0,</v>
      </c>
      <c r="BP161" s="31" t="str">
        <f t="shared" si="648"/>
        <v>BypassOpenStudio_ap,0,</v>
      </c>
      <c r="BQ161" s="31" t="str">
        <f t="shared" si="649"/>
        <v>BypassOpenStudio_ab,0,</v>
      </c>
      <c r="BR161" s="31" t="str">
        <f t="shared" si="650"/>
        <v>BypassOpenStudio_zp,0,</v>
      </c>
      <c r="BS161" s="31" t="str">
        <f t="shared" si="651"/>
        <v>BypassOpenStudio_zb,0,</v>
      </c>
      <c r="BT161" s="31" t="str">
        <f t="shared" si="652"/>
        <v>BypassOpenStudio_ap,0,</v>
      </c>
      <c r="BU161" s="31" t="str">
        <f t="shared" si="653"/>
        <v>BypassOpenStudio_ab,0,</v>
      </c>
    </row>
    <row r="162" spans="1:73" x14ac:dyDescent="0.25">
      <c r="A162" s="39">
        <f t="shared" si="654"/>
        <v>1</v>
      </c>
      <c r="B162" s="27" t="str">
        <f t="shared" si="655"/>
        <v>SoftwareSensitivityTests\StreamlinedApprovalSet\1010416-RetlStrp-FPFC.cibd</v>
      </c>
      <c r="C162" s="27" t="str">
        <f t="shared" si="656"/>
        <v>BatchOut_160331_r3964_SSTs\1010416-RetlStrp-FPFC.cibd</v>
      </c>
      <c r="D162" s="27" t="str">
        <f t="shared" si="657"/>
        <v>BatchOut_160331_r3964_SSTs\XML\</v>
      </c>
      <c r="E162" s="9" t="str">
        <f t="shared" si="658"/>
        <v>1010416</v>
      </c>
      <c r="F162" s="22"/>
      <c r="G162" s="29"/>
      <c r="H162" s="23" t="str">
        <f t="shared" si="659"/>
        <v/>
      </c>
      <c r="I162" s="9" t="s">
        <v>11</v>
      </c>
      <c r="J162"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2" s="15" t="s">
        <v>1</v>
      </c>
      <c r="L162" s="36">
        <f t="shared" si="685"/>
        <v>1</v>
      </c>
      <c r="M162" s="32" t="str">
        <f t="shared" si="660"/>
        <v>1010416</v>
      </c>
      <c r="N162" s="28" t="s">
        <v>248</v>
      </c>
      <c r="O162" s="28" t="str">
        <f t="shared" si="686"/>
        <v>1010416-RetlStrp-FPFC</v>
      </c>
      <c r="P162" s="36">
        <f t="shared" si="764"/>
        <v>1</v>
      </c>
      <c r="Q162" s="36">
        <f t="shared" si="764"/>
        <v>1</v>
      </c>
      <c r="R162" s="36">
        <f t="shared" si="764"/>
        <v>0</v>
      </c>
      <c r="S162" s="36">
        <f t="shared" si="764"/>
        <v>1</v>
      </c>
      <c r="T162" s="36">
        <f t="shared" si="764"/>
        <v>0</v>
      </c>
      <c r="U162" s="36">
        <f t="shared" si="764"/>
        <v>8</v>
      </c>
      <c r="V162" s="36">
        <f t="shared" si="764"/>
        <v>8</v>
      </c>
      <c r="W162" s="36">
        <f t="shared" si="764"/>
        <v>1</v>
      </c>
      <c r="X162" s="36">
        <f t="shared" si="764"/>
        <v>0</v>
      </c>
      <c r="Y162" s="36">
        <f t="shared" si="764"/>
        <v>0</v>
      </c>
      <c r="Z162" s="36">
        <f t="shared" si="764"/>
        <v>0</v>
      </c>
      <c r="AA162" s="36">
        <f t="shared" si="764"/>
        <v>0</v>
      </c>
      <c r="AB162" s="36">
        <f t="shared" si="764"/>
        <v>0</v>
      </c>
      <c r="AC162" s="36">
        <f t="shared" si="672"/>
        <v>0</v>
      </c>
      <c r="AD162" s="36">
        <f t="shared" si="673"/>
        <v>0</v>
      </c>
      <c r="AE162" s="36">
        <f t="shared" si="673"/>
        <v>0</v>
      </c>
      <c r="AF162" s="36">
        <f t="shared" ref="AF162:AG162" si="775">AF161</f>
        <v>0</v>
      </c>
      <c r="AG162" s="36">
        <f t="shared" si="775"/>
        <v>0</v>
      </c>
      <c r="AH162" s="36">
        <f t="shared" ref="AH162:AI162" si="776">AH161</f>
        <v>0</v>
      </c>
      <c r="AI162" s="36">
        <f t="shared" si="776"/>
        <v>0</v>
      </c>
      <c r="AJ162" s="36">
        <f t="shared" si="676"/>
        <v>0</v>
      </c>
      <c r="AK162" s="36">
        <f t="shared" si="677"/>
        <v>0</v>
      </c>
      <c r="AL162" s="36">
        <f t="shared" si="678"/>
        <v>0</v>
      </c>
      <c r="AM162" s="36">
        <f t="shared" si="679"/>
        <v>0</v>
      </c>
      <c r="AN162" s="36">
        <f t="shared" si="680"/>
        <v>0</v>
      </c>
      <c r="AO162" s="36">
        <f t="shared" si="681"/>
        <v>0</v>
      </c>
      <c r="AP162" s="36">
        <f t="shared" si="682"/>
        <v>0</v>
      </c>
      <c r="AQ162" s="36">
        <f t="shared" si="683"/>
        <v>0</v>
      </c>
      <c r="AR162" s="36">
        <f t="shared" si="684"/>
        <v>0</v>
      </c>
      <c r="AS162" s="31" t="str">
        <f t="shared" si="690"/>
        <v>SimulationStorage,1,</v>
      </c>
      <c r="AT162" s="31" t="str">
        <f t="shared" si="691"/>
        <v>AnalysisStorage,1,</v>
      </c>
      <c r="AU162" s="31" t="str">
        <f t="shared" si="692"/>
        <v>LogRuleEvaluation,0,</v>
      </c>
      <c r="AV162" s="31" t="str">
        <f t="shared" si="693"/>
        <v>ParallelSimulations,1,</v>
      </c>
      <c r="AW162" s="31" t="str">
        <f t="shared" si="694"/>
        <v>DurationStats,0,</v>
      </c>
      <c r="AX162" s="31" t="str">
        <f t="shared" si="695"/>
        <v>AnalysisThruStep,8,</v>
      </c>
      <c r="AY162" s="31" t="str">
        <f t="shared" si="696"/>
        <v>DontAbortOnErrorsThruStep,8,</v>
      </c>
      <c r="AZ162" s="31" t="str">
        <f t="shared" si="697"/>
        <v>BypassValidFileChecks,1,</v>
      </c>
      <c r="BA162" s="31" t="str">
        <f t="shared" si="698"/>
        <v>BypassInputChecks,0,</v>
      </c>
      <c r="BB162" s="31" t="str">
        <f t="shared" si="699"/>
        <v>BypassUMLHChecks,0,</v>
      </c>
      <c r="BC162" s="31" t="str">
        <f t="shared" si="700"/>
        <v>BypassCheckSimRules,0,</v>
      </c>
      <c r="BD162" s="31" t="str">
        <f t="shared" si="701"/>
        <v>BypassCheckCodeRules,0,</v>
      </c>
      <c r="BE162" s="31" t="str">
        <f t="shared" si="638"/>
        <v>StoreResultsToModelInput,0,</v>
      </c>
      <c r="BF162" s="31" t="str">
        <f t="shared" si="639"/>
        <v>StoreBEMDetails,0,</v>
      </c>
      <c r="BG162" s="31" t="str">
        <f t="shared" si="640"/>
        <v>ModelRpt_ALL,0,</v>
      </c>
      <c r="BH162" s="31" t="str">
        <f t="shared" si="641"/>
        <v>ExportHourlyResults_All,0,</v>
      </c>
      <c r="BI162" s="31" t="str">
        <f t="shared" si="642"/>
        <v>ComplianceReportPDF,0,</v>
      </c>
      <c r="BJ162" s="31" t="str">
        <f t="shared" si="643"/>
        <v>ComplianceReportXML,0,</v>
      </c>
      <c r="BK162" s="31" t="str">
        <f t="shared" si="644"/>
        <v>QuickAnalysis,0,</v>
      </c>
      <c r="BL162" s="31" t="str">
        <f t="shared" si="644"/>
        <v>PromptUserUMLHWarning,0,</v>
      </c>
      <c r="BM162" s="31" t="str">
        <f t="shared" si="645"/>
        <v>BypassOpenStudio_all,0,</v>
      </c>
      <c r="BN162" s="31" t="str">
        <f t="shared" si="646"/>
        <v>BypassOpenStudio_zp,0,</v>
      </c>
      <c r="BO162" s="31" t="str">
        <f t="shared" si="647"/>
        <v>BypassOpenStudio_zb,0,</v>
      </c>
      <c r="BP162" s="31" t="str">
        <f t="shared" si="648"/>
        <v>BypassOpenStudio_ap,0,</v>
      </c>
      <c r="BQ162" s="31" t="str">
        <f t="shared" si="649"/>
        <v>BypassOpenStudio_ab,0,</v>
      </c>
      <c r="BR162" s="31" t="str">
        <f t="shared" si="650"/>
        <v>BypassOpenStudio_zp,0,</v>
      </c>
      <c r="BS162" s="31" t="str">
        <f t="shared" si="651"/>
        <v>BypassOpenStudio_zb,0,</v>
      </c>
      <c r="BT162" s="31" t="str">
        <f t="shared" si="652"/>
        <v>BypassOpenStudio_ap,0,</v>
      </c>
      <c r="BU162" s="31" t="str">
        <f t="shared" si="653"/>
        <v>BypassOpenStudio_ab,0,</v>
      </c>
    </row>
    <row r="163" spans="1:73" x14ac:dyDescent="0.25">
      <c r="A163" s="39">
        <f t="shared" si="654"/>
        <v>1</v>
      </c>
      <c r="B163" s="27" t="str">
        <f t="shared" si="655"/>
        <v>SoftwareSensitivityTests\StreamlinedApprovalSet\1014416-RetlStrp-WSHP.cibd</v>
      </c>
      <c r="C163" s="27" t="str">
        <f t="shared" si="656"/>
        <v>BatchOut_160331_r3964_SSTs\1014416-RetlStrp-WSHP.cibd</v>
      </c>
      <c r="D163" s="27" t="str">
        <f t="shared" si="657"/>
        <v>BatchOut_160331_r3964_SSTs\XML\</v>
      </c>
      <c r="E163" s="9" t="str">
        <f t="shared" si="658"/>
        <v>1014416</v>
      </c>
      <c r="F163" s="22"/>
      <c r="G163" s="29"/>
      <c r="H163" s="23" t="str">
        <f t="shared" si="659"/>
        <v/>
      </c>
      <c r="I163" s="9" t="s">
        <v>11</v>
      </c>
      <c r="J163"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3" s="15" t="s">
        <v>1</v>
      </c>
      <c r="L163" s="36">
        <f t="shared" si="685"/>
        <v>1</v>
      </c>
      <c r="M163" s="32" t="str">
        <f t="shared" si="660"/>
        <v>1014416</v>
      </c>
      <c r="N163" s="28" t="s">
        <v>249</v>
      </c>
      <c r="O163" s="28" t="str">
        <f t="shared" si="686"/>
        <v>1014416-RetlStrp-WSHP</v>
      </c>
      <c r="P163" s="36">
        <f t="shared" si="764"/>
        <v>1</v>
      </c>
      <c r="Q163" s="36">
        <f t="shared" si="764"/>
        <v>1</v>
      </c>
      <c r="R163" s="36">
        <f t="shared" si="764"/>
        <v>0</v>
      </c>
      <c r="S163" s="36">
        <f t="shared" si="764"/>
        <v>1</v>
      </c>
      <c r="T163" s="36">
        <f t="shared" si="764"/>
        <v>0</v>
      </c>
      <c r="U163" s="36">
        <f t="shared" si="764"/>
        <v>8</v>
      </c>
      <c r="V163" s="36">
        <f t="shared" si="764"/>
        <v>8</v>
      </c>
      <c r="W163" s="36">
        <f t="shared" si="764"/>
        <v>1</v>
      </c>
      <c r="X163" s="36">
        <f t="shared" si="764"/>
        <v>0</v>
      </c>
      <c r="Y163" s="36">
        <f t="shared" si="764"/>
        <v>0</v>
      </c>
      <c r="Z163" s="36">
        <f t="shared" si="764"/>
        <v>0</v>
      </c>
      <c r="AA163" s="36">
        <f t="shared" si="764"/>
        <v>0</v>
      </c>
      <c r="AB163" s="36">
        <f t="shared" si="764"/>
        <v>0</v>
      </c>
      <c r="AC163" s="36">
        <f t="shared" si="672"/>
        <v>0</v>
      </c>
      <c r="AD163" s="36">
        <f t="shared" si="673"/>
        <v>0</v>
      </c>
      <c r="AE163" s="36">
        <f t="shared" si="673"/>
        <v>0</v>
      </c>
      <c r="AF163" s="36">
        <f t="shared" ref="AF163:AG163" si="777">AF162</f>
        <v>0</v>
      </c>
      <c r="AG163" s="36">
        <f t="shared" si="777"/>
        <v>0</v>
      </c>
      <c r="AH163" s="36">
        <f t="shared" ref="AH163:AI163" si="778">AH162</f>
        <v>0</v>
      </c>
      <c r="AI163" s="36">
        <f t="shared" si="778"/>
        <v>0</v>
      </c>
      <c r="AJ163" s="36">
        <f t="shared" si="676"/>
        <v>0</v>
      </c>
      <c r="AK163" s="36">
        <f t="shared" si="677"/>
        <v>0</v>
      </c>
      <c r="AL163" s="36">
        <f t="shared" si="678"/>
        <v>0</v>
      </c>
      <c r="AM163" s="36">
        <f t="shared" si="679"/>
        <v>0</v>
      </c>
      <c r="AN163" s="36">
        <f t="shared" si="680"/>
        <v>0</v>
      </c>
      <c r="AO163" s="36">
        <f t="shared" si="681"/>
        <v>0</v>
      </c>
      <c r="AP163" s="36">
        <f t="shared" si="682"/>
        <v>0</v>
      </c>
      <c r="AQ163" s="36">
        <f t="shared" si="683"/>
        <v>0</v>
      </c>
      <c r="AR163" s="36">
        <f t="shared" si="684"/>
        <v>0</v>
      </c>
      <c r="AS163" s="31" t="str">
        <f t="shared" si="690"/>
        <v>SimulationStorage,1,</v>
      </c>
      <c r="AT163" s="31" t="str">
        <f t="shared" si="691"/>
        <v>AnalysisStorage,1,</v>
      </c>
      <c r="AU163" s="31" t="str">
        <f t="shared" si="692"/>
        <v>LogRuleEvaluation,0,</v>
      </c>
      <c r="AV163" s="31" t="str">
        <f t="shared" si="693"/>
        <v>ParallelSimulations,1,</v>
      </c>
      <c r="AW163" s="31" t="str">
        <f t="shared" si="694"/>
        <v>DurationStats,0,</v>
      </c>
      <c r="AX163" s="31" t="str">
        <f t="shared" si="695"/>
        <v>AnalysisThruStep,8,</v>
      </c>
      <c r="AY163" s="31" t="str">
        <f t="shared" si="696"/>
        <v>DontAbortOnErrorsThruStep,8,</v>
      </c>
      <c r="AZ163" s="31" t="str">
        <f t="shared" si="697"/>
        <v>BypassValidFileChecks,1,</v>
      </c>
      <c r="BA163" s="31" t="str">
        <f t="shared" si="698"/>
        <v>BypassInputChecks,0,</v>
      </c>
      <c r="BB163" s="31" t="str">
        <f t="shared" si="699"/>
        <v>BypassUMLHChecks,0,</v>
      </c>
      <c r="BC163" s="31" t="str">
        <f t="shared" si="700"/>
        <v>BypassCheckSimRules,0,</v>
      </c>
      <c r="BD163" s="31" t="str">
        <f t="shared" si="701"/>
        <v>BypassCheckCodeRules,0,</v>
      </c>
      <c r="BE163" s="31" t="str">
        <f t="shared" si="638"/>
        <v>StoreResultsToModelInput,0,</v>
      </c>
      <c r="BF163" s="31" t="str">
        <f t="shared" si="639"/>
        <v>StoreBEMDetails,0,</v>
      </c>
      <c r="BG163" s="31" t="str">
        <f t="shared" si="640"/>
        <v>ModelRpt_ALL,0,</v>
      </c>
      <c r="BH163" s="31" t="str">
        <f t="shared" si="641"/>
        <v>ExportHourlyResults_All,0,</v>
      </c>
      <c r="BI163" s="31" t="str">
        <f t="shared" si="642"/>
        <v>ComplianceReportPDF,0,</v>
      </c>
      <c r="BJ163" s="31" t="str">
        <f t="shared" si="643"/>
        <v>ComplianceReportXML,0,</v>
      </c>
      <c r="BK163" s="31" t="str">
        <f t="shared" si="644"/>
        <v>QuickAnalysis,0,</v>
      </c>
      <c r="BL163" s="31" t="str">
        <f t="shared" si="644"/>
        <v>PromptUserUMLHWarning,0,</v>
      </c>
      <c r="BM163" s="31" t="str">
        <f t="shared" si="645"/>
        <v>BypassOpenStudio_all,0,</v>
      </c>
      <c r="BN163" s="31" t="str">
        <f t="shared" si="646"/>
        <v>BypassOpenStudio_zp,0,</v>
      </c>
      <c r="BO163" s="31" t="str">
        <f t="shared" si="647"/>
        <v>BypassOpenStudio_zb,0,</v>
      </c>
      <c r="BP163" s="31" t="str">
        <f t="shared" si="648"/>
        <v>BypassOpenStudio_ap,0,</v>
      </c>
      <c r="BQ163" s="31" t="str">
        <f t="shared" si="649"/>
        <v>BypassOpenStudio_ab,0,</v>
      </c>
      <c r="BR163" s="31" t="str">
        <f t="shared" si="650"/>
        <v>BypassOpenStudio_zp,0,</v>
      </c>
      <c r="BS163" s="31" t="str">
        <f t="shared" si="651"/>
        <v>BypassOpenStudio_zb,0,</v>
      </c>
      <c r="BT163" s="31" t="str">
        <f t="shared" si="652"/>
        <v>BypassOpenStudio_ap,0,</v>
      </c>
      <c r="BU163" s="31" t="str">
        <f t="shared" si="653"/>
        <v>BypassOpenStudio_ab,0,</v>
      </c>
    </row>
    <row r="164" spans="1:73" x14ac:dyDescent="0.25">
      <c r="A164" s="39">
        <f t="shared" si="654"/>
        <v>1</v>
      </c>
      <c r="B164" s="27" t="str">
        <f t="shared" si="655"/>
        <v>SoftwareSensitivityTests\StreamlinedApprovalSet\1000006-RetlStrp-BaselinePTAC.cibd</v>
      </c>
      <c r="C164" s="27" t="str">
        <f t="shared" si="656"/>
        <v>BatchOut_160331_r3964_SSTs\1000006-RetlStrp-BaselinePTAC.cibd</v>
      </c>
      <c r="D164" s="27" t="str">
        <f t="shared" si="657"/>
        <v>BatchOut_160331_r3964_SSTs\XML\</v>
      </c>
      <c r="E164" s="9" t="str">
        <f t="shared" si="658"/>
        <v>1000006</v>
      </c>
      <c r="F164" s="22"/>
      <c r="G164" s="29"/>
      <c r="H164" s="23" t="str">
        <f t="shared" si="659"/>
        <v/>
      </c>
      <c r="I164" s="9" t="s">
        <v>11</v>
      </c>
      <c r="J164"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4" s="15" t="s">
        <v>1</v>
      </c>
      <c r="L164" s="36">
        <f t="shared" si="685"/>
        <v>1</v>
      </c>
      <c r="M164" s="32" t="str">
        <f t="shared" si="660"/>
        <v>1000006</v>
      </c>
      <c r="N164" s="28" t="s">
        <v>250</v>
      </c>
      <c r="O164" s="28" t="str">
        <f t="shared" si="686"/>
        <v>1000006-RetlStrp-BaselinePTAC</v>
      </c>
      <c r="P164" s="36">
        <f t="shared" si="764"/>
        <v>1</v>
      </c>
      <c r="Q164" s="36">
        <f t="shared" si="764"/>
        <v>1</v>
      </c>
      <c r="R164" s="36">
        <f t="shared" si="764"/>
        <v>0</v>
      </c>
      <c r="S164" s="36">
        <f t="shared" si="764"/>
        <v>1</v>
      </c>
      <c r="T164" s="36">
        <f t="shared" si="764"/>
        <v>0</v>
      </c>
      <c r="U164" s="36">
        <f t="shared" si="764"/>
        <v>8</v>
      </c>
      <c r="V164" s="36">
        <f t="shared" si="764"/>
        <v>8</v>
      </c>
      <c r="W164" s="36">
        <f t="shared" si="764"/>
        <v>1</v>
      </c>
      <c r="X164" s="36">
        <f t="shared" si="764"/>
        <v>0</v>
      </c>
      <c r="Y164" s="36">
        <f t="shared" si="764"/>
        <v>0</v>
      </c>
      <c r="Z164" s="36">
        <f t="shared" si="764"/>
        <v>0</v>
      </c>
      <c r="AA164" s="36">
        <f t="shared" si="764"/>
        <v>0</v>
      </c>
      <c r="AB164" s="36">
        <f t="shared" si="764"/>
        <v>0</v>
      </c>
      <c r="AC164" s="36">
        <f t="shared" si="672"/>
        <v>0</v>
      </c>
      <c r="AD164" s="36">
        <f t="shared" si="673"/>
        <v>0</v>
      </c>
      <c r="AE164" s="36">
        <f t="shared" si="673"/>
        <v>0</v>
      </c>
      <c r="AF164" s="36">
        <f t="shared" ref="AF164:AG164" si="779">AF163</f>
        <v>0</v>
      </c>
      <c r="AG164" s="36">
        <f t="shared" si="779"/>
        <v>0</v>
      </c>
      <c r="AH164" s="36">
        <f t="shared" ref="AH164:AI164" si="780">AH163</f>
        <v>0</v>
      </c>
      <c r="AI164" s="36">
        <f t="shared" si="780"/>
        <v>0</v>
      </c>
      <c r="AJ164" s="36">
        <f t="shared" si="676"/>
        <v>0</v>
      </c>
      <c r="AK164" s="36">
        <f t="shared" si="677"/>
        <v>0</v>
      </c>
      <c r="AL164" s="36">
        <f t="shared" si="678"/>
        <v>0</v>
      </c>
      <c r="AM164" s="36">
        <f t="shared" si="679"/>
        <v>0</v>
      </c>
      <c r="AN164" s="36">
        <f t="shared" si="680"/>
        <v>0</v>
      </c>
      <c r="AO164" s="36">
        <f t="shared" si="681"/>
        <v>0</v>
      </c>
      <c r="AP164" s="36">
        <f t="shared" si="682"/>
        <v>0</v>
      </c>
      <c r="AQ164" s="36">
        <f t="shared" si="683"/>
        <v>0</v>
      </c>
      <c r="AR164" s="36">
        <f t="shared" si="684"/>
        <v>0</v>
      </c>
      <c r="AS164" s="31" t="str">
        <f t="shared" si="690"/>
        <v>SimulationStorage,1,</v>
      </c>
      <c r="AT164" s="31" t="str">
        <f t="shared" si="691"/>
        <v>AnalysisStorage,1,</v>
      </c>
      <c r="AU164" s="31" t="str">
        <f t="shared" si="692"/>
        <v>LogRuleEvaluation,0,</v>
      </c>
      <c r="AV164" s="31" t="str">
        <f t="shared" si="693"/>
        <v>ParallelSimulations,1,</v>
      </c>
      <c r="AW164" s="31" t="str">
        <f t="shared" si="694"/>
        <v>DurationStats,0,</v>
      </c>
      <c r="AX164" s="31" t="str">
        <f t="shared" si="695"/>
        <v>AnalysisThruStep,8,</v>
      </c>
      <c r="AY164" s="31" t="str">
        <f t="shared" si="696"/>
        <v>DontAbortOnErrorsThruStep,8,</v>
      </c>
      <c r="AZ164" s="31" t="str">
        <f t="shared" si="697"/>
        <v>BypassValidFileChecks,1,</v>
      </c>
      <c r="BA164" s="31" t="str">
        <f t="shared" si="698"/>
        <v>BypassInputChecks,0,</v>
      </c>
      <c r="BB164" s="31" t="str">
        <f t="shared" si="699"/>
        <v>BypassUMLHChecks,0,</v>
      </c>
      <c r="BC164" s="31" t="str">
        <f t="shared" si="700"/>
        <v>BypassCheckSimRules,0,</v>
      </c>
      <c r="BD164" s="31" t="str">
        <f t="shared" si="701"/>
        <v>BypassCheckCodeRules,0,</v>
      </c>
      <c r="BE164" s="31" t="str">
        <f t="shared" si="638"/>
        <v>StoreResultsToModelInput,0,</v>
      </c>
      <c r="BF164" s="31" t="str">
        <f t="shared" si="639"/>
        <v>StoreBEMDetails,0,</v>
      </c>
      <c r="BG164" s="31" t="str">
        <f t="shared" si="640"/>
        <v>ModelRpt_ALL,0,</v>
      </c>
      <c r="BH164" s="31" t="str">
        <f t="shared" si="641"/>
        <v>ExportHourlyResults_All,0,</v>
      </c>
      <c r="BI164" s="31" t="str">
        <f t="shared" si="642"/>
        <v>ComplianceReportPDF,0,</v>
      </c>
      <c r="BJ164" s="31" t="str">
        <f t="shared" si="643"/>
        <v>ComplianceReportXML,0,</v>
      </c>
      <c r="BK164" s="31" t="str">
        <f t="shared" si="644"/>
        <v>QuickAnalysis,0,</v>
      </c>
      <c r="BL164" s="31" t="str">
        <f t="shared" si="644"/>
        <v>PromptUserUMLHWarning,0,</v>
      </c>
      <c r="BM164" s="31" t="str">
        <f t="shared" si="645"/>
        <v>BypassOpenStudio_all,0,</v>
      </c>
      <c r="BN164" s="31" t="str">
        <f t="shared" si="646"/>
        <v>BypassOpenStudio_zp,0,</v>
      </c>
      <c r="BO164" s="31" t="str">
        <f t="shared" si="647"/>
        <v>BypassOpenStudio_zb,0,</v>
      </c>
      <c r="BP164" s="31" t="str">
        <f t="shared" si="648"/>
        <v>BypassOpenStudio_ap,0,</v>
      </c>
      <c r="BQ164" s="31" t="str">
        <f t="shared" si="649"/>
        <v>BypassOpenStudio_ab,0,</v>
      </c>
      <c r="BR164" s="31" t="str">
        <f t="shared" si="650"/>
        <v>BypassOpenStudio_zp,0,</v>
      </c>
      <c r="BS164" s="31" t="str">
        <f t="shared" si="651"/>
        <v>BypassOpenStudio_zb,0,</v>
      </c>
      <c r="BT164" s="31" t="str">
        <f t="shared" si="652"/>
        <v>BypassOpenStudio_ap,0,</v>
      </c>
      <c r="BU164" s="31" t="str">
        <f t="shared" si="653"/>
        <v>BypassOpenStudio_ab,0,</v>
      </c>
    </row>
    <row r="165" spans="1:73" x14ac:dyDescent="0.25">
      <c r="A165" s="39">
        <f t="shared" si="654"/>
        <v>1</v>
      </c>
      <c r="B165" s="27" t="str">
        <f t="shared" si="655"/>
        <v>SoftwareSensitivityTests\StreamlinedApprovalSet\1010606-RetlStrp-FPFC.cibd</v>
      </c>
      <c r="C165" s="27" t="str">
        <f t="shared" si="656"/>
        <v>BatchOut_160331_r3964_SSTs\1010606-RetlStrp-FPFC.cibd</v>
      </c>
      <c r="D165" s="27" t="str">
        <f t="shared" si="657"/>
        <v>BatchOut_160331_r3964_SSTs\XML\</v>
      </c>
      <c r="E165" s="9" t="str">
        <f t="shared" si="658"/>
        <v>1010606</v>
      </c>
      <c r="F165" s="22"/>
      <c r="G165" s="29"/>
      <c r="H165" s="23" t="str">
        <f t="shared" si="659"/>
        <v/>
      </c>
      <c r="I165" s="9" t="s">
        <v>11</v>
      </c>
      <c r="J165"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5" s="15" t="s">
        <v>1</v>
      </c>
      <c r="L165" s="36">
        <f t="shared" si="685"/>
        <v>1</v>
      </c>
      <c r="M165" s="32" t="str">
        <f t="shared" si="660"/>
        <v>1010606</v>
      </c>
      <c r="N165" s="28" t="s">
        <v>251</v>
      </c>
      <c r="O165" s="28" t="str">
        <f t="shared" si="686"/>
        <v>1010606-RetlStrp-FPFC</v>
      </c>
      <c r="P165" s="36">
        <f t="shared" si="764"/>
        <v>1</v>
      </c>
      <c r="Q165" s="36">
        <f t="shared" si="764"/>
        <v>1</v>
      </c>
      <c r="R165" s="36">
        <f t="shared" si="764"/>
        <v>0</v>
      </c>
      <c r="S165" s="36">
        <f t="shared" si="764"/>
        <v>1</v>
      </c>
      <c r="T165" s="36">
        <f t="shared" si="764"/>
        <v>0</v>
      </c>
      <c r="U165" s="36">
        <f t="shared" si="764"/>
        <v>8</v>
      </c>
      <c r="V165" s="36">
        <f t="shared" si="764"/>
        <v>8</v>
      </c>
      <c r="W165" s="36">
        <f t="shared" si="764"/>
        <v>1</v>
      </c>
      <c r="X165" s="36">
        <f t="shared" si="764"/>
        <v>0</v>
      </c>
      <c r="Y165" s="36">
        <f t="shared" si="764"/>
        <v>0</v>
      </c>
      <c r="Z165" s="36">
        <f t="shared" si="764"/>
        <v>0</v>
      </c>
      <c r="AA165" s="36">
        <f t="shared" si="764"/>
        <v>0</v>
      </c>
      <c r="AB165" s="36">
        <f t="shared" si="764"/>
        <v>0</v>
      </c>
      <c r="AC165" s="36">
        <f t="shared" si="672"/>
        <v>0</v>
      </c>
      <c r="AD165" s="36">
        <f t="shared" si="673"/>
        <v>0</v>
      </c>
      <c r="AE165" s="36">
        <f t="shared" si="673"/>
        <v>0</v>
      </c>
      <c r="AF165" s="36">
        <f t="shared" ref="AF165:AG165" si="781">AF164</f>
        <v>0</v>
      </c>
      <c r="AG165" s="36">
        <f t="shared" si="781"/>
        <v>0</v>
      </c>
      <c r="AH165" s="36">
        <f t="shared" ref="AH165:AI165" si="782">AH164</f>
        <v>0</v>
      </c>
      <c r="AI165" s="36">
        <f t="shared" si="782"/>
        <v>0</v>
      </c>
      <c r="AJ165" s="36">
        <f t="shared" si="676"/>
        <v>0</v>
      </c>
      <c r="AK165" s="36">
        <f t="shared" si="677"/>
        <v>0</v>
      </c>
      <c r="AL165" s="36">
        <f t="shared" si="678"/>
        <v>0</v>
      </c>
      <c r="AM165" s="36">
        <f t="shared" si="679"/>
        <v>0</v>
      </c>
      <c r="AN165" s="36">
        <f t="shared" si="680"/>
        <v>0</v>
      </c>
      <c r="AO165" s="36">
        <f t="shared" si="681"/>
        <v>0</v>
      </c>
      <c r="AP165" s="36">
        <f t="shared" si="682"/>
        <v>0</v>
      </c>
      <c r="AQ165" s="36">
        <f t="shared" si="683"/>
        <v>0</v>
      </c>
      <c r="AR165" s="36">
        <f t="shared" si="684"/>
        <v>0</v>
      </c>
      <c r="AS165" s="31" t="str">
        <f t="shared" si="690"/>
        <v>SimulationStorage,1,</v>
      </c>
      <c r="AT165" s="31" t="str">
        <f t="shared" si="691"/>
        <v>AnalysisStorage,1,</v>
      </c>
      <c r="AU165" s="31" t="str">
        <f t="shared" si="692"/>
        <v>LogRuleEvaluation,0,</v>
      </c>
      <c r="AV165" s="31" t="str">
        <f t="shared" si="693"/>
        <v>ParallelSimulations,1,</v>
      </c>
      <c r="AW165" s="31" t="str">
        <f t="shared" si="694"/>
        <v>DurationStats,0,</v>
      </c>
      <c r="AX165" s="31" t="str">
        <f t="shared" si="695"/>
        <v>AnalysisThruStep,8,</v>
      </c>
      <c r="AY165" s="31" t="str">
        <f t="shared" si="696"/>
        <v>DontAbortOnErrorsThruStep,8,</v>
      </c>
      <c r="AZ165" s="31" t="str">
        <f t="shared" si="697"/>
        <v>BypassValidFileChecks,1,</v>
      </c>
      <c r="BA165" s="31" t="str">
        <f t="shared" si="698"/>
        <v>BypassInputChecks,0,</v>
      </c>
      <c r="BB165" s="31" t="str">
        <f t="shared" si="699"/>
        <v>BypassUMLHChecks,0,</v>
      </c>
      <c r="BC165" s="31" t="str">
        <f t="shared" si="700"/>
        <v>BypassCheckSimRules,0,</v>
      </c>
      <c r="BD165" s="31" t="str">
        <f t="shared" si="701"/>
        <v>BypassCheckCodeRules,0,</v>
      </c>
      <c r="BE165" s="31" t="str">
        <f t="shared" si="638"/>
        <v>StoreResultsToModelInput,0,</v>
      </c>
      <c r="BF165" s="31" t="str">
        <f t="shared" si="639"/>
        <v>StoreBEMDetails,0,</v>
      </c>
      <c r="BG165" s="31" t="str">
        <f t="shared" si="640"/>
        <v>ModelRpt_ALL,0,</v>
      </c>
      <c r="BH165" s="31" t="str">
        <f t="shared" si="641"/>
        <v>ExportHourlyResults_All,0,</v>
      </c>
      <c r="BI165" s="31" t="str">
        <f t="shared" si="642"/>
        <v>ComplianceReportPDF,0,</v>
      </c>
      <c r="BJ165" s="31" t="str">
        <f t="shared" si="643"/>
        <v>ComplianceReportXML,0,</v>
      </c>
      <c r="BK165" s="31" t="str">
        <f t="shared" si="644"/>
        <v>QuickAnalysis,0,</v>
      </c>
      <c r="BL165" s="31" t="str">
        <f t="shared" si="644"/>
        <v>PromptUserUMLHWarning,0,</v>
      </c>
      <c r="BM165" s="31" t="str">
        <f t="shared" si="645"/>
        <v>BypassOpenStudio_all,0,</v>
      </c>
      <c r="BN165" s="31" t="str">
        <f t="shared" si="646"/>
        <v>BypassOpenStudio_zp,0,</v>
      </c>
      <c r="BO165" s="31" t="str">
        <f t="shared" si="647"/>
        <v>BypassOpenStudio_zb,0,</v>
      </c>
      <c r="BP165" s="31" t="str">
        <f t="shared" si="648"/>
        <v>BypassOpenStudio_ap,0,</v>
      </c>
      <c r="BQ165" s="31" t="str">
        <f t="shared" si="649"/>
        <v>BypassOpenStudio_ab,0,</v>
      </c>
      <c r="BR165" s="31" t="str">
        <f t="shared" si="650"/>
        <v>BypassOpenStudio_zp,0,</v>
      </c>
      <c r="BS165" s="31" t="str">
        <f t="shared" si="651"/>
        <v>BypassOpenStudio_zb,0,</v>
      </c>
      <c r="BT165" s="31" t="str">
        <f t="shared" si="652"/>
        <v>BypassOpenStudio_ap,0,</v>
      </c>
      <c r="BU165" s="31" t="str">
        <f t="shared" si="653"/>
        <v>BypassOpenStudio_ab,0,</v>
      </c>
    </row>
    <row r="166" spans="1:73" x14ac:dyDescent="0.25">
      <c r="A166" s="39">
        <f t="shared" si="654"/>
        <v>1</v>
      </c>
      <c r="B166" s="27" t="str">
        <f t="shared" si="655"/>
        <v>SoftwareSensitivityTests\StreamlinedApprovalSet\1014506-RetlStrp-WSHP.cibd</v>
      </c>
      <c r="C166" s="27" t="str">
        <f t="shared" si="656"/>
        <v>BatchOut_160331_r3964_SSTs\1014506-RetlStrp-WSHP.cibd</v>
      </c>
      <c r="D166" s="27" t="str">
        <f t="shared" si="657"/>
        <v>BatchOut_160331_r3964_SSTs\XML\</v>
      </c>
      <c r="E166" s="9" t="str">
        <f t="shared" si="658"/>
        <v>1014506</v>
      </c>
      <c r="F166" s="22"/>
      <c r="G166" s="29"/>
      <c r="H166" s="23" t="str">
        <f t="shared" si="659"/>
        <v/>
      </c>
      <c r="I166" s="9" t="s">
        <v>11</v>
      </c>
      <c r="J166"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6" s="15" t="s">
        <v>1</v>
      </c>
      <c r="L166" s="36">
        <f t="shared" si="685"/>
        <v>1</v>
      </c>
      <c r="M166" s="32" t="str">
        <f t="shared" si="660"/>
        <v>1014506</v>
      </c>
      <c r="N166" s="28" t="s">
        <v>252</v>
      </c>
      <c r="O166" s="28" t="str">
        <f t="shared" si="686"/>
        <v>1014506-RetlStrp-WSHP</v>
      </c>
      <c r="P166" s="36">
        <f t="shared" si="764"/>
        <v>1</v>
      </c>
      <c r="Q166" s="36">
        <f t="shared" si="764"/>
        <v>1</v>
      </c>
      <c r="R166" s="36">
        <f t="shared" si="764"/>
        <v>0</v>
      </c>
      <c r="S166" s="36">
        <f t="shared" si="764"/>
        <v>1</v>
      </c>
      <c r="T166" s="36">
        <f t="shared" si="764"/>
        <v>0</v>
      </c>
      <c r="U166" s="36">
        <f t="shared" si="764"/>
        <v>8</v>
      </c>
      <c r="V166" s="36">
        <f t="shared" si="764"/>
        <v>8</v>
      </c>
      <c r="W166" s="36">
        <f t="shared" si="764"/>
        <v>1</v>
      </c>
      <c r="X166" s="36">
        <f t="shared" si="764"/>
        <v>0</v>
      </c>
      <c r="Y166" s="36">
        <f t="shared" si="764"/>
        <v>0</v>
      </c>
      <c r="Z166" s="36">
        <f t="shared" si="764"/>
        <v>0</v>
      </c>
      <c r="AA166" s="36">
        <f t="shared" si="764"/>
        <v>0</v>
      </c>
      <c r="AB166" s="36">
        <f t="shared" si="764"/>
        <v>0</v>
      </c>
      <c r="AC166" s="36">
        <f t="shared" si="672"/>
        <v>0</v>
      </c>
      <c r="AD166" s="36">
        <f t="shared" si="673"/>
        <v>0</v>
      </c>
      <c r="AE166" s="36">
        <f t="shared" si="673"/>
        <v>0</v>
      </c>
      <c r="AF166" s="36">
        <f t="shared" ref="AF166:AG166" si="783">AF165</f>
        <v>0</v>
      </c>
      <c r="AG166" s="36">
        <f t="shared" si="783"/>
        <v>0</v>
      </c>
      <c r="AH166" s="36">
        <f t="shared" ref="AH166:AI166" si="784">AH165</f>
        <v>0</v>
      </c>
      <c r="AI166" s="36">
        <f t="shared" si="784"/>
        <v>0</v>
      </c>
      <c r="AJ166" s="36">
        <f t="shared" si="676"/>
        <v>0</v>
      </c>
      <c r="AK166" s="36">
        <f t="shared" si="677"/>
        <v>0</v>
      </c>
      <c r="AL166" s="36">
        <f t="shared" si="678"/>
        <v>0</v>
      </c>
      <c r="AM166" s="36">
        <f t="shared" si="679"/>
        <v>0</v>
      </c>
      <c r="AN166" s="36">
        <f t="shared" si="680"/>
        <v>0</v>
      </c>
      <c r="AO166" s="36">
        <f t="shared" si="681"/>
        <v>0</v>
      </c>
      <c r="AP166" s="36">
        <f t="shared" si="682"/>
        <v>0</v>
      </c>
      <c r="AQ166" s="36">
        <f t="shared" si="683"/>
        <v>0</v>
      </c>
      <c r="AR166" s="36">
        <f t="shared" si="684"/>
        <v>0</v>
      </c>
      <c r="AS166" s="31" t="str">
        <f t="shared" si="690"/>
        <v>SimulationStorage,1,</v>
      </c>
      <c r="AT166" s="31" t="str">
        <f t="shared" si="691"/>
        <v>AnalysisStorage,1,</v>
      </c>
      <c r="AU166" s="31" t="str">
        <f t="shared" si="692"/>
        <v>LogRuleEvaluation,0,</v>
      </c>
      <c r="AV166" s="31" t="str">
        <f t="shared" si="693"/>
        <v>ParallelSimulations,1,</v>
      </c>
      <c r="AW166" s="31" t="str">
        <f t="shared" si="694"/>
        <v>DurationStats,0,</v>
      </c>
      <c r="AX166" s="31" t="str">
        <f t="shared" si="695"/>
        <v>AnalysisThruStep,8,</v>
      </c>
      <c r="AY166" s="31" t="str">
        <f t="shared" si="696"/>
        <v>DontAbortOnErrorsThruStep,8,</v>
      </c>
      <c r="AZ166" s="31" t="str">
        <f t="shared" si="697"/>
        <v>BypassValidFileChecks,1,</v>
      </c>
      <c r="BA166" s="31" t="str">
        <f t="shared" si="698"/>
        <v>BypassInputChecks,0,</v>
      </c>
      <c r="BB166" s="31" t="str">
        <f t="shared" si="699"/>
        <v>BypassUMLHChecks,0,</v>
      </c>
      <c r="BC166" s="31" t="str">
        <f t="shared" si="700"/>
        <v>BypassCheckSimRules,0,</v>
      </c>
      <c r="BD166" s="31" t="str">
        <f t="shared" si="701"/>
        <v>BypassCheckCodeRules,0,</v>
      </c>
      <c r="BE166" s="31" t="str">
        <f t="shared" si="638"/>
        <v>StoreResultsToModelInput,0,</v>
      </c>
      <c r="BF166" s="31" t="str">
        <f t="shared" si="639"/>
        <v>StoreBEMDetails,0,</v>
      </c>
      <c r="BG166" s="31" t="str">
        <f t="shared" si="640"/>
        <v>ModelRpt_ALL,0,</v>
      </c>
      <c r="BH166" s="31" t="str">
        <f t="shared" si="641"/>
        <v>ExportHourlyResults_All,0,</v>
      </c>
      <c r="BI166" s="31" t="str">
        <f t="shared" si="642"/>
        <v>ComplianceReportPDF,0,</v>
      </c>
      <c r="BJ166" s="31" t="str">
        <f t="shared" si="643"/>
        <v>ComplianceReportXML,0,</v>
      </c>
      <c r="BK166" s="31" t="str">
        <f t="shared" si="644"/>
        <v>QuickAnalysis,0,</v>
      </c>
      <c r="BL166" s="31" t="str">
        <f t="shared" si="644"/>
        <v>PromptUserUMLHWarning,0,</v>
      </c>
      <c r="BM166" s="31" t="str">
        <f t="shared" si="645"/>
        <v>BypassOpenStudio_all,0,</v>
      </c>
      <c r="BN166" s="31" t="str">
        <f t="shared" si="646"/>
        <v>BypassOpenStudio_zp,0,</v>
      </c>
      <c r="BO166" s="31" t="str">
        <f t="shared" si="647"/>
        <v>BypassOpenStudio_zb,0,</v>
      </c>
      <c r="BP166" s="31" t="str">
        <f t="shared" si="648"/>
        <v>BypassOpenStudio_ap,0,</v>
      </c>
      <c r="BQ166" s="31" t="str">
        <f t="shared" si="649"/>
        <v>BypassOpenStudio_ab,0,</v>
      </c>
      <c r="BR166" s="31" t="str">
        <f t="shared" si="650"/>
        <v>BypassOpenStudio_zp,0,</v>
      </c>
      <c r="BS166" s="31" t="str">
        <f t="shared" si="651"/>
        <v>BypassOpenStudio_zb,0,</v>
      </c>
      <c r="BT166" s="31" t="str">
        <f t="shared" si="652"/>
        <v>BypassOpenStudio_ap,0,</v>
      </c>
      <c r="BU166" s="31" t="str">
        <f t="shared" si="653"/>
        <v>BypassOpenStudio_ab,0,</v>
      </c>
    </row>
    <row r="167" spans="1:73" x14ac:dyDescent="0.25">
      <c r="A167" s="39">
        <f t="shared" si="654"/>
        <v>1</v>
      </c>
      <c r="B167" s="27" t="str">
        <f t="shared" si="655"/>
        <v>SoftwareSensitivityTests\StreamlinedApprovalSet\0400007-OffLrg-Baserun.cibd</v>
      </c>
      <c r="C167" s="27" t="str">
        <f t="shared" si="656"/>
        <v>BatchOut_160331_r3964_SSTs\0400007-OffLrg-Baserun.cibd</v>
      </c>
      <c r="D167" s="27" t="str">
        <f t="shared" si="657"/>
        <v>BatchOut_160331_r3964_SSTs\XML\</v>
      </c>
      <c r="E167" s="9" t="str">
        <f t="shared" si="658"/>
        <v>0400007</v>
      </c>
      <c r="F167" s="22"/>
      <c r="G167" s="29"/>
      <c r="H167" s="23" t="str">
        <f t="shared" si="659"/>
        <v/>
      </c>
      <c r="I167" s="9" t="s">
        <v>11</v>
      </c>
      <c r="J167"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7" s="15" t="s">
        <v>1</v>
      </c>
      <c r="L167" s="36">
        <f t="shared" si="685"/>
        <v>1</v>
      </c>
      <c r="M167" s="32" t="str">
        <f t="shared" si="660"/>
        <v>0400007</v>
      </c>
      <c r="N167" s="28" t="s">
        <v>253</v>
      </c>
      <c r="O167" s="28" t="str">
        <f t="shared" si="686"/>
        <v>0400007-OffLrg-Baserun</v>
      </c>
      <c r="P167" s="36">
        <f t="shared" si="764"/>
        <v>1</v>
      </c>
      <c r="Q167" s="36">
        <f t="shared" si="764"/>
        <v>1</v>
      </c>
      <c r="R167" s="36">
        <f t="shared" si="764"/>
        <v>0</v>
      </c>
      <c r="S167" s="36">
        <f t="shared" si="764"/>
        <v>1</v>
      </c>
      <c r="T167" s="36">
        <f t="shared" si="764"/>
        <v>0</v>
      </c>
      <c r="U167" s="36">
        <f t="shared" si="764"/>
        <v>8</v>
      </c>
      <c r="V167" s="36">
        <f t="shared" si="764"/>
        <v>8</v>
      </c>
      <c r="W167" s="36">
        <f t="shared" si="764"/>
        <v>1</v>
      </c>
      <c r="X167" s="36">
        <f t="shared" si="764"/>
        <v>0</v>
      </c>
      <c r="Y167" s="36">
        <f t="shared" si="764"/>
        <v>0</v>
      </c>
      <c r="Z167" s="36">
        <f t="shared" si="764"/>
        <v>0</v>
      </c>
      <c r="AA167" s="36">
        <f t="shared" si="764"/>
        <v>0</v>
      </c>
      <c r="AB167" s="36">
        <f t="shared" si="764"/>
        <v>0</v>
      </c>
      <c r="AC167" s="36">
        <f t="shared" si="672"/>
        <v>0</v>
      </c>
      <c r="AD167" s="36">
        <f t="shared" si="673"/>
        <v>0</v>
      </c>
      <c r="AE167" s="36">
        <f t="shared" si="673"/>
        <v>0</v>
      </c>
      <c r="AF167" s="36">
        <f t="shared" ref="AF167:AG167" si="785">AF166</f>
        <v>0</v>
      </c>
      <c r="AG167" s="36">
        <f t="shared" si="785"/>
        <v>0</v>
      </c>
      <c r="AH167" s="36">
        <f t="shared" ref="AH167:AI167" si="786">AH166</f>
        <v>0</v>
      </c>
      <c r="AI167" s="36">
        <f t="shared" si="786"/>
        <v>0</v>
      </c>
      <c r="AJ167" s="36">
        <f t="shared" si="676"/>
        <v>0</v>
      </c>
      <c r="AK167" s="36">
        <f t="shared" si="677"/>
        <v>0</v>
      </c>
      <c r="AL167" s="36">
        <f t="shared" si="678"/>
        <v>0</v>
      </c>
      <c r="AM167" s="36">
        <f t="shared" si="679"/>
        <v>0</v>
      </c>
      <c r="AN167" s="36">
        <f t="shared" si="680"/>
        <v>0</v>
      </c>
      <c r="AO167" s="36">
        <f t="shared" si="681"/>
        <v>0</v>
      </c>
      <c r="AP167" s="36">
        <f t="shared" si="682"/>
        <v>0</v>
      </c>
      <c r="AQ167" s="36">
        <f t="shared" si="683"/>
        <v>0</v>
      </c>
      <c r="AR167" s="36">
        <f t="shared" si="684"/>
        <v>0</v>
      </c>
      <c r="AS167" s="31" t="str">
        <f t="shared" si="690"/>
        <v>SimulationStorage,1,</v>
      </c>
      <c r="AT167" s="31" t="str">
        <f t="shared" si="691"/>
        <v>AnalysisStorage,1,</v>
      </c>
      <c r="AU167" s="31" t="str">
        <f t="shared" si="692"/>
        <v>LogRuleEvaluation,0,</v>
      </c>
      <c r="AV167" s="31" t="str">
        <f t="shared" si="693"/>
        <v>ParallelSimulations,1,</v>
      </c>
      <c r="AW167" s="31" t="str">
        <f t="shared" si="694"/>
        <v>DurationStats,0,</v>
      </c>
      <c r="AX167" s="31" t="str">
        <f t="shared" si="695"/>
        <v>AnalysisThruStep,8,</v>
      </c>
      <c r="AY167" s="31" t="str">
        <f t="shared" si="696"/>
        <v>DontAbortOnErrorsThruStep,8,</v>
      </c>
      <c r="AZ167" s="31" t="str">
        <f t="shared" si="697"/>
        <v>BypassValidFileChecks,1,</v>
      </c>
      <c r="BA167" s="31" t="str">
        <f t="shared" si="698"/>
        <v>BypassInputChecks,0,</v>
      </c>
      <c r="BB167" s="31" t="str">
        <f t="shared" si="699"/>
        <v>BypassUMLHChecks,0,</v>
      </c>
      <c r="BC167" s="31" t="str">
        <f t="shared" si="700"/>
        <v>BypassCheckSimRules,0,</v>
      </c>
      <c r="BD167" s="31" t="str">
        <f t="shared" si="701"/>
        <v>BypassCheckCodeRules,0,</v>
      </c>
      <c r="BE167" s="31" t="str">
        <f t="shared" si="638"/>
        <v>StoreResultsToModelInput,0,</v>
      </c>
      <c r="BF167" s="31" t="str">
        <f t="shared" si="639"/>
        <v>StoreBEMDetails,0,</v>
      </c>
      <c r="BG167" s="31" t="str">
        <f t="shared" si="640"/>
        <v>ModelRpt_ALL,0,</v>
      </c>
      <c r="BH167" s="31" t="str">
        <f t="shared" si="641"/>
        <v>ExportHourlyResults_All,0,</v>
      </c>
      <c r="BI167" s="31" t="str">
        <f t="shared" si="642"/>
        <v>ComplianceReportPDF,0,</v>
      </c>
      <c r="BJ167" s="31" t="str">
        <f t="shared" si="643"/>
        <v>ComplianceReportXML,0,</v>
      </c>
      <c r="BK167" s="31" t="str">
        <f t="shared" si="644"/>
        <v>QuickAnalysis,0,</v>
      </c>
      <c r="BL167" s="31" t="str">
        <f t="shared" si="644"/>
        <v>PromptUserUMLHWarning,0,</v>
      </c>
      <c r="BM167" s="31" t="str">
        <f t="shared" si="645"/>
        <v>BypassOpenStudio_all,0,</v>
      </c>
      <c r="BN167" s="31" t="str">
        <f t="shared" si="646"/>
        <v>BypassOpenStudio_zp,0,</v>
      </c>
      <c r="BO167" s="31" t="str">
        <f t="shared" si="647"/>
        <v>BypassOpenStudio_zb,0,</v>
      </c>
      <c r="BP167" s="31" t="str">
        <f t="shared" si="648"/>
        <v>BypassOpenStudio_ap,0,</v>
      </c>
      <c r="BQ167" s="31" t="str">
        <f t="shared" si="649"/>
        <v>BypassOpenStudio_ab,0,</v>
      </c>
      <c r="BR167" s="31" t="str">
        <f t="shared" si="650"/>
        <v>BypassOpenStudio_zp,0,</v>
      </c>
      <c r="BS167" s="31" t="str">
        <f t="shared" si="651"/>
        <v>BypassOpenStudio_zb,0,</v>
      </c>
      <c r="BT167" s="31" t="str">
        <f t="shared" si="652"/>
        <v>BypassOpenStudio_ap,0,</v>
      </c>
      <c r="BU167" s="31" t="str">
        <f t="shared" si="653"/>
        <v>BypassOpenStudio_ab,0,</v>
      </c>
    </row>
    <row r="168" spans="1:73" x14ac:dyDescent="0.25">
      <c r="A168" s="39">
        <f t="shared" si="654"/>
        <v>1</v>
      </c>
      <c r="B168" s="27" t="str">
        <f t="shared" si="655"/>
        <v>SoftwareSensitivityTests\StreamlinedApprovalSet\0404207-OffLrg-Cont.DimHighVT.cibd</v>
      </c>
      <c r="C168" s="27" t="str">
        <f t="shared" si="656"/>
        <v>BatchOut_160331_r3964_SSTs\0404207-OffLrg-Cont.DimHighVT.cibd</v>
      </c>
      <c r="D168" s="27" t="str">
        <f t="shared" si="657"/>
        <v>BatchOut_160331_r3964_SSTs\XML\</v>
      </c>
      <c r="E168" s="9" t="str">
        <f t="shared" si="658"/>
        <v>0404207</v>
      </c>
      <c r="F168" s="22"/>
      <c r="G168" s="29"/>
      <c r="H168" s="23" t="str">
        <f t="shared" si="659"/>
        <v/>
      </c>
      <c r="I168" s="9" t="s">
        <v>11</v>
      </c>
      <c r="J168"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8" s="15" t="s">
        <v>1</v>
      </c>
      <c r="L168" s="36">
        <f t="shared" si="685"/>
        <v>1</v>
      </c>
      <c r="M168" s="32" t="str">
        <f t="shared" si="660"/>
        <v>0404207</v>
      </c>
      <c r="N168" s="28" t="s">
        <v>254</v>
      </c>
      <c r="O168" s="28" t="str">
        <f t="shared" si="686"/>
        <v>0404207-OffLrg-Cont.DimHighVT</v>
      </c>
      <c r="P168" s="36">
        <f t="shared" si="764"/>
        <v>1</v>
      </c>
      <c r="Q168" s="36">
        <f t="shared" si="764"/>
        <v>1</v>
      </c>
      <c r="R168" s="36">
        <f t="shared" si="764"/>
        <v>0</v>
      </c>
      <c r="S168" s="36">
        <f t="shared" si="764"/>
        <v>1</v>
      </c>
      <c r="T168" s="36">
        <f t="shared" si="764"/>
        <v>0</v>
      </c>
      <c r="U168" s="36">
        <f t="shared" si="764"/>
        <v>8</v>
      </c>
      <c r="V168" s="36">
        <f t="shared" si="764"/>
        <v>8</v>
      </c>
      <c r="W168" s="36">
        <f t="shared" si="764"/>
        <v>1</v>
      </c>
      <c r="X168" s="36">
        <f t="shared" si="764"/>
        <v>0</v>
      </c>
      <c r="Y168" s="36">
        <f t="shared" si="764"/>
        <v>0</v>
      </c>
      <c r="Z168" s="36">
        <f t="shared" si="764"/>
        <v>0</v>
      </c>
      <c r="AA168" s="36">
        <f t="shared" si="764"/>
        <v>0</v>
      </c>
      <c r="AB168" s="36">
        <f t="shared" si="764"/>
        <v>0</v>
      </c>
      <c r="AC168" s="36">
        <f t="shared" si="672"/>
        <v>0</v>
      </c>
      <c r="AD168" s="36">
        <f t="shared" si="673"/>
        <v>0</v>
      </c>
      <c r="AE168" s="36">
        <f t="shared" si="673"/>
        <v>0</v>
      </c>
      <c r="AF168" s="36">
        <f t="shared" ref="AF168:AG168" si="787">AF167</f>
        <v>0</v>
      </c>
      <c r="AG168" s="36">
        <f t="shared" si="787"/>
        <v>0</v>
      </c>
      <c r="AH168" s="36">
        <f t="shared" ref="AH168:AI168" si="788">AH167</f>
        <v>0</v>
      </c>
      <c r="AI168" s="36">
        <f t="shared" si="788"/>
        <v>0</v>
      </c>
      <c r="AJ168" s="36">
        <f t="shared" si="676"/>
        <v>0</v>
      </c>
      <c r="AK168" s="36">
        <f t="shared" si="677"/>
        <v>0</v>
      </c>
      <c r="AL168" s="36">
        <f t="shared" si="678"/>
        <v>0</v>
      </c>
      <c r="AM168" s="36">
        <f t="shared" si="679"/>
        <v>0</v>
      </c>
      <c r="AN168" s="36">
        <f t="shared" si="680"/>
        <v>0</v>
      </c>
      <c r="AO168" s="36">
        <f t="shared" si="681"/>
        <v>0</v>
      </c>
      <c r="AP168" s="36">
        <f t="shared" si="682"/>
        <v>0</v>
      </c>
      <c r="AQ168" s="36">
        <f t="shared" si="683"/>
        <v>0</v>
      </c>
      <c r="AR168" s="36">
        <f t="shared" si="684"/>
        <v>0</v>
      </c>
      <c r="AS168" s="31" t="str">
        <f t="shared" si="690"/>
        <v>SimulationStorage,1,</v>
      </c>
      <c r="AT168" s="31" t="str">
        <f t="shared" si="691"/>
        <v>AnalysisStorage,1,</v>
      </c>
      <c r="AU168" s="31" t="str">
        <f t="shared" si="692"/>
        <v>LogRuleEvaluation,0,</v>
      </c>
      <c r="AV168" s="31" t="str">
        <f t="shared" si="693"/>
        <v>ParallelSimulations,1,</v>
      </c>
      <c r="AW168" s="31" t="str">
        <f t="shared" si="694"/>
        <v>DurationStats,0,</v>
      </c>
      <c r="AX168" s="31" t="str">
        <f t="shared" si="695"/>
        <v>AnalysisThruStep,8,</v>
      </c>
      <c r="AY168" s="31" t="str">
        <f t="shared" si="696"/>
        <v>DontAbortOnErrorsThruStep,8,</v>
      </c>
      <c r="AZ168" s="31" t="str">
        <f t="shared" si="697"/>
        <v>BypassValidFileChecks,1,</v>
      </c>
      <c r="BA168" s="31" t="str">
        <f t="shared" si="698"/>
        <v>BypassInputChecks,0,</v>
      </c>
      <c r="BB168" s="31" t="str">
        <f t="shared" si="699"/>
        <v>BypassUMLHChecks,0,</v>
      </c>
      <c r="BC168" s="31" t="str">
        <f t="shared" si="700"/>
        <v>BypassCheckSimRules,0,</v>
      </c>
      <c r="BD168" s="31" t="str">
        <f t="shared" si="701"/>
        <v>BypassCheckCodeRules,0,</v>
      </c>
      <c r="BE168" s="31" t="str">
        <f t="shared" si="638"/>
        <v>StoreResultsToModelInput,0,</v>
      </c>
      <c r="BF168" s="31" t="str">
        <f t="shared" si="639"/>
        <v>StoreBEMDetails,0,</v>
      </c>
      <c r="BG168" s="31" t="str">
        <f t="shared" si="640"/>
        <v>ModelRpt_ALL,0,</v>
      </c>
      <c r="BH168" s="31" t="str">
        <f t="shared" si="641"/>
        <v>ExportHourlyResults_All,0,</v>
      </c>
      <c r="BI168" s="31" t="str">
        <f t="shared" si="642"/>
        <v>ComplianceReportPDF,0,</v>
      </c>
      <c r="BJ168" s="31" t="str">
        <f t="shared" si="643"/>
        <v>ComplianceReportXML,0,</v>
      </c>
      <c r="BK168" s="31" t="str">
        <f t="shared" si="644"/>
        <v>QuickAnalysis,0,</v>
      </c>
      <c r="BL168" s="31" t="str">
        <f t="shared" si="644"/>
        <v>PromptUserUMLHWarning,0,</v>
      </c>
      <c r="BM168" s="31" t="str">
        <f t="shared" si="645"/>
        <v>BypassOpenStudio_all,0,</v>
      </c>
      <c r="BN168" s="31" t="str">
        <f t="shared" si="646"/>
        <v>BypassOpenStudio_zp,0,</v>
      </c>
      <c r="BO168" s="31" t="str">
        <f t="shared" si="647"/>
        <v>BypassOpenStudio_zb,0,</v>
      </c>
      <c r="BP168" s="31" t="str">
        <f t="shared" si="648"/>
        <v>BypassOpenStudio_ap,0,</v>
      </c>
      <c r="BQ168" s="31" t="str">
        <f t="shared" si="649"/>
        <v>BypassOpenStudio_ab,0,</v>
      </c>
      <c r="BR168" s="31" t="str">
        <f t="shared" si="650"/>
        <v>BypassOpenStudio_zp,0,</v>
      </c>
      <c r="BS168" s="31" t="str">
        <f t="shared" si="651"/>
        <v>BypassOpenStudio_zb,0,</v>
      </c>
      <c r="BT168" s="31" t="str">
        <f t="shared" si="652"/>
        <v>BypassOpenStudio_ap,0,</v>
      </c>
      <c r="BU168" s="31" t="str">
        <f t="shared" si="653"/>
        <v>BypassOpenStudio_ab,0,</v>
      </c>
    </row>
    <row r="169" spans="1:73" x14ac:dyDescent="0.25">
      <c r="A169" s="39">
        <f t="shared" si="654"/>
        <v>1</v>
      </c>
      <c r="B169" s="27" t="str">
        <f t="shared" si="655"/>
        <v>SoftwareSensitivityTests\StreamlinedApprovalSet\0404307-OffLrg-StepDim.cibd</v>
      </c>
      <c r="C169" s="27" t="str">
        <f t="shared" si="656"/>
        <v>BatchOut_160331_r3964_SSTs\0404307-OffLrg-StepDim.cibd</v>
      </c>
      <c r="D169" s="27" t="str">
        <f t="shared" si="657"/>
        <v>BatchOut_160331_r3964_SSTs\XML\</v>
      </c>
      <c r="E169" s="9" t="str">
        <f t="shared" si="658"/>
        <v>0404307</v>
      </c>
      <c r="F169" s="22"/>
      <c r="G169" s="29"/>
      <c r="H169" s="23" t="str">
        <f t="shared" si="659"/>
        <v/>
      </c>
      <c r="I169" s="9" t="s">
        <v>11</v>
      </c>
      <c r="J169"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9" s="15" t="s">
        <v>1</v>
      </c>
      <c r="L169" s="36">
        <f t="shared" si="685"/>
        <v>1</v>
      </c>
      <c r="M169" s="32" t="str">
        <f t="shared" si="660"/>
        <v>0404307</v>
      </c>
      <c r="N169" s="28" t="s">
        <v>255</v>
      </c>
      <c r="O169" s="28" t="str">
        <f t="shared" si="686"/>
        <v>0404307-OffLrg-StepDim</v>
      </c>
      <c r="P169" s="36">
        <f t="shared" si="764"/>
        <v>1</v>
      </c>
      <c r="Q169" s="36">
        <f t="shared" si="764"/>
        <v>1</v>
      </c>
      <c r="R169" s="36">
        <f t="shared" si="764"/>
        <v>0</v>
      </c>
      <c r="S169" s="36">
        <f t="shared" si="764"/>
        <v>1</v>
      </c>
      <c r="T169" s="36">
        <f t="shared" si="764"/>
        <v>0</v>
      </c>
      <c r="U169" s="36">
        <f t="shared" si="764"/>
        <v>8</v>
      </c>
      <c r="V169" s="36">
        <f t="shared" si="764"/>
        <v>8</v>
      </c>
      <c r="W169" s="36">
        <f t="shared" si="764"/>
        <v>1</v>
      </c>
      <c r="X169" s="36">
        <f t="shared" si="764"/>
        <v>0</v>
      </c>
      <c r="Y169" s="36">
        <f t="shared" si="764"/>
        <v>0</v>
      </c>
      <c r="Z169" s="36">
        <f t="shared" si="764"/>
        <v>0</v>
      </c>
      <c r="AA169" s="36">
        <f t="shared" si="764"/>
        <v>0</v>
      </c>
      <c r="AB169" s="36">
        <f t="shared" si="764"/>
        <v>0</v>
      </c>
      <c r="AC169" s="36">
        <f t="shared" si="672"/>
        <v>0</v>
      </c>
      <c r="AD169" s="36">
        <f t="shared" si="673"/>
        <v>0</v>
      </c>
      <c r="AE169" s="36">
        <f t="shared" si="673"/>
        <v>0</v>
      </c>
      <c r="AF169" s="36">
        <f t="shared" ref="AF169:AG169" si="789">AF168</f>
        <v>0</v>
      </c>
      <c r="AG169" s="36">
        <f t="shared" si="789"/>
        <v>0</v>
      </c>
      <c r="AH169" s="36">
        <f t="shared" ref="AH169:AI169" si="790">AH168</f>
        <v>0</v>
      </c>
      <c r="AI169" s="36">
        <f t="shared" si="790"/>
        <v>0</v>
      </c>
      <c r="AJ169" s="36">
        <f t="shared" si="676"/>
        <v>0</v>
      </c>
      <c r="AK169" s="36">
        <f t="shared" si="677"/>
        <v>0</v>
      </c>
      <c r="AL169" s="36">
        <f t="shared" si="678"/>
        <v>0</v>
      </c>
      <c r="AM169" s="36">
        <f t="shared" si="679"/>
        <v>0</v>
      </c>
      <c r="AN169" s="36">
        <f t="shared" si="680"/>
        <v>0</v>
      </c>
      <c r="AO169" s="36">
        <f t="shared" si="681"/>
        <v>0</v>
      </c>
      <c r="AP169" s="36">
        <f t="shared" si="682"/>
        <v>0</v>
      </c>
      <c r="AQ169" s="36">
        <f t="shared" si="683"/>
        <v>0</v>
      </c>
      <c r="AR169" s="36">
        <f t="shared" si="684"/>
        <v>0</v>
      </c>
      <c r="AS169" s="31" t="str">
        <f t="shared" si="690"/>
        <v>SimulationStorage,1,</v>
      </c>
      <c r="AT169" s="31" t="str">
        <f t="shared" si="691"/>
        <v>AnalysisStorage,1,</v>
      </c>
      <c r="AU169" s="31" t="str">
        <f t="shared" si="692"/>
        <v>LogRuleEvaluation,0,</v>
      </c>
      <c r="AV169" s="31" t="str">
        <f t="shared" si="693"/>
        <v>ParallelSimulations,1,</v>
      </c>
      <c r="AW169" s="31" t="str">
        <f t="shared" si="694"/>
        <v>DurationStats,0,</v>
      </c>
      <c r="AX169" s="31" t="str">
        <f t="shared" si="695"/>
        <v>AnalysisThruStep,8,</v>
      </c>
      <c r="AY169" s="31" t="str">
        <f t="shared" si="696"/>
        <v>DontAbortOnErrorsThruStep,8,</v>
      </c>
      <c r="AZ169" s="31" t="str">
        <f t="shared" si="697"/>
        <v>BypassValidFileChecks,1,</v>
      </c>
      <c r="BA169" s="31" t="str">
        <f t="shared" si="698"/>
        <v>BypassInputChecks,0,</v>
      </c>
      <c r="BB169" s="31" t="str">
        <f t="shared" si="699"/>
        <v>BypassUMLHChecks,0,</v>
      </c>
      <c r="BC169" s="31" t="str">
        <f t="shared" si="700"/>
        <v>BypassCheckSimRules,0,</v>
      </c>
      <c r="BD169" s="31" t="str">
        <f t="shared" si="701"/>
        <v>BypassCheckCodeRules,0,</v>
      </c>
      <c r="BE169" s="31" t="str">
        <f t="shared" si="638"/>
        <v>StoreResultsToModelInput,0,</v>
      </c>
      <c r="BF169" s="31" t="str">
        <f t="shared" si="639"/>
        <v>StoreBEMDetails,0,</v>
      </c>
      <c r="BG169" s="31" t="str">
        <f t="shared" si="640"/>
        <v>ModelRpt_ALL,0,</v>
      </c>
      <c r="BH169" s="31" t="str">
        <f t="shared" si="641"/>
        <v>ExportHourlyResults_All,0,</v>
      </c>
      <c r="BI169" s="31" t="str">
        <f t="shared" si="642"/>
        <v>ComplianceReportPDF,0,</v>
      </c>
      <c r="BJ169" s="31" t="str">
        <f t="shared" si="643"/>
        <v>ComplianceReportXML,0,</v>
      </c>
      <c r="BK169" s="31" t="str">
        <f t="shared" si="644"/>
        <v>QuickAnalysis,0,</v>
      </c>
      <c r="BL169" s="31" t="str">
        <f t="shared" si="644"/>
        <v>PromptUserUMLHWarning,0,</v>
      </c>
      <c r="BM169" s="31" t="str">
        <f t="shared" si="645"/>
        <v>BypassOpenStudio_all,0,</v>
      </c>
      <c r="BN169" s="31" t="str">
        <f t="shared" si="646"/>
        <v>BypassOpenStudio_zp,0,</v>
      </c>
      <c r="BO169" s="31" t="str">
        <f t="shared" si="647"/>
        <v>BypassOpenStudio_zb,0,</v>
      </c>
      <c r="BP169" s="31" t="str">
        <f t="shared" si="648"/>
        <v>BypassOpenStudio_ap,0,</v>
      </c>
      <c r="BQ169" s="31" t="str">
        <f t="shared" si="649"/>
        <v>BypassOpenStudio_ab,0,</v>
      </c>
      <c r="BR169" s="31" t="str">
        <f t="shared" si="650"/>
        <v>BypassOpenStudio_zp,0,</v>
      </c>
      <c r="BS169" s="31" t="str">
        <f t="shared" si="651"/>
        <v>BypassOpenStudio_zb,0,</v>
      </c>
      <c r="BT169" s="31" t="str">
        <f t="shared" si="652"/>
        <v>BypassOpenStudio_ap,0,</v>
      </c>
      <c r="BU169" s="31" t="str">
        <f t="shared" si="653"/>
        <v>BypassOpenStudio_ab,0,</v>
      </c>
    </row>
    <row r="170" spans="1:73" x14ac:dyDescent="0.25">
      <c r="A170" s="39">
        <f t="shared" si="654"/>
        <v>1</v>
      </c>
      <c r="B170" s="27" t="str">
        <f t="shared" si="655"/>
        <v>SoftwareSensitivityTests\StreamlinedApprovalSet\0404407-OffLrg-StepDimHighVT.cibd</v>
      </c>
      <c r="C170" s="27" t="str">
        <f t="shared" si="656"/>
        <v>BatchOut_160331_r3964_SSTs\0404407-OffLrg-StepDimHighVT.cibd</v>
      </c>
      <c r="D170" s="27" t="str">
        <f t="shared" si="657"/>
        <v>BatchOut_160331_r3964_SSTs\XML\</v>
      </c>
      <c r="E170" s="9" t="str">
        <f t="shared" si="658"/>
        <v>0404407</v>
      </c>
      <c r="F170" s="22"/>
      <c r="G170" s="29"/>
      <c r="H170" s="23" t="str">
        <f t="shared" si="659"/>
        <v/>
      </c>
      <c r="I170" s="9" t="s">
        <v>11</v>
      </c>
      <c r="J170"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0" s="15" t="s">
        <v>1</v>
      </c>
      <c r="L170" s="36">
        <f t="shared" si="685"/>
        <v>1</v>
      </c>
      <c r="M170" s="32" t="str">
        <f t="shared" si="660"/>
        <v>0404407</v>
      </c>
      <c r="N170" s="28" t="s">
        <v>256</v>
      </c>
      <c r="O170" s="28" t="str">
        <f t="shared" si="686"/>
        <v>0404407-OffLrg-StepDimHighVT</v>
      </c>
      <c r="P170" s="36">
        <f t="shared" si="764"/>
        <v>1</v>
      </c>
      <c r="Q170" s="36">
        <f t="shared" si="764"/>
        <v>1</v>
      </c>
      <c r="R170" s="36">
        <f t="shared" si="764"/>
        <v>0</v>
      </c>
      <c r="S170" s="36">
        <f t="shared" si="764"/>
        <v>1</v>
      </c>
      <c r="T170" s="36">
        <f t="shared" si="764"/>
        <v>0</v>
      </c>
      <c r="U170" s="36">
        <f t="shared" si="764"/>
        <v>8</v>
      </c>
      <c r="V170" s="36">
        <f t="shared" si="764"/>
        <v>8</v>
      </c>
      <c r="W170" s="36">
        <f t="shared" si="764"/>
        <v>1</v>
      </c>
      <c r="X170" s="36">
        <f t="shared" si="764"/>
        <v>0</v>
      </c>
      <c r="Y170" s="36">
        <f t="shared" si="764"/>
        <v>0</v>
      </c>
      <c r="Z170" s="36">
        <f t="shared" si="764"/>
        <v>0</v>
      </c>
      <c r="AA170" s="36">
        <f t="shared" si="764"/>
        <v>0</v>
      </c>
      <c r="AB170" s="36">
        <f t="shared" si="764"/>
        <v>0</v>
      </c>
      <c r="AC170" s="36">
        <f t="shared" si="672"/>
        <v>0</v>
      </c>
      <c r="AD170" s="36">
        <f t="shared" si="673"/>
        <v>0</v>
      </c>
      <c r="AE170" s="36">
        <f t="shared" si="673"/>
        <v>0</v>
      </c>
      <c r="AF170" s="36">
        <f t="shared" ref="AF170:AG170" si="791">AF169</f>
        <v>0</v>
      </c>
      <c r="AG170" s="36">
        <f t="shared" si="791"/>
        <v>0</v>
      </c>
      <c r="AH170" s="36">
        <f t="shared" ref="AH170:AI170" si="792">AH169</f>
        <v>0</v>
      </c>
      <c r="AI170" s="36">
        <f t="shared" si="792"/>
        <v>0</v>
      </c>
      <c r="AJ170" s="36">
        <f t="shared" si="676"/>
        <v>0</v>
      </c>
      <c r="AK170" s="36">
        <f t="shared" si="677"/>
        <v>0</v>
      </c>
      <c r="AL170" s="36">
        <f t="shared" si="678"/>
        <v>0</v>
      </c>
      <c r="AM170" s="36">
        <f t="shared" si="679"/>
        <v>0</v>
      </c>
      <c r="AN170" s="36">
        <f t="shared" si="680"/>
        <v>0</v>
      </c>
      <c r="AO170" s="36">
        <f t="shared" si="681"/>
        <v>0</v>
      </c>
      <c r="AP170" s="36">
        <f t="shared" si="682"/>
        <v>0</v>
      </c>
      <c r="AQ170" s="36">
        <f t="shared" si="683"/>
        <v>0</v>
      </c>
      <c r="AR170" s="36">
        <f t="shared" si="684"/>
        <v>0</v>
      </c>
      <c r="AS170" s="31" t="str">
        <f t="shared" si="690"/>
        <v>SimulationStorage,1,</v>
      </c>
      <c r="AT170" s="31" t="str">
        <f t="shared" si="691"/>
        <v>AnalysisStorage,1,</v>
      </c>
      <c r="AU170" s="31" t="str">
        <f t="shared" si="692"/>
        <v>LogRuleEvaluation,0,</v>
      </c>
      <c r="AV170" s="31" t="str">
        <f t="shared" si="693"/>
        <v>ParallelSimulations,1,</v>
      </c>
      <c r="AW170" s="31" t="str">
        <f t="shared" si="694"/>
        <v>DurationStats,0,</v>
      </c>
      <c r="AX170" s="31" t="str">
        <f t="shared" si="695"/>
        <v>AnalysisThruStep,8,</v>
      </c>
      <c r="AY170" s="31" t="str">
        <f t="shared" si="696"/>
        <v>DontAbortOnErrorsThruStep,8,</v>
      </c>
      <c r="AZ170" s="31" t="str">
        <f t="shared" si="697"/>
        <v>BypassValidFileChecks,1,</v>
      </c>
      <c r="BA170" s="31" t="str">
        <f t="shared" si="698"/>
        <v>BypassInputChecks,0,</v>
      </c>
      <c r="BB170" s="31" t="str">
        <f t="shared" si="699"/>
        <v>BypassUMLHChecks,0,</v>
      </c>
      <c r="BC170" s="31" t="str">
        <f t="shared" si="700"/>
        <v>BypassCheckSimRules,0,</v>
      </c>
      <c r="BD170" s="31" t="str">
        <f t="shared" si="701"/>
        <v>BypassCheckCodeRules,0,</v>
      </c>
      <c r="BE170" s="31" t="str">
        <f t="shared" si="638"/>
        <v>StoreResultsToModelInput,0,</v>
      </c>
      <c r="BF170" s="31" t="str">
        <f t="shared" si="639"/>
        <v>StoreBEMDetails,0,</v>
      </c>
      <c r="BG170" s="31" t="str">
        <f t="shared" si="640"/>
        <v>ModelRpt_ALL,0,</v>
      </c>
      <c r="BH170" s="31" t="str">
        <f t="shared" si="641"/>
        <v>ExportHourlyResults_All,0,</v>
      </c>
      <c r="BI170" s="31" t="str">
        <f t="shared" si="642"/>
        <v>ComplianceReportPDF,0,</v>
      </c>
      <c r="BJ170" s="31" t="str">
        <f t="shared" si="643"/>
        <v>ComplianceReportXML,0,</v>
      </c>
      <c r="BK170" s="31" t="str">
        <f t="shared" si="644"/>
        <v>QuickAnalysis,0,</v>
      </c>
      <c r="BL170" s="31" t="str">
        <f t="shared" si="644"/>
        <v>PromptUserUMLHWarning,0,</v>
      </c>
      <c r="BM170" s="31" t="str">
        <f t="shared" si="645"/>
        <v>BypassOpenStudio_all,0,</v>
      </c>
      <c r="BN170" s="31" t="str">
        <f t="shared" si="646"/>
        <v>BypassOpenStudio_zp,0,</v>
      </c>
      <c r="BO170" s="31" t="str">
        <f t="shared" si="647"/>
        <v>BypassOpenStudio_zb,0,</v>
      </c>
      <c r="BP170" s="31" t="str">
        <f t="shared" si="648"/>
        <v>BypassOpenStudio_ap,0,</v>
      </c>
      <c r="BQ170" s="31" t="str">
        <f t="shared" si="649"/>
        <v>BypassOpenStudio_ab,0,</v>
      </c>
      <c r="BR170" s="31" t="str">
        <f t="shared" si="650"/>
        <v>BypassOpenStudio_zp,0,</v>
      </c>
      <c r="BS170" s="31" t="str">
        <f t="shared" si="651"/>
        <v>BypassOpenStudio_zb,0,</v>
      </c>
      <c r="BT170" s="31" t="str">
        <f t="shared" si="652"/>
        <v>BypassOpenStudio_ap,0,</v>
      </c>
      <c r="BU170" s="31" t="str">
        <f t="shared" si="653"/>
        <v>BypassOpenStudio_ab,0,</v>
      </c>
    </row>
    <row r="171" spans="1:73" x14ac:dyDescent="0.25">
      <c r="A171" s="39">
        <f t="shared" si="654"/>
        <v>1</v>
      </c>
      <c r="B171" s="27" t="str">
        <f t="shared" si="655"/>
        <v>SoftwareSensitivityTests\StreamlinedApprovalSet\0400016-OffLrg-Baserun.cibd</v>
      </c>
      <c r="C171" s="27" t="str">
        <f t="shared" si="656"/>
        <v>BatchOut_160331_r3964_SSTs\0400016-OffLrg-Baserun.cibd</v>
      </c>
      <c r="D171" s="27" t="str">
        <f t="shared" si="657"/>
        <v>BatchOut_160331_r3964_SSTs\XML\</v>
      </c>
      <c r="E171" s="9" t="str">
        <f t="shared" si="658"/>
        <v>0400016</v>
      </c>
      <c r="F171" s="22"/>
      <c r="G171" s="29"/>
      <c r="H171" s="23" t="str">
        <f t="shared" si="659"/>
        <v/>
      </c>
      <c r="I171" s="9" t="s">
        <v>11</v>
      </c>
      <c r="J171"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1" s="15" t="s">
        <v>1</v>
      </c>
      <c r="L171" s="36">
        <f t="shared" si="685"/>
        <v>1</v>
      </c>
      <c r="M171" s="32" t="str">
        <f t="shared" si="660"/>
        <v>0400016</v>
      </c>
      <c r="N171" s="28" t="s">
        <v>257</v>
      </c>
      <c r="O171" s="28" t="str">
        <f t="shared" si="686"/>
        <v>0400016-OffLrg-Baserun</v>
      </c>
      <c r="P171" s="36">
        <f t="shared" si="764"/>
        <v>1</v>
      </c>
      <c r="Q171" s="36">
        <f t="shared" si="764"/>
        <v>1</v>
      </c>
      <c r="R171" s="36">
        <f t="shared" si="764"/>
        <v>0</v>
      </c>
      <c r="S171" s="36">
        <f t="shared" si="764"/>
        <v>1</v>
      </c>
      <c r="T171" s="36">
        <f t="shared" si="764"/>
        <v>0</v>
      </c>
      <c r="U171" s="36">
        <f t="shared" si="764"/>
        <v>8</v>
      </c>
      <c r="V171" s="36">
        <f t="shared" si="764"/>
        <v>8</v>
      </c>
      <c r="W171" s="36">
        <f t="shared" si="764"/>
        <v>1</v>
      </c>
      <c r="X171" s="36">
        <f t="shared" si="764"/>
        <v>0</v>
      </c>
      <c r="Y171" s="36">
        <f t="shared" si="764"/>
        <v>0</v>
      </c>
      <c r="Z171" s="36">
        <f t="shared" si="764"/>
        <v>0</v>
      </c>
      <c r="AA171" s="36">
        <f t="shared" si="764"/>
        <v>0</v>
      </c>
      <c r="AB171" s="36">
        <f t="shared" si="764"/>
        <v>0</v>
      </c>
      <c r="AC171" s="36">
        <f t="shared" si="672"/>
        <v>0</v>
      </c>
      <c r="AD171" s="36">
        <f t="shared" si="673"/>
        <v>0</v>
      </c>
      <c r="AE171" s="36">
        <f t="shared" si="673"/>
        <v>0</v>
      </c>
      <c r="AF171" s="36">
        <f t="shared" ref="AF171:AG171" si="793">AF170</f>
        <v>0</v>
      </c>
      <c r="AG171" s="36">
        <f t="shared" si="793"/>
        <v>0</v>
      </c>
      <c r="AH171" s="36">
        <f t="shared" ref="AH171:AI171" si="794">AH170</f>
        <v>0</v>
      </c>
      <c r="AI171" s="36">
        <f t="shared" si="794"/>
        <v>0</v>
      </c>
      <c r="AJ171" s="36">
        <f t="shared" si="676"/>
        <v>0</v>
      </c>
      <c r="AK171" s="36">
        <f t="shared" si="677"/>
        <v>0</v>
      </c>
      <c r="AL171" s="36">
        <f t="shared" si="678"/>
        <v>0</v>
      </c>
      <c r="AM171" s="36">
        <f t="shared" si="679"/>
        <v>0</v>
      </c>
      <c r="AN171" s="36">
        <f t="shared" si="680"/>
        <v>0</v>
      </c>
      <c r="AO171" s="36">
        <f t="shared" si="681"/>
        <v>0</v>
      </c>
      <c r="AP171" s="36">
        <f t="shared" si="682"/>
        <v>0</v>
      </c>
      <c r="AQ171" s="36">
        <f t="shared" si="683"/>
        <v>0</v>
      </c>
      <c r="AR171" s="36">
        <f t="shared" si="684"/>
        <v>0</v>
      </c>
      <c r="AS171" s="31" t="str">
        <f t="shared" si="690"/>
        <v>SimulationStorage,1,</v>
      </c>
      <c r="AT171" s="31" t="str">
        <f t="shared" si="691"/>
        <v>AnalysisStorage,1,</v>
      </c>
      <c r="AU171" s="31" t="str">
        <f t="shared" si="692"/>
        <v>LogRuleEvaluation,0,</v>
      </c>
      <c r="AV171" s="31" t="str">
        <f t="shared" si="693"/>
        <v>ParallelSimulations,1,</v>
      </c>
      <c r="AW171" s="31" t="str">
        <f t="shared" si="694"/>
        <v>DurationStats,0,</v>
      </c>
      <c r="AX171" s="31" t="str">
        <f t="shared" si="695"/>
        <v>AnalysisThruStep,8,</v>
      </c>
      <c r="AY171" s="31" t="str">
        <f t="shared" si="696"/>
        <v>DontAbortOnErrorsThruStep,8,</v>
      </c>
      <c r="AZ171" s="31" t="str">
        <f t="shared" si="697"/>
        <v>BypassValidFileChecks,1,</v>
      </c>
      <c r="BA171" s="31" t="str">
        <f t="shared" si="698"/>
        <v>BypassInputChecks,0,</v>
      </c>
      <c r="BB171" s="31" t="str">
        <f t="shared" si="699"/>
        <v>BypassUMLHChecks,0,</v>
      </c>
      <c r="BC171" s="31" t="str">
        <f t="shared" si="700"/>
        <v>BypassCheckSimRules,0,</v>
      </c>
      <c r="BD171" s="31" t="str">
        <f t="shared" si="701"/>
        <v>BypassCheckCodeRules,0,</v>
      </c>
      <c r="BE171" s="31" t="str">
        <f t="shared" si="638"/>
        <v>StoreResultsToModelInput,0,</v>
      </c>
      <c r="BF171" s="31" t="str">
        <f t="shared" si="639"/>
        <v>StoreBEMDetails,0,</v>
      </c>
      <c r="BG171" s="31" t="str">
        <f t="shared" si="640"/>
        <v>ModelRpt_ALL,0,</v>
      </c>
      <c r="BH171" s="31" t="str">
        <f t="shared" si="641"/>
        <v>ExportHourlyResults_All,0,</v>
      </c>
      <c r="BI171" s="31" t="str">
        <f t="shared" si="642"/>
        <v>ComplianceReportPDF,0,</v>
      </c>
      <c r="BJ171" s="31" t="str">
        <f t="shared" si="643"/>
        <v>ComplianceReportXML,0,</v>
      </c>
      <c r="BK171" s="31" t="str">
        <f t="shared" si="644"/>
        <v>QuickAnalysis,0,</v>
      </c>
      <c r="BL171" s="31" t="str">
        <f t="shared" si="644"/>
        <v>PromptUserUMLHWarning,0,</v>
      </c>
      <c r="BM171" s="31" t="str">
        <f t="shared" si="645"/>
        <v>BypassOpenStudio_all,0,</v>
      </c>
      <c r="BN171" s="31" t="str">
        <f t="shared" si="646"/>
        <v>BypassOpenStudio_zp,0,</v>
      </c>
      <c r="BO171" s="31" t="str">
        <f t="shared" si="647"/>
        <v>BypassOpenStudio_zb,0,</v>
      </c>
      <c r="BP171" s="31" t="str">
        <f t="shared" si="648"/>
        <v>BypassOpenStudio_ap,0,</v>
      </c>
      <c r="BQ171" s="31" t="str">
        <f t="shared" si="649"/>
        <v>BypassOpenStudio_ab,0,</v>
      </c>
      <c r="BR171" s="31" t="str">
        <f t="shared" si="650"/>
        <v>BypassOpenStudio_zp,0,</v>
      </c>
      <c r="BS171" s="31" t="str">
        <f t="shared" si="651"/>
        <v>BypassOpenStudio_zb,0,</v>
      </c>
      <c r="BT171" s="31" t="str">
        <f t="shared" si="652"/>
        <v>BypassOpenStudio_ap,0,</v>
      </c>
      <c r="BU171" s="31" t="str">
        <f t="shared" si="653"/>
        <v>BypassOpenStudio_ab,0,</v>
      </c>
    </row>
    <row r="172" spans="1:73" x14ac:dyDescent="0.25">
      <c r="A172" s="39">
        <f t="shared" si="654"/>
        <v>1</v>
      </c>
      <c r="B172" s="27" t="str">
        <f t="shared" si="655"/>
        <v>SoftwareSensitivityTests\StreamlinedApprovalSet\0408416-OffLrg-HVACChillerCOP.cibd</v>
      </c>
      <c r="C172" s="27" t="str">
        <f t="shared" si="656"/>
        <v>BatchOut_160331_r3964_SSTs\0408416-OffLrg-HVACChillerCOP.cibd</v>
      </c>
      <c r="D172" s="27" t="str">
        <f t="shared" si="657"/>
        <v>BatchOut_160331_r3964_SSTs\XML\</v>
      </c>
      <c r="E172" s="9" t="str">
        <f t="shared" si="658"/>
        <v>0408416</v>
      </c>
      <c r="F172" s="22"/>
      <c r="G172" s="29"/>
      <c r="H172" s="23" t="str">
        <f t="shared" si="659"/>
        <v/>
      </c>
      <c r="I172" s="9" t="s">
        <v>11</v>
      </c>
      <c r="J172"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2" s="15" t="s">
        <v>1</v>
      </c>
      <c r="L172" s="36">
        <f t="shared" si="685"/>
        <v>1</v>
      </c>
      <c r="M172" s="32" t="str">
        <f t="shared" si="660"/>
        <v>0408416</v>
      </c>
      <c r="N172" s="28" t="s">
        <v>258</v>
      </c>
      <c r="O172" s="28" t="str">
        <f t="shared" si="686"/>
        <v>0408416-OffLrg-HVACChillerCOP</v>
      </c>
      <c r="P172" s="36">
        <f t="shared" si="764"/>
        <v>1</v>
      </c>
      <c r="Q172" s="36">
        <f t="shared" si="764"/>
        <v>1</v>
      </c>
      <c r="R172" s="36">
        <f t="shared" si="764"/>
        <v>0</v>
      </c>
      <c r="S172" s="36">
        <f t="shared" si="764"/>
        <v>1</v>
      </c>
      <c r="T172" s="36">
        <f t="shared" si="764"/>
        <v>0</v>
      </c>
      <c r="U172" s="36">
        <f t="shared" si="764"/>
        <v>8</v>
      </c>
      <c r="V172" s="36">
        <f t="shared" si="764"/>
        <v>8</v>
      </c>
      <c r="W172" s="36">
        <f t="shared" si="764"/>
        <v>1</v>
      </c>
      <c r="X172" s="36">
        <f t="shared" si="764"/>
        <v>0</v>
      </c>
      <c r="Y172" s="36">
        <f t="shared" si="764"/>
        <v>0</v>
      </c>
      <c r="Z172" s="36">
        <f t="shared" si="764"/>
        <v>0</v>
      </c>
      <c r="AA172" s="36">
        <f t="shared" si="764"/>
        <v>0</v>
      </c>
      <c r="AB172" s="36">
        <f t="shared" si="764"/>
        <v>0</v>
      </c>
      <c r="AC172" s="36">
        <f t="shared" si="672"/>
        <v>0</v>
      </c>
      <c r="AD172" s="36">
        <f t="shared" si="673"/>
        <v>0</v>
      </c>
      <c r="AE172" s="36">
        <f t="shared" si="673"/>
        <v>0</v>
      </c>
      <c r="AF172" s="36">
        <f t="shared" ref="AF172:AG172" si="795">AF171</f>
        <v>0</v>
      </c>
      <c r="AG172" s="36">
        <f t="shared" si="795"/>
        <v>0</v>
      </c>
      <c r="AH172" s="36">
        <f t="shared" ref="AH172:AI172" si="796">AH171</f>
        <v>0</v>
      </c>
      <c r="AI172" s="36">
        <f t="shared" si="796"/>
        <v>0</v>
      </c>
      <c r="AJ172" s="36">
        <f t="shared" si="676"/>
        <v>0</v>
      </c>
      <c r="AK172" s="36">
        <f t="shared" si="677"/>
        <v>0</v>
      </c>
      <c r="AL172" s="36">
        <f t="shared" si="678"/>
        <v>0</v>
      </c>
      <c r="AM172" s="36">
        <f t="shared" si="679"/>
        <v>0</v>
      </c>
      <c r="AN172" s="36">
        <f t="shared" si="680"/>
        <v>0</v>
      </c>
      <c r="AO172" s="36">
        <f t="shared" si="681"/>
        <v>0</v>
      </c>
      <c r="AP172" s="36">
        <f t="shared" si="682"/>
        <v>0</v>
      </c>
      <c r="AQ172" s="36">
        <f t="shared" si="683"/>
        <v>0</v>
      </c>
      <c r="AR172" s="36">
        <f t="shared" si="684"/>
        <v>0</v>
      </c>
      <c r="AS172" s="31" t="str">
        <f t="shared" si="690"/>
        <v>SimulationStorage,1,</v>
      </c>
      <c r="AT172" s="31" t="str">
        <f t="shared" si="691"/>
        <v>AnalysisStorage,1,</v>
      </c>
      <c r="AU172" s="31" t="str">
        <f t="shared" si="692"/>
        <v>LogRuleEvaluation,0,</v>
      </c>
      <c r="AV172" s="31" t="str">
        <f t="shared" si="693"/>
        <v>ParallelSimulations,1,</v>
      </c>
      <c r="AW172" s="31" t="str">
        <f t="shared" si="694"/>
        <v>DurationStats,0,</v>
      </c>
      <c r="AX172" s="31" t="str">
        <f t="shared" si="695"/>
        <v>AnalysisThruStep,8,</v>
      </c>
      <c r="AY172" s="31" t="str">
        <f t="shared" si="696"/>
        <v>DontAbortOnErrorsThruStep,8,</v>
      </c>
      <c r="AZ172" s="31" t="str">
        <f t="shared" si="697"/>
        <v>BypassValidFileChecks,1,</v>
      </c>
      <c r="BA172" s="31" t="str">
        <f t="shared" si="698"/>
        <v>BypassInputChecks,0,</v>
      </c>
      <c r="BB172" s="31" t="str">
        <f t="shared" si="699"/>
        <v>BypassUMLHChecks,0,</v>
      </c>
      <c r="BC172" s="31" t="str">
        <f t="shared" si="700"/>
        <v>BypassCheckSimRules,0,</v>
      </c>
      <c r="BD172" s="31" t="str">
        <f t="shared" si="701"/>
        <v>BypassCheckCodeRules,0,</v>
      </c>
      <c r="BE172" s="31" t="str">
        <f t="shared" si="638"/>
        <v>StoreResultsToModelInput,0,</v>
      </c>
      <c r="BF172" s="31" t="str">
        <f t="shared" si="639"/>
        <v>StoreBEMDetails,0,</v>
      </c>
      <c r="BG172" s="31" t="str">
        <f t="shared" si="640"/>
        <v>ModelRpt_ALL,0,</v>
      </c>
      <c r="BH172" s="31" t="str">
        <f t="shared" si="641"/>
        <v>ExportHourlyResults_All,0,</v>
      </c>
      <c r="BI172" s="31" t="str">
        <f t="shared" si="642"/>
        <v>ComplianceReportPDF,0,</v>
      </c>
      <c r="BJ172" s="31" t="str">
        <f t="shared" si="643"/>
        <v>ComplianceReportXML,0,</v>
      </c>
      <c r="BK172" s="31" t="str">
        <f t="shared" si="644"/>
        <v>QuickAnalysis,0,</v>
      </c>
      <c r="BL172" s="31" t="str">
        <f t="shared" si="644"/>
        <v>PromptUserUMLHWarning,0,</v>
      </c>
      <c r="BM172" s="31" t="str">
        <f t="shared" si="645"/>
        <v>BypassOpenStudio_all,0,</v>
      </c>
      <c r="BN172" s="31" t="str">
        <f t="shared" si="646"/>
        <v>BypassOpenStudio_zp,0,</v>
      </c>
      <c r="BO172" s="31" t="str">
        <f t="shared" si="647"/>
        <v>BypassOpenStudio_zb,0,</v>
      </c>
      <c r="BP172" s="31" t="str">
        <f t="shared" si="648"/>
        <v>BypassOpenStudio_ap,0,</v>
      </c>
      <c r="BQ172" s="31" t="str">
        <f t="shared" si="649"/>
        <v>BypassOpenStudio_ab,0,</v>
      </c>
      <c r="BR172" s="31" t="str">
        <f t="shared" si="650"/>
        <v>BypassOpenStudio_zp,0,</v>
      </c>
      <c r="BS172" s="31" t="str">
        <f t="shared" si="651"/>
        <v>BypassOpenStudio_zb,0,</v>
      </c>
      <c r="BT172" s="31" t="str">
        <f t="shared" si="652"/>
        <v>BypassOpenStudio_ap,0,</v>
      </c>
      <c r="BU172" s="31" t="str">
        <f t="shared" si="653"/>
        <v>BypassOpenStudio_ab,0,</v>
      </c>
    </row>
    <row r="173" spans="1:73" x14ac:dyDescent="0.25">
      <c r="A173" s="39">
        <f t="shared" si="654"/>
        <v>1</v>
      </c>
      <c r="B173" s="27" t="str">
        <f t="shared" si="655"/>
        <v>SoftwareSensitivityTests\StreamlinedApprovalSet\0408516-OffLrg-HVACChWdeltaT.cibd</v>
      </c>
      <c r="C173" s="27" t="str">
        <f t="shared" si="656"/>
        <v>BatchOut_160331_r3964_SSTs\0408516-OffLrg-HVACChWdeltaT.cibd</v>
      </c>
      <c r="D173" s="27" t="str">
        <f t="shared" si="657"/>
        <v>BatchOut_160331_r3964_SSTs\XML\</v>
      </c>
      <c r="E173" s="9" t="str">
        <f t="shared" si="658"/>
        <v>0408516</v>
      </c>
      <c r="F173" s="22"/>
      <c r="G173" s="29"/>
      <c r="H173" s="23" t="str">
        <f t="shared" si="659"/>
        <v/>
      </c>
      <c r="I173" s="9" t="s">
        <v>11</v>
      </c>
      <c r="J173"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3" s="15" t="s">
        <v>1</v>
      </c>
      <c r="L173" s="36">
        <f t="shared" si="685"/>
        <v>1</v>
      </c>
      <c r="M173" s="32" t="str">
        <f t="shared" si="660"/>
        <v>0408516</v>
      </c>
      <c r="N173" s="28" t="s">
        <v>259</v>
      </c>
      <c r="O173" s="28" t="str">
        <f t="shared" si="686"/>
        <v>0408516-OffLrg-HVACChWdeltaT</v>
      </c>
      <c r="P173" s="36">
        <f t="shared" si="764"/>
        <v>1</v>
      </c>
      <c r="Q173" s="36">
        <f t="shared" si="764"/>
        <v>1</v>
      </c>
      <c r="R173" s="36">
        <f t="shared" si="764"/>
        <v>0</v>
      </c>
      <c r="S173" s="36">
        <f t="shared" si="764"/>
        <v>1</v>
      </c>
      <c r="T173" s="36">
        <f t="shared" si="764"/>
        <v>0</v>
      </c>
      <c r="U173" s="36">
        <f t="shared" si="764"/>
        <v>8</v>
      </c>
      <c r="V173" s="36">
        <f t="shared" si="764"/>
        <v>8</v>
      </c>
      <c r="W173" s="36">
        <f t="shared" si="764"/>
        <v>1</v>
      </c>
      <c r="X173" s="36">
        <f t="shared" si="764"/>
        <v>0</v>
      </c>
      <c r="Y173" s="36">
        <f t="shared" si="764"/>
        <v>0</v>
      </c>
      <c r="Z173" s="36">
        <f t="shared" si="764"/>
        <v>0</v>
      </c>
      <c r="AA173" s="36">
        <f t="shared" si="764"/>
        <v>0</v>
      </c>
      <c r="AB173" s="36">
        <f t="shared" si="764"/>
        <v>0</v>
      </c>
      <c r="AC173" s="36">
        <f t="shared" si="672"/>
        <v>0</v>
      </c>
      <c r="AD173" s="36">
        <f t="shared" si="673"/>
        <v>0</v>
      </c>
      <c r="AE173" s="36">
        <f t="shared" si="673"/>
        <v>0</v>
      </c>
      <c r="AF173" s="36">
        <f t="shared" ref="AF173:AG173" si="797">AF172</f>
        <v>0</v>
      </c>
      <c r="AG173" s="36">
        <f t="shared" si="797"/>
        <v>0</v>
      </c>
      <c r="AH173" s="36">
        <f t="shared" ref="AH173:AI173" si="798">AH172</f>
        <v>0</v>
      </c>
      <c r="AI173" s="36">
        <f t="shared" si="798"/>
        <v>0</v>
      </c>
      <c r="AJ173" s="36">
        <f t="shared" si="676"/>
        <v>0</v>
      </c>
      <c r="AK173" s="36">
        <f t="shared" si="677"/>
        <v>0</v>
      </c>
      <c r="AL173" s="36">
        <f t="shared" si="678"/>
        <v>0</v>
      </c>
      <c r="AM173" s="36">
        <f t="shared" si="679"/>
        <v>0</v>
      </c>
      <c r="AN173" s="36">
        <f t="shared" si="680"/>
        <v>0</v>
      </c>
      <c r="AO173" s="36">
        <f t="shared" si="681"/>
        <v>0</v>
      </c>
      <c r="AP173" s="36">
        <f t="shared" si="682"/>
        <v>0</v>
      </c>
      <c r="AQ173" s="36">
        <f t="shared" si="683"/>
        <v>0</v>
      </c>
      <c r="AR173" s="36">
        <f t="shared" si="684"/>
        <v>0</v>
      </c>
      <c r="AS173" s="31" t="str">
        <f t="shared" si="690"/>
        <v>SimulationStorage,1,</v>
      </c>
      <c r="AT173" s="31" t="str">
        <f t="shared" si="691"/>
        <v>AnalysisStorage,1,</v>
      </c>
      <c r="AU173" s="31" t="str">
        <f t="shared" si="692"/>
        <v>LogRuleEvaluation,0,</v>
      </c>
      <c r="AV173" s="31" t="str">
        <f t="shared" si="693"/>
        <v>ParallelSimulations,1,</v>
      </c>
      <c r="AW173" s="31" t="str">
        <f t="shared" si="694"/>
        <v>DurationStats,0,</v>
      </c>
      <c r="AX173" s="31" t="str">
        <f t="shared" si="695"/>
        <v>AnalysisThruStep,8,</v>
      </c>
      <c r="AY173" s="31" t="str">
        <f t="shared" si="696"/>
        <v>DontAbortOnErrorsThruStep,8,</v>
      </c>
      <c r="AZ173" s="31" t="str">
        <f t="shared" si="697"/>
        <v>BypassValidFileChecks,1,</v>
      </c>
      <c r="BA173" s="31" t="str">
        <f t="shared" si="698"/>
        <v>BypassInputChecks,0,</v>
      </c>
      <c r="BB173" s="31" t="str">
        <f t="shared" si="699"/>
        <v>BypassUMLHChecks,0,</v>
      </c>
      <c r="BC173" s="31" t="str">
        <f t="shared" si="700"/>
        <v>BypassCheckSimRules,0,</v>
      </c>
      <c r="BD173" s="31" t="str">
        <f t="shared" si="701"/>
        <v>BypassCheckCodeRules,0,</v>
      </c>
      <c r="BE173" s="31" t="str">
        <f t="shared" si="638"/>
        <v>StoreResultsToModelInput,0,</v>
      </c>
      <c r="BF173" s="31" t="str">
        <f t="shared" si="639"/>
        <v>StoreBEMDetails,0,</v>
      </c>
      <c r="BG173" s="31" t="str">
        <f t="shared" si="640"/>
        <v>ModelRpt_ALL,0,</v>
      </c>
      <c r="BH173" s="31" t="str">
        <f t="shared" si="641"/>
        <v>ExportHourlyResults_All,0,</v>
      </c>
      <c r="BI173" s="31" t="str">
        <f t="shared" si="642"/>
        <v>ComplianceReportPDF,0,</v>
      </c>
      <c r="BJ173" s="31" t="str">
        <f t="shared" si="643"/>
        <v>ComplianceReportXML,0,</v>
      </c>
      <c r="BK173" s="31" t="str">
        <f t="shared" si="644"/>
        <v>QuickAnalysis,0,</v>
      </c>
      <c r="BL173" s="31" t="str">
        <f t="shared" si="644"/>
        <v>PromptUserUMLHWarning,0,</v>
      </c>
      <c r="BM173" s="31" t="str">
        <f t="shared" si="645"/>
        <v>BypassOpenStudio_all,0,</v>
      </c>
      <c r="BN173" s="31" t="str">
        <f t="shared" si="646"/>
        <v>BypassOpenStudio_zp,0,</v>
      </c>
      <c r="BO173" s="31" t="str">
        <f t="shared" si="647"/>
        <v>BypassOpenStudio_zb,0,</v>
      </c>
      <c r="BP173" s="31" t="str">
        <f t="shared" si="648"/>
        <v>BypassOpenStudio_ap,0,</v>
      </c>
      <c r="BQ173" s="31" t="str">
        <f t="shared" si="649"/>
        <v>BypassOpenStudio_ab,0,</v>
      </c>
      <c r="BR173" s="31" t="str">
        <f t="shared" si="650"/>
        <v>BypassOpenStudio_zp,0,</v>
      </c>
      <c r="BS173" s="31" t="str">
        <f t="shared" si="651"/>
        <v>BypassOpenStudio_zb,0,</v>
      </c>
      <c r="BT173" s="31" t="str">
        <f t="shared" si="652"/>
        <v>BypassOpenStudio_ap,0,</v>
      </c>
      <c r="BU173" s="31" t="str">
        <f t="shared" si="653"/>
        <v>BypassOpenStudio_ab,0,</v>
      </c>
    </row>
    <row r="174" spans="1:73" x14ac:dyDescent="0.25">
      <c r="A174" s="39">
        <f t="shared" si="654"/>
        <v>1</v>
      </c>
      <c r="B174" s="27" t="str">
        <f t="shared" si="655"/>
        <v>SoftwareSensitivityTests\StreamlinedApprovalSet\1000016-RetlStrp-BaselinePSZ.cibd</v>
      </c>
      <c r="C174" s="27" t="str">
        <f t="shared" si="656"/>
        <v>BatchOut_160331_r3964_SSTs\1000016-RetlStrp-BaselinePSZ.cibd</v>
      </c>
      <c r="D174" s="27" t="str">
        <f t="shared" si="657"/>
        <v>BatchOut_160331_r3964_SSTs\XML\</v>
      </c>
      <c r="E174" s="9" t="str">
        <f t="shared" si="658"/>
        <v>1000016</v>
      </c>
      <c r="F174" s="22"/>
      <c r="G174" s="29"/>
      <c r="H174" s="23" t="str">
        <f t="shared" si="659"/>
        <v/>
      </c>
      <c r="I174" s="9" t="s">
        <v>11</v>
      </c>
      <c r="J174"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4" s="15" t="s">
        <v>1</v>
      </c>
      <c r="L174" s="36">
        <f t="shared" si="685"/>
        <v>1</v>
      </c>
      <c r="M174" s="32" t="str">
        <f t="shared" si="660"/>
        <v>1000016</v>
      </c>
      <c r="N174" s="28" t="s">
        <v>260</v>
      </c>
      <c r="O174" s="28" t="str">
        <f t="shared" si="686"/>
        <v>1000016-RetlStrp-BaselinePSZ</v>
      </c>
      <c r="P174" s="36">
        <f t="shared" si="764"/>
        <v>1</v>
      </c>
      <c r="Q174" s="36">
        <f t="shared" si="764"/>
        <v>1</v>
      </c>
      <c r="R174" s="36">
        <f t="shared" si="764"/>
        <v>0</v>
      </c>
      <c r="S174" s="36">
        <f t="shared" si="764"/>
        <v>1</v>
      </c>
      <c r="T174" s="36">
        <f t="shared" si="764"/>
        <v>0</v>
      </c>
      <c r="U174" s="36">
        <f t="shared" si="764"/>
        <v>8</v>
      </c>
      <c r="V174" s="36">
        <f t="shared" si="764"/>
        <v>8</v>
      </c>
      <c r="W174" s="36">
        <f t="shared" si="764"/>
        <v>1</v>
      </c>
      <c r="X174" s="36">
        <f t="shared" si="764"/>
        <v>0</v>
      </c>
      <c r="Y174" s="36">
        <f t="shared" si="764"/>
        <v>0</v>
      </c>
      <c r="Z174" s="36">
        <f t="shared" si="764"/>
        <v>0</v>
      </c>
      <c r="AA174" s="36">
        <f t="shared" si="764"/>
        <v>0</v>
      </c>
      <c r="AB174" s="36">
        <f t="shared" si="764"/>
        <v>0</v>
      </c>
      <c r="AC174" s="36">
        <f t="shared" si="672"/>
        <v>0</v>
      </c>
      <c r="AD174" s="36">
        <f t="shared" si="673"/>
        <v>0</v>
      </c>
      <c r="AE174" s="36">
        <f t="shared" si="673"/>
        <v>0</v>
      </c>
      <c r="AF174" s="36">
        <f t="shared" ref="AF174:AG174" si="799">AF173</f>
        <v>0</v>
      </c>
      <c r="AG174" s="36">
        <f t="shared" si="799"/>
        <v>0</v>
      </c>
      <c r="AH174" s="36">
        <f t="shared" ref="AH174:AI174" si="800">AH173</f>
        <v>0</v>
      </c>
      <c r="AI174" s="36">
        <f t="shared" si="800"/>
        <v>0</v>
      </c>
      <c r="AJ174" s="36">
        <f t="shared" si="676"/>
        <v>0</v>
      </c>
      <c r="AK174" s="36">
        <f t="shared" si="677"/>
        <v>0</v>
      </c>
      <c r="AL174" s="36">
        <f t="shared" si="678"/>
        <v>0</v>
      </c>
      <c r="AM174" s="36">
        <f t="shared" si="679"/>
        <v>0</v>
      </c>
      <c r="AN174" s="36">
        <f t="shared" si="680"/>
        <v>0</v>
      </c>
      <c r="AO174" s="36">
        <f t="shared" si="681"/>
        <v>0</v>
      </c>
      <c r="AP174" s="36">
        <f t="shared" si="682"/>
        <v>0</v>
      </c>
      <c r="AQ174" s="36">
        <f t="shared" si="683"/>
        <v>0</v>
      </c>
      <c r="AR174" s="36">
        <f t="shared" si="684"/>
        <v>0</v>
      </c>
      <c r="AS174" s="31" t="str">
        <f t="shared" si="690"/>
        <v>SimulationStorage,1,</v>
      </c>
      <c r="AT174" s="31" t="str">
        <f t="shared" si="691"/>
        <v>AnalysisStorage,1,</v>
      </c>
      <c r="AU174" s="31" t="str">
        <f t="shared" si="692"/>
        <v>LogRuleEvaluation,0,</v>
      </c>
      <c r="AV174" s="31" t="str">
        <f t="shared" si="693"/>
        <v>ParallelSimulations,1,</v>
      </c>
      <c r="AW174" s="31" t="str">
        <f t="shared" si="694"/>
        <v>DurationStats,0,</v>
      </c>
      <c r="AX174" s="31" t="str">
        <f t="shared" si="695"/>
        <v>AnalysisThruStep,8,</v>
      </c>
      <c r="AY174" s="31" t="str">
        <f t="shared" si="696"/>
        <v>DontAbortOnErrorsThruStep,8,</v>
      </c>
      <c r="AZ174" s="31" t="str">
        <f t="shared" si="697"/>
        <v>BypassValidFileChecks,1,</v>
      </c>
      <c r="BA174" s="31" t="str">
        <f t="shared" si="698"/>
        <v>BypassInputChecks,0,</v>
      </c>
      <c r="BB174" s="31" t="str">
        <f t="shared" si="699"/>
        <v>BypassUMLHChecks,0,</v>
      </c>
      <c r="BC174" s="31" t="str">
        <f t="shared" si="700"/>
        <v>BypassCheckSimRules,0,</v>
      </c>
      <c r="BD174" s="31" t="str">
        <f t="shared" si="701"/>
        <v>BypassCheckCodeRules,0,</v>
      </c>
      <c r="BE174" s="31" t="str">
        <f t="shared" si="638"/>
        <v>StoreResultsToModelInput,0,</v>
      </c>
      <c r="BF174" s="31" t="str">
        <f t="shared" si="639"/>
        <v>StoreBEMDetails,0,</v>
      </c>
      <c r="BG174" s="31" t="str">
        <f t="shared" si="640"/>
        <v>ModelRpt_ALL,0,</v>
      </c>
      <c r="BH174" s="31" t="str">
        <f t="shared" si="641"/>
        <v>ExportHourlyResults_All,0,</v>
      </c>
      <c r="BI174" s="31" t="str">
        <f t="shared" si="642"/>
        <v>ComplianceReportPDF,0,</v>
      </c>
      <c r="BJ174" s="31" t="str">
        <f t="shared" si="643"/>
        <v>ComplianceReportXML,0,</v>
      </c>
      <c r="BK174" s="31" t="str">
        <f t="shared" si="644"/>
        <v>QuickAnalysis,0,</v>
      </c>
      <c r="BL174" s="31" t="str">
        <f t="shared" si="644"/>
        <v>PromptUserUMLHWarning,0,</v>
      </c>
      <c r="BM174" s="31" t="str">
        <f t="shared" si="645"/>
        <v>BypassOpenStudio_all,0,</v>
      </c>
      <c r="BN174" s="31" t="str">
        <f t="shared" si="646"/>
        <v>BypassOpenStudio_zp,0,</v>
      </c>
      <c r="BO174" s="31" t="str">
        <f t="shared" si="647"/>
        <v>BypassOpenStudio_zb,0,</v>
      </c>
      <c r="BP174" s="31" t="str">
        <f t="shared" si="648"/>
        <v>BypassOpenStudio_ap,0,</v>
      </c>
      <c r="BQ174" s="31" t="str">
        <f t="shared" si="649"/>
        <v>BypassOpenStudio_ab,0,</v>
      </c>
      <c r="BR174" s="31" t="str">
        <f t="shared" si="650"/>
        <v>BypassOpenStudio_zp,0,</v>
      </c>
      <c r="BS174" s="31" t="str">
        <f t="shared" si="651"/>
        <v>BypassOpenStudio_zb,0,</v>
      </c>
      <c r="BT174" s="31" t="str">
        <f t="shared" si="652"/>
        <v>BypassOpenStudio_ap,0,</v>
      </c>
      <c r="BU174" s="31" t="str">
        <f t="shared" si="653"/>
        <v>BypassOpenStudio_ab,0,</v>
      </c>
    </row>
    <row r="175" spans="1:73" x14ac:dyDescent="0.25">
      <c r="A175" s="39">
        <f t="shared" si="654"/>
        <v>1</v>
      </c>
      <c r="B175" s="27" t="str">
        <f t="shared" si="655"/>
        <v>SoftwareSensitivityTests\StreamlinedApprovalSet\1013816-RetlStrp-EvapCooler.cibd</v>
      </c>
      <c r="C175" s="27" t="str">
        <f t="shared" si="656"/>
        <v>BatchOut_160331_r3964_SSTs\1013816-RetlStrp-EvapCooler.cibd</v>
      </c>
      <c r="D175" s="27" t="str">
        <f t="shared" si="657"/>
        <v>BatchOut_160331_r3964_SSTs\XML\</v>
      </c>
      <c r="E175" s="9" t="str">
        <f t="shared" si="658"/>
        <v>1013816</v>
      </c>
      <c r="F175" s="22"/>
      <c r="G175" s="29"/>
      <c r="H175" s="23" t="str">
        <f t="shared" si="659"/>
        <v/>
      </c>
      <c r="I175" s="9" t="s">
        <v>11</v>
      </c>
      <c r="J175"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5" s="15" t="s">
        <v>1</v>
      </c>
      <c r="L175" s="36">
        <f t="shared" si="685"/>
        <v>1</v>
      </c>
      <c r="M175" s="32" t="str">
        <f t="shared" si="660"/>
        <v>1013816</v>
      </c>
      <c r="N175" s="28" t="s">
        <v>261</v>
      </c>
      <c r="O175" s="28" t="str">
        <f t="shared" si="686"/>
        <v>1013816-RetlStrp-EvapCooler</v>
      </c>
      <c r="P175" s="36">
        <f t="shared" si="764"/>
        <v>1</v>
      </c>
      <c r="Q175" s="36">
        <f t="shared" si="764"/>
        <v>1</v>
      </c>
      <c r="R175" s="36">
        <f t="shared" si="764"/>
        <v>0</v>
      </c>
      <c r="S175" s="36">
        <f t="shared" si="764"/>
        <v>1</v>
      </c>
      <c r="T175" s="36">
        <f t="shared" si="764"/>
        <v>0</v>
      </c>
      <c r="U175" s="36">
        <f t="shared" si="764"/>
        <v>8</v>
      </c>
      <c r="V175" s="36">
        <f t="shared" si="764"/>
        <v>8</v>
      </c>
      <c r="W175" s="36">
        <f t="shared" si="764"/>
        <v>1</v>
      </c>
      <c r="X175" s="36">
        <f t="shared" si="764"/>
        <v>0</v>
      </c>
      <c r="Y175" s="36">
        <f t="shared" si="764"/>
        <v>0</v>
      </c>
      <c r="Z175" s="36">
        <f t="shared" si="764"/>
        <v>0</v>
      </c>
      <c r="AA175" s="36">
        <f t="shared" si="764"/>
        <v>0</v>
      </c>
      <c r="AB175" s="36">
        <f t="shared" si="764"/>
        <v>0</v>
      </c>
      <c r="AC175" s="36">
        <f t="shared" si="672"/>
        <v>0</v>
      </c>
      <c r="AD175" s="36">
        <f t="shared" si="673"/>
        <v>0</v>
      </c>
      <c r="AE175" s="36">
        <f t="shared" si="673"/>
        <v>0</v>
      </c>
      <c r="AF175" s="36">
        <f t="shared" ref="AF175:AG175" si="801">AF174</f>
        <v>0</v>
      </c>
      <c r="AG175" s="36">
        <f t="shared" si="801"/>
        <v>0</v>
      </c>
      <c r="AH175" s="36">
        <f t="shared" ref="AH175:AI175" si="802">AH174</f>
        <v>0</v>
      </c>
      <c r="AI175" s="36">
        <f t="shared" si="802"/>
        <v>0</v>
      </c>
      <c r="AJ175" s="36">
        <f t="shared" si="676"/>
        <v>0</v>
      </c>
      <c r="AK175" s="36">
        <f t="shared" si="677"/>
        <v>0</v>
      </c>
      <c r="AL175" s="36">
        <f t="shared" si="678"/>
        <v>0</v>
      </c>
      <c r="AM175" s="36">
        <f t="shared" si="679"/>
        <v>0</v>
      </c>
      <c r="AN175" s="36">
        <f t="shared" si="680"/>
        <v>0</v>
      </c>
      <c r="AO175" s="36">
        <f t="shared" si="681"/>
        <v>0</v>
      </c>
      <c r="AP175" s="36">
        <f t="shared" si="682"/>
        <v>0</v>
      </c>
      <c r="AQ175" s="36">
        <f t="shared" si="683"/>
        <v>0</v>
      </c>
      <c r="AR175" s="36">
        <f t="shared" si="684"/>
        <v>0</v>
      </c>
      <c r="AS175" s="31" t="str">
        <f t="shared" si="690"/>
        <v>SimulationStorage,1,</v>
      </c>
      <c r="AT175" s="31" t="str">
        <f t="shared" si="691"/>
        <v>AnalysisStorage,1,</v>
      </c>
      <c r="AU175" s="31" t="str">
        <f t="shared" si="692"/>
        <v>LogRuleEvaluation,0,</v>
      </c>
      <c r="AV175" s="31" t="str">
        <f t="shared" si="693"/>
        <v>ParallelSimulations,1,</v>
      </c>
      <c r="AW175" s="31" t="str">
        <f t="shared" si="694"/>
        <v>DurationStats,0,</v>
      </c>
      <c r="AX175" s="31" t="str">
        <f t="shared" si="695"/>
        <v>AnalysisThruStep,8,</v>
      </c>
      <c r="AY175" s="31" t="str">
        <f t="shared" si="696"/>
        <v>DontAbortOnErrorsThruStep,8,</v>
      </c>
      <c r="AZ175" s="31" t="str">
        <f t="shared" si="697"/>
        <v>BypassValidFileChecks,1,</v>
      </c>
      <c r="BA175" s="31" t="str">
        <f t="shared" si="698"/>
        <v>BypassInputChecks,0,</v>
      </c>
      <c r="BB175" s="31" t="str">
        <f t="shared" si="699"/>
        <v>BypassUMLHChecks,0,</v>
      </c>
      <c r="BC175" s="31" t="str">
        <f t="shared" si="700"/>
        <v>BypassCheckSimRules,0,</v>
      </c>
      <c r="BD175" s="31" t="str">
        <f t="shared" si="701"/>
        <v>BypassCheckCodeRules,0,</v>
      </c>
      <c r="BE175" s="31" t="str">
        <f t="shared" si="638"/>
        <v>StoreResultsToModelInput,0,</v>
      </c>
      <c r="BF175" s="31" t="str">
        <f t="shared" si="639"/>
        <v>StoreBEMDetails,0,</v>
      </c>
      <c r="BG175" s="31" t="str">
        <f t="shared" si="640"/>
        <v>ModelRpt_ALL,0,</v>
      </c>
      <c r="BH175" s="31" t="str">
        <f t="shared" si="641"/>
        <v>ExportHourlyResults_All,0,</v>
      </c>
      <c r="BI175" s="31" t="str">
        <f t="shared" si="642"/>
        <v>ComplianceReportPDF,0,</v>
      </c>
      <c r="BJ175" s="31" t="str">
        <f t="shared" si="643"/>
        <v>ComplianceReportXML,0,</v>
      </c>
      <c r="BK175" s="31" t="str">
        <f t="shared" si="644"/>
        <v>QuickAnalysis,0,</v>
      </c>
      <c r="BL175" s="31" t="str">
        <f t="shared" si="644"/>
        <v>PromptUserUMLHWarning,0,</v>
      </c>
      <c r="BM175" s="31" t="str">
        <f t="shared" si="645"/>
        <v>BypassOpenStudio_all,0,</v>
      </c>
      <c r="BN175" s="31" t="str">
        <f t="shared" si="646"/>
        <v>BypassOpenStudio_zp,0,</v>
      </c>
      <c r="BO175" s="31" t="str">
        <f t="shared" si="647"/>
        <v>BypassOpenStudio_zb,0,</v>
      </c>
      <c r="BP175" s="31" t="str">
        <f t="shared" si="648"/>
        <v>BypassOpenStudio_ap,0,</v>
      </c>
      <c r="BQ175" s="31" t="str">
        <f t="shared" si="649"/>
        <v>BypassOpenStudio_ab,0,</v>
      </c>
      <c r="BR175" s="31" t="str">
        <f t="shared" si="650"/>
        <v>BypassOpenStudio_zp,0,</v>
      </c>
      <c r="BS175" s="31" t="str">
        <f t="shared" si="651"/>
        <v>BypassOpenStudio_zb,0,</v>
      </c>
      <c r="BT175" s="31" t="str">
        <f t="shared" si="652"/>
        <v>BypassOpenStudio_ap,0,</v>
      </c>
      <c r="BU175" s="31" t="str">
        <f t="shared" si="653"/>
        <v>BypassOpenStudio_ab,0,</v>
      </c>
    </row>
    <row r="176" spans="1:73" x14ac:dyDescent="0.25">
      <c r="A176" s="39">
        <f t="shared" si="654"/>
        <v>1</v>
      </c>
      <c r="B176" s="27" t="str">
        <f t="shared" si="655"/>
        <v>SoftwareSensitivityTests\StreamlinedApprovalSet\1000006-RetlStrp-BaselinePSZ.cibd</v>
      </c>
      <c r="C176" s="27" t="str">
        <f t="shared" si="656"/>
        <v>BatchOut_160331_r3964_SSTs\1000006-RetlStrp-BaselinePSZ.cibd</v>
      </c>
      <c r="D176" s="27" t="str">
        <f t="shared" si="657"/>
        <v>BatchOut_160331_r3964_SSTs\XML\</v>
      </c>
      <c r="E176" s="9" t="str">
        <f t="shared" si="658"/>
        <v>1000006</v>
      </c>
      <c r="F176" s="22"/>
      <c r="G176" s="29"/>
      <c r="H176" s="23" t="str">
        <f t="shared" si="659"/>
        <v/>
      </c>
      <c r="I176" s="9" t="s">
        <v>11</v>
      </c>
      <c r="J176"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6" s="15" t="s">
        <v>1</v>
      </c>
      <c r="L176" s="36">
        <f t="shared" si="685"/>
        <v>1</v>
      </c>
      <c r="M176" s="32" t="str">
        <f t="shared" si="660"/>
        <v>1000006</v>
      </c>
      <c r="N176" s="28" t="s">
        <v>262</v>
      </c>
      <c r="O176" s="28" t="str">
        <f t="shared" si="686"/>
        <v>1000006-RetlStrp-BaselinePSZ</v>
      </c>
      <c r="P176" s="36">
        <f t="shared" si="764"/>
        <v>1</v>
      </c>
      <c r="Q176" s="36">
        <f t="shared" si="764"/>
        <v>1</v>
      </c>
      <c r="R176" s="36">
        <f t="shared" si="764"/>
        <v>0</v>
      </c>
      <c r="S176" s="36">
        <f t="shared" si="764"/>
        <v>1</v>
      </c>
      <c r="T176" s="36">
        <f t="shared" si="764"/>
        <v>0</v>
      </c>
      <c r="U176" s="36">
        <f t="shared" si="764"/>
        <v>8</v>
      </c>
      <c r="V176" s="36">
        <f t="shared" si="764"/>
        <v>8</v>
      </c>
      <c r="W176" s="36">
        <f t="shared" si="764"/>
        <v>1</v>
      </c>
      <c r="X176" s="36">
        <f t="shared" ref="X176:AR191" si="803">X175</f>
        <v>0</v>
      </c>
      <c r="Y176" s="36">
        <f t="shared" si="803"/>
        <v>0</v>
      </c>
      <c r="Z176" s="36">
        <f t="shared" si="803"/>
        <v>0</v>
      </c>
      <c r="AA176" s="36">
        <f t="shared" si="803"/>
        <v>0</v>
      </c>
      <c r="AB176" s="36">
        <f t="shared" si="803"/>
        <v>0</v>
      </c>
      <c r="AC176" s="36">
        <f t="shared" si="672"/>
        <v>0</v>
      </c>
      <c r="AD176" s="36">
        <f t="shared" si="673"/>
        <v>0</v>
      </c>
      <c r="AE176" s="36">
        <f t="shared" si="673"/>
        <v>0</v>
      </c>
      <c r="AF176" s="36">
        <f t="shared" ref="AF176:AG176" si="804">AF175</f>
        <v>0</v>
      </c>
      <c r="AG176" s="36">
        <f t="shared" si="804"/>
        <v>0</v>
      </c>
      <c r="AH176" s="36">
        <f t="shared" ref="AH176:AI176" si="805">AH175</f>
        <v>0</v>
      </c>
      <c r="AI176" s="36">
        <f t="shared" si="805"/>
        <v>0</v>
      </c>
      <c r="AJ176" s="36">
        <f t="shared" si="676"/>
        <v>0</v>
      </c>
      <c r="AK176" s="36">
        <f t="shared" si="677"/>
        <v>0</v>
      </c>
      <c r="AL176" s="36">
        <f t="shared" si="678"/>
        <v>0</v>
      </c>
      <c r="AM176" s="36">
        <f t="shared" si="679"/>
        <v>0</v>
      </c>
      <c r="AN176" s="36">
        <f t="shared" si="680"/>
        <v>0</v>
      </c>
      <c r="AO176" s="36">
        <f t="shared" si="681"/>
        <v>0</v>
      </c>
      <c r="AP176" s="36">
        <f t="shared" si="682"/>
        <v>0</v>
      </c>
      <c r="AQ176" s="36">
        <f t="shared" si="683"/>
        <v>0</v>
      </c>
      <c r="AR176" s="36">
        <f t="shared" si="684"/>
        <v>0</v>
      </c>
      <c r="AS176" s="31" t="str">
        <f t="shared" si="690"/>
        <v>SimulationStorage,1,</v>
      </c>
      <c r="AT176" s="31" t="str">
        <f t="shared" si="691"/>
        <v>AnalysisStorage,1,</v>
      </c>
      <c r="AU176" s="31" t="str">
        <f t="shared" si="692"/>
        <v>LogRuleEvaluation,0,</v>
      </c>
      <c r="AV176" s="31" t="str">
        <f t="shared" si="693"/>
        <v>ParallelSimulations,1,</v>
      </c>
      <c r="AW176" s="31" t="str">
        <f t="shared" si="694"/>
        <v>DurationStats,0,</v>
      </c>
      <c r="AX176" s="31" t="str">
        <f t="shared" si="695"/>
        <v>AnalysisThruStep,8,</v>
      </c>
      <c r="AY176" s="31" t="str">
        <f t="shared" si="696"/>
        <v>DontAbortOnErrorsThruStep,8,</v>
      </c>
      <c r="AZ176" s="31" t="str">
        <f t="shared" si="697"/>
        <v>BypassValidFileChecks,1,</v>
      </c>
      <c r="BA176" s="31" t="str">
        <f t="shared" si="698"/>
        <v>BypassInputChecks,0,</v>
      </c>
      <c r="BB176" s="31" t="str">
        <f t="shared" si="699"/>
        <v>BypassUMLHChecks,0,</v>
      </c>
      <c r="BC176" s="31" t="str">
        <f t="shared" si="700"/>
        <v>BypassCheckSimRules,0,</v>
      </c>
      <c r="BD176" s="31" t="str">
        <f t="shared" si="701"/>
        <v>BypassCheckCodeRules,0,</v>
      </c>
      <c r="BE176" s="31" t="str">
        <f t="shared" si="638"/>
        <v>StoreResultsToModelInput,0,</v>
      </c>
      <c r="BF176" s="31" t="str">
        <f t="shared" si="639"/>
        <v>StoreBEMDetails,0,</v>
      </c>
      <c r="BG176" s="31" t="str">
        <f t="shared" si="640"/>
        <v>ModelRpt_ALL,0,</v>
      </c>
      <c r="BH176" s="31" t="str">
        <f t="shared" si="641"/>
        <v>ExportHourlyResults_All,0,</v>
      </c>
      <c r="BI176" s="31" t="str">
        <f t="shared" si="642"/>
        <v>ComplianceReportPDF,0,</v>
      </c>
      <c r="BJ176" s="31" t="str">
        <f t="shared" si="643"/>
        <v>ComplianceReportXML,0,</v>
      </c>
      <c r="BK176" s="31" t="str">
        <f t="shared" si="644"/>
        <v>QuickAnalysis,0,</v>
      </c>
      <c r="BL176" s="31" t="str">
        <f t="shared" si="644"/>
        <v>PromptUserUMLHWarning,0,</v>
      </c>
      <c r="BM176" s="31" t="str">
        <f t="shared" si="645"/>
        <v>BypassOpenStudio_all,0,</v>
      </c>
      <c r="BN176" s="31" t="str">
        <f t="shared" si="646"/>
        <v>BypassOpenStudio_zp,0,</v>
      </c>
      <c r="BO176" s="31" t="str">
        <f t="shared" si="647"/>
        <v>BypassOpenStudio_zb,0,</v>
      </c>
      <c r="BP176" s="31" t="str">
        <f t="shared" si="648"/>
        <v>BypassOpenStudio_ap,0,</v>
      </c>
      <c r="BQ176" s="31" t="str">
        <f t="shared" si="649"/>
        <v>BypassOpenStudio_ab,0,</v>
      </c>
      <c r="BR176" s="31" t="str">
        <f t="shared" si="650"/>
        <v>BypassOpenStudio_zp,0,</v>
      </c>
      <c r="BS176" s="31" t="str">
        <f t="shared" si="651"/>
        <v>BypassOpenStudio_zb,0,</v>
      </c>
      <c r="BT176" s="31" t="str">
        <f t="shared" si="652"/>
        <v>BypassOpenStudio_ap,0,</v>
      </c>
      <c r="BU176" s="31" t="str">
        <f t="shared" si="653"/>
        <v>BypassOpenStudio_ab,0,</v>
      </c>
    </row>
    <row r="177" spans="1:73" x14ac:dyDescent="0.25">
      <c r="A177" s="39">
        <f t="shared" si="654"/>
        <v>1</v>
      </c>
      <c r="B177" s="27" t="str">
        <f t="shared" si="655"/>
        <v>SoftwareSensitivityTests\StreamlinedApprovalSet\1013906-RetlStrp-EvapCooler.cibd</v>
      </c>
      <c r="C177" s="27" t="str">
        <f t="shared" si="656"/>
        <v>BatchOut_160331_r3964_SSTs\1013906-RetlStrp-EvapCooler.cibd</v>
      </c>
      <c r="D177" s="27" t="str">
        <f t="shared" si="657"/>
        <v>BatchOut_160331_r3964_SSTs\XML\</v>
      </c>
      <c r="E177" s="9" t="str">
        <f t="shared" si="658"/>
        <v>1013906</v>
      </c>
      <c r="F177" s="22"/>
      <c r="G177" s="29"/>
      <c r="H177" s="23" t="str">
        <f t="shared" si="659"/>
        <v/>
      </c>
      <c r="I177" s="9" t="s">
        <v>11</v>
      </c>
      <c r="J177"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7" s="15" t="s">
        <v>1</v>
      </c>
      <c r="L177" s="36">
        <f t="shared" si="685"/>
        <v>1</v>
      </c>
      <c r="M177" s="32" t="str">
        <f t="shared" si="660"/>
        <v>1013906</v>
      </c>
      <c r="N177" s="28" t="s">
        <v>263</v>
      </c>
      <c r="O177" s="28" t="str">
        <f t="shared" si="686"/>
        <v>1013906-RetlStrp-EvapCooler</v>
      </c>
      <c r="P177" s="36">
        <f t="shared" ref="P177:AJ200" si="806">P176</f>
        <v>1</v>
      </c>
      <c r="Q177" s="36">
        <f t="shared" si="806"/>
        <v>1</v>
      </c>
      <c r="R177" s="36">
        <f t="shared" si="806"/>
        <v>0</v>
      </c>
      <c r="S177" s="36">
        <f t="shared" si="806"/>
        <v>1</v>
      </c>
      <c r="T177" s="36">
        <f t="shared" si="806"/>
        <v>0</v>
      </c>
      <c r="U177" s="36">
        <f t="shared" si="806"/>
        <v>8</v>
      </c>
      <c r="V177" s="36">
        <f t="shared" si="806"/>
        <v>8</v>
      </c>
      <c r="W177" s="36">
        <f t="shared" si="806"/>
        <v>1</v>
      </c>
      <c r="X177" s="36">
        <f t="shared" si="803"/>
        <v>0</v>
      </c>
      <c r="Y177" s="36">
        <f t="shared" si="803"/>
        <v>0</v>
      </c>
      <c r="Z177" s="36">
        <f t="shared" si="803"/>
        <v>0</v>
      </c>
      <c r="AA177" s="36">
        <f t="shared" si="803"/>
        <v>0</v>
      </c>
      <c r="AB177" s="36">
        <f t="shared" si="803"/>
        <v>0</v>
      </c>
      <c r="AC177" s="36">
        <f t="shared" si="672"/>
        <v>0</v>
      </c>
      <c r="AD177" s="36">
        <f t="shared" si="673"/>
        <v>0</v>
      </c>
      <c r="AE177" s="36">
        <f t="shared" si="673"/>
        <v>0</v>
      </c>
      <c r="AF177" s="36">
        <f t="shared" ref="AF177:AG177" si="807">AF176</f>
        <v>0</v>
      </c>
      <c r="AG177" s="36">
        <f t="shared" si="807"/>
        <v>0</v>
      </c>
      <c r="AH177" s="36">
        <f t="shared" ref="AH177:AI177" si="808">AH176</f>
        <v>0</v>
      </c>
      <c r="AI177" s="36">
        <f t="shared" si="808"/>
        <v>0</v>
      </c>
      <c r="AJ177" s="36">
        <f t="shared" si="676"/>
        <v>0</v>
      </c>
      <c r="AK177" s="36">
        <f t="shared" si="677"/>
        <v>0</v>
      </c>
      <c r="AL177" s="36">
        <f t="shared" si="678"/>
        <v>0</v>
      </c>
      <c r="AM177" s="36">
        <f t="shared" si="679"/>
        <v>0</v>
      </c>
      <c r="AN177" s="36">
        <f t="shared" si="680"/>
        <v>0</v>
      </c>
      <c r="AO177" s="36">
        <f t="shared" si="681"/>
        <v>0</v>
      </c>
      <c r="AP177" s="36">
        <f t="shared" si="682"/>
        <v>0</v>
      </c>
      <c r="AQ177" s="36">
        <f t="shared" si="683"/>
        <v>0</v>
      </c>
      <c r="AR177" s="36">
        <f t="shared" si="684"/>
        <v>0</v>
      </c>
      <c r="AS177" s="31" t="str">
        <f t="shared" si="690"/>
        <v>SimulationStorage,1,</v>
      </c>
      <c r="AT177" s="31" t="str">
        <f t="shared" si="691"/>
        <v>AnalysisStorage,1,</v>
      </c>
      <c r="AU177" s="31" t="str">
        <f t="shared" si="692"/>
        <v>LogRuleEvaluation,0,</v>
      </c>
      <c r="AV177" s="31" t="str">
        <f t="shared" si="693"/>
        <v>ParallelSimulations,1,</v>
      </c>
      <c r="AW177" s="31" t="str">
        <f t="shared" si="694"/>
        <v>DurationStats,0,</v>
      </c>
      <c r="AX177" s="31" t="str">
        <f t="shared" si="695"/>
        <v>AnalysisThruStep,8,</v>
      </c>
      <c r="AY177" s="31" t="str">
        <f t="shared" si="696"/>
        <v>DontAbortOnErrorsThruStep,8,</v>
      </c>
      <c r="AZ177" s="31" t="str">
        <f t="shared" si="697"/>
        <v>BypassValidFileChecks,1,</v>
      </c>
      <c r="BA177" s="31" t="str">
        <f t="shared" si="698"/>
        <v>BypassInputChecks,0,</v>
      </c>
      <c r="BB177" s="31" t="str">
        <f t="shared" si="699"/>
        <v>BypassUMLHChecks,0,</v>
      </c>
      <c r="BC177" s="31" t="str">
        <f t="shared" si="700"/>
        <v>BypassCheckSimRules,0,</v>
      </c>
      <c r="BD177" s="31" t="str">
        <f t="shared" si="701"/>
        <v>BypassCheckCodeRules,0,</v>
      </c>
      <c r="BE177" s="31" t="str">
        <f t="shared" si="638"/>
        <v>StoreResultsToModelInput,0,</v>
      </c>
      <c r="BF177" s="31" t="str">
        <f t="shared" si="639"/>
        <v>StoreBEMDetails,0,</v>
      </c>
      <c r="BG177" s="31" t="str">
        <f t="shared" si="640"/>
        <v>ModelRpt_ALL,0,</v>
      </c>
      <c r="BH177" s="31" t="str">
        <f t="shared" si="641"/>
        <v>ExportHourlyResults_All,0,</v>
      </c>
      <c r="BI177" s="31" t="str">
        <f t="shared" si="642"/>
        <v>ComplianceReportPDF,0,</v>
      </c>
      <c r="BJ177" s="31" t="str">
        <f t="shared" si="643"/>
        <v>ComplianceReportXML,0,</v>
      </c>
      <c r="BK177" s="31" t="str">
        <f t="shared" si="644"/>
        <v>QuickAnalysis,0,</v>
      </c>
      <c r="BL177" s="31" t="str">
        <f t="shared" si="644"/>
        <v>PromptUserUMLHWarning,0,</v>
      </c>
      <c r="BM177" s="31" t="str">
        <f t="shared" si="645"/>
        <v>BypassOpenStudio_all,0,</v>
      </c>
      <c r="BN177" s="31" t="str">
        <f t="shared" si="646"/>
        <v>BypassOpenStudio_zp,0,</v>
      </c>
      <c r="BO177" s="31" t="str">
        <f t="shared" si="647"/>
        <v>BypassOpenStudio_zb,0,</v>
      </c>
      <c r="BP177" s="31" t="str">
        <f t="shared" si="648"/>
        <v>BypassOpenStudio_ap,0,</v>
      </c>
      <c r="BQ177" s="31" t="str">
        <f t="shared" si="649"/>
        <v>BypassOpenStudio_ab,0,</v>
      </c>
      <c r="BR177" s="31" t="str">
        <f t="shared" si="650"/>
        <v>BypassOpenStudio_zp,0,</v>
      </c>
      <c r="BS177" s="31" t="str">
        <f t="shared" si="651"/>
        <v>BypassOpenStudio_zb,0,</v>
      </c>
      <c r="BT177" s="31" t="str">
        <f t="shared" si="652"/>
        <v>BypassOpenStudio_ap,0,</v>
      </c>
      <c r="BU177" s="31" t="str">
        <f t="shared" si="653"/>
        <v>BypassOpenStudio_ab,0,</v>
      </c>
    </row>
    <row r="178" spans="1:73" x14ac:dyDescent="0.25">
      <c r="A178" s="39">
        <f t="shared" si="654"/>
        <v>1</v>
      </c>
      <c r="B178" s="27" t="str">
        <f t="shared" si="655"/>
        <v>SoftwareSensitivityTests\StreamlinedApprovalSet\1000015-RetlStrp-BaselinePSZ.cibd</v>
      </c>
      <c r="C178" s="27" t="str">
        <f t="shared" si="656"/>
        <v>BatchOut_160331_r3964_SSTs\1000015-RetlStrp-BaselinePSZ.cibd</v>
      </c>
      <c r="D178" s="27" t="str">
        <f t="shared" si="657"/>
        <v>BatchOut_160331_r3964_SSTs\XML\</v>
      </c>
      <c r="E178" s="9" t="str">
        <f t="shared" si="658"/>
        <v>1000015</v>
      </c>
      <c r="F178" s="22"/>
      <c r="G178" s="29"/>
      <c r="H178" s="23" t="str">
        <f t="shared" si="659"/>
        <v/>
      </c>
      <c r="I178" s="9" t="s">
        <v>11</v>
      </c>
      <c r="J178"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8" s="15" t="s">
        <v>1</v>
      </c>
      <c r="L178" s="36">
        <f t="shared" si="685"/>
        <v>1</v>
      </c>
      <c r="M178" s="32" t="str">
        <f t="shared" si="660"/>
        <v>1000015</v>
      </c>
      <c r="N178" s="28" t="s">
        <v>264</v>
      </c>
      <c r="O178" s="28" t="str">
        <f t="shared" si="686"/>
        <v>1000015-RetlStrp-BaselinePSZ</v>
      </c>
      <c r="P178" s="36">
        <f t="shared" si="806"/>
        <v>1</v>
      </c>
      <c r="Q178" s="36">
        <f t="shared" si="806"/>
        <v>1</v>
      </c>
      <c r="R178" s="36">
        <f t="shared" si="806"/>
        <v>0</v>
      </c>
      <c r="S178" s="36">
        <f t="shared" si="806"/>
        <v>1</v>
      </c>
      <c r="T178" s="36">
        <f t="shared" si="806"/>
        <v>0</v>
      </c>
      <c r="U178" s="36">
        <f t="shared" si="806"/>
        <v>8</v>
      </c>
      <c r="V178" s="36">
        <f t="shared" si="806"/>
        <v>8</v>
      </c>
      <c r="W178" s="36">
        <f t="shared" si="806"/>
        <v>1</v>
      </c>
      <c r="X178" s="36">
        <f t="shared" si="803"/>
        <v>0</v>
      </c>
      <c r="Y178" s="36">
        <f t="shared" si="803"/>
        <v>0</v>
      </c>
      <c r="Z178" s="36">
        <f t="shared" si="803"/>
        <v>0</v>
      </c>
      <c r="AA178" s="36">
        <f t="shared" si="803"/>
        <v>0</v>
      </c>
      <c r="AB178" s="36">
        <f t="shared" si="803"/>
        <v>0</v>
      </c>
      <c r="AC178" s="36">
        <f t="shared" si="672"/>
        <v>0</v>
      </c>
      <c r="AD178" s="36">
        <f t="shared" si="673"/>
        <v>0</v>
      </c>
      <c r="AE178" s="36">
        <f t="shared" si="673"/>
        <v>0</v>
      </c>
      <c r="AF178" s="36">
        <f t="shared" ref="AF178:AG178" si="809">AF177</f>
        <v>0</v>
      </c>
      <c r="AG178" s="36">
        <f t="shared" si="809"/>
        <v>0</v>
      </c>
      <c r="AH178" s="36">
        <f t="shared" ref="AH178:AI178" si="810">AH177</f>
        <v>0</v>
      </c>
      <c r="AI178" s="36">
        <f t="shared" si="810"/>
        <v>0</v>
      </c>
      <c r="AJ178" s="36">
        <f t="shared" si="676"/>
        <v>0</v>
      </c>
      <c r="AK178" s="36">
        <f t="shared" si="677"/>
        <v>0</v>
      </c>
      <c r="AL178" s="36">
        <f t="shared" si="678"/>
        <v>0</v>
      </c>
      <c r="AM178" s="36">
        <f t="shared" si="679"/>
        <v>0</v>
      </c>
      <c r="AN178" s="36">
        <f t="shared" si="680"/>
        <v>0</v>
      </c>
      <c r="AO178" s="36">
        <f t="shared" si="681"/>
        <v>0</v>
      </c>
      <c r="AP178" s="36">
        <f t="shared" si="682"/>
        <v>0</v>
      </c>
      <c r="AQ178" s="36">
        <f t="shared" si="683"/>
        <v>0</v>
      </c>
      <c r="AR178" s="36">
        <f t="shared" si="684"/>
        <v>0</v>
      </c>
      <c r="AS178" s="31" t="str">
        <f t="shared" si="690"/>
        <v>SimulationStorage,1,</v>
      </c>
      <c r="AT178" s="31" t="str">
        <f t="shared" si="691"/>
        <v>AnalysisStorage,1,</v>
      </c>
      <c r="AU178" s="31" t="str">
        <f t="shared" si="692"/>
        <v>LogRuleEvaluation,0,</v>
      </c>
      <c r="AV178" s="31" t="str">
        <f t="shared" si="693"/>
        <v>ParallelSimulations,1,</v>
      </c>
      <c r="AW178" s="31" t="str">
        <f t="shared" si="694"/>
        <v>DurationStats,0,</v>
      </c>
      <c r="AX178" s="31" t="str">
        <f t="shared" si="695"/>
        <v>AnalysisThruStep,8,</v>
      </c>
      <c r="AY178" s="31" t="str">
        <f t="shared" si="696"/>
        <v>DontAbortOnErrorsThruStep,8,</v>
      </c>
      <c r="AZ178" s="31" t="str">
        <f t="shared" si="697"/>
        <v>BypassValidFileChecks,1,</v>
      </c>
      <c r="BA178" s="31" t="str">
        <f t="shared" si="698"/>
        <v>BypassInputChecks,0,</v>
      </c>
      <c r="BB178" s="31" t="str">
        <f t="shared" si="699"/>
        <v>BypassUMLHChecks,0,</v>
      </c>
      <c r="BC178" s="31" t="str">
        <f t="shared" si="700"/>
        <v>BypassCheckSimRules,0,</v>
      </c>
      <c r="BD178" s="31" t="str">
        <f t="shared" si="701"/>
        <v>BypassCheckCodeRules,0,</v>
      </c>
      <c r="BE178" s="31" t="str">
        <f t="shared" si="638"/>
        <v>StoreResultsToModelInput,0,</v>
      </c>
      <c r="BF178" s="31" t="str">
        <f t="shared" si="639"/>
        <v>StoreBEMDetails,0,</v>
      </c>
      <c r="BG178" s="31" t="str">
        <f t="shared" si="640"/>
        <v>ModelRpt_ALL,0,</v>
      </c>
      <c r="BH178" s="31" t="str">
        <f t="shared" si="641"/>
        <v>ExportHourlyResults_All,0,</v>
      </c>
      <c r="BI178" s="31" t="str">
        <f t="shared" si="642"/>
        <v>ComplianceReportPDF,0,</v>
      </c>
      <c r="BJ178" s="31" t="str">
        <f t="shared" si="643"/>
        <v>ComplianceReportXML,0,</v>
      </c>
      <c r="BK178" s="31" t="str">
        <f t="shared" si="644"/>
        <v>QuickAnalysis,0,</v>
      </c>
      <c r="BL178" s="31" t="str">
        <f t="shared" si="644"/>
        <v>PromptUserUMLHWarning,0,</v>
      </c>
      <c r="BM178" s="31" t="str">
        <f t="shared" si="645"/>
        <v>BypassOpenStudio_all,0,</v>
      </c>
      <c r="BN178" s="31" t="str">
        <f t="shared" si="646"/>
        <v>BypassOpenStudio_zp,0,</v>
      </c>
      <c r="BO178" s="31" t="str">
        <f t="shared" si="647"/>
        <v>BypassOpenStudio_zb,0,</v>
      </c>
      <c r="BP178" s="31" t="str">
        <f t="shared" si="648"/>
        <v>BypassOpenStudio_ap,0,</v>
      </c>
      <c r="BQ178" s="31" t="str">
        <f t="shared" si="649"/>
        <v>BypassOpenStudio_ab,0,</v>
      </c>
      <c r="BR178" s="31" t="str">
        <f t="shared" si="650"/>
        <v>BypassOpenStudio_zp,0,</v>
      </c>
      <c r="BS178" s="31" t="str">
        <f t="shared" si="651"/>
        <v>BypassOpenStudio_zb,0,</v>
      </c>
      <c r="BT178" s="31" t="str">
        <f t="shared" si="652"/>
        <v>BypassOpenStudio_ap,0,</v>
      </c>
      <c r="BU178" s="31" t="str">
        <f t="shared" si="653"/>
        <v>BypassOpenStudio_ab,0,</v>
      </c>
    </row>
    <row r="179" spans="1:73" x14ac:dyDescent="0.25">
      <c r="A179" s="39">
        <f t="shared" si="654"/>
        <v>1</v>
      </c>
      <c r="B179" s="27" t="str">
        <f t="shared" si="655"/>
        <v>SoftwareSensitivityTests\StreamlinedApprovalSet\1009215-RetlStrp-HVACPSZ DXCOP.cibd</v>
      </c>
      <c r="C179" s="27" t="str">
        <f t="shared" si="656"/>
        <v>BatchOut_160331_r3964_SSTs\1009215-RetlStrp-HVACPSZ DXCOP.cibd</v>
      </c>
      <c r="D179" s="27" t="str">
        <f t="shared" si="657"/>
        <v>BatchOut_160331_r3964_SSTs\XML\</v>
      </c>
      <c r="E179" s="9" t="str">
        <f t="shared" si="658"/>
        <v>1009215</v>
      </c>
      <c r="F179" s="22"/>
      <c r="G179" s="29"/>
      <c r="H179" s="23" t="str">
        <f t="shared" si="659"/>
        <v/>
      </c>
      <c r="I179" s="9" t="s">
        <v>11</v>
      </c>
      <c r="J179"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9" s="15" t="s">
        <v>1</v>
      </c>
      <c r="L179" s="36">
        <f t="shared" si="685"/>
        <v>1</v>
      </c>
      <c r="M179" s="32" t="str">
        <f t="shared" si="660"/>
        <v>1009215</v>
      </c>
      <c r="N179" s="28" t="s">
        <v>265</v>
      </c>
      <c r="O179" s="28" t="str">
        <f t="shared" si="686"/>
        <v>1009215-RetlStrp-HVACPSZ DXCOP</v>
      </c>
      <c r="P179" s="36">
        <f t="shared" si="806"/>
        <v>1</v>
      </c>
      <c r="Q179" s="36">
        <f t="shared" si="806"/>
        <v>1</v>
      </c>
      <c r="R179" s="36">
        <f t="shared" si="806"/>
        <v>0</v>
      </c>
      <c r="S179" s="36">
        <f t="shared" si="806"/>
        <v>1</v>
      </c>
      <c r="T179" s="36">
        <f t="shared" si="806"/>
        <v>0</v>
      </c>
      <c r="U179" s="36">
        <f t="shared" si="806"/>
        <v>8</v>
      </c>
      <c r="V179" s="36">
        <f t="shared" si="806"/>
        <v>8</v>
      </c>
      <c r="W179" s="36">
        <f t="shared" si="806"/>
        <v>1</v>
      </c>
      <c r="X179" s="36">
        <f t="shared" si="803"/>
        <v>0</v>
      </c>
      <c r="Y179" s="36">
        <f t="shared" si="803"/>
        <v>0</v>
      </c>
      <c r="Z179" s="36">
        <f t="shared" si="803"/>
        <v>0</v>
      </c>
      <c r="AA179" s="36">
        <f t="shared" si="803"/>
        <v>0</v>
      </c>
      <c r="AB179" s="36">
        <f t="shared" si="803"/>
        <v>0</v>
      </c>
      <c r="AC179" s="36">
        <f t="shared" si="672"/>
        <v>0</v>
      </c>
      <c r="AD179" s="36">
        <f t="shared" si="673"/>
        <v>0</v>
      </c>
      <c r="AE179" s="36">
        <f t="shared" si="673"/>
        <v>0</v>
      </c>
      <c r="AF179" s="36">
        <f t="shared" ref="AF179:AG179" si="811">AF178</f>
        <v>0</v>
      </c>
      <c r="AG179" s="36">
        <f t="shared" si="811"/>
        <v>0</v>
      </c>
      <c r="AH179" s="36">
        <f t="shared" ref="AH179:AI179" si="812">AH178</f>
        <v>0</v>
      </c>
      <c r="AI179" s="36">
        <f t="shared" si="812"/>
        <v>0</v>
      </c>
      <c r="AJ179" s="36">
        <f t="shared" si="676"/>
        <v>0</v>
      </c>
      <c r="AK179" s="36">
        <f t="shared" si="677"/>
        <v>0</v>
      </c>
      <c r="AL179" s="36">
        <f t="shared" si="678"/>
        <v>0</v>
      </c>
      <c r="AM179" s="36">
        <f t="shared" si="679"/>
        <v>0</v>
      </c>
      <c r="AN179" s="36">
        <f t="shared" si="680"/>
        <v>0</v>
      </c>
      <c r="AO179" s="36">
        <f t="shared" si="681"/>
        <v>0</v>
      </c>
      <c r="AP179" s="36">
        <f t="shared" si="682"/>
        <v>0</v>
      </c>
      <c r="AQ179" s="36">
        <f t="shared" si="683"/>
        <v>0</v>
      </c>
      <c r="AR179" s="36">
        <f t="shared" si="684"/>
        <v>0</v>
      </c>
      <c r="AS179" s="31" t="str">
        <f t="shared" si="690"/>
        <v>SimulationStorage,1,</v>
      </c>
      <c r="AT179" s="31" t="str">
        <f t="shared" si="691"/>
        <v>AnalysisStorage,1,</v>
      </c>
      <c r="AU179" s="31" t="str">
        <f t="shared" si="692"/>
        <v>LogRuleEvaluation,0,</v>
      </c>
      <c r="AV179" s="31" t="str">
        <f t="shared" si="693"/>
        <v>ParallelSimulations,1,</v>
      </c>
      <c r="AW179" s="31" t="str">
        <f t="shared" si="694"/>
        <v>DurationStats,0,</v>
      </c>
      <c r="AX179" s="31" t="str">
        <f t="shared" si="695"/>
        <v>AnalysisThruStep,8,</v>
      </c>
      <c r="AY179" s="31" t="str">
        <f t="shared" si="696"/>
        <v>DontAbortOnErrorsThruStep,8,</v>
      </c>
      <c r="AZ179" s="31" t="str">
        <f t="shared" si="697"/>
        <v>BypassValidFileChecks,1,</v>
      </c>
      <c r="BA179" s="31" t="str">
        <f t="shared" si="698"/>
        <v>BypassInputChecks,0,</v>
      </c>
      <c r="BB179" s="31" t="str">
        <f t="shared" si="699"/>
        <v>BypassUMLHChecks,0,</v>
      </c>
      <c r="BC179" s="31" t="str">
        <f t="shared" si="700"/>
        <v>BypassCheckSimRules,0,</v>
      </c>
      <c r="BD179" s="31" t="str">
        <f t="shared" si="701"/>
        <v>BypassCheckCodeRules,0,</v>
      </c>
      <c r="BE179" s="31" t="str">
        <f t="shared" si="638"/>
        <v>StoreResultsToModelInput,0,</v>
      </c>
      <c r="BF179" s="31" t="str">
        <f t="shared" si="639"/>
        <v>StoreBEMDetails,0,</v>
      </c>
      <c r="BG179" s="31" t="str">
        <f t="shared" si="640"/>
        <v>ModelRpt_ALL,0,</v>
      </c>
      <c r="BH179" s="31" t="str">
        <f t="shared" si="641"/>
        <v>ExportHourlyResults_All,0,</v>
      </c>
      <c r="BI179" s="31" t="str">
        <f t="shared" si="642"/>
        <v>ComplianceReportPDF,0,</v>
      </c>
      <c r="BJ179" s="31" t="str">
        <f t="shared" si="643"/>
        <v>ComplianceReportXML,0,</v>
      </c>
      <c r="BK179" s="31" t="str">
        <f t="shared" si="644"/>
        <v>QuickAnalysis,0,</v>
      </c>
      <c r="BL179" s="31" t="str">
        <f t="shared" si="644"/>
        <v>PromptUserUMLHWarning,0,</v>
      </c>
      <c r="BM179" s="31" t="str">
        <f t="shared" si="645"/>
        <v>BypassOpenStudio_all,0,</v>
      </c>
      <c r="BN179" s="31" t="str">
        <f t="shared" si="646"/>
        <v>BypassOpenStudio_zp,0,</v>
      </c>
      <c r="BO179" s="31" t="str">
        <f t="shared" si="647"/>
        <v>BypassOpenStudio_zb,0,</v>
      </c>
      <c r="BP179" s="31" t="str">
        <f t="shared" si="648"/>
        <v>BypassOpenStudio_ap,0,</v>
      </c>
      <c r="BQ179" s="31" t="str">
        <f t="shared" si="649"/>
        <v>BypassOpenStudio_ab,0,</v>
      </c>
      <c r="BR179" s="31" t="str">
        <f t="shared" si="650"/>
        <v>BypassOpenStudio_zp,0,</v>
      </c>
      <c r="BS179" s="31" t="str">
        <f t="shared" si="651"/>
        <v>BypassOpenStudio_zb,0,</v>
      </c>
      <c r="BT179" s="31" t="str">
        <f t="shared" si="652"/>
        <v>BypassOpenStudio_ap,0,</v>
      </c>
      <c r="BU179" s="31" t="str">
        <f t="shared" si="653"/>
        <v>BypassOpenStudio_ab,0,</v>
      </c>
    </row>
    <row r="180" spans="1:73" x14ac:dyDescent="0.25">
      <c r="A180" s="39">
        <f t="shared" si="654"/>
        <v>1</v>
      </c>
      <c r="B180" s="27" t="str">
        <f t="shared" si="655"/>
        <v>SoftwareSensitivityTests\StreamlinedApprovalSet\1009315-RetlStrp-HVACPSZ HeatEff.cibd</v>
      </c>
      <c r="C180" s="27" t="str">
        <f t="shared" si="656"/>
        <v>BatchOut_160331_r3964_SSTs\1009315-RetlStrp-HVACPSZ HeatEff.cibd</v>
      </c>
      <c r="D180" s="27" t="str">
        <f t="shared" si="657"/>
        <v>BatchOut_160331_r3964_SSTs\XML\</v>
      </c>
      <c r="E180" s="9" t="str">
        <f t="shared" si="658"/>
        <v>1009315</v>
      </c>
      <c r="F180" s="22"/>
      <c r="G180" s="29"/>
      <c r="H180" s="23" t="str">
        <f t="shared" si="659"/>
        <v/>
      </c>
      <c r="I180" s="9" t="s">
        <v>11</v>
      </c>
      <c r="J180"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0" s="15" t="s">
        <v>1</v>
      </c>
      <c r="L180" s="36">
        <f t="shared" si="685"/>
        <v>1</v>
      </c>
      <c r="M180" s="32" t="str">
        <f t="shared" si="660"/>
        <v>1009315</v>
      </c>
      <c r="N180" s="28" t="s">
        <v>266</v>
      </c>
      <c r="O180" s="28" t="str">
        <f t="shared" si="686"/>
        <v>1009315-RetlStrp-HVACPSZ HeatEff</v>
      </c>
      <c r="P180" s="36">
        <f t="shared" si="806"/>
        <v>1</v>
      </c>
      <c r="Q180" s="36">
        <f t="shared" si="806"/>
        <v>1</v>
      </c>
      <c r="R180" s="36">
        <f t="shared" si="806"/>
        <v>0</v>
      </c>
      <c r="S180" s="36">
        <f t="shared" si="806"/>
        <v>1</v>
      </c>
      <c r="T180" s="36">
        <f t="shared" si="806"/>
        <v>0</v>
      </c>
      <c r="U180" s="36">
        <f t="shared" si="806"/>
        <v>8</v>
      </c>
      <c r="V180" s="36">
        <f t="shared" si="806"/>
        <v>8</v>
      </c>
      <c r="W180" s="36">
        <f t="shared" si="806"/>
        <v>1</v>
      </c>
      <c r="X180" s="36">
        <f t="shared" si="803"/>
        <v>0</v>
      </c>
      <c r="Y180" s="36">
        <f t="shared" si="803"/>
        <v>0</v>
      </c>
      <c r="Z180" s="36">
        <f t="shared" si="803"/>
        <v>0</v>
      </c>
      <c r="AA180" s="36">
        <f t="shared" si="803"/>
        <v>0</v>
      </c>
      <c r="AB180" s="36">
        <f t="shared" si="803"/>
        <v>0</v>
      </c>
      <c r="AC180" s="36">
        <f t="shared" si="672"/>
        <v>0</v>
      </c>
      <c r="AD180" s="36">
        <f t="shared" si="673"/>
        <v>0</v>
      </c>
      <c r="AE180" s="36">
        <f t="shared" si="673"/>
        <v>0</v>
      </c>
      <c r="AF180" s="36">
        <f t="shared" ref="AF180:AG180" si="813">AF179</f>
        <v>0</v>
      </c>
      <c r="AG180" s="36">
        <f t="shared" si="813"/>
        <v>0</v>
      </c>
      <c r="AH180" s="36">
        <f t="shared" ref="AH180:AI180" si="814">AH179</f>
        <v>0</v>
      </c>
      <c r="AI180" s="36">
        <f t="shared" si="814"/>
        <v>0</v>
      </c>
      <c r="AJ180" s="36">
        <f t="shared" si="676"/>
        <v>0</v>
      </c>
      <c r="AK180" s="36">
        <f t="shared" si="677"/>
        <v>0</v>
      </c>
      <c r="AL180" s="36">
        <f t="shared" si="678"/>
        <v>0</v>
      </c>
      <c r="AM180" s="36">
        <f t="shared" si="679"/>
        <v>0</v>
      </c>
      <c r="AN180" s="36">
        <f t="shared" si="680"/>
        <v>0</v>
      </c>
      <c r="AO180" s="36">
        <f t="shared" si="681"/>
        <v>0</v>
      </c>
      <c r="AP180" s="36">
        <f t="shared" si="682"/>
        <v>0</v>
      </c>
      <c r="AQ180" s="36">
        <f t="shared" si="683"/>
        <v>0</v>
      </c>
      <c r="AR180" s="36">
        <f t="shared" si="684"/>
        <v>0</v>
      </c>
      <c r="AS180" s="31" t="str">
        <f t="shared" si="690"/>
        <v>SimulationStorage,1,</v>
      </c>
      <c r="AT180" s="31" t="str">
        <f t="shared" si="691"/>
        <v>AnalysisStorage,1,</v>
      </c>
      <c r="AU180" s="31" t="str">
        <f t="shared" si="692"/>
        <v>LogRuleEvaluation,0,</v>
      </c>
      <c r="AV180" s="31" t="str">
        <f t="shared" si="693"/>
        <v>ParallelSimulations,1,</v>
      </c>
      <c r="AW180" s="31" t="str">
        <f t="shared" si="694"/>
        <v>DurationStats,0,</v>
      </c>
      <c r="AX180" s="31" t="str">
        <f t="shared" si="695"/>
        <v>AnalysisThruStep,8,</v>
      </c>
      <c r="AY180" s="31" t="str">
        <f t="shared" si="696"/>
        <v>DontAbortOnErrorsThruStep,8,</v>
      </c>
      <c r="AZ180" s="31" t="str">
        <f t="shared" si="697"/>
        <v>BypassValidFileChecks,1,</v>
      </c>
      <c r="BA180" s="31" t="str">
        <f t="shared" si="698"/>
        <v>BypassInputChecks,0,</v>
      </c>
      <c r="BB180" s="31" t="str">
        <f t="shared" si="699"/>
        <v>BypassUMLHChecks,0,</v>
      </c>
      <c r="BC180" s="31" t="str">
        <f t="shared" si="700"/>
        <v>BypassCheckSimRules,0,</v>
      </c>
      <c r="BD180" s="31" t="str">
        <f t="shared" si="701"/>
        <v>BypassCheckCodeRules,0,</v>
      </c>
      <c r="BE180" s="31" t="str">
        <f t="shared" si="638"/>
        <v>StoreResultsToModelInput,0,</v>
      </c>
      <c r="BF180" s="31" t="str">
        <f t="shared" si="639"/>
        <v>StoreBEMDetails,0,</v>
      </c>
      <c r="BG180" s="31" t="str">
        <f t="shared" si="640"/>
        <v>ModelRpt_ALL,0,</v>
      </c>
      <c r="BH180" s="31" t="str">
        <f t="shared" si="641"/>
        <v>ExportHourlyResults_All,0,</v>
      </c>
      <c r="BI180" s="31" t="str">
        <f t="shared" si="642"/>
        <v>ComplianceReportPDF,0,</v>
      </c>
      <c r="BJ180" s="31" t="str">
        <f t="shared" si="643"/>
        <v>ComplianceReportXML,0,</v>
      </c>
      <c r="BK180" s="31" t="str">
        <f t="shared" si="644"/>
        <v>QuickAnalysis,0,</v>
      </c>
      <c r="BL180" s="31" t="str">
        <f t="shared" si="644"/>
        <v>PromptUserUMLHWarning,0,</v>
      </c>
      <c r="BM180" s="31" t="str">
        <f t="shared" si="645"/>
        <v>BypassOpenStudio_all,0,</v>
      </c>
      <c r="BN180" s="31" t="str">
        <f t="shared" si="646"/>
        <v>BypassOpenStudio_zp,0,</v>
      </c>
      <c r="BO180" s="31" t="str">
        <f t="shared" si="647"/>
        <v>BypassOpenStudio_zb,0,</v>
      </c>
      <c r="BP180" s="31" t="str">
        <f t="shared" si="648"/>
        <v>BypassOpenStudio_ap,0,</v>
      </c>
      <c r="BQ180" s="31" t="str">
        <f t="shared" si="649"/>
        <v>BypassOpenStudio_ab,0,</v>
      </c>
      <c r="BR180" s="31" t="str">
        <f t="shared" si="650"/>
        <v>BypassOpenStudio_zp,0,</v>
      </c>
      <c r="BS180" s="31" t="str">
        <f t="shared" si="651"/>
        <v>BypassOpenStudio_zb,0,</v>
      </c>
      <c r="BT180" s="31" t="str">
        <f t="shared" si="652"/>
        <v>BypassOpenStudio_ap,0,</v>
      </c>
      <c r="BU180" s="31" t="str">
        <f t="shared" si="653"/>
        <v>BypassOpenStudio_ab,0,</v>
      </c>
    </row>
    <row r="181" spans="1:73" x14ac:dyDescent="0.25">
      <c r="A181" s="39">
        <f t="shared" si="654"/>
        <v>1</v>
      </c>
      <c r="B181" s="27" t="str">
        <f t="shared" si="655"/>
        <v>SoftwareSensitivityTests\StreamlinedApprovalSet\1009415-RetlStrp-HVACPSZ EconomizerControl.cibd</v>
      </c>
      <c r="C181" s="27" t="str">
        <f t="shared" si="656"/>
        <v>BatchOut_160331_r3964_SSTs\1009415-RetlStrp-HVACPSZ EconomizerControl.cibd</v>
      </c>
      <c r="D181" s="27" t="str">
        <f t="shared" si="657"/>
        <v>BatchOut_160331_r3964_SSTs\XML\</v>
      </c>
      <c r="E181" s="9" t="str">
        <f t="shared" si="658"/>
        <v>1009415</v>
      </c>
      <c r="F181" s="22"/>
      <c r="G181" s="29"/>
      <c r="H181" s="23" t="str">
        <f t="shared" si="659"/>
        <v/>
      </c>
      <c r="I181" s="9" t="s">
        <v>11</v>
      </c>
      <c r="J181"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1" s="15" t="s">
        <v>1</v>
      </c>
      <c r="L181" s="36">
        <f t="shared" si="685"/>
        <v>1</v>
      </c>
      <c r="M181" s="32" t="str">
        <f t="shared" si="660"/>
        <v>1009415</v>
      </c>
      <c r="N181" s="28" t="s">
        <v>267</v>
      </c>
      <c r="O181" s="28" t="str">
        <f t="shared" si="686"/>
        <v>1009415-RetlStrp-HVACPSZ EconomizerControl</v>
      </c>
      <c r="P181" s="36">
        <f t="shared" si="806"/>
        <v>1</v>
      </c>
      <c r="Q181" s="36">
        <f t="shared" si="806"/>
        <v>1</v>
      </c>
      <c r="R181" s="36">
        <f t="shared" si="806"/>
        <v>0</v>
      </c>
      <c r="S181" s="36">
        <f t="shared" si="806"/>
        <v>1</v>
      </c>
      <c r="T181" s="36">
        <f t="shared" si="806"/>
        <v>0</v>
      </c>
      <c r="U181" s="36">
        <f t="shared" si="806"/>
        <v>8</v>
      </c>
      <c r="V181" s="36">
        <f t="shared" si="806"/>
        <v>8</v>
      </c>
      <c r="W181" s="36">
        <f t="shared" si="806"/>
        <v>1</v>
      </c>
      <c r="X181" s="36">
        <f t="shared" si="803"/>
        <v>0</v>
      </c>
      <c r="Y181" s="36">
        <f t="shared" si="803"/>
        <v>0</v>
      </c>
      <c r="Z181" s="36">
        <f t="shared" si="803"/>
        <v>0</v>
      </c>
      <c r="AA181" s="36">
        <f t="shared" si="803"/>
        <v>0</v>
      </c>
      <c r="AB181" s="36">
        <f t="shared" si="803"/>
        <v>0</v>
      </c>
      <c r="AC181" s="36">
        <f t="shared" si="672"/>
        <v>0</v>
      </c>
      <c r="AD181" s="36">
        <f t="shared" si="673"/>
        <v>0</v>
      </c>
      <c r="AE181" s="36">
        <f t="shared" si="673"/>
        <v>0</v>
      </c>
      <c r="AF181" s="36">
        <f t="shared" ref="AF181:AG181" si="815">AF180</f>
        <v>0</v>
      </c>
      <c r="AG181" s="36">
        <f t="shared" si="815"/>
        <v>0</v>
      </c>
      <c r="AH181" s="36">
        <f t="shared" ref="AH181:AI181" si="816">AH180</f>
        <v>0</v>
      </c>
      <c r="AI181" s="36">
        <f t="shared" si="816"/>
        <v>0</v>
      </c>
      <c r="AJ181" s="36">
        <f t="shared" si="676"/>
        <v>0</v>
      </c>
      <c r="AK181" s="36">
        <f t="shared" si="677"/>
        <v>0</v>
      </c>
      <c r="AL181" s="36">
        <f t="shared" si="678"/>
        <v>0</v>
      </c>
      <c r="AM181" s="36">
        <f t="shared" si="679"/>
        <v>0</v>
      </c>
      <c r="AN181" s="36">
        <f t="shared" si="680"/>
        <v>0</v>
      </c>
      <c r="AO181" s="36">
        <f t="shared" si="681"/>
        <v>0</v>
      </c>
      <c r="AP181" s="36">
        <f t="shared" si="682"/>
        <v>0</v>
      </c>
      <c r="AQ181" s="36">
        <f t="shared" si="683"/>
        <v>0</v>
      </c>
      <c r="AR181" s="36">
        <f t="shared" si="684"/>
        <v>0</v>
      </c>
      <c r="AS181" s="31" t="str">
        <f t="shared" si="690"/>
        <v>SimulationStorage,1,</v>
      </c>
      <c r="AT181" s="31" t="str">
        <f t="shared" si="691"/>
        <v>AnalysisStorage,1,</v>
      </c>
      <c r="AU181" s="31" t="str">
        <f t="shared" si="692"/>
        <v>LogRuleEvaluation,0,</v>
      </c>
      <c r="AV181" s="31" t="str">
        <f t="shared" si="693"/>
        <v>ParallelSimulations,1,</v>
      </c>
      <c r="AW181" s="31" t="str">
        <f t="shared" si="694"/>
        <v>DurationStats,0,</v>
      </c>
      <c r="AX181" s="31" t="str">
        <f t="shared" si="695"/>
        <v>AnalysisThruStep,8,</v>
      </c>
      <c r="AY181" s="31" t="str">
        <f t="shared" si="696"/>
        <v>DontAbortOnErrorsThruStep,8,</v>
      </c>
      <c r="AZ181" s="31" t="str">
        <f t="shared" si="697"/>
        <v>BypassValidFileChecks,1,</v>
      </c>
      <c r="BA181" s="31" t="str">
        <f t="shared" si="698"/>
        <v>BypassInputChecks,0,</v>
      </c>
      <c r="BB181" s="31" t="str">
        <f t="shared" si="699"/>
        <v>BypassUMLHChecks,0,</v>
      </c>
      <c r="BC181" s="31" t="str">
        <f t="shared" si="700"/>
        <v>BypassCheckSimRules,0,</v>
      </c>
      <c r="BD181" s="31" t="str">
        <f t="shared" si="701"/>
        <v>BypassCheckCodeRules,0,</v>
      </c>
      <c r="BE181" s="31" t="str">
        <f t="shared" si="638"/>
        <v>StoreResultsToModelInput,0,</v>
      </c>
      <c r="BF181" s="31" t="str">
        <f t="shared" si="639"/>
        <v>StoreBEMDetails,0,</v>
      </c>
      <c r="BG181" s="31" t="str">
        <f t="shared" si="640"/>
        <v>ModelRpt_ALL,0,</v>
      </c>
      <c r="BH181" s="31" t="str">
        <f t="shared" si="641"/>
        <v>ExportHourlyResults_All,0,</v>
      </c>
      <c r="BI181" s="31" t="str">
        <f t="shared" si="642"/>
        <v>ComplianceReportPDF,0,</v>
      </c>
      <c r="BJ181" s="31" t="str">
        <f t="shared" si="643"/>
        <v>ComplianceReportXML,0,</v>
      </c>
      <c r="BK181" s="31" t="str">
        <f t="shared" si="644"/>
        <v>QuickAnalysis,0,</v>
      </c>
      <c r="BL181" s="31" t="str">
        <f t="shared" si="644"/>
        <v>PromptUserUMLHWarning,0,</v>
      </c>
      <c r="BM181" s="31" t="str">
        <f t="shared" si="645"/>
        <v>BypassOpenStudio_all,0,</v>
      </c>
      <c r="BN181" s="31" t="str">
        <f t="shared" si="646"/>
        <v>BypassOpenStudio_zp,0,</v>
      </c>
      <c r="BO181" s="31" t="str">
        <f t="shared" si="647"/>
        <v>BypassOpenStudio_zb,0,</v>
      </c>
      <c r="BP181" s="31" t="str">
        <f t="shared" si="648"/>
        <v>BypassOpenStudio_ap,0,</v>
      </c>
      <c r="BQ181" s="31" t="str">
        <f t="shared" si="649"/>
        <v>BypassOpenStudio_ab,0,</v>
      </c>
      <c r="BR181" s="31" t="str">
        <f t="shared" si="650"/>
        <v>BypassOpenStudio_zp,0,</v>
      </c>
      <c r="BS181" s="31" t="str">
        <f t="shared" si="651"/>
        <v>BypassOpenStudio_zb,0,</v>
      </c>
      <c r="BT181" s="31" t="str">
        <f t="shared" si="652"/>
        <v>BypassOpenStudio_ap,0,</v>
      </c>
      <c r="BU181" s="31" t="str">
        <f t="shared" si="653"/>
        <v>BypassOpenStudio_ab,0,</v>
      </c>
    </row>
    <row r="182" spans="1:73" x14ac:dyDescent="0.25">
      <c r="A182" s="39">
        <f t="shared" si="654"/>
        <v>1</v>
      </c>
      <c r="B182" s="27" t="str">
        <f t="shared" si="655"/>
        <v>SoftwareSensitivityTests\StreamlinedApprovalSet\1013715-RetlStrp-EvapCooler.cibd</v>
      </c>
      <c r="C182" s="27" t="str">
        <f t="shared" si="656"/>
        <v>BatchOut_160331_r3964_SSTs\1013715-RetlStrp-EvapCooler.cibd</v>
      </c>
      <c r="D182" s="27" t="str">
        <f t="shared" si="657"/>
        <v>BatchOut_160331_r3964_SSTs\XML\</v>
      </c>
      <c r="E182" s="9" t="str">
        <f t="shared" si="658"/>
        <v>1013715</v>
      </c>
      <c r="F182" s="22"/>
      <c r="G182" s="29"/>
      <c r="H182" s="23" t="str">
        <f t="shared" si="659"/>
        <v/>
      </c>
      <c r="I182" s="9" t="s">
        <v>11</v>
      </c>
      <c r="J182"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2" s="15" t="s">
        <v>1</v>
      </c>
      <c r="L182" s="36">
        <f t="shared" si="685"/>
        <v>1</v>
      </c>
      <c r="M182" s="32" t="str">
        <f t="shared" si="660"/>
        <v>1013715</v>
      </c>
      <c r="N182" s="28" t="s">
        <v>268</v>
      </c>
      <c r="O182" s="28" t="str">
        <f t="shared" si="686"/>
        <v>1013715-RetlStrp-EvapCooler</v>
      </c>
      <c r="P182" s="36">
        <f t="shared" si="806"/>
        <v>1</v>
      </c>
      <c r="Q182" s="36">
        <f t="shared" si="806"/>
        <v>1</v>
      </c>
      <c r="R182" s="36">
        <f t="shared" si="806"/>
        <v>0</v>
      </c>
      <c r="S182" s="36">
        <f t="shared" si="806"/>
        <v>1</v>
      </c>
      <c r="T182" s="36">
        <f t="shared" si="806"/>
        <v>0</v>
      </c>
      <c r="U182" s="36">
        <f t="shared" si="806"/>
        <v>8</v>
      </c>
      <c r="V182" s="36">
        <f t="shared" si="806"/>
        <v>8</v>
      </c>
      <c r="W182" s="36">
        <f t="shared" si="806"/>
        <v>1</v>
      </c>
      <c r="X182" s="36">
        <f t="shared" si="803"/>
        <v>0</v>
      </c>
      <c r="Y182" s="36">
        <f t="shared" si="803"/>
        <v>0</v>
      </c>
      <c r="Z182" s="36">
        <f t="shared" si="803"/>
        <v>0</v>
      </c>
      <c r="AA182" s="36">
        <f t="shared" si="803"/>
        <v>0</v>
      </c>
      <c r="AB182" s="36">
        <f t="shared" si="803"/>
        <v>0</v>
      </c>
      <c r="AC182" s="36">
        <f t="shared" si="672"/>
        <v>0</v>
      </c>
      <c r="AD182" s="36">
        <f t="shared" si="673"/>
        <v>0</v>
      </c>
      <c r="AE182" s="36">
        <f t="shared" si="673"/>
        <v>0</v>
      </c>
      <c r="AF182" s="36">
        <f t="shared" ref="AF182:AG182" si="817">AF181</f>
        <v>0</v>
      </c>
      <c r="AG182" s="36">
        <f t="shared" si="817"/>
        <v>0</v>
      </c>
      <c r="AH182" s="36">
        <f t="shared" ref="AH182:AI182" si="818">AH181</f>
        <v>0</v>
      </c>
      <c r="AI182" s="36">
        <f t="shared" si="818"/>
        <v>0</v>
      </c>
      <c r="AJ182" s="36">
        <f t="shared" si="676"/>
        <v>0</v>
      </c>
      <c r="AK182" s="36">
        <f t="shared" si="677"/>
        <v>0</v>
      </c>
      <c r="AL182" s="36">
        <f t="shared" si="678"/>
        <v>0</v>
      </c>
      <c r="AM182" s="36">
        <f t="shared" si="679"/>
        <v>0</v>
      </c>
      <c r="AN182" s="36">
        <f t="shared" si="680"/>
        <v>0</v>
      </c>
      <c r="AO182" s="36">
        <f t="shared" si="681"/>
        <v>0</v>
      </c>
      <c r="AP182" s="36">
        <f t="shared" si="682"/>
        <v>0</v>
      </c>
      <c r="AQ182" s="36">
        <f t="shared" si="683"/>
        <v>0</v>
      </c>
      <c r="AR182" s="36">
        <f t="shared" si="684"/>
        <v>0</v>
      </c>
      <c r="AS182" s="31" t="str">
        <f t="shared" si="690"/>
        <v>SimulationStorage,1,</v>
      </c>
      <c r="AT182" s="31" t="str">
        <f t="shared" si="691"/>
        <v>AnalysisStorage,1,</v>
      </c>
      <c r="AU182" s="31" t="str">
        <f t="shared" si="692"/>
        <v>LogRuleEvaluation,0,</v>
      </c>
      <c r="AV182" s="31" t="str">
        <f t="shared" si="693"/>
        <v>ParallelSimulations,1,</v>
      </c>
      <c r="AW182" s="31" t="str">
        <f t="shared" si="694"/>
        <v>DurationStats,0,</v>
      </c>
      <c r="AX182" s="31" t="str">
        <f t="shared" si="695"/>
        <v>AnalysisThruStep,8,</v>
      </c>
      <c r="AY182" s="31" t="str">
        <f t="shared" si="696"/>
        <v>DontAbortOnErrorsThruStep,8,</v>
      </c>
      <c r="AZ182" s="31" t="str">
        <f t="shared" si="697"/>
        <v>BypassValidFileChecks,1,</v>
      </c>
      <c r="BA182" s="31" t="str">
        <f t="shared" si="698"/>
        <v>BypassInputChecks,0,</v>
      </c>
      <c r="BB182" s="31" t="str">
        <f t="shared" si="699"/>
        <v>BypassUMLHChecks,0,</v>
      </c>
      <c r="BC182" s="31" t="str">
        <f t="shared" si="700"/>
        <v>BypassCheckSimRules,0,</v>
      </c>
      <c r="BD182" s="31" t="str">
        <f t="shared" si="701"/>
        <v>BypassCheckCodeRules,0,</v>
      </c>
      <c r="BE182" s="31" t="str">
        <f t="shared" si="638"/>
        <v>StoreResultsToModelInput,0,</v>
      </c>
      <c r="BF182" s="31" t="str">
        <f t="shared" si="639"/>
        <v>StoreBEMDetails,0,</v>
      </c>
      <c r="BG182" s="31" t="str">
        <f t="shared" si="640"/>
        <v>ModelRpt_ALL,0,</v>
      </c>
      <c r="BH182" s="31" t="str">
        <f t="shared" si="641"/>
        <v>ExportHourlyResults_All,0,</v>
      </c>
      <c r="BI182" s="31" t="str">
        <f t="shared" si="642"/>
        <v>ComplianceReportPDF,0,</v>
      </c>
      <c r="BJ182" s="31" t="str">
        <f t="shared" si="643"/>
        <v>ComplianceReportXML,0,</v>
      </c>
      <c r="BK182" s="31" t="str">
        <f t="shared" si="644"/>
        <v>QuickAnalysis,0,</v>
      </c>
      <c r="BL182" s="31" t="str">
        <f t="shared" si="644"/>
        <v>PromptUserUMLHWarning,0,</v>
      </c>
      <c r="BM182" s="31" t="str">
        <f t="shared" si="645"/>
        <v>BypassOpenStudio_all,0,</v>
      </c>
      <c r="BN182" s="31" t="str">
        <f t="shared" si="646"/>
        <v>BypassOpenStudio_zp,0,</v>
      </c>
      <c r="BO182" s="31" t="str">
        <f t="shared" si="647"/>
        <v>BypassOpenStudio_zb,0,</v>
      </c>
      <c r="BP182" s="31" t="str">
        <f t="shared" si="648"/>
        <v>BypassOpenStudio_ap,0,</v>
      </c>
      <c r="BQ182" s="31" t="str">
        <f t="shared" si="649"/>
        <v>BypassOpenStudio_ab,0,</v>
      </c>
      <c r="BR182" s="31" t="str">
        <f t="shared" si="650"/>
        <v>BypassOpenStudio_zp,0,</v>
      </c>
      <c r="BS182" s="31" t="str">
        <f t="shared" si="651"/>
        <v>BypassOpenStudio_zb,0,</v>
      </c>
      <c r="BT182" s="31" t="str">
        <f t="shared" si="652"/>
        <v>BypassOpenStudio_ap,0,</v>
      </c>
      <c r="BU182" s="31" t="str">
        <f t="shared" si="653"/>
        <v>BypassOpenStudio_ab,0,</v>
      </c>
    </row>
    <row r="183" spans="1:73" x14ac:dyDescent="0.25">
      <c r="A183" s="39">
        <f t="shared" si="654"/>
        <v>0</v>
      </c>
      <c r="B183" s="27" t="str">
        <f t="shared" si="655"/>
        <v>SoftwareSensitivityTests\StreamlinedApprovalSet\x.cibd</v>
      </c>
      <c r="C183" s="27" t="str">
        <f t="shared" si="656"/>
        <v>BatchOut_160331_r3964_SSTs\x.cibd</v>
      </c>
      <c r="D183" s="27" t="str">
        <f t="shared" si="657"/>
        <v>BatchOut_160331_r3964_SSTs\XML\</v>
      </c>
      <c r="E183" s="9" t="str">
        <f t="shared" si="658"/>
        <v>x</v>
      </c>
      <c r="F183" s="22"/>
      <c r="G183" s="29"/>
      <c r="H183" s="23" t="str">
        <f t="shared" si="659"/>
        <v/>
      </c>
      <c r="I183" s="9" t="s">
        <v>11</v>
      </c>
      <c r="J183"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3" s="15" t="s">
        <v>1</v>
      </c>
      <c r="L183" s="36">
        <v>0</v>
      </c>
      <c r="M183" s="32" t="str">
        <f t="shared" si="660"/>
        <v>x</v>
      </c>
      <c r="N183" s="28" t="s">
        <v>269</v>
      </c>
      <c r="O183" s="28" t="str">
        <f t="shared" si="686"/>
        <v>x</v>
      </c>
      <c r="P183" s="36">
        <f t="shared" si="806"/>
        <v>1</v>
      </c>
      <c r="Q183" s="36">
        <f t="shared" si="806"/>
        <v>1</v>
      </c>
      <c r="R183" s="36">
        <f t="shared" si="806"/>
        <v>0</v>
      </c>
      <c r="S183" s="36">
        <f t="shared" si="806"/>
        <v>1</v>
      </c>
      <c r="T183" s="36">
        <f t="shared" si="806"/>
        <v>0</v>
      </c>
      <c r="U183" s="36">
        <f t="shared" si="806"/>
        <v>8</v>
      </c>
      <c r="V183" s="36">
        <f t="shared" si="806"/>
        <v>8</v>
      </c>
      <c r="W183" s="36">
        <f t="shared" si="806"/>
        <v>1</v>
      </c>
      <c r="X183" s="36">
        <f t="shared" si="803"/>
        <v>0</v>
      </c>
      <c r="Y183" s="36">
        <f t="shared" si="803"/>
        <v>0</v>
      </c>
      <c r="Z183" s="36">
        <f t="shared" si="803"/>
        <v>0</v>
      </c>
      <c r="AA183" s="36">
        <f t="shared" si="803"/>
        <v>0</v>
      </c>
      <c r="AB183" s="36">
        <f t="shared" si="803"/>
        <v>0</v>
      </c>
      <c r="AC183" s="36">
        <f t="shared" si="672"/>
        <v>0</v>
      </c>
      <c r="AD183" s="36">
        <f t="shared" si="673"/>
        <v>0</v>
      </c>
      <c r="AE183" s="36">
        <f t="shared" si="673"/>
        <v>0</v>
      </c>
      <c r="AF183" s="36">
        <f t="shared" ref="AF183:AG183" si="819">AF182</f>
        <v>0</v>
      </c>
      <c r="AG183" s="36">
        <f t="shared" si="819"/>
        <v>0</v>
      </c>
      <c r="AH183" s="36">
        <f t="shared" ref="AH183:AI183" si="820">AH182</f>
        <v>0</v>
      </c>
      <c r="AI183" s="36">
        <f t="shared" si="820"/>
        <v>0</v>
      </c>
      <c r="AJ183" s="36">
        <f t="shared" si="676"/>
        <v>0</v>
      </c>
      <c r="AK183" s="36">
        <f t="shared" si="677"/>
        <v>0</v>
      </c>
      <c r="AL183" s="36">
        <f t="shared" si="678"/>
        <v>0</v>
      </c>
      <c r="AM183" s="36">
        <f t="shared" si="679"/>
        <v>0</v>
      </c>
      <c r="AN183" s="36">
        <f t="shared" si="680"/>
        <v>0</v>
      </c>
      <c r="AO183" s="36">
        <f t="shared" si="681"/>
        <v>0</v>
      </c>
      <c r="AP183" s="36">
        <f t="shared" si="682"/>
        <v>0</v>
      </c>
      <c r="AQ183" s="36">
        <f t="shared" si="683"/>
        <v>0</v>
      </c>
      <c r="AR183" s="36">
        <f t="shared" si="684"/>
        <v>0</v>
      </c>
      <c r="AS183" s="31" t="str">
        <f t="shared" si="690"/>
        <v>SimulationStorage,1,</v>
      </c>
      <c r="AT183" s="31" t="str">
        <f t="shared" si="691"/>
        <v>AnalysisStorage,1,</v>
      </c>
      <c r="AU183" s="31" t="str">
        <f t="shared" si="692"/>
        <v>LogRuleEvaluation,0,</v>
      </c>
      <c r="AV183" s="31" t="str">
        <f t="shared" si="693"/>
        <v>ParallelSimulations,1,</v>
      </c>
      <c r="AW183" s="31" t="str">
        <f t="shared" si="694"/>
        <v>DurationStats,0,</v>
      </c>
      <c r="AX183" s="31" t="str">
        <f t="shared" si="695"/>
        <v>AnalysisThruStep,8,</v>
      </c>
      <c r="AY183" s="31" t="str">
        <f t="shared" si="696"/>
        <v>DontAbortOnErrorsThruStep,8,</v>
      </c>
      <c r="AZ183" s="31" t="str">
        <f t="shared" si="697"/>
        <v>BypassValidFileChecks,1,</v>
      </c>
      <c r="BA183" s="31" t="str">
        <f t="shared" si="698"/>
        <v>BypassInputChecks,0,</v>
      </c>
      <c r="BB183" s="31" t="str">
        <f t="shared" si="699"/>
        <v>BypassUMLHChecks,0,</v>
      </c>
      <c r="BC183" s="31" t="str">
        <f t="shared" si="700"/>
        <v>BypassCheckSimRules,0,</v>
      </c>
      <c r="BD183" s="31" t="str">
        <f t="shared" si="701"/>
        <v>BypassCheckCodeRules,0,</v>
      </c>
      <c r="BE183" s="31" t="str">
        <f t="shared" si="638"/>
        <v>StoreResultsToModelInput,0,</v>
      </c>
      <c r="BF183" s="31" t="str">
        <f t="shared" si="639"/>
        <v>StoreBEMDetails,0,</v>
      </c>
      <c r="BG183" s="31" t="str">
        <f t="shared" si="640"/>
        <v>ModelRpt_ALL,0,</v>
      </c>
      <c r="BH183" s="31" t="str">
        <f t="shared" si="641"/>
        <v>ExportHourlyResults_All,0,</v>
      </c>
      <c r="BI183" s="31" t="str">
        <f t="shared" si="642"/>
        <v>ComplianceReportPDF,0,</v>
      </c>
      <c r="BJ183" s="31" t="str">
        <f t="shared" si="643"/>
        <v>ComplianceReportXML,0,</v>
      </c>
      <c r="BK183" s="31" t="str">
        <f t="shared" si="644"/>
        <v>QuickAnalysis,0,</v>
      </c>
      <c r="BL183" s="31" t="str">
        <f t="shared" si="644"/>
        <v>PromptUserUMLHWarning,0,</v>
      </c>
      <c r="BM183" s="31" t="str">
        <f t="shared" si="645"/>
        <v>BypassOpenStudio_all,0,</v>
      </c>
      <c r="BN183" s="31" t="str">
        <f t="shared" si="646"/>
        <v>BypassOpenStudio_zp,0,</v>
      </c>
      <c r="BO183" s="31" t="str">
        <f t="shared" si="647"/>
        <v>BypassOpenStudio_zb,0,</v>
      </c>
      <c r="BP183" s="31" t="str">
        <f t="shared" si="648"/>
        <v>BypassOpenStudio_ap,0,</v>
      </c>
      <c r="BQ183" s="31" t="str">
        <f t="shared" si="649"/>
        <v>BypassOpenStudio_ab,0,</v>
      </c>
      <c r="BR183" s="31" t="str">
        <f t="shared" si="650"/>
        <v>BypassOpenStudio_zp,0,</v>
      </c>
      <c r="BS183" s="31" t="str">
        <f t="shared" si="651"/>
        <v>BypassOpenStudio_zb,0,</v>
      </c>
      <c r="BT183" s="31" t="str">
        <f t="shared" si="652"/>
        <v>BypassOpenStudio_ap,0,</v>
      </c>
      <c r="BU183" s="31" t="str">
        <f t="shared" si="653"/>
        <v>BypassOpenStudio_ab,0,</v>
      </c>
    </row>
    <row r="184" spans="1:73" x14ac:dyDescent="0.25">
      <c r="A184" s="39">
        <f t="shared" si="654"/>
        <v>0</v>
      </c>
      <c r="B184" s="27" t="str">
        <f t="shared" si="655"/>
        <v>SoftwareSensitivityTests\StreamlinedApprovalSet\0301015-OffMed-FloorSlabInsulation.cibd</v>
      </c>
      <c r="C184" s="27" t="str">
        <f t="shared" si="656"/>
        <v>BatchOut_160331_r3964_SSTs\0301015-OffMed-FloorSlabInsulation.cibd</v>
      </c>
      <c r="D184" s="27" t="str">
        <f t="shared" si="657"/>
        <v>BatchOut_160331_r3964_SSTs\XML\</v>
      </c>
      <c r="E184" s="9" t="str">
        <f t="shared" si="658"/>
        <v>0301015</v>
      </c>
      <c r="F184" s="22"/>
      <c r="G184" s="29"/>
      <c r="H184" s="23" t="str">
        <f t="shared" si="659"/>
        <v/>
      </c>
      <c r="I184" s="9" t="s">
        <v>11</v>
      </c>
      <c r="J184"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4" s="15" t="s">
        <v>1</v>
      </c>
      <c r="L184" s="36">
        <v>0</v>
      </c>
      <c r="M184" s="32" t="str">
        <f t="shared" si="660"/>
        <v>0301015</v>
      </c>
      <c r="N184" s="28" t="s">
        <v>270</v>
      </c>
      <c r="O184" s="28" t="str">
        <f t="shared" si="686"/>
        <v>0301015-OffMed-FloorSlabInsulation</v>
      </c>
      <c r="P184" s="36">
        <f t="shared" si="806"/>
        <v>1</v>
      </c>
      <c r="Q184" s="36">
        <f t="shared" si="806"/>
        <v>1</v>
      </c>
      <c r="R184" s="36">
        <f t="shared" si="806"/>
        <v>0</v>
      </c>
      <c r="S184" s="36">
        <f t="shared" si="806"/>
        <v>1</v>
      </c>
      <c r="T184" s="36">
        <f t="shared" si="806"/>
        <v>0</v>
      </c>
      <c r="U184" s="36">
        <f t="shared" si="806"/>
        <v>8</v>
      </c>
      <c r="V184" s="36">
        <f t="shared" si="806"/>
        <v>8</v>
      </c>
      <c r="W184" s="36">
        <f t="shared" si="806"/>
        <v>1</v>
      </c>
      <c r="X184" s="36">
        <f t="shared" si="803"/>
        <v>0</v>
      </c>
      <c r="Y184" s="36">
        <f t="shared" si="803"/>
        <v>0</v>
      </c>
      <c r="Z184" s="36">
        <f t="shared" si="803"/>
        <v>0</v>
      </c>
      <c r="AA184" s="36">
        <f t="shared" si="803"/>
        <v>0</v>
      </c>
      <c r="AB184" s="36">
        <f t="shared" si="803"/>
        <v>0</v>
      </c>
      <c r="AC184" s="36">
        <f t="shared" si="672"/>
        <v>0</v>
      </c>
      <c r="AD184" s="36">
        <f t="shared" si="673"/>
        <v>0</v>
      </c>
      <c r="AE184" s="36">
        <f t="shared" si="673"/>
        <v>0</v>
      </c>
      <c r="AF184" s="36">
        <f t="shared" ref="AF184:AG184" si="821">AF183</f>
        <v>0</v>
      </c>
      <c r="AG184" s="36">
        <f t="shared" si="821"/>
        <v>0</v>
      </c>
      <c r="AH184" s="36">
        <f t="shared" ref="AH184:AI184" si="822">AH183</f>
        <v>0</v>
      </c>
      <c r="AI184" s="36">
        <f t="shared" si="822"/>
        <v>0</v>
      </c>
      <c r="AJ184" s="36">
        <f t="shared" si="676"/>
        <v>0</v>
      </c>
      <c r="AK184" s="36">
        <f t="shared" si="677"/>
        <v>0</v>
      </c>
      <c r="AL184" s="36">
        <f t="shared" si="678"/>
        <v>0</v>
      </c>
      <c r="AM184" s="36">
        <f t="shared" si="679"/>
        <v>0</v>
      </c>
      <c r="AN184" s="36">
        <f t="shared" si="680"/>
        <v>0</v>
      </c>
      <c r="AO184" s="36">
        <f t="shared" si="681"/>
        <v>0</v>
      </c>
      <c r="AP184" s="36">
        <f t="shared" si="682"/>
        <v>0</v>
      </c>
      <c r="AQ184" s="36">
        <f t="shared" si="683"/>
        <v>0</v>
      </c>
      <c r="AR184" s="36">
        <f t="shared" si="684"/>
        <v>0</v>
      </c>
      <c r="AS184" s="31" t="str">
        <f t="shared" si="690"/>
        <v>SimulationStorage,1,</v>
      </c>
      <c r="AT184" s="31" t="str">
        <f t="shared" si="691"/>
        <v>AnalysisStorage,1,</v>
      </c>
      <c r="AU184" s="31" t="str">
        <f t="shared" si="692"/>
        <v>LogRuleEvaluation,0,</v>
      </c>
      <c r="AV184" s="31" t="str">
        <f t="shared" si="693"/>
        <v>ParallelSimulations,1,</v>
      </c>
      <c r="AW184" s="31" t="str">
        <f t="shared" si="694"/>
        <v>DurationStats,0,</v>
      </c>
      <c r="AX184" s="31" t="str">
        <f t="shared" si="695"/>
        <v>AnalysisThruStep,8,</v>
      </c>
      <c r="AY184" s="31" t="str">
        <f t="shared" si="696"/>
        <v>DontAbortOnErrorsThruStep,8,</v>
      </c>
      <c r="AZ184" s="31" t="str">
        <f t="shared" si="697"/>
        <v>BypassValidFileChecks,1,</v>
      </c>
      <c r="BA184" s="31" t="str">
        <f t="shared" si="698"/>
        <v>BypassInputChecks,0,</v>
      </c>
      <c r="BB184" s="31" t="str">
        <f t="shared" si="699"/>
        <v>BypassUMLHChecks,0,</v>
      </c>
      <c r="BC184" s="31" t="str">
        <f t="shared" si="700"/>
        <v>BypassCheckSimRules,0,</v>
      </c>
      <c r="BD184" s="31" t="str">
        <f t="shared" si="701"/>
        <v>BypassCheckCodeRules,0,</v>
      </c>
      <c r="BE184" s="31" t="str">
        <f t="shared" si="638"/>
        <v>StoreResultsToModelInput,0,</v>
      </c>
      <c r="BF184" s="31" t="str">
        <f t="shared" si="639"/>
        <v>StoreBEMDetails,0,</v>
      </c>
      <c r="BG184" s="31" t="str">
        <f t="shared" si="640"/>
        <v>ModelRpt_ALL,0,</v>
      </c>
      <c r="BH184" s="31" t="str">
        <f t="shared" si="641"/>
        <v>ExportHourlyResults_All,0,</v>
      </c>
      <c r="BI184" s="31" t="str">
        <f t="shared" si="642"/>
        <v>ComplianceReportPDF,0,</v>
      </c>
      <c r="BJ184" s="31" t="str">
        <f t="shared" si="643"/>
        <v>ComplianceReportXML,0,</v>
      </c>
      <c r="BK184" s="31" t="str">
        <f t="shared" si="644"/>
        <v>QuickAnalysis,0,</v>
      </c>
      <c r="BL184" s="31" t="str">
        <f t="shared" si="644"/>
        <v>PromptUserUMLHWarning,0,</v>
      </c>
      <c r="BM184" s="31" t="str">
        <f t="shared" si="645"/>
        <v>BypassOpenStudio_all,0,</v>
      </c>
      <c r="BN184" s="31" t="str">
        <f t="shared" si="646"/>
        <v>BypassOpenStudio_zp,0,</v>
      </c>
      <c r="BO184" s="31" t="str">
        <f t="shared" si="647"/>
        <v>BypassOpenStudio_zb,0,</v>
      </c>
      <c r="BP184" s="31" t="str">
        <f t="shared" si="648"/>
        <v>BypassOpenStudio_ap,0,</v>
      </c>
      <c r="BQ184" s="31" t="str">
        <f t="shared" si="649"/>
        <v>BypassOpenStudio_ab,0,</v>
      </c>
      <c r="BR184" s="31" t="str">
        <f t="shared" si="650"/>
        <v>BypassOpenStudio_zp,0,</v>
      </c>
      <c r="BS184" s="31" t="str">
        <f t="shared" si="651"/>
        <v>BypassOpenStudio_zb,0,</v>
      </c>
      <c r="BT184" s="31" t="str">
        <f t="shared" si="652"/>
        <v>BypassOpenStudio_ap,0,</v>
      </c>
      <c r="BU184" s="31" t="str">
        <f t="shared" si="653"/>
        <v>BypassOpenStudio_ab,0,</v>
      </c>
    </row>
    <row r="185" spans="1:73" x14ac:dyDescent="0.25">
      <c r="A185" s="39">
        <f t="shared" si="654"/>
        <v>0</v>
      </c>
      <c r="B185" s="27" t="str">
        <f t="shared" si="655"/>
        <v>SoftwareSensitivityTests\StreamlinedApprovalSet\0301215-OffMed-GlazingWindowU.cibd</v>
      </c>
      <c r="C185" s="27" t="str">
        <f t="shared" si="656"/>
        <v>BatchOut_160331_r3964_SSTs\0301215-OffMed-GlazingWindowU.cibd</v>
      </c>
      <c r="D185" s="27" t="str">
        <f t="shared" si="657"/>
        <v>BatchOut_160331_r3964_SSTs\XML\</v>
      </c>
      <c r="E185" s="9" t="str">
        <f t="shared" si="658"/>
        <v>0301215</v>
      </c>
      <c r="F185" s="22"/>
      <c r="G185" s="29"/>
      <c r="H185" s="23" t="str">
        <f t="shared" si="659"/>
        <v/>
      </c>
      <c r="I185" s="9" t="s">
        <v>11</v>
      </c>
      <c r="J185"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5" s="15" t="s">
        <v>1</v>
      </c>
      <c r="L185" s="36">
        <f t="shared" si="685"/>
        <v>0</v>
      </c>
      <c r="M185" s="32" t="str">
        <f t="shared" si="660"/>
        <v>0301215</v>
      </c>
      <c r="N185" s="28" t="s">
        <v>271</v>
      </c>
      <c r="O185" s="28" t="str">
        <f t="shared" si="686"/>
        <v>0301215-OffMed-GlazingWindowU</v>
      </c>
      <c r="P185" s="36">
        <f t="shared" si="806"/>
        <v>1</v>
      </c>
      <c r="Q185" s="36">
        <f t="shared" si="806"/>
        <v>1</v>
      </c>
      <c r="R185" s="36">
        <f t="shared" si="806"/>
        <v>0</v>
      </c>
      <c r="S185" s="36">
        <f t="shared" si="806"/>
        <v>1</v>
      </c>
      <c r="T185" s="36">
        <f t="shared" si="806"/>
        <v>0</v>
      </c>
      <c r="U185" s="36">
        <f t="shared" si="806"/>
        <v>8</v>
      </c>
      <c r="V185" s="36">
        <f t="shared" si="806"/>
        <v>8</v>
      </c>
      <c r="W185" s="36">
        <f t="shared" si="806"/>
        <v>1</v>
      </c>
      <c r="X185" s="36">
        <f t="shared" si="803"/>
        <v>0</v>
      </c>
      <c r="Y185" s="36">
        <f t="shared" si="803"/>
        <v>0</v>
      </c>
      <c r="Z185" s="36">
        <f t="shared" si="803"/>
        <v>0</v>
      </c>
      <c r="AA185" s="36">
        <f t="shared" si="803"/>
        <v>0</v>
      </c>
      <c r="AB185" s="36">
        <f t="shared" si="803"/>
        <v>0</v>
      </c>
      <c r="AC185" s="36">
        <f t="shared" si="672"/>
        <v>0</v>
      </c>
      <c r="AD185" s="36">
        <f t="shared" si="673"/>
        <v>0</v>
      </c>
      <c r="AE185" s="36">
        <f t="shared" si="673"/>
        <v>0</v>
      </c>
      <c r="AF185" s="36">
        <f t="shared" ref="AF185:AG185" si="823">AF184</f>
        <v>0</v>
      </c>
      <c r="AG185" s="36">
        <f t="shared" si="823"/>
        <v>0</v>
      </c>
      <c r="AH185" s="36">
        <f t="shared" ref="AH185:AI185" si="824">AH184</f>
        <v>0</v>
      </c>
      <c r="AI185" s="36">
        <f t="shared" si="824"/>
        <v>0</v>
      </c>
      <c r="AJ185" s="36">
        <f t="shared" si="676"/>
        <v>0</v>
      </c>
      <c r="AK185" s="36">
        <f t="shared" si="677"/>
        <v>0</v>
      </c>
      <c r="AL185" s="36">
        <f t="shared" si="678"/>
        <v>0</v>
      </c>
      <c r="AM185" s="36">
        <f t="shared" si="679"/>
        <v>0</v>
      </c>
      <c r="AN185" s="36">
        <f t="shared" si="680"/>
        <v>0</v>
      </c>
      <c r="AO185" s="36">
        <f t="shared" si="681"/>
        <v>0</v>
      </c>
      <c r="AP185" s="36">
        <f t="shared" si="682"/>
        <v>0</v>
      </c>
      <c r="AQ185" s="36">
        <f t="shared" si="683"/>
        <v>0</v>
      </c>
      <c r="AR185" s="36">
        <f t="shared" si="684"/>
        <v>0</v>
      </c>
      <c r="AS185" s="31" t="str">
        <f t="shared" si="690"/>
        <v>SimulationStorage,1,</v>
      </c>
      <c r="AT185" s="31" t="str">
        <f t="shared" si="691"/>
        <v>AnalysisStorage,1,</v>
      </c>
      <c r="AU185" s="31" t="str">
        <f t="shared" si="692"/>
        <v>LogRuleEvaluation,0,</v>
      </c>
      <c r="AV185" s="31" t="str">
        <f t="shared" si="693"/>
        <v>ParallelSimulations,1,</v>
      </c>
      <c r="AW185" s="31" t="str">
        <f t="shared" si="694"/>
        <v>DurationStats,0,</v>
      </c>
      <c r="AX185" s="31" t="str">
        <f t="shared" si="695"/>
        <v>AnalysisThruStep,8,</v>
      </c>
      <c r="AY185" s="31" t="str">
        <f t="shared" si="696"/>
        <v>DontAbortOnErrorsThruStep,8,</v>
      </c>
      <c r="AZ185" s="31" t="str">
        <f t="shared" si="697"/>
        <v>BypassValidFileChecks,1,</v>
      </c>
      <c r="BA185" s="31" t="str">
        <f t="shared" si="698"/>
        <v>BypassInputChecks,0,</v>
      </c>
      <c r="BB185" s="31" t="str">
        <f t="shared" si="699"/>
        <v>BypassUMLHChecks,0,</v>
      </c>
      <c r="BC185" s="31" t="str">
        <f t="shared" si="700"/>
        <v>BypassCheckSimRules,0,</v>
      </c>
      <c r="BD185" s="31" t="str">
        <f t="shared" si="701"/>
        <v>BypassCheckCodeRules,0,</v>
      </c>
      <c r="BE185" s="31" t="str">
        <f t="shared" si="638"/>
        <v>StoreResultsToModelInput,0,</v>
      </c>
      <c r="BF185" s="31" t="str">
        <f t="shared" si="639"/>
        <v>StoreBEMDetails,0,</v>
      </c>
      <c r="BG185" s="31" t="str">
        <f t="shared" si="640"/>
        <v>ModelRpt_ALL,0,</v>
      </c>
      <c r="BH185" s="31" t="str">
        <f t="shared" si="641"/>
        <v>ExportHourlyResults_All,0,</v>
      </c>
      <c r="BI185" s="31" t="str">
        <f t="shared" si="642"/>
        <v>ComplianceReportPDF,0,</v>
      </c>
      <c r="BJ185" s="31" t="str">
        <f t="shared" si="643"/>
        <v>ComplianceReportXML,0,</v>
      </c>
      <c r="BK185" s="31" t="str">
        <f t="shared" si="644"/>
        <v>QuickAnalysis,0,</v>
      </c>
      <c r="BL185" s="31" t="str">
        <f t="shared" si="644"/>
        <v>PromptUserUMLHWarning,0,</v>
      </c>
      <c r="BM185" s="31" t="str">
        <f t="shared" si="645"/>
        <v>BypassOpenStudio_all,0,</v>
      </c>
      <c r="BN185" s="31" t="str">
        <f t="shared" si="646"/>
        <v>BypassOpenStudio_zp,0,</v>
      </c>
      <c r="BO185" s="31" t="str">
        <f t="shared" si="647"/>
        <v>BypassOpenStudio_zb,0,</v>
      </c>
      <c r="BP185" s="31" t="str">
        <f t="shared" si="648"/>
        <v>BypassOpenStudio_ap,0,</v>
      </c>
      <c r="BQ185" s="31" t="str">
        <f t="shared" si="649"/>
        <v>BypassOpenStudio_ab,0,</v>
      </c>
      <c r="BR185" s="31" t="str">
        <f t="shared" si="650"/>
        <v>BypassOpenStudio_zp,0,</v>
      </c>
      <c r="BS185" s="31" t="str">
        <f t="shared" si="651"/>
        <v>BypassOpenStudio_zb,0,</v>
      </c>
      <c r="BT185" s="31" t="str">
        <f t="shared" si="652"/>
        <v>BypassOpenStudio_ap,0,</v>
      </c>
      <c r="BU185" s="31" t="str">
        <f t="shared" si="653"/>
        <v>BypassOpenStudio_ab,0,</v>
      </c>
    </row>
    <row r="186" spans="1:73" x14ac:dyDescent="0.25">
      <c r="A186" s="39">
        <f t="shared" si="654"/>
        <v>0</v>
      </c>
      <c r="B186" s="27" t="str">
        <f t="shared" si="655"/>
        <v>SoftwareSensitivityTests\StreamlinedApprovalSet\0301315-OffMed-GlazingWindowSHGC.cibd</v>
      </c>
      <c r="C186" s="27" t="str">
        <f t="shared" si="656"/>
        <v>BatchOut_160331_r3964_SSTs\0301315-OffMed-GlazingWindowSHGC.cibd</v>
      </c>
      <c r="D186" s="27" t="str">
        <f t="shared" si="657"/>
        <v>BatchOut_160331_r3964_SSTs\XML\</v>
      </c>
      <c r="E186" s="9" t="str">
        <f t="shared" si="658"/>
        <v>0301315</v>
      </c>
      <c r="F186" s="22"/>
      <c r="G186" s="29"/>
      <c r="H186" s="23" t="str">
        <f t="shared" si="659"/>
        <v/>
      </c>
      <c r="I186" s="9" t="s">
        <v>11</v>
      </c>
      <c r="J186" s="94" t="str">
        <f t="shared" si="623"/>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6" s="15" t="s">
        <v>1</v>
      </c>
      <c r="L186" s="36">
        <f t="shared" si="685"/>
        <v>0</v>
      </c>
      <c r="M186" s="32" t="str">
        <f t="shared" si="660"/>
        <v>0301315</v>
      </c>
      <c r="N186" s="28" t="s">
        <v>272</v>
      </c>
      <c r="O186" s="28" t="str">
        <f t="shared" si="686"/>
        <v>0301315-OffMed-GlazingWindowSHGC</v>
      </c>
      <c r="P186" s="36">
        <f t="shared" si="806"/>
        <v>1</v>
      </c>
      <c r="Q186" s="36">
        <f t="shared" si="806"/>
        <v>1</v>
      </c>
      <c r="R186" s="36">
        <f t="shared" si="806"/>
        <v>0</v>
      </c>
      <c r="S186" s="36">
        <f t="shared" si="806"/>
        <v>1</v>
      </c>
      <c r="T186" s="36">
        <f t="shared" si="806"/>
        <v>0</v>
      </c>
      <c r="U186" s="36">
        <f t="shared" si="806"/>
        <v>8</v>
      </c>
      <c r="V186" s="36">
        <f t="shared" si="806"/>
        <v>8</v>
      </c>
      <c r="W186" s="36">
        <f t="shared" si="806"/>
        <v>1</v>
      </c>
      <c r="X186" s="36">
        <f t="shared" si="803"/>
        <v>0</v>
      </c>
      <c r="Y186" s="36">
        <f t="shared" si="803"/>
        <v>0</v>
      </c>
      <c r="Z186" s="36">
        <f t="shared" si="803"/>
        <v>0</v>
      </c>
      <c r="AA186" s="36">
        <f t="shared" si="803"/>
        <v>0</v>
      </c>
      <c r="AB186" s="36">
        <f t="shared" si="803"/>
        <v>0</v>
      </c>
      <c r="AC186" s="36">
        <f t="shared" si="672"/>
        <v>0</v>
      </c>
      <c r="AD186" s="36">
        <f t="shared" si="673"/>
        <v>0</v>
      </c>
      <c r="AE186" s="36">
        <f t="shared" si="673"/>
        <v>0</v>
      </c>
      <c r="AF186" s="36">
        <f t="shared" ref="AF186:AG186" si="825">AF185</f>
        <v>0</v>
      </c>
      <c r="AG186" s="36">
        <f t="shared" si="825"/>
        <v>0</v>
      </c>
      <c r="AH186" s="36">
        <f t="shared" ref="AH186:AI186" si="826">AH185</f>
        <v>0</v>
      </c>
      <c r="AI186" s="36">
        <f t="shared" si="826"/>
        <v>0</v>
      </c>
      <c r="AJ186" s="36">
        <f t="shared" si="676"/>
        <v>0</v>
      </c>
      <c r="AK186" s="36">
        <f t="shared" si="677"/>
        <v>0</v>
      </c>
      <c r="AL186" s="36">
        <f t="shared" si="678"/>
        <v>0</v>
      </c>
      <c r="AM186" s="36">
        <f t="shared" si="679"/>
        <v>0</v>
      </c>
      <c r="AN186" s="36">
        <f t="shared" si="680"/>
        <v>0</v>
      </c>
      <c r="AO186" s="36">
        <f t="shared" si="681"/>
        <v>0</v>
      </c>
      <c r="AP186" s="36">
        <f t="shared" si="682"/>
        <v>0</v>
      </c>
      <c r="AQ186" s="36">
        <f t="shared" si="683"/>
        <v>0</v>
      </c>
      <c r="AR186" s="36">
        <f t="shared" si="684"/>
        <v>0</v>
      </c>
      <c r="AS186" s="31" t="str">
        <f t="shared" si="690"/>
        <v>SimulationStorage,1,</v>
      </c>
      <c r="AT186" s="31" t="str">
        <f t="shared" si="691"/>
        <v>AnalysisStorage,1,</v>
      </c>
      <c r="AU186" s="31" t="str">
        <f t="shared" si="692"/>
        <v>LogRuleEvaluation,0,</v>
      </c>
      <c r="AV186" s="31" t="str">
        <f t="shared" si="693"/>
        <v>ParallelSimulations,1,</v>
      </c>
      <c r="AW186" s="31" t="str">
        <f t="shared" si="694"/>
        <v>DurationStats,0,</v>
      </c>
      <c r="AX186" s="31" t="str">
        <f t="shared" si="695"/>
        <v>AnalysisThruStep,8,</v>
      </c>
      <c r="AY186" s="31" t="str">
        <f t="shared" si="696"/>
        <v>DontAbortOnErrorsThruStep,8,</v>
      </c>
      <c r="AZ186" s="31" t="str">
        <f t="shared" si="697"/>
        <v>BypassValidFileChecks,1,</v>
      </c>
      <c r="BA186" s="31" t="str">
        <f t="shared" si="698"/>
        <v>BypassInputChecks,0,</v>
      </c>
      <c r="BB186" s="31" t="str">
        <f t="shared" si="699"/>
        <v>BypassUMLHChecks,0,</v>
      </c>
      <c r="BC186" s="31" t="str">
        <f t="shared" si="700"/>
        <v>BypassCheckSimRules,0,</v>
      </c>
      <c r="BD186" s="31" t="str">
        <f t="shared" si="701"/>
        <v>BypassCheckCodeRules,0,</v>
      </c>
      <c r="BE186" s="31" t="str">
        <f t="shared" si="638"/>
        <v>StoreResultsToModelInput,0,</v>
      </c>
      <c r="BF186" s="31" t="str">
        <f t="shared" si="639"/>
        <v>StoreBEMDetails,0,</v>
      </c>
      <c r="BG186" s="31" t="str">
        <f t="shared" si="640"/>
        <v>ModelRpt_ALL,0,</v>
      </c>
      <c r="BH186" s="31" t="str">
        <f t="shared" si="641"/>
        <v>ExportHourlyResults_All,0,</v>
      </c>
      <c r="BI186" s="31" t="str">
        <f t="shared" si="642"/>
        <v>ComplianceReportPDF,0,</v>
      </c>
      <c r="BJ186" s="31" t="str">
        <f t="shared" si="643"/>
        <v>ComplianceReportXML,0,</v>
      </c>
      <c r="BK186" s="31" t="str">
        <f t="shared" si="644"/>
        <v>QuickAnalysis,0,</v>
      </c>
      <c r="BL186" s="31" t="str">
        <f t="shared" si="644"/>
        <v>PromptUserUMLHWarning,0,</v>
      </c>
      <c r="BM186" s="31" t="str">
        <f t="shared" si="645"/>
        <v>BypassOpenStudio_all,0,</v>
      </c>
      <c r="BN186" s="31" t="str">
        <f t="shared" si="646"/>
        <v>BypassOpenStudio_zp,0,</v>
      </c>
      <c r="BO186" s="31" t="str">
        <f t="shared" si="647"/>
        <v>BypassOpenStudio_zb,0,</v>
      </c>
      <c r="BP186" s="31" t="str">
        <f t="shared" si="648"/>
        <v>BypassOpenStudio_ap,0,</v>
      </c>
      <c r="BQ186" s="31" t="str">
        <f t="shared" si="649"/>
        <v>BypassOpenStudio_ab,0,</v>
      </c>
      <c r="BR186" s="31" t="str">
        <f t="shared" si="650"/>
        <v>BypassOpenStudio_zp,0,</v>
      </c>
      <c r="BS186" s="31" t="str">
        <f t="shared" si="651"/>
        <v>BypassOpenStudio_zb,0,</v>
      </c>
      <c r="BT186" s="31" t="str">
        <f t="shared" si="652"/>
        <v>BypassOpenStudio_ap,0,</v>
      </c>
      <c r="BU186" s="31" t="str">
        <f t="shared" si="653"/>
        <v>BypassOpenStudio_ab,0,</v>
      </c>
    </row>
    <row r="187" spans="1:73" x14ac:dyDescent="0.25">
      <c r="A187" s="39">
        <f t="shared" si="654"/>
        <v>0</v>
      </c>
      <c r="B187" s="27" t="str">
        <f t="shared" si="655"/>
        <v>SoftwareSensitivityTests\StreamlinedApprovalSet\0301415-OffMed-GlazingWindowUSHGC.cibd</v>
      </c>
      <c r="C187" s="27" t="str">
        <f t="shared" si="656"/>
        <v>BatchOut_160331_r3964_SSTs\0301415-OffMed-GlazingWindowUSHGC.cibd</v>
      </c>
      <c r="D187" s="27" t="str">
        <f t="shared" si="657"/>
        <v>BatchOut_160331_r3964_SSTs\XML\</v>
      </c>
      <c r="E187" s="9" t="str">
        <f t="shared" si="658"/>
        <v>0301415</v>
      </c>
      <c r="F187" s="22"/>
      <c r="G187" s="29"/>
      <c r="H187" s="23" t="str">
        <f t="shared" si="659"/>
        <v/>
      </c>
      <c r="I187" s="9" t="s">
        <v>11</v>
      </c>
      <c r="J187" s="94" t="str">
        <f t="shared" ref="J187:J250" si="827">CONCATENATE(AS187,AT187,AU187,AV187,AW187,AX187,AY187,AZ187,BA187,BB187,BC187,BD187,BE187,BF187,BG187,BH187,BI187,BJ187,BK187,BL187,BM187,BN187,BO187,BP187,BQ187,BR187,BS187,BT187,BU187)</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7" s="15" t="s">
        <v>1</v>
      </c>
      <c r="L187" s="36">
        <f t="shared" si="685"/>
        <v>0</v>
      </c>
      <c r="M187" s="32" t="str">
        <f t="shared" si="660"/>
        <v>0301415</v>
      </c>
      <c r="N187" s="28" t="s">
        <v>273</v>
      </c>
      <c r="O187" s="28" t="str">
        <f t="shared" si="686"/>
        <v>0301415-OffMed-GlazingWindowUSHGC</v>
      </c>
      <c r="P187" s="36">
        <f t="shared" si="806"/>
        <v>1</v>
      </c>
      <c r="Q187" s="36">
        <f t="shared" si="806"/>
        <v>1</v>
      </c>
      <c r="R187" s="36">
        <f t="shared" si="806"/>
        <v>0</v>
      </c>
      <c r="S187" s="36">
        <f t="shared" si="806"/>
        <v>1</v>
      </c>
      <c r="T187" s="36">
        <f t="shared" si="806"/>
        <v>0</v>
      </c>
      <c r="U187" s="36">
        <f t="shared" si="806"/>
        <v>8</v>
      </c>
      <c r="V187" s="36">
        <f t="shared" si="806"/>
        <v>8</v>
      </c>
      <c r="W187" s="36">
        <f t="shared" si="806"/>
        <v>1</v>
      </c>
      <c r="X187" s="36">
        <f t="shared" si="803"/>
        <v>0</v>
      </c>
      <c r="Y187" s="36">
        <f t="shared" si="803"/>
        <v>0</v>
      </c>
      <c r="Z187" s="36">
        <f t="shared" si="803"/>
        <v>0</v>
      </c>
      <c r="AA187" s="36">
        <f t="shared" si="803"/>
        <v>0</v>
      </c>
      <c r="AB187" s="36">
        <f t="shared" si="803"/>
        <v>0</v>
      </c>
      <c r="AC187" s="36">
        <f t="shared" si="672"/>
        <v>0</v>
      </c>
      <c r="AD187" s="36">
        <f t="shared" si="673"/>
        <v>0</v>
      </c>
      <c r="AE187" s="36">
        <f t="shared" si="673"/>
        <v>0</v>
      </c>
      <c r="AF187" s="36">
        <f t="shared" ref="AF187:AG187" si="828">AF186</f>
        <v>0</v>
      </c>
      <c r="AG187" s="36">
        <f t="shared" si="828"/>
        <v>0</v>
      </c>
      <c r="AH187" s="36">
        <f t="shared" ref="AH187:AI187" si="829">AH186</f>
        <v>0</v>
      </c>
      <c r="AI187" s="36">
        <f t="shared" si="829"/>
        <v>0</v>
      </c>
      <c r="AJ187" s="36">
        <f t="shared" si="676"/>
        <v>0</v>
      </c>
      <c r="AK187" s="36">
        <f t="shared" si="677"/>
        <v>0</v>
      </c>
      <c r="AL187" s="36">
        <f t="shared" si="678"/>
        <v>0</v>
      </c>
      <c r="AM187" s="36">
        <f t="shared" si="679"/>
        <v>0</v>
      </c>
      <c r="AN187" s="36">
        <f t="shared" si="680"/>
        <v>0</v>
      </c>
      <c r="AO187" s="36">
        <f t="shared" si="681"/>
        <v>0</v>
      </c>
      <c r="AP187" s="36">
        <f t="shared" si="682"/>
        <v>0</v>
      </c>
      <c r="AQ187" s="36">
        <f t="shared" si="683"/>
        <v>0</v>
      </c>
      <c r="AR187" s="36">
        <f t="shared" si="684"/>
        <v>0</v>
      </c>
      <c r="AS187" s="31" t="str">
        <f t="shared" si="690"/>
        <v>SimulationStorage,1,</v>
      </c>
      <c r="AT187" s="31" t="str">
        <f t="shared" si="691"/>
        <v>AnalysisStorage,1,</v>
      </c>
      <c r="AU187" s="31" t="str">
        <f t="shared" si="692"/>
        <v>LogRuleEvaluation,0,</v>
      </c>
      <c r="AV187" s="31" t="str">
        <f t="shared" si="693"/>
        <v>ParallelSimulations,1,</v>
      </c>
      <c r="AW187" s="31" t="str">
        <f t="shared" si="694"/>
        <v>DurationStats,0,</v>
      </c>
      <c r="AX187" s="31" t="str">
        <f t="shared" si="695"/>
        <v>AnalysisThruStep,8,</v>
      </c>
      <c r="AY187" s="31" t="str">
        <f t="shared" si="696"/>
        <v>DontAbortOnErrorsThruStep,8,</v>
      </c>
      <c r="AZ187" s="31" t="str">
        <f t="shared" si="697"/>
        <v>BypassValidFileChecks,1,</v>
      </c>
      <c r="BA187" s="31" t="str">
        <f t="shared" si="698"/>
        <v>BypassInputChecks,0,</v>
      </c>
      <c r="BB187" s="31" t="str">
        <f t="shared" si="699"/>
        <v>BypassUMLHChecks,0,</v>
      </c>
      <c r="BC187" s="31" t="str">
        <f t="shared" si="700"/>
        <v>BypassCheckSimRules,0,</v>
      </c>
      <c r="BD187" s="31" t="str">
        <f t="shared" si="701"/>
        <v>BypassCheckCodeRules,0,</v>
      </c>
      <c r="BE187" s="31" t="str">
        <f t="shared" ref="BE187:BE250" si="830">AB$13&amp;AB187&amp;","</f>
        <v>StoreResultsToModelInput,0,</v>
      </c>
      <c r="BF187" s="31" t="str">
        <f t="shared" ref="BF187:BF250" si="831">AC$13&amp;AC187&amp;","</f>
        <v>StoreBEMDetails,0,</v>
      </c>
      <c r="BG187" s="31" t="str">
        <f t="shared" ref="BG187:BG250" si="832">AD$13&amp;AD187&amp;","</f>
        <v>ModelRpt_ALL,0,</v>
      </c>
      <c r="BH187" s="31" t="str">
        <f t="shared" ref="BH187:BH250" si="833">AE$13&amp;AE187&amp;","</f>
        <v>ExportHourlyResults_All,0,</v>
      </c>
      <c r="BI187" s="31" t="str">
        <f t="shared" ref="BI187:BI250" si="834">AF$13&amp;AF187&amp;","</f>
        <v>ComplianceReportPDF,0,</v>
      </c>
      <c r="BJ187" s="31" t="str">
        <f t="shared" ref="BJ187:BJ250" si="835">AG$13&amp;AG187&amp;","</f>
        <v>ComplianceReportXML,0,</v>
      </c>
      <c r="BK187" s="31" t="str">
        <f t="shared" ref="BK187:BL250" si="836">AH$13&amp;AH187&amp;","</f>
        <v>QuickAnalysis,0,</v>
      </c>
      <c r="BL187" s="31" t="str">
        <f t="shared" si="836"/>
        <v>PromptUserUMLHWarning,0,</v>
      </c>
      <c r="BM187" s="31" t="str">
        <f t="shared" ref="BM187:BM250" si="837">AJ$13&amp;AJ187&amp;","</f>
        <v>BypassOpenStudio_all,0,</v>
      </c>
      <c r="BN187" s="31" t="str">
        <f t="shared" ref="BN187:BN250" si="838">AK$13&amp;AK187&amp;","</f>
        <v>BypassOpenStudio_zp,0,</v>
      </c>
      <c r="BO187" s="31" t="str">
        <f t="shared" ref="BO187:BO250" si="839">AL$13&amp;AL187&amp;","</f>
        <v>BypassOpenStudio_zb,0,</v>
      </c>
      <c r="BP187" s="31" t="str">
        <f t="shared" ref="BP187:BP250" si="840">AM$13&amp;AM187&amp;","</f>
        <v>BypassOpenStudio_ap,0,</v>
      </c>
      <c r="BQ187" s="31" t="str">
        <f t="shared" ref="BQ187:BQ250" si="841">AN$13&amp;AN187&amp;","</f>
        <v>BypassOpenStudio_ab,0,</v>
      </c>
      <c r="BR187" s="31" t="str">
        <f t="shared" ref="BR187:BR250" si="842">AO$13&amp;AO187&amp;","</f>
        <v>BypassOpenStudio_zp,0,</v>
      </c>
      <c r="BS187" s="31" t="str">
        <f t="shared" ref="BS187:BS250" si="843">AP$13&amp;AP187&amp;","</f>
        <v>BypassOpenStudio_zb,0,</v>
      </c>
      <c r="BT187" s="31" t="str">
        <f t="shared" ref="BT187:BT250" si="844">AQ$13&amp;AQ187&amp;","</f>
        <v>BypassOpenStudio_ap,0,</v>
      </c>
      <c r="BU187" s="31" t="str">
        <f t="shared" ref="BU187:BU250" si="845">AR$13&amp;AR187&amp;","</f>
        <v>BypassOpenStudio_ab,0,</v>
      </c>
    </row>
    <row r="188" spans="1:73" x14ac:dyDescent="0.25">
      <c r="A188" s="39">
        <f t="shared" ref="A188:A251" si="846">L188</f>
        <v>0</v>
      </c>
      <c r="B188" s="27" t="str">
        <f t="shared" ref="B188:B251" si="847">M$119&amp;N188&amp;".cibd"</f>
        <v>SoftwareSensitivityTests\StreamlinedApprovalSet\0301516-OffMed-FloorSlabInsulation.cibd</v>
      </c>
      <c r="C188" s="27" t="str">
        <f t="shared" ref="C188:C251" si="848" xml:space="preserve"> M$120 &amp; O188 &amp; ".cibd"</f>
        <v>BatchOut_160331_r3964_SSTs\0301516-OffMed-FloorSlabInsulation.cibd</v>
      </c>
      <c r="D188" s="27" t="str">
        <f t="shared" ref="D188:D251" si="849">$M$121</f>
        <v>BatchOut_160331_r3964_SSTs\XML\</v>
      </c>
      <c r="E188" s="9" t="str">
        <f t="shared" ref="E188:E251" si="850">M188</f>
        <v>0301516</v>
      </c>
      <c r="F188" s="22"/>
      <c r="G188" s="29"/>
      <c r="H188" s="23" t="str">
        <f t="shared" ref="H188:H251" si="851">IF(F188&gt;1,1,"")</f>
        <v/>
      </c>
      <c r="I188" s="9" t="s">
        <v>11</v>
      </c>
      <c r="J188"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8" s="15" t="s">
        <v>1</v>
      </c>
      <c r="L188" s="36">
        <f t="shared" si="685"/>
        <v>0</v>
      </c>
      <c r="M188" s="32" t="str">
        <f t="shared" ref="M188:M251" si="852">LEFT(N188,7)</f>
        <v>0301516</v>
      </c>
      <c r="N188" s="28" t="s">
        <v>274</v>
      </c>
      <c r="O188" s="28" t="str">
        <f t="shared" si="686"/>
        <v>0301516-OffMed-FloorSlabInsulation</v>
      </c>
      <c r="P188" s="36">
        <f t="shared" si="806"/>
        <v>1</v>
      </c>
      <c r="Q188" s="36">
        <f t="shared" si="806"/>
        <v>1</v>
      </c>
      <c r="R188" s="36">
        <f t="shared" si="806"/>
        <v>0</v>
      </c>
      <c r="S188" s="36">
        <f t="shared" si="806"/>
        <v>1</v>
      </c>
      <c r="T188" s="36">
        <f t="shared" si="806"/>
        <v>0</v>
      </c>
      <c r="U188" s="36">
        <f t="shared" si="806"/>
        <v>8</v>
      </c>
      <c r="V188" s="36">
        <f t="shared" si="806"/>
        <v>8</v>
      </c>
      <c r="W188" s="36">
        <f t="shared" si="806"/>
        <v>1</v>
      </c>
      <c r="X188" s="36">
        <f t="shared" si="803"/>
        <v>0</v>
      </c>
      <c r="Y188" s="36">
        <f t="shared" si="803"/>
        <v>0</v>
      </c>
      <c r="Z188" s="36">
        <f t="shared" si="803"/>
        <v>0</v>
      </c>
      <c r="AA188" s="36">
        <f t="shared" si="803"/>
        <v>0</v>
      </c>
      <c r="AB188" s="36">
        <f t="shared" si="803"/>
        <v>0</v>
      </c>
      <c r="AC188" s="36">
        <f t="shared" si="803"/>
        <v>0</v>
      </c>
      <c r="AD188" s="36">
        <f t="shared" si="803"/>
        <v>0</v>
      </c>
      <c r="AE188" s="36">
        <f t="shared" ref="AE188:AF188" si="853">AE187</f>
        <v>0</v>
      </c>
      <c r="AF188" s="36">
        <f t="shared" si="853"/>
        <v>0</v>
      </c>
      <c r="AG188" s="36">
        <f t="shared" ref="AG188:AH188" si="854">AG187</f>
        <v>0</v>
      </c>
      <c r="AH188" s="36">
        <f t="shared" si="854"/>
        <v>0</v>
      </c>
      <c r="AI188" s="36">
        <f t="shared" ref="AI188" si="855">AI187</f>
        <v>0</v>
      </c>
      <c r="AJ188" s="36">
        <f t="shared" si="803"/>
        <v>0</v>
      </c>
      <c r="AK188" s="36">
        <f t="shared" si="803"/>
        <v>0</v>
      </c>
      <c r="AL188" s="36">
        <f t="shared" si="803"/>
        <v>0</v>
      </c>
      <c r="AM188" s="36">
        <f t="shared" si="803"/>
        <v>0</v>
      </c>
      <c r="AN188" s="36">
        <f t="shared" si="803"/>
        <v>0</v>
      </c>
      <c r="AO188" s="36">
        <f t="shared" si="803"/>
        <v>0</v>
      </c>
      <c r="AP188" s="36">
        <f t="shared" si="803"/>
        <v>0</v>
      </c>
      <c r="AQ188" s="36">
        <f t="shared" si="803"/>
        <v>0</v>
      </c>
      <c r="AR188" s="36">
        <f t="shared" si="803"/>
        <v>0</v>
      </c>
      <c r="AS188" s="31" t="str">
        <f t="shared" si="690"/>
        <v>SimulationStorage,1,</v>
      </c>
      <c r="AT188" s="31" t="str">
        <f t="shared" si="691"/>
        <v>AnalysisStorage,1,</v>
      </c>
      <c r="AU188" s="31" t="str">
        <f t="shared" si="692"/>
        <v>LogRuleEvaluation,0,</v>
      </c>
      <c r="AV188" s="31" t="str">
        <f t="shared" si="693"/>
        <v>ParallelSimulations,1,</v>
      </c>
      <c r="AW188" s="31" t="str">
        <f t="shared" si="694"/>
        <v>DurationStats,0,</v>
      </c>
      <c r="AX188" s="31" t="str">
        <f t="shared" si="695"/>
        <v>AnalysisThruStep,8,</v>
      </c>
      <c r="AY188" s="31" t="str">
        <f t="shared" si="696"/>
        <v>DontAbortOnErrorsThruStep,8,</v>
      </c>
      <c r="AZ188" s="31" t="str">
        <f t="shared" si="697"/>
        <v>BypassValidFileChecks,1,</v>
      </c>
      <c r="BA188" s="31" t="str">
        <f t="shared" si="698"/>
        <v>BypassInputChecks,0,</v>
      </c>
      <c r="BB188" s="31" t="str">
        <f t="shared" si="699"/>
        <v>BypassUMLHChecks,0,</v>
      </c>
      <c r="BC188" s="31" t="str">
        <f t="shared" si="700"/>
        <v>BypassCheckSimRules,0,</v>
      </c>
      <c r="BD188" s="31" t="str">
        <f t="shared" si="701"/>
        <v>BypassCheckCodeRules,0,</v>
      </c>
      <c r="BE188" s="31" t="str">
        <f t="shared" si="830"/>
        <v>StoreResultsToModelInput,0,</v>
      </c>
      <c r="BF188" s="31" t="str">
        <f t="shared" si="831"/>
        <v>StoreBEMDetails,0,</v>
      </c>
      <c r="BG188" s="31" t="str">
        <f t="shared" si="832"/>
        <v>ModelRpt_ALL,0,</v>
      </c>
      <c r="BH188" s="31" t="str">
        <f t="shared" si="833"/>
        <v>ExportHourlyResults_All,0,</v>
      </c>
      <c r="BI188" s="31" t="str">
        <f t="shared" si="834"/>
        <v>ComplianceReportPDF,0,</v>
      </c>
      <c r="BJ188" s="31" t="str">
        <f t="shared" si="835"/>
        <v>ComplianceReportXML,0,</v>
      </c>
      <c r="BK188" s="31" t="str">
        <f t="shared" si="836"/>
        <v>QuickAnalysis,0,</v>
      </c>
      <c r="BL188" s="31" t="str">
        <f t="shared" si="836"/>
        <v>PromptUserUMLHWarning,0,</v>
      </c>
      <c r="BM188" s="31" t="str">
        <f t="shared" si="837"/>
        <v>BypassOpenStudio_all,0,</v>
      </c>
      <c r="BN188" s="31" t="str">
        <f t="shared" si="838"/>
        <v>BypassOpenStudio_zp,0,</v>
      </c>
      <c r="BO188" s="31" t="str">
        <f t="shared" si="839"/>
        <v>BypassOpenStudio_zb,0,</v>
      </c>
      <c r="BP188" s="31" t="str">
        <f t="shared" si="840"/>
        <v>BypassOpenStudio_ap,0,</v>
      </c>
      <c r="BQ188" s="31" t="str">
        <f t="shared" si="841"/>
        <v>BypassOpenStudio_ab,0,</v>
      </c>
      <c r="BR188" s="31" t="str">
        <f t="shared" si="842"/>
        <v>BypassOpenStudio_zp,0,</v>
      </c>
      <c r="BS188" s="31" t="str">
        <f t="shared" si="843"/>
        <v>BypassOpenStudio_zb,0,</v>
      </c>
      <c r="BT188" s="31" t="str">
        <f t="shared" si="844"/>
        <v>BypassOpenStudio_ap,0,</v>
      </c>
      <c r="BU188" s="31" t="str">
        <f t="shared" si="845"/>
        <v>BypassOpenStudio_ab,0,</v>
      </c>
    </row>
    <row r="189" spans="1:73" x14ac:dyDescent="0.25">
      <c r="A189" s="39">
        <f t="shared" si="846"/>
        <v>0</v>
      </c>
      <c r="B189" s="27" t="str">
        <f t="shared" si="847"/>
        <v>SoftwareSensitivityTests\StreamlinedApprovalSet\0301716-OffMed-GlazingWindowU.cibd</v>
      </c>
      <c r="C189" s="27" t="str">
        <f t="shared" si="848"/>
        <v>BatchOut_160331_r3964_SSTs\0301716-OffMed-GlazingWindowU.cibd</v>
      </c>
      <c r="D189" s="27" t="str">
        <f t="shared" si="849"/>
        <v>BatchOut_160331_r3964_SSTs\XML\</v>
      </c>
      <c r="E189" s="9" t="str">
        <f t="shared" si="850"/>
        <v>0301716</v>
      </c>
      <c r="F189" s="22"/>
      <c r="G189" s="29"/>
      <c r="H189" s="23" t="str">
        <f t="shared" si="851"/>
        <v/>
      </c>
      <c r="I189" s="9" t="s">
        <v>11</v>
      </c>
      <c r="J189"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9" s="15" t="s">
        <v>1</v>
      </c>
      <c r="L189" s="36">
        <f t="shared" ref="L189:L252" si="856">L188</f>
        <v>0</v>
      </c>
      <c r="M189" s="32" t="str">
        <f t="shared" si="852"/>
        <v>0301716</v>
      </c>
      <c r="N189" s="28" t="s">
        <v>275</v>
      </c>
      <c r="O189" s="28" t="str">
        <f t="shared" ref="O189:O252" si="857">N189</f>
        <v>0301716-OffMed-GlazingWindowU</v>
      </c>
      <c r="P189" s="36">
        <f t="shared" si="806"/>
        <v>1</v>
      </c>
      <c r="Q189" s="36">
        <f t="shared" si="806"/>
        <v>1</v>
      </c>
      <c r="R189" s="36">
        <f t="shared" si="806"/>
        <v>0</v>
      </c>
      <c r="S189" s="36">
        <f t="shared" si="806"/>
        <v>1</v>
      </c>
      <c r="T189" s="36">
        <f t="shared" si="806"/>
        <v>0</v>
      </c>
      <c r="U189" s="36">
        <f t="shared" si="806"/>
        <v>8</v>
      </c>
      <c r="V189" s="36">
        <f t="shared" si="806"/>
        <v>8</v>
      </c>
      <c r="W189" s="36">
        <f t="shared" si="806"/>
        <v>1</v>
      </c>
      <c r="X189" s="36">
        <f t="shared" si="803"/>
        <v>0</v>
      </c>
      <c r="Y189" s="36">
        <f t="shared" si="803"/>
        <v>0</v>
      </c>
      <c r="Z189" s="36">
        <f t="shared" si="803"/>
        <v>0</v>
      </c>
      <c r="AA189" s="36">
        <f t="shared" si="803"/>
        <v>0</v>
      </c>
      <c r="AB189" s="36">
        <f t="shared" si="803"/>
        <v>0</v>
      </c>
      <c r="AC189" s="36">
        <f t="shared" si="803"/>
        <v>0</v>
      </c>
      <c r="AD189" s="36">
        <f t="shared" si="803"/>
        <v>0</v>
      </c>
      <c r="AE189" s="36">
        <f t="shared" ref="AE189:AF189" si="858">AE188</f>
        <v>0</v>
      </c>
      <c r="AF189" s="36">
        <f t="shared" si="858"/>
        <v>0</v>
      </c>
      <c r="AG189" s="36">
        <f t="shared" ref="AG189:AH189" si="859">AG188</f>
        <v>0</v>
      </c>
      <c r="AH189" s="36">
        <f t="shared" si="859"/>
        <v>0</v>
      </c>
      <c r="AI189" s="36">
        <f t="shared" ref="AI189" si="860">AI188</f>
        <v>0</v>
      </c>
      <c r="AJ189" s="36">
        <f t="shared" si="803"/>
        <v>0</v>
      </c>
      <c r="AK189" s="36">
        <f t="shared" si="803"/>
        <v>0</v>
      </c>
      <c r="AL189" s="36">
        <f t="shared" si="803"/>
        <v>0</v>
      </c>
      <c r="AM189" s="36">
        <f t="shared" si="803"/>
        <v>0</v>
      </c>
      <c r="AN189" s="36">
        <f t="shared" si="803"/>
        <v>0</v>
      </c>
      <c r="AO189" s="36">
        <f t="shared" si="803"/>
        <v>0</v>
      </c>
      <c r="AP189" s="36">
        <f t="shared" si="803"/>
        <v>0</v>
      </c>
      <c r="AQ189" s="36">
        <f t="shared" si="803"/>
        <v>0</v>
      </c>
      <c r="AR189" s="36">
        <f t="shared" si="803"/>
        <v>0</v>
      </c>
      <c r="AS189" s="31" t="str">
        <f t="shared" ref="AS189:AS252" si="861">P$13&amp;P189&amp;","</f>
        <v>SimulationStorage,1,</v>
      </c>
      <c r="AT189" s="31" t="str">
        <f t="shared" ref="AT189:AT252" si="862">Q$13&amp;Q189&amp;","</f>
        <v>AnalysisStorage,1,</v>
      </c>
      <c r="AU189" s="31" t="str">
        <f t="shared" ref="AU189:AU252" si="863">R$13&amp;R189&amp;","</f>
        <v>LogRuleEvaluation,0,</v>
      </c>
      <c r="AV189" s="31" t="str">
        <f t="shared" ref="AV189:AV252" si="864">S$13&amp;S189&amp;","</f>
        <v>ParallelSimulations,1,</v>
      </c>
      <c r="AW189" s="31" t="str">
        <f t="shared" ref="AW189:AW252" si="865">T$13&amp;T189&amp;","</f>
        <v>DurationStats,0,</v>
      </c>
      <c r="AX189" s="31" t="str">
        <f t="shared" ref="AX189:AX252" si="866">U$13&amp;U189&amp;","</f>
        <v>AnalysisThruStep,8,</v>
      </c>
      <c r="AY189" s="31" t="str">
        <f t="shared" ref="AY189:AY252" si="867">V$13&amp;V189&amp;","</f>
        <v>DontAbortOnErrorsThruStep,8,</v>
      </c>
      <c r="AZ189" s="31" t="str">
        <f t="shared" ref="AZ189:AZ252" si="868">W$13&amp;W189&amp;","</f>
        <v>BypassValidFileChecks,1,</v>
      </c>
      <c r="BA189" s="31" t="str">
        <f t="shared" ref="BA189:BA252" si="869">X$13&amp;X189&amp;","</f>
        <v>BypassInputChecks,0,</v>
      </c>
      <c r="BB189" s="31" t="str">
        <f t="shared" ref="BB189:BB252" si="870">Y$13&amp;Y189&amp;","</f>
        <v>BypassUMLHChecks,0,</v>
      </c>
      <c r="BC189" s="31" t="str">
        <f t="shared" ref="BC189:BC252" si="871">Z$13&amp;Z189&amp;","</f>
        <v>BypassCheckSimRules,0,</v>
      </c>
      <c r="BD189" s="31" t="str">
        <f t="shared" ref="BD189:BD252" si="872">AA$13&amp;AA189&amp;","</f>
        <v>BypassCheckCodeRules,0,</v>
      </c>
      <c r="BE189" s="31" t="str">
        <f t="shared" si="830"/>
        <v>StoreResultsToModelInput,0,</v>
      </c>
      <c r="BF189" s="31" t="str">
        <f t="shared" si="831"/>
        <v>StoreBEMDetails,0,</v>
      </c>
      <c r="BG189" s="31" t="str">
        <f t="shared" si="832"/>
        <v>ModelRpt_ALL,0,</v>
      </c>
      <c r="BH189" s="31" t="str">
        <f t="shared" si="833"/>
        <v>ExportHourlyResults_All,0,</v>
      </c>
      <c r="BI189" s="31" t="str">
        <f t="shared" si="834"/>
        <v>ComplianceReportPDF,0,</v>
      </c>
      <c r="BJ189" s="31" t="str">
        <f t="shared" si="835"/>
        <v>ComplianceReportXML,0,</v>
      </c>
      <c r="BK189" s="31" t="str">
        <f t="shared" si="836"/>
        <v>QuickAnalysis,0,</v>
      </c>
      <c r="BL189" s="31" t="str">
        <f t="shared" si="836"/>
        <v>PromptUserUMLHWarning,0,</v>
      </c>
      <c r="BM189" s="31" t="str">
        <f t="shared" si="837"/>
        <v>BypassOpenStudio_all,0,</v>
      </c>
      <c r="BN189" s="31" t="str">
        <f t="shared" si="838"/>
        <v>BypassOpenStudio_zp,0,</v>
      </c>
      <c r="BO189" s="31" t="str">
        <f t="shared" si="839"/>
        <v>BypassOpenStudio_zb,0,</v>
      </c>
      <c r="BP189" s="31" t="str">
        <f t="shared" si="840"/>
        <v>BypassOpenStudio_ap,0,</v>
      </c>
      <c r="BQ189" s="31" t="str">
        <f t="shared" si="841"/>
        <v>BypassOpenStudio_ab,0,</v>
      </c>
      <c r="BR189" s="31" t="str">
        <f t="shared" si="842"/>
        <v>BypassOpenStudio_zp,0,</v>
      </c>
      <c r="BS189" s="31" t="str">
        <f t="shared" si="843"/>
        <v>BypassOpenStudio_zb,0,</v>
      </c>
      <c r="BT189" s="31" t="str">
        <f t="shared" si="844"/>
        <v>BypassOpenStudio_ap,0,</v>
      </c>
      <c r="BU189" s="31" t="str">
        <f t="shared" si="845"/>
        <v>BypassOpenStudio_ab,0,</v>
      </c>
    </row>
    <row r="190" spans="1:73" x14ac:dyDescent="0.25">
      <c r="A190" s="39">
        <f t="shared" si="846"/>
        <v>0</v>
      </c>
      <c r="B190" s="27" t="str">
        <f t="shared" si="847"/>
        <v>SoftwareSensitivityTests\StreamlinedApprovalSet\0301816-OffMed-GlazingWindowSHGC.cibd</v>
      </c>
      <c r="C190" s="27" t="str">
        <f t="shared" si="848"/>
        <v>BatchOut_160331_r3964_SSTs\0301816-OffMed-GlazingWindowSHGC.cibd</v>
      </c>
      <c r="D190" s="27" t="str">
        <f t="shared" si="849"/>
        <v>BatchOut_160331_r3964_SSTs\XML\</v>
      </c>
      <c r="E190" s="9" t="str">
        <f t="shared" si="850"/>
        <v>0301816</v>
      </c>
      <c r="F190" s="22"/>
      <c r="G190" s="29"/>
      <c r="H190" s="23" t="str">
        <f t="shared" si="851"/>
        <v/>
      </c>
      <c r="I190" s="9" t="s">
        <v>11</v>
      </c>
      <c r="J190"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0" s="15" t="s">
        <v>1</v>
      </c>
      <c r="L190" s="36">
        <f t="shared" si="856"/>
        <v>0</v>
      </c>
      <c r="M190" s="32" t="str">
        <f t="shared" si="852"/>
        <v>0301816</v>
      </c>
      <c r="N190" s="28" t="s">
        <v>276</v>
      </c>
      <c r="O190" s="28" t="str">
        <f t="shared" si="857"/>
        <v>0301816-OffMed-GlazingWindowSHGC</v>
      </c>
      <c r="P190" s="36">
        <f t="shared" si="806"/>
        <v>1</v>
      </c>
      <c r="Q190" s="36">
        <f t="shared" si="806"/>
        <v>1</v>
      </c>
      <c r="R190" s="36">
        <f t="shared" si="806"/>
        <v>0</v>
      </c>
      <c r="S190" s="36">
        <f t="shared" si="806"/>
        <v>1</v>
      </c>
      <c r="T190" s="36">
        <f t="shared" si="806"/>
        <v>0</v>
      </c>
      <c r="U190" s="36">
        <f t="shared" si="806"/>
        <v>8</v>
      </c>
      <c r="V190" s="36">
        <f t="shared" si="806"/>
        <v>8</v>
      </c>
      <c r="W190" s="36">
        <f t="shared" si="806"/>
        <v>1</v>
      </c>
      <c r="X190" s="36">
        <f t="shared" si="803"/>
        <v>0</v>
      </c>
      <c r="Y190" s="36">
        <f t="shared" si="803"/>
        <v>0</v>
      </c>
      <c r="Z190" s="36">
        <f t="shared" si="803"/>
        <v>0</v>
      </c>
      <c r="AA190" s="36">
        <f t="shared" si="803"/>
        <v>0</v>
      </c>
      <c r="AB190" s="36">
        <f t="shared" si="803"/>
        <v>0</v>
      </c>
      <c r="AC190" s="36">
        <f t="shared" si="803"/>
        <v>0</v>
      </c>
      <c r="AD190" s="36">
        <f t="shared" si="803"/>
        <v>0</v>
      </c>
      <c r="AE190" s="36">
        <f t="shared" ref="AE190:AF190" si="873">AE189</f>
        <v>0</v>
      </c>
      <c r="AF190" s="36">
        <f t="shared" si="873"/>
        <v>0</v>
      </c>
      <c r="AG190" s="36">
        <f t="shared" ref="AG190:AH190" si="874">AG189</f>
        <v>0</v>
      </c>
      <c r="AH190" s="36">
        <f t="shared" si="874"/>
        <v>0</v>
      </c>
      <c r="AI190" s="36">
        <f t="shared" ref="AI190" si="875">AI189</f>
        <v>0</v>
      </c>
      <c r="AJ190" s="36">
        <f t="shared" si="803"/>
        <v>0</v>
      </c>
      <c r="AK190" s="36">
        <f t="shared" si="803"/>
        <v>0</v>
      </c>
      <c r="AL190" s="36">
        <f t="shared" si="803"/>
        <v>0</v>
      </c>
      <c r="AM190" s="36">
        <f t="shared" si="803"/>
        <v>0</v>
      </c>
      <c r="AN190" s="36">
        <f t="shared" si="803"/>
        <v>0</v>
      </c>
      <c r="AO190" s="36">
        <f t="shared" si="803"/>
        <v>0</v>
      </c>
      <c r="AP190" s="36">
        <f t="shared" si="803"/>
        <v>0</v>
      </c>
      <c r="AQ190" s="36">
        <f t="shared" si="803"/>
        <v>0</v>
      </c>
      <c r="AR190" s="36">
        <f t="shared" si="803"/>
        <v>0</v>
      </c>
      <c r="AS190" s="31" t="str">
        <f t="shared" si="861"/>
        <v>SimulationStorage,1,</v>
      </c>
      <c r="AT190" s="31" t="str">
        <f t="shared" si="862"/>
        <v>AnalysisStorage,1,</v>
      </c>
      <c r="AU190" s="31" t="str">
        <f t="shared" si="863"/>
        <v>LogRuleEvaluation,0,</v>
      </c>
      <c r="AV190" s="31" t="str">
        <f t="shared" si="864"/>
        <v>ParallelSimulations,1,</v>
      </c>
      <c r="AW190" s="31" t="str">
        <f t="shared" si="865"/>
        <v>DurationStats,0,</v>
      </c>
      <c r="AX190" s="31" t="str">
        <f t="shared" si="866"/>
        <v>AnalysisThruStep,8,</v>
      </c>
      <c r="AY190" s="31" t="str">
        <f t="shared" si="867"/>
        <v>DontAbortOnErrorsThruStep,8,</v>
      </c>
      <c r="AZ190" s="31" t="str">
        <f t="shared" si="868"/>
        <v>BypassValidFileChecks,1,</v>
      </c>
      <c r="BA190" s="31" t="str">
        <f t="shared" si="869"/>
        <v>BypassInputChecks,0,</v>
      </c>
      <c r="BB190" s="31" t="str">
        <f t="shared" si="870"/>
        <v>BypassUMLHChecks,0,</v>
      </c>
      <c r="BC190" s="31" t="str">
        <f t="shared" si="871"/>
        <v>BypassCheckSimRules,0,</v>
      </c>
      <c r="BD190" s="31" t="str">
        <f t="shared" si="872"/>
        <v>BypassCheckCodeRules,0,</v>
      </c>
      <c r="BE190" s="31" t="str">
        <f t="shared" si="830"/>
        <v>StoreResultsToModelInput,0,</v>
      </c>
      <c r="BF190" s="31" t="str">
        <f t="shared" si="831"/>
        <v>StoreBEMDetails,0,</v>
      </c>
      <c r="BG190" s="31" t="str">
        <f t="shared" si="832"/>
        <v>ModelRpt_ALL,0,</v>
      </c>
      <c r="BH190" s="31" t="str">
        <f t="shared" si="833"/>
        <v>ExportHourlyResults_All,0,</v>
      </c>
      <c r="BI190" s="31" t="str">
        <f t="shared" si="834"/>
        <v>ComplianceReportPDF,0,</v>
      </c>
      <c r="BJ190" s="31" t="str">
        <f t="shared" si="835"/>
        <v>ComplianceReportXML,0,</v>
      </c>
      <c r="BK190" s="31" t="str">
        <f t="shared" si="836"/>
        <v>QuickAnalysis,0,</v>
      </c>
      <c r="BL190" s="31" t="str">
        <f t="shared" si="836"/>
        <v>PromptUserUMLHWarning,0,</v>
      </c>
      <c r="BM190" s="31" t="str">
        <f t="shared" si="837"/>
        <v>BypassOpenStudio_all,0,</v>
      </c>
      <c r="BN190" s="31" t="str">
        <f t="shared" si="838"/>
        <v>BypassOpenStudio_zp,0,</v>
      </c>
      <c r="BO190" s="31" t="str">
        <f t="shared" si="839"/>
        <v>BypassOpenStudio_zb,0,</v>
      </c>
      <c r="BP190" s="31" t="str">
        <f t="shared" si="840"/>
        <v>BypassOpenStudio_ap,0,</v>
      </c>
      <c r="BQ190" s="31" t="str">
        <f t="shared" si="841"/>
        <v>BypassOpenStudio_ab,0,</v>
      </c>
      <c r="BR190" s="31" t="str">
        <f t="shared" si="842"/>
        <v>BypassOpenStudio_zp,0,</v>
      </c>
      <c r="BS190" s="31" t="str">
        <f t="shared" si="843"/>
        <v>BypassOpenStudio_zb,0,</v>
      </c>
      <c r="BT190" s="31" t="str">
        <f t="shared" si="844"/>
        <v>BypassOpenStudio_ap,0,</v>
      </c>
      <c r="BU190" s="31" t="str">
        <f t="shared" si="845"/>
        <v>BypassOpenStudio_ab,0,</v>
      </c>
    </row>
    <row r="191" spans="1:73" x14ac:dyDescent="0.25">
      <c r="A191" s="39">
        <f t="shared" si="846"/>
        <v>0</v>
      </c>
      <c r="B191" s="27" t="str">
        <f t="shared" si="847"/>
        <v>SoftwareSensitivityTests\StreamlinedApprovalSet\0302006-OffMed-FloorSlabInsulation.cibd</v>
      </c>
      <c r="C191" s="27" t="str">
        <f t="shared" si="848"/>
        <v>BatchOut_160331_r3964_SSTs\0302006-OffMed-FloorSlabInsulation.cibd</v>
      </c>
      <c r="D191" s="27" t="str">
        <f t="shared" si="849"/>
        <v>BatchOut_160331_r3964_SSTs\XML\</v>
      </c>
      <c r="E191" s="9" t="str">
        <f t="shared" si="850"/>
        <v>0302006</v>
      </c>
      <c r="F191" s="22"/>
      <c r="G191" s="29"/>
      <c r="H191" s="23" t="str">
        <f t="shared" si="851"/>
        <v/>
      </c>
      <c r="I191" s="9" t="s">
        <v>11</v>
      </c>
      <c r="J191"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1" s="15" t="s">
        <v>1</v>
      </c>
      <c r="L191" s="36">
        <f t="shared" si="856"/>
        <v>0</v>
      </c>
      <c r="M191" s="32" t="str">
        <f t="shared" si="852"/>
        <v>0302006</v>
      </c>
      <c r="N191" s="28" t="s">
        <v>277</v>
      </c>
      <c r="O191" s="28" t="str">
        <f t="shared" si="857"/>
        <v>0302006-OffMed-FloorSlabInsulation</v>
      </c>
      <c r="P191" s="36">
        <f t="shared" si="806"/>
        <v>1</v>
      </c>
      <c r="Q191" s="36">
        <f t="shared" si="806"/>
        <v>1</v>
      </c>
      <c r="R191" s="36">
        <f t="shared" si="806"/>
        <v>0</v>
      </c>
      <c r="S191" s="36">
        <f t="shared" si="806"/>
        <v>1</v>
      </c>
      <c r="T191" s="36">
        <f t="shared" si="806"/>
        <v>0</v>
      </c>
      <c r="U191" s="36">
        <f t="shared" si="806"/>
        <v>8</v>
      </c>
      <c r="V191" s="36">
        <f t="shared" si="806"/>
        <v>8</v>
      </c>
      <c r="W191" s="36">
        <f t="shared" si="806"/>
        <v>1</v>
      </c>
      <c r="X191" s="36">
        <f t="shared" si="803"/>
        <v>0</v>
      </c>
      <c r="Y191" s="36">
        <f t="shared" si="803"/>
        <v>0</v>
      </c>
      <c r="Z191" s="36">
        <f t="shared" si="803"/>
        <v>0</v>
      </c>
      <c r="AA191" s="36">
        <f t="shared" si="803"/>
        <v>0</v>
      </c>
      <c r="AB191" s="36">
        <f t="shared" si="803"/>
        <v>0</v>
      </c>
      <c r="AC191" s="36">
        <f t="shared" si="803"/>
        <v>0</v>
      </c>
      <c r="AD191" s="36">
        <f t="shared" si="803"/>
        <v>0</v>
      </c>
      <c r="AE191" s="36">
        <f t="shared" ref="AE191:AF199" si="876">AE190</f>
        <v>0</v>
      </c>
      <c r="AF191" s="36">
        <f t="shared" si="876"/>
        <v>0</v>
      </c>
      <c r="AG191" s="36">
        <f t="shared" ref="AG191:AH191" si="877">AG190</f>
        <v>0</v>
      </c>
      <c r="AH191" s="36">
        <f t="shared" si="877"/>
        <v>0</v>
      </c>
      <c r="AI191" s="36">
        <f t="shared" ref="AI191" si="878">AI190</f>
        <v>0</v>
      </c>
      <c r="AJ191" s="36">
        <f t="shared" si="803"/>
        <v>0</v>
      </c>
      <c r="AK191" s="36">
        <f t="shared" si="803"/>
        <v>0</v>
      </c>
      <c r="AL191" s="36">
        <f t="shared" si="803"/>
        <v>0</v>
      </c>
      <c r="AM191" s="36">
        <f t="shared" si="803"/>
        <v>0</v>
      </c>
      <c r="AN191" s="36">
        <f t="shared" si="803"/>
        <v>0</v>
      </c>
      <c r="AO191" s="36">
        <f t="shared" si="803"/>
        <v>0</v>
      </c>
      <c r="AP191" s="36">
        <f t="shared" si="803"/>
        <v>0</v>
      </c>
      <c r="AQ191" s="36">
        <f t="shared" si="803"/>
        <v>0</v>
      </c>
      <c r="AR191" s="36">
        <f t="shared" si="803"/>
        <v>0</v>
      </c>
      <c r="AS191" s="31" t="str">
        <f t="shared" si="861"/>
        <v>SimulationStorage,1,</v>
      </c>
      <c r="AT191" s="31" t="str">
        <f t="shared" si="862"/>
        <v>AnalysisStorage,1,</v>
      </c>
      <c r="AU191" s="31" t="str">
        <f t="shared" si="863"/>
        <v>LogRuleEvaluation,0,</v>
      </c>
      <c r="AV191" s="31" t="str">
        <f t="shared" si="864"/>
        <v>ParallelSimulations,1,</v>
      </c>
      <c r="AW191" s="31" t="str">
        <f t="shared" si="865"/>
        <v>DurationStats,0,</v>
      </c>
      <c r="AX191" s="31" t="str">
        <f t="shared" si="866"/>
        <v>AnalysisThruStep,8,</v>
      </c>
      <c r="AY191" s="31" t="str">
        <f t="shared" si="867"/>
        <v>DontAbortOnErrorsThruStep,8,</v>
      </c>
      <c r="AZ191" s="31" t="str">
        <f t="shared" si="868"/>
        <v>BypassValidFileChecks,1,</v>
      </c>
      <c r="BA191" s="31" t="str">
        <f t="shared" si="869"/>
        <v>BypassInputChecks,0,</v>
      </c>
      <c r="BB191" s="31" t="str">
        <f t="shared" si="870"/>
        <v>BypassUMLHChecks,0,</v>
      </c>
      <c r="BC191" s="31" t="str">
        <f t="shared" si="871"/>
        <v>BypassCheckSimRules,0,</v>
      </c>
      <c r="BD191" s="31" t="str">
        <f t="shared" si="872"/>
        <v>BypassCheckCodeRules,0,</v>
      </c>
      <c r="BE191" s="31" t="str">
        <f t="shared" si="830"/>
        <v>StoreResultsToModelInput,0,</v>
      </c>
      <c r="BF191" s="31" t="str">
        <f t="shared" si="831"/>
        <v>StoreBEMDetails,0,</v>
      </c>
      <c r="BG191" s="31" t="str">
        <f t="shared" si="832"/>
        <v>ModelRpt_ALL,0,</v>
      </c>
      <c r="BH191" s="31" t="str">
        <f t="shared" si="833"/>
        <v>ExportHourlyResults_All,0,</v>
      </c>
      <c r="BI191" s="31" t="str">
        <f t="shared" si="834"/>
        <v>ComplianceReportPDF,0,</v>
      </c>
      <c r="BJ191" s="31" t="str">
        <f t="shared" si="835"/>
        <v>ComplianceReportXML,0,</v>
      </c>
      <c r="BK191" s="31" t="str">
        <f t="shared" si="836"/>
        <v>QuickAnalysis,0,</v>
      </c>
      <c r="BL191" s="31" t="str">
        <f t="shared" si="836"/>
        <v>PromptUserUMLHWarning,0,</v>
      </c>
      <c r="BM191" s="31" t="str">
        <f t="shared" si="837"/>
        <v>BypassOpenStudio_all,0,</v>
      </c>
      <c r="BN191" s="31" t="str">
        <f t="shared" si="838"/>
        <v>BypassOpenStudio_zp,0,</v>
      </c>
      <c r="BO191" s="31" t="str">
        <f t="shared" si="839"/>
        <v>BypassOpenStudio_zb,0,</v>
      </c>
      <c r="BP191" s="31" t="str">
        <f t="shared" si="840"/>
        <v>BypassOpenStudio_ap,0,</v>
      </c>
      <c r="BQ191" s="31" t="str">
        <f t="shared" si="841"/>
        <v>BypassOpenStudio_ab,0,</v>
      </c>
      <c r="BR191" s="31" t="str">
        <f t="shared" si="842"/>
        <v>BypassOpenStudio_zp,0,</v>
      </c>
      <c r="BS191" s="31" t="str">
        <f t="shared" si="843"/>
        <v>BypassOpenStudio_zb,0,</v>
      </c>
      <c r="BT191" s="31" t="str">
        <f t="shared" si="844"/>
        <v>BypassOpenStudio_ap,0,</v>
      </c>
      <c r="BU191" s="31" t="str">
        <f t="shared" si="845"/>
        <v>BypassOpenStudio_ab,0,</v>
      </c>
    </row>
    <row r="192" spans="1:73" x14ac:dyDescent="0.25">
      <c r="A192" s="39">
        <f t="shared" si="846"/>
        <v>0</v>
      </c>
      <c r="B192" s="27" t="str">
        <f t="shared" si="847"/>
        <v>SoftwareSensitivityTests\StreamlinedApprovalSet\0302206-OffMed-GlazingWindowU.cibd</v>
      </c>
      <c r="C192" s="27" t="str">
        <f t="shared" si="848"/>
        <v>BatchOut_160331_r3964_SSTs\0302206-OffMed-GlazingWindowU.cibd</v>
      </c>
      <c r="D192" s="27" t="str">
        <f t="shared" si="849"/>
        <v>BatchOut_160331_r3964_SSTs\XML\</v>
      </c>
      <c r="E192" s="9" t="str">
        <f t="shared" si="850"/>
        <v>0302206</v>
      </c>
      <c r="F192" s="22"/>
      <c r="G192" s="29"/>
      <c r="H192" s="23" t="str">
        <f t="shared" si="851"/>
        <v/>
      </c>
      <c r="I192" s="9" t="s">
        <v>11</v>
      </c>
      <c r="J192"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2" s="15" t="s">
        <v>1</v>
      </c>
      <c r="L192" s="36">
        <f t="shared" si="856"/>
        <v>0</v>
      </c>
      <c r="M192" s="32" t="str">
        <f t="shared" si="852"/>
        <v>0302206</v>
      </c>
      <c r="N192" s="28" t="s">
        <v>278</v>
      </c>
      <c r="O192" s="28" t="str">
        <f t="shared" si="857"/>
        <v>0302206-OffMed-GlazingWindowU</v>
      </c>
      <c r="P192" s="36">
        <f t="shared" si="806"/>
        <v>1</v>
      </c>
      <c r="Q192" s="36">
        <f t="shared" si="806"/>
        <v>1</v>
      </c>
      <c r="R192" s="36">
        <f t="shared" si="806"/>
        <v>0</v>
      </c>
      <c r="S192" s="36">
        <f t="shared" si="806"/>
        <v>1</v>
      </c>
      <c r="T192" s="36">
        <f t="shared" si="806"/>
        <v>0</v>
      </c>
      <c r="U192" s="36">
        <f t="shared" si="806"/>
        <v>8</v>
      </c>
      <c r="V192" s="36">
        <f t="shared" si="806"/>
        <v>8</v>
      </c>
      <c r="W192" s="36">
        <f t="shared" si="806"/>
        <v>1</v>
      </c>
      <c r="X192" s="36">
        <f t="shared" si="806"/>
        <v>0</v>
      </c>
      <c r="Y192" s="36">
        <f t="shared" si="806"/>
        <v>0</v>
      </c>
      <c r="Z192" s="36">
        <f t="shared" si="806"/>
        <v>0</v>
      </c>
      <c r="AA192" s="36">
        <f t="shared" si="806"/>
        <v>0</v>
      </c>
      <c r="AB192" s="36">
        <f t="shared" si="806"/>
        <v>0</v>
      </c>
      <c r="AC192" s="36">
        <f t="shared" si="806"/>
        <v>0</v>
      </c>
      <c r="AD192" s="36">
        <f t="shared" si="806"/>
        <v>0</v>
      </c>
      <c r="AE192" s="36">
        <f t="shared" si="876"/>
        <v>0</v>
      </c>
      <c r="AF192" s="36">
        <f t="shared" si="876"/>
        <v>0</v>
      </c>
      <c r="AG192" s="36">
        <f t="shared" ref="AG192:AH192" si="879">AG191</f>
        <v>0</v>
      </c>
      <c r="AH192" s="36">
        <f t="shared" si="879"/>
        <v>0</v>
      </c>
      <c r="AI192" s="36">
        <f t="shared" ref="AI192" si="880">AI191</f>
        <v>0</v>
      </c>
      <c r="AJ192" s="36">
        <f t="shared" si="806"/>
        <v>0</v>
      </c>
      <c r="AK192" s="36">
        <f t="shared" ref="AK192:AR207" si="881">AK191</f>
        <v>0</v>
      </c>
      <c r="AL192" s="36">
        <f t="shared" si="881"/>
        <v>0</v>
      </c>
      <c r="AM192" s="36">
        <f t="shared" si="881"/>
        <v>0</v>
      </c>
      <c r="AN192" s="36">
        <f t="shared" si="881"/>
        <v>0</v>
      </c>
      <c r="AO192" s="36">
        <f t="shared" si="881"/>
        <v>0</v>
      </c>
      <c r="AP192" s="36">
        <f t="shared" si="881"/>
        <v>0</v>
      </c>
      <c r="AQ192" s="36">
        <f t="shared" si="881"/>
        <v>0</v>
      </c>
      <c r="AR192" s="36">
        <f t="shared" si="881"/>
        <v>0</v>
      </c>
      <c r="AS192" s="31" t="str">
        <f t="shared" si="861"/>
        <v>SimulationStorage,1,</v>
      </c>
      <c r="AT192" s="31" t="str">
        <f t="shared" si="862"/>
        <v>AnalysisStorage,1,</v>
      </c>
      <c r="AU192" s="31" t="str">
        <f t="shared" si="863"/>
        <v>LogRuleEvaluation,0,</v>
      </c>
      <c r="AV192" s="31" t="str">
        <f t="shared" si="864"/>
        <v>ParallelSimulations,1,</v>
      </c>
      <c r="AW192" s="31" t="str">
        <f t="shared" si="865"/>
        <v>DurationStats,0,</v>
      </c>
      <c r="AX192" s="31" t="str">
        <f t="shared" si="866"/>
        <v>AnalysisThruStep,8,</v>
      </c>
      <c r="AY192" s="31" t="str">
        <f t="shared" si="867"/>
        <v>DontAbortOnErrorsThruStep,8,</v>
      </c>
      <c r="AZ192" s="31" t="str">
        <f t="shared" si="868"/>
        <v>BypassValidFileChecks,1,</v>
      </c>
      <c r="BA192" s="31" t="str">
        <f t="shared" si="869"/>
        <v>BypassInputChecks,0,</v>
      </c>
      <c r="BB192" s="31" t="str">
        <f t="shared" si="870"/>
        <v>BypassUMLHChecks,0,</v>
      </c>
      <c r="BC192" s="31" t="str">
        <f t="shared" si="871"/>
        <v>BypassCheckSimRules,0,</v>
      </c>
      <c r="BD192" s="31" t="str">
        <f t="shared" si="872"/>
        <v>BypassCheckCodeRules,0,</v>
      </c>
      <c r="BE192" s="31" t="str">
        <f t="shared" si="830"/>
        <v>StoreResultsToModelInput,0,</v>
      </c>
      <c r="BF192" s="31" t="str">
        <f t="shared" si="831"/>
        <v>StoreBEMDetails,0,</v>
      </c>
      <c r="BG192" s="31" t="str">
        <f t="shared" si="832"/>
        <v>ModelRpt_ALL,0,</v>
      </c>
      <c r="BH192" s="31" t="str">
        <f t="shared" si="833"/>
        <v>ExportHourlyResults_All,0,</v>
      </c>
      <c r="BI192" s="31" t="str">
        <f t="shared" si="834"/>
        <v>ComplianceReportPDF,0,</v>
      </c>
      <c r="BJ192" s="31" t="str">
        <f t="shared" si="835"/>
        <v>ComplianceReportXML,0,</v>
      </c>
      <c r="BK192" s="31" t="str">
        <f t="shared" si="836"/>
        <v>QuickAnalysis,0,</v>
      </c>
      <c r="BL192" s="31" t="str">
        <f t="shared" si="836"/>
        <v>PromptUserUMLHWarning,0,</v>
      </c>
      <c r="BM192" s="31" t="str">
        <f t="shared" si="837"/>
        <v>BypassOpenStudio_all,0,</v>
      </c>
      <c r="BN192" s="31" t="str">
        <f t="shared" si="838"/>
        <v>BypassOpenStudio_zp,0,</v>
      </c>
      <c r="BO192" s="31" t="str">
        <f t="shared" si="839"/>
        <v>BypassOpenStudio_zb,0,</v>
      </c>
      <c r="BP192" s="31" t="str">
        <f t="shared" si="840"/>
        <v>BypassOpenStudio_ap,0,</v>
      </c>
      <c r="BQ192" s="31" t="str">
        <f t="shared" si="841"/>
        <v>BypassOpenStudio_ab,0,</v>
      </c>
      <c r="BR192" s="31" t="str">
        <f t="shared" si="842"/>
        <v>BypassOpenStudio_zp,0,</v>
      </c>
      <c r="BS192" s="31" t="str">
        <f t="shared" si="843"/>
        <v>BypassOpenStudio_zb,0,</v>
      </c>
      <c r="BT192" s="31" t="str">
        <f t="shared" si="844"/>
        <v>BypassOpenStudio_ap,0,</v>
      </c>
      <c r="BU192" s="31" t="str">
        <f t="shared" si="845"/>
        <v>BypassOpenStudio_ab,0,</v>
      </c>
    </row>
    <row r="193" spans="1:73" x14ac:dyDescent="0.25">
      <c r="A193" s="39">
        <f t="shared" si="846"/>
        <v>0</v>
      </c>
      <c r="B193" s="27" t="str">
        <f t="shared" si="847"/>
        <v>SoftwareSensitivityTests\StreamlinedApprovalSet\0302306-OffMed-GlazingWindowSHGC.cibd</v>
      </c>
      <c r="C193" s="27" t="str">
        <f t="shared" si="848"/>
        <v>BatchOut_160331_r3964_SSTs\0302306-OffMed-GlazingWindowSHGC.cibd</v>
      </c>
      <c r="D193" s="27" t="str">
        <f t="shared" si="849"/>
        <v>BatchOut_160331_r3964_SSTs\XML\</v>
      </c>
      <c r="E193" s="9" t="str">
        <f t="shared" si="850"/>
        <v>0302306</v>
      </c>
      <c r="F193" s="22"/>
      <c r="G193" s="29"/>
      <c r="H193" s="23" t="str">
        <f t="shared" si="851"/>
        <v/>
      </c>
      <c r="I193" s="9" t="s">
        <v>11</v>
      </c>
      <c r="J193"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3" s="15" t="s">
        <v>1</v>
      </c>
      <c r="L193" s="36">
        <f t="shared" si="856"/>
        <v>0</v>
      </c>
      <c r="M193" s="32" t="str">
        <f t="shared" si="852"/>
        <v>0302306</v>
      </c>
      <c r="N193" s="28" t="s">
        <v>279</v>
      </c>
      <c r="O193" s="28" t="str">
        <f t="shared" si="857"/>
        <v>0302306-OffMed-GlazingWindowSHGC</v>
      </c>
      <c r="P193" s="36">
        <f t="shared" si="806"/>
        <v>1</v>
      </c>
      <c r="Q193" s="36">
        <f t="shared" si="806"/>
        <v>1</v>
      </c>
      <c r="R193" s="36">
        <f t="shared" si="806"/>
        <v>0</v>
      </c>
      <c r="S193" s="36">
        <f t="shared" si="806"/>
        <v>1</v>
      </c>
      <c r="T193" s="36">
        <f t="shared" si="806"/>
        <v>0</v>
      </c>
      <c r="U193" s="36">
        <f t="shared" si="806"/>
        <v>8</v>
      </c>
      <c r="V193" s="36">
        <f t="shared" si="806"/>
        <v>8</v>
      </c>
      <c r="W193" s="36">
        <f t="shared" si="806"/>
        <v>1</v>
      </c>
      <c r="X193" s="36">
        <f t="shared" si="806"/>
        <v>0</v>
      </c>
      <c r="Y193" s="36">
        <f t="shared" si="806"/>
        <v>0</v>
      </c>
      <c r="Z193" s="36">
        <f t="shared" si="806"/>
        <v>0</v>
      </c>
      <c r="AA193" s="36">
        <f t="shared" si="806"/>
        <v>0</v>
      </c>
      <c r="AB193" s="36">
        <f t="shared" si="806"/>
        <v>0</v>
      </c>
      <c r="AC193" s="36">
        <f t="shared" si="806"/>
        <v>0</v>
      </c>
      <c r="AD193" s="36">
        <f t="shared" si="806"/>
        <v>0</v>
      </c>
      <c r="AE193" s="36">
        <f t="shared" si="876"/>
        <v>0</v>
      </c>
      <c r="AF193" s="36">
        <f t="shared" si="876"/>
        <v>0</v>
      </c>
      <c r="AG193" s="36">
        <f t="shared" ref="AG193:AH193" si="882">AG192</f>
        <v>0</v>
      </c>
      <c r="AH193" s="36">
        <f t="shared" si="882"/>
        <v>0</v>
      </c>
      <c r="AI193" s="36">
        <f t="shared" ref="AI193" si="883">AI192</f>
        <v>0</v>
      </c>
      <c r="AJ193" s="36">
        <f t="shared" si="806"/>
        <v>0</v>
      </c>
      <c r="AK193" s="36">
        <f t="shared" si="881"/>
        <v>0</v>
      </c>
      <c r="AL193" s="36">
        <f t="shared" si="881"/>
        <v>0</v>
      </c>
      <c r="AM193" s="36">
        <f t="shared" si="881"/>
        <v>0</v>
      </c>
      <c r="AN193" s="36">
        <f t="shared" si="881"/>
        <v>0</v>
      </c>
      <c r="AO193" s="36">
        <f t="shared" si="881"/>
        <v>0</v>
      </c>
      <c r="AP193" s="36">
        <f t="shared" si="881"/>
        <v>0</v>
      </c>
      <c r="AQ193" s="36">
        <f t="shared" si="881"/>
        <v>0</v>
      </c>
      <c r="AR193" s="36">
        <f t="shared" si="881"/>
        <v>0</v>
      </c>
      <c r="AS193" s="31" t="str">
        <f t="shared" si="861"/>
        <v>SimulationStorage,1,</v>
      </c>
      <c r="AT193" s="31" t="str">
        <f t="shared" si="862"/>
        <v>AnalysisStorage,1,</v>
      </c>
      <c r="AU193" s="31" t="str">
        <f t="shared" si="863"/>
        <v>LogRuleEvaluation,0,</v>
      </c>
      <c r="AV193" s="31" t="str">
        <f t="shared" si="864"/>
        <v>ParallelSimulations,1,</v>
      </c>
      <c r="AW193" s="31" t="str">
        <f t="shared" si="865"/>
        <v>DurationStats,0,</v>
      </c>
      <c r="AX193" s="31" t="str">
        <f t="shared" si="866"/>
        <v>AnalysisThruStep,8,</v>
      </c>
      <c r="AY193" s="31" t="str">
        <f t="shared" si="867"/>
        <v>DontAbortOnErrorsThruStep,8,</v>
      </c>
      <c r="AZ193" s="31" t="str">
        <f t="shared" si="868"/>
        <v>BypassValidFileChecks,1,</v>
      </c>
      <c r="BA193" s="31" t="str">
        <f t="shared" si="869"/>
        <v>BypassInputChecks,0,</v>
      </c>
      <c r="BB193" s="31" t="str">
        <f t="shared" si="870"/>
        <v>BypassUMLHChecks,0,</v>
      </c>
      <c r="BC193" s="31" t="str">
        <f t="shared" si="871"/>
        <v>BypassCheckSimRules,0,</v>
      </c>
      <c r="BD193" s="31" t="str">
        <f t="shared" si="872"/>
        <v>BypassCheckCodeRules,0,</v>
      </c>
      <c r="BE193" s="31" t="str">
        <f t="shared" si="830"/>
        <v>StoreResultsToModelInput,0,</v>
      </c>
      <c r="BF193" s="31" t="str">
        <f t="shared" si="831"/>
        <v>StoreBEMDetails,0,</v>
      </c>
      <c r="BG193" s="31" t="str">
        <f t="shared" si="832"/>
        <v>ModelRpt_ALL,0,</v>
      </c>
      <c r="BH193" s="31" t="str">
        <f t="shared" si="833"/>
        <v>ExportHourlyResults_All,0,</v>
      </c>
      <c r="BI193" s="31" t="str">
        <f t="shared" si="834"/>
        <v>ComplianceReportPDF,0,</v>
      </c>
      <c r="BJ193" s="31" t="str">
        <f t="shared" si="835"/>
        <v>ComplianceReportXML,0,</v>
      </c>
      <c r="BK193" s="31" t="str">
        <f t="shared" si="836"/>
        <v>QuickAnalysis,0,</v>
      </c>
      <c r="BL193" s="31" t="str">
        <f t="shared" si="836"/>
        <v>PromptUserUMLHWarning,0,</v>
      </c>
      <c r="BM193" s="31" t="str">
        <f t="shared" si="837"/>
        <v>BypassOpenStudio_all,0,</v>
      </c>
      <c r="BN193" s="31" t="str">
        <f t="shared" si="838"/>
        <v>BypassOpenStudio_zp,0,</v>
      </c>
      <c r="BO193" s="31" t="str">
        <f t="shared" si="839"/>
        <v>BypassOpenStudio_zb,0,</v>
      </c>
      <c r="BP193" s="31" t="str">
        <f t="shared" si="840"/>
        <v>BypassOpenStudio_ap,0,</v>
      </c>
      <c r="BQ193" s="31" t="str">
        <f t="shared" si="841"/>
        <v>BypassOpenStudio_ab,0,</v>
      </c>
      <c r="BR193" s="31" t="str">
        <f t="shared" si="842"/>
        <v>BypassOpenStudio_zp,0,</v>
      </c>
      <c r="BS193" s="31" t="str">
        <f t="shared" si="843"/>
        <v>BypassOpenStudio_zb,0,</v>
      </c>
      <c r="BT193" s="31" t="str">
        <f t="shared" si="844"/>
        <v>BypassOpenStudio_ap,0,</v>
      </c>
      <c r="BU193" s="31" t="str">
        <f t="shared" si="845"/>
        <v>BypassOpenStudio_ab,0,</v>
      </c>
    </row>
    <row r="194" spans="1:73" x14ac:dyDescent="0.25">
      <c r="A194" s="39">
        <f t="shared" si="846"/>
        <v>0</v>
      </c>
      <c r="B194" s="27" t="str">
        <f t="shared" si="847"/>
        <v>SoftwareSensitivityTests\StreamlinedApprovalSet\0302406-OffMed-GlazingWindowUSHGC.cibd</v>
      </c>
      <c r="C194" s="27" t="str">
        <f t="shared" si="848"/>
        <v>BatchOut_160331_r3964_SSTs\0302406-OffMed-GlazingWindowUSHGC.cibd</v>
      </c>
      <c r="D194" s="27" t="str">
        <f t="shared" si="849"/>
        <v>BatchOut_160331_r3964_SSTs\XML\</v>
      </c>
      <c r="E194" s="9" t="str">
        <f t="shared" si="850"/>
        <v>0302406</v>
      </c>
      <c r="F194" s="22"/>
      <c r="G194" s="29"/>
      <c r="H194" s="23" t="str">
        <f t="shared" si="851"/>
        <v/>
      </c>
      <c r="I194" s="9" t="s">
        <v>11</v>
      </c>
      <c r="J194"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4" s="15" t="s">
        <v>1</v>
      </c>
      <c r="L194" s="36">
        <f t="shared" si="856"/>
        <v>0</v>
      </c>
      <c r="M194" s="32" t="str">
        <f t="shared" si="852"/>
        <v>0302406</v>
      </c>
      <c r="N194" s="28" t="s">
        <v>280</v>
      </c>
      <c r="O194" s="28" t="str">
        <f t="shared" si="857"/>
        <v>0302406-OffMed-GlazingWindowUSHGC</v>
      </c>
      <c r="P194" s="36">
        <f t="shared" si="806"/>
        <v>1</v>
      </c>
      <c r="Q194" s="36">
        <f t="shared" si="806"/>
        <v>1</v>
      </c>
      <c r="R194" s="36">
        <f t="shared" si="806"/>
        <v>0</v>
      </c>
      <c r="S194" s="36">
        <f t="shared" si="806"/>
        <v>1</v>
      </c>
      <c r="T194" s="36">
        <f t="shared" si="806"/>
        <v>0</v>
      </c>
      <c r="U194" s="36">
        <f t="shared" si="806"/>
        <v>8</v>
      </c>
      <c r="V194" s="36">
        <f t="shared" si="806"/>
        <v>8</v>
      </c>
      <c r="W194" s="36">
        <f t="shared" si="806"/>
        <v>1</v>
      </c>
      <c r="X194" s="36">
        <f t="shared" si="806"/>
        <v>0</v>
      </c>
      <c r="Y194" s="36">
        <f t="shared" si="806"/>
        <v>0</v>
      </c>
      <c r="Z194" s="36">
        <f t="shared" si="806"/>
        <v>0</v>
      </c>
      <c r="AA194" s="36">
        <f t="shared" si="806"/>
        <v>0</v>
      </c>
      <c r="AB194" s="36">
        <f t="shared" si="806"/>
        <v>0</v>
      </c>
      <c r="AC194" s="36">
        <f t="shared" si="806"/>
        <v>0</v>
      </c>
      <c r="AD194" s="36">
        <f t="shared" si="806"/>
        <v>0</v>
      </c>
      <c r="AE194" s="36">
        <f t="shared" si="876"/>
        <v>0</v>
      </c>
      <c r="AF194" s="36">
        <f t="shared" si="876"/>
        <v>0</v>
      </c>
      <c r="AG194" s="36">
        <f t="shared" ref="AG194:AH194" si="884">AG193</f>
        <v>0</v>
      </c>
      <c r="AH194" s="36">
        <f t="shared" si="884"/>
        <v>0</v>
      </c>
      <c r="AI194" s="36">
        <f t="shared" ref="AI194" si="885">AI193</f>
        <v>0</v>
      </c>
      <c r="AJ194" s="36">
        <f t="shared" si="806"/>
        <v>0</v>
      </c>
      <c r="AK194" s="36">
        <f t="shared" si="881"/>
        <v>0</v>
      </c>
      <c r="AL194" s="36">
        <f t="shared" si="881"/>
        <v>0</v>
      </c>
      <c r="AM194" s="36">
        <f t="shared" si="881"/>
        <v>0</v>
      </c>
      <c r="AN194" s="36">
        <f t="shared" si="881"/>
        <v>0</v>
      </c>
      <c r="AO194" s="36">
        <f t="shared" si="881"/>
        <v>0</v>
      </c>
      <c r="AP194" s="36">
        <f t="shared" si="881"/>
        <v>0</v>
      </c>
      <c r="AQ194" s="36">
        <f t="shared" si="881"/>
        <v>0</v>
      </c>
      <c r="AR194" s="36">
        <f t="shared" si="881"/>
        <v>0</v>
      </c>
      <c r="AS194" s="31" t="str">
        <f t="shared" si="861"/>
        <v>SimulationStorage,1,</v>
      </c>
      <c r="AT194" s="31" t="str">
        <f t="shared" si="862"/>
        <v>AnalysisStorage,1,</v>
      </c>
      <c r="AU194" s="31" t="str">
        <f t="shared" si="863"/>
        <v>LogRuleEvaluation,0,</v>
      </c>
      <c r="AV194" s="31" t="str">
        <f t="shared" si="864"/>
        <v>ParallelSimulations,1,</v>
      </c>
      <c r="AW194" s="31" t="str">
        <f t="shared" si="865"/>
        <v>DurationStats,0,</v>
      </c>
      <c r="AX194" s="31" t="str">
        <f t="shared" si="866"/>
        <v>AnalysisThruStep,8,</v>
      </c>
      <c r="AY194" s="31" t="str">
        <f t="shared" si="867"/>
        <v>DontAbortOnErrorsThruStep,8,</v>
      </c>
      <c r="AZ194" s="31" t="str">
        <f t="shared" si="868"/>
        <v>BypassValidFileChecks,1,</v>
      </c>
      <c r="BA194" s="31" t="str">
        <f t="shared" si="869"/>
        <v>BypassInputChecks,0,</v>
      </c>
      <c r="BB194" s="31" t="str">
        <f t="shared" si="870"/>
        <v>BypassUMLHChecks,0,</v>
      </c>
      <c r="BC194" s="31" t="str">
        <f t="shared" si="871"/>
        <v>BypassCheckSimRules,0,</v>
      </c>
      <c r="BD194" s="31" t="str">
        <f t="shared" si="872"/>
        <v>BypassCheckCodeRules,0,</v>
      </c>
      <c r="BE194" s="31" t="str">
        <f t="shared" si="830"/>
        <v>StoreResultsToModelInput,0,</v>
      </c>
      <c r="BF194" s="31" t="str">
        <f t="shared" si="831"/>
        <v>StoreBEMDetails,0,</v>
      </c>
      <c r="BG194" s="31" t="str">
        <f t="shared" si="832"/>
        <v>ModelRpt_ALL,0,</v>
      </c>
      <c r="BH194" s="31" t="str">
        <f t="shared" si="833"/>
        <v>ExportHourlyResults_All,0,</v>
      </c>
      <c r="BI194" s="31" t="str">
        <f t="shared" si="834"/>
        <v>ComplianceReportPDF,0,</v>
      </c>
      <c r="BJ194" s="31" t="str">
        <f t="shared" si="835"/>
        <v>ComplianceReportXML,0,</v>
      </c>
      <c r="BK194" s="31" t="str">
        <f t="shared" si="836"/>
        <v>QuickAnalysis,0,</v>
      </c>
      <c r="BL194" s="31" t="str">
        <f t="shared" si="836"/>
        <v>PromptUserUMLHWarning,0,</v>
      </c>
      <c r="BM194" s="31" t="str">
        <f t="shared" si="837"/>
        <v>BypassOpenStudio_all,0,</v>
      </c>
      <c r="BN194" s="31" t="str">
        <f t="shared" si="838"/>
        <v>BypassOpenStudio_zp,0,</v>
      </c>
      <c r="BO194" s="31" t="str">
        <f t="shared" si="839"/>
        <v>BypassOpenStudio_zb,0,</v>
      </c>
      <c r="BP194" s="31" t="str">
        <f t="shared" si="840"/>
        <v>BypassOpenStudio_ap,0,</v>
      </c>
      <c r="BQ194" s="31" t="str">
        <f t="shared" si="841"/>
        <v>BypassOpenStudio_ab,0,</v>
      </c>
      <c r="BR194" s="31" t="str">
        <f t="shared" si="842"/>
        <v>BypassOpenStudio_zp,0,</v>
      </c>
      <c r="BS194" s="31" t="str">
        <f t="shared" si="843"/>
        <v>BypassOpenStudio_zb,0,</v>
      </c>
      <c r="BT194" s="31" t="str">
        <f t="shared" si="844"/>
        <v>BypassOpenStudio_ap,0,</v>
      </c>
      <c r="BU194" s="31" t="str">
        <f t="shared" si="845"/>
        <v>BypassOpenStudio_ab,0,</v>
      </c>
    </row>
    <row r="195" spans="1:73" x14ac:dyDescent="0.25">
      <c r="A195" s="39">
        <f t="shared" si="846"/>
        <v>0</v>
      </c>
      <c r="B195" s="27" t="str">
        <f t="shared" si="847"/>
        <v>SoftwareSensitivityTests\StreamlinedApprovalSet\0303115-OffMed-LightingHighLPD.cibd</v>
      </c>
      <c r="C195" s="27" t="str">
        <f t="shared" si="848"/>
        <v>BatchOut_160331_r3964_SSTs\0303115-OffMed-LightingHighLPD.cibd</v>
      </c>
      <c r="D195" s="27" t="str">
        <f t="shared" si="849"/>
        <v>BatchOut_160331_r3964_SSTs\XML\</v>
      </c>
      <c r="E195" s="9" t="str">
        <f t="shared" si="850"/>
        <v>0303115</v>
      </c>
      <c r="F195" s="22"/>
      <c r="G195" s="29"/>
      <c r="H195" s="23" t="str">
        <f t="shared" si="851"/>
        <v/>
      </c>
      <c r="I195" s="9" t="s">
        <v>11</v>
      </c>
      <c r="J195"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5" s="15" t="s">
        <v>1</v>
      </c>
      <c r="L195" s="36">
        <f t="shared" si="856"/>
        <v>0</v>
      </c>
      <c r="M195" s="32" t="str">
        <f t="shared" si="852"/>
        <v>0303115</v>
      </c>
      <c r="N195" s="28" t="s">
        <v>281</v>
      </c>
      <c r="O195" s="28" t="str">
        <f t="shared" si="857"/>
        <v>0303115-OffMed-LightingHighLPD</v>
      </c>
      <c r="P195" s="36">
        <f t="shared" si="806"/>
        <v>1</v>
      </c>
      <c r="Q195" s="36">
        <f t="shared" si="806"/>
        <v>1</v>
      </c>
      <c r="R195" s="36">
        <f t="shared" si="806"/>
        <v>0</v>
      </c>
      <c r="S195" s="36">
        <f t="shared" si="806"/>
        <v>1</v>
      </c>
      <c r="T195" s="36">
        <f t="shared" si="806"/>
        <v>0</v>
      </c>
      <c r="U195" s="36">
        <f t="shared" si="806"/>
        <v>8</v>
      </c>
      <c r="V195" s="36">
        <f t="shared" si="806"/>
        <v>8</v>
      </c>
      <c r="W195" s="36">
        <f t="shared" si="806"/>
        <v>1</v>
      </c>
      <c r="X195" s="36">
        <f t="shared" si="806"/>
        <v>0</v>
      </c>
      <c r="Y195" s="36">
        <f t="shared" si="806"/>
        <v>0</v>
      </c>
      <c r="Z195" s="36">
        <f t="shared" si="806"/>
        <v>0</v>
      </c>
      <c r="AA195" s="36">
        <f t="shared" si="806"/>
        <v>0</v>
      </c>
      <c r="AB195" s="36">
        <f t="shared" si="806"/>
        <v>0</v>
      </c>
      <c r="AC195" s="36">
        <f t="shared" si="806"/>
        <v>0</v>
      </c>
      <c r="AD195" s="36">
        <f t="shared" si="806"/>
        <v>0</v>
      </c>
      <c r="AE195" s="36">
        <f t="shared" si="876"/>
        <v>0</v>
      </c>
      <c r="AF195" s="36">
        <f t="shared" si="876"/>
        <v>0</v>
      </c>
      <c r="AG195" s="36">
        <f t="shared" ref="AG195:AH195" si="886">AG194</f>
        <v>0</v>
      </c>
      <c r="AH195" s="36">
        <f t="shared" si="886"/>
        <v>0</v>
      </c>
      <c r="AI195" s="36">
        <f t="shared" ref="AI195" si="887">AI194</f>
        <v>0</v>
      </c>
      <c r="AJ195" s="36">
        <f t="shared" si="806"/>
        <v>0</v>
      </c>
      <c r="AK195" s="36">
        <f t="shared" si="881"/>
        <v>0</v>
      </c>
      <c r="AL195" s="36">
        <f t="shared" si="881"/>
        <v>0</v>
      </c>
      <c r="AM195" s="36">
        <f t="shared" si="881"/>
        <v>0</v>
      </c>
      <c r="AN195" s="36">
        <f t="shared" si="881"/>
        <v>0</v>
      </c>
      <c r="AO195" s="36">
        <f t="shared" si="881"/>
        <v>0</v>
      </c>
      <c r="AP195" s="36">
        <f t="shared" si="881"/>
        <v>0</v>
      </c>
      <c r="AQ195" s="36">
        <f t="shared" si="881"/>
        <v>0</v>
      </c>
      <c r="AR195" s="36">
        <f t="shared" si="881"/>
        <v>0</v>
      </c>
      <c r="AS195" s="31" t="str">
        <f t="shared" si="861"/>
        <v>SimulationStorage,1,</v>
      </c>
      <c r="AT195" s="31" t="str">
        <f t="shared" si="862"/>
        <v>AnalysisStorage,1,</v>
      </c>
      <c r="AU195" s="31" t="str">
        <f t="shared" si="863"/>
        <v>LogRuleEvaluation,0,</v>
      </c>
      <c r="AV195" s="31" t="str">
        <f t="shared" si="864"/>
        <v>ParallelSimulations,1,</v>
      </c>
      <c r="AW195" s="31" t="str">
        <f t="shared" si="865"/>
        <v>DurationStats,0,</v>
      </c>
      <c r="AX195" s="31" t="str">
        <f t="shared" si="866"/>
        <v>AnalysisThruStep,8,</v>
      </c>
      <c r="AY195" s="31" t="str">
        <f t="shared" si="867"/>
        <v>DontAbortOnErrorsThruStep,8,</v>
      </c>
      <c r="AZ195" s="31" t="str">
        <f t="shared" si="868"/>
        <v>BypassValidFileChecks,1,</v>
      </c>
      <c r="BA195" s="31" t="str">
        <f t="shared" si="869"/>
        <v>BypassInputChecks,0,</v>
      </c>
      <c r="BB195" s="31" t="str">
        <f t="shared" si="870"/>
        <v>BypassUMLHChecks,0,</v>
      </c>
      <c r="BC195" s="31" t="str">
        <f t="shared" si="871"/>
        <v>BypassCheckSimRules,0,</v>
      </c>
      <c r="BD195" s="31" t="str">
        <f t="shared" si="872"/>
        <v>BypassCheckCodeRules,0,</v>
      </c>
      <c r="BE195" s="31" t="str">
        <f t="shared" si="830"/>
        <v>StoreResultsToModelInput,0,</v>
      </c>
      <c r="BF195" s="31" t="str">
        <f t="shared" si="831"/>
        <v>StoreBEMDetails,0,</v>
      </c>
      <c r="BG195" s="31" t="str">
        <f t="shared" si="832"/>
        <v>ModelRpt_ALL,0,</v>
      </c>
      <c r="BH195" s="31" t="str">
        <f t="shared" si="833"/>
        <v>ExportHourlyResults_All,0,</v>
      </c>
      <c r="BI195" s="31" t="str">
        <f t="shared" si="834"/>
        <v>ComplianceReportPDF,0,</v>
      </c>
      <c r="BJ195" s="31" t="str">
        <f t="shared" si="835"/>
        <v>ComplianceReportXML,0,</v>
      </c>
      <c r="BK195" s="31" t="str">
        <f t="shared" si="836"/>
        <v>QuickAnalysis,0,</v>
      </c>
      <c r="BL195" s="31" t="str">
        <f t="shared" si="836"/>
        <v>PromptUserUMLHWarning,0,</v>
      </c>
      <c r="BM195" s="31" t="str">
        <f t="shared" si="837"/>
        <v>BypassOpenStudio_all,0,</v>
      </c>
      <c r="BN195" s="31" t="str">
        <f t="shared" si="838"/>
        <v>BypassOpenStudio_zp,0,</v>
      </c>
      <c r="BO195" s="31" t="str">
        <f t="shared" si="839"/>
        <v>BypassOpenStudio_zb,0,</v>
      </c>
      <c r="BP195" s="31" t="str">
        <f t="shared" si="840"/>
        <v>BypassOpenStudio_ap,0,</v>
      </c>
      <c r="BQ195" s="31" t="str">
        <f t="shared" si="841"/>
        <v>BypassOpenStudio_ab,0,</v>
      </c>
      <c r="BR195" s="31" t="str">
        <f t="shared" si="842"/>
        <v>BypassOpenStudio_zp,0,</v>
      </c>
      <c r="BS195" s="31" t="str">
        <f t="shared" si="843"/>
        <v>BypassOpenStudio_zb,0,</v>
      </c>
      <c r="BT195" s="31" t="str">
        <f t="shared" si="844"/>
        <v>BypassOpenStudio_ap,0,</v>
      </c>
      <c r="BU195" s="31" t="str">
        <f t="shared" si="845"/>
        <v>BypassOpenStudio_ab,0,</v>
      </c>
    </row>
    <row r="196" spans="1:73" x14ac:dyDescent="0.25">
      <c r="A196" s="39">
        <f t="shared" si="846"/>
        <v>0</v>
      </c>
      <c r="B196" s="27" t="str">
        <f t="shared" si="847"/>
        <v>SoftwareSensitivityTests\StreamlinedApprovalSet\0303316-OffMed-LightingHighLPD.cibd</v>
      </c>
      <c r="C196" s="27" t="str">
        <f t="shared" si="848"/>
        <v>BatchOut_160331_r3964_SSTs\0303316-OffMed-LightingHighLPD.cibd</v>
      </c>
      <c r="D196" s="27" t="str">
        <f t="shared" si="849"/>
        <v>BatchOut_160331_r3964_SSTs\XML\</v>
      </c>
      <c r="E196" s="9" t="str">
        <f t="shared" si="850"/>
        <v>0303316</v>
      </c>
      <c r="F196" s="22"/>
      <c r="G196" s="29"/>
      <c r="H196" s="23" t="str">
        <f t="shared" si="851"/>
        <v/>
      </c>
      <c r="I196" s="9" t="s">
        <v>11</v>
      </c>
      <c r="J196"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6" s="15" t="s">
        <v>1</v>
      </c>
      <c r="L196" s="36">
        <f t="shared" si="856"/>
        <v>0</v>
      </c>
      <c r="M196" s="32" t="str">
        <f t="shared" si="852"/>
        <v>0303316</v>
      </c>
      <c r="N196" s="28" t="s">
        <v>282</v>
      </c>
      <c r="O196" s="28" t="str">
        <f t="shared" si="857"/>
        <v>0303316-OffMed-LightingHighLPD</v>
      </c>
      <c r="P196" s="36">
        <f t="shared" si="806"/>
        <v>1</v>
      </c>
      <c r="Q196" s="36">
        <f t="shared" si="806"/>
        <v>1</v>
      </c>
      <c r="R196" s="36">
        <f t="shared" si="806"/>
        <v>0</v>
      </c>
      <c r="S196" s="36">
        <f t="shared" si="806"/>
        <v>1</v>
      </c>
      <c r="T196" s="36">
        <f t="shared" si="806"/>
        <v>0</v>
      </c>
      <c r="U196" s="36">
        <f t="shared" si="806"/>
        <v>8</v>
      </c>
      <c r="V196" s="36">
        <f t="shared" si="806"/>
        <v>8</v>
      </c>
      <c r="W196" s="36">
        <f t="shared" si="806"/>
        <v>1</v>
      </c>
      <c r="X196" s="36">
        <f t="shared" si="806"/>
        <v>0</v>
      </c>
      <c r="Y196" s="36">
        <f t="shared" si="806"/>
        <v>0</v>
      </c>
      <c r="Z196" s="36">
        <f t="shared" si="806"/>
        <v>0</v>
      </c>
      <c r="AA196" s="36">
        <f t="shared" si="806"/>
        <v>0</v>
      </c>
      <c r="AB196" s="36">
        <f t="shared" si="806"/>
        <v>0</v>
      </c>
      <c r="AC196" s="36">
        <f t="shared" si="806"/>
        <v>0</v>
      </c>
      <c r="AD196" s="36">
        <f t="shared" si="806"/>
        <v>0</v>
      </c>
      <c r="AE196" s="36">
        <f t="shared" si="876"/>
        <v>0</v>
      </c>
      <c r="AF196" s="36">
        <f t="shared" si="876"/>
        <v>0</v>
      </c>
      <c r="AG196" s="36">
        <f t="shared" ref="AG196:AH196" si="888">AG195</f>
        <v>0</v>
      </c>
      <c r="AH196" s="36">
        <f t="shared" si="888"/>
        <v>0</v>
      </c>
      <c r="AI196" s="36">
        <f t="shared" ref="AI196" si="889">AI195</f>
        <v>0</v>
      </c>
      <c r="AJ196" s="36">
        <f t="shared" si="806"/>
        <v>0</v>
      </c>
      <c r="AK196" s="36">
        <f t="shared" si="881"/>
        <v>0</v>
      </c>
      <c r="AL196" s="36">
        <f t="shared" si="881"/>
        <v>0</v>
      </c>
      <c r="AM196" s="36">
        <f t="shared" si="881"/>
        <v>0</v>
      </c>
      <c r="AN196" s="36">
        <f t="shared" si="881"/>
        <v>0</v>
      </c>
      <c r="AO196" s="36">
        <f t="shared" si="881"/>
        <v>0</v>
      </c>
      <c r="AP196" s="36">
        <f t="shared" si="881"/>
        <v>0</v>
      </c>
      <c r="AQ196" s="36">
        <f t="shared" si="881"/>
        <v>0</v>
      </c>
      <c r="AR196" s="36">
        <f t="shared" si="881"/>
        <v>0</v>
      </c>
      <c r="AS196" s="31" t="str">
        <f t="shared" si="861"/>
        <v>SimulationStorage,1,</v>
      </c>
      <c r="AT196" s="31" t="str">
        <f t="shared" si="862"/>
        <v>AnalysisStorage,1,</v>
      </c>
      <c r="AU196" s="31" t="str">
        <f t="shared" si="863"/>
        <v>LogRuleEvaluation,0,</v>
      </c>
      <c r="AV196" s="31" t="str">
        <f t="shared" si="864"/>
        <v>ParallelSimulations,1,</v>
      </c>
      <c r="AW196" s="31" t="str">
        <f t="shared" si="865"/>
        <v>DurationStats,0,</v>
      </c>
      <c r="AX196" s="31" t="str">
        <f t="shared" si="866"/>
        <v>AnalysisThruStep,8,</v>
      </c>
      <c r="AY196" s="31" t="str">
        <f t="shared" si="867"/>
        <v>DontAbortOnErrorsThruStep,8,</v>
      </c>
      <c r="AZ196" s="31" t="str">
        <f t="shared" si="868"/>
        <v>BypassValidFileChecks,1,</v>
      </c>
      <c r="BA196" s="31" t="str">
        <f t="shared" si="869"/>
        <v>BypassInputChecks,0,</v>
      </c>
      <c r="BB196" s="31" t="str">
        <f t="shared" si="870"/>
        <v>BypassUMLHChecks,0,</v>
      </c>
      <c r="BC196" s="31" t="str">
        <f t="shared" si="871"/>
        <v>BypassCheckSimRules,0,</v>
      </c>
      <c r="BD196" s="31" t="str">
        <f t="shared" si="872"/>
        <v>BypassCheckCodeRules,0,</v>
      </c>
      <c r="BE196" s="31" t="str">
        <f t="shared" si="830"/>
        <v>StoreResultsToModelInput,0,</v>
      </c>
      <c r="BF196" s="31" t="str">
        <f t="shared" si="831"/>
        <v>StoreBEMDetails,0,</v>
      </c>
      <c r="BG196" s="31" t="str">
        <f t="shared" si="832"/>
        <v>ModelRpt_ALL,0,</v>
      </c>
      <c r="BH196" s="31" t="str">
        <f t="shared" si="833"/>
        <v>ExportHourlyResults_All,0,</v>
      </c>
      <c r="BI196" s="31" t="str">
        <f t="shared" si="834"/>
        <v>ComplianceReportPDF,0,</v>
      </c>
      <c r="BJ196" s="31" t="str">
        <f t="shared" si="835"/>
        <v>ComplianceReportXML,0,</v>
      </c>
      <c r="BK196" s="31" t="str">
        <f t="shared" si="836"/>
        <v>QuickAnalysis,0,</v>
      </c>
      <c r="BL196" s="31" t="str">
        <f t="shared" si="836"/>
        <v>PromptUserUMLHWarning,0,</v>
      </c>
      <c r="BM196" s="31" t="str">
        <f t="shared" si="837"/>
        <v>BypassOpenStudio_all,0,</v>
      </c>
      <c r="BN196" s="31" t="str">
        <f t="shared" si="838"/>
        <v>BypassOpenStudio_zp,0,</v>
      </c>
      <c r="BO196" s="31" t="str">
        <f t="shared" si="839"/>
        <v>BypassOpenStudio_zb,0,</v>
      </c>
      <c r="BP196" s="31" t="str">
        <f t="shared" si="840"/>
        <v>BypassOpenStudio_ap,0,</v>
      </c>
      <c r="BQ196" s="31" t="str">
        <f t="shared" si="841"/>
        <v>BypassOpenStudio_ab,0,</v>
      </c>
      <c r="BR196" s="31" t="str">
        <f t="shared" si="842"/>
        <v>BypassOpenStudio_zp,0,</v>
      </c>
      <c r="BS196" s="31" t="str">
        <f t="shared" si="843"/>
        <v>BypassOpenStudio_zb,0,</v>
      </c>
      <c r="BT196" s="31" t="str">
        <f t="shared" si="844"/>
        <v>BypassOpenStudio_ap,0,</v>
      </c>
      <c r="BU196" s="31" t="str">
        <f t="shared" si="845"/>
        <v>BypassOpenStudio_ab,0,</v>
      </c>
    </row>
    <row r="197" spans="1:73" x14ac:dyDescent="0.25">
      <c r="A197" s="39">
        <f t="shared" si="846"/>
        <v>0</v>
      </c>
      <c r="B197" s="27" t="str">
        <f t="shared" si="847"/>
        <v>SoftwareSensitivityTests\StreamlinedApprovalSet\0303406-OffMed-LightingLowLPD.cibd</v>
      </c>
      <c r="C197" s="27" t="str">
        <f t="shared" si="848"/>
        <v>BatchOut_160331_r3964_SSTs\0303406-OffMed-LightingLowLPD.cibd</v>
      </c>
      <c r="D197" s="27" t="str">
        <f t="shared" si="849"/>
        <v>BatchOut_160331_r3964_SSTs\XML\</v>
      </c>
      <c r="E197" s="9" t="str">
        <f t="shared" si="850"/>
        <v>0303406</v>
      </c>
      <c r="F197" s="22"/>
      <c r="G197" s="29"/>
      <c r="H197" s="23" t="str">
        <f t="shared" si="851"/>
        <v/>
      </c>
      <c r="I197" s="9" t="s">
        <v>11</v>
      </c>
      <c r="J197"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7" s="15" t="s">
        <v>1</v>
      </c>
      <c r="L197" s="36">
        <f t="shared" si="856"/>
        <v>0</v>
      </c>
      <c r="M197" s="32" t="str">
        <f t="shared" si="852"/>
        <v>0303406</v>
      </c>
      <c r="N197" s="28" t="s">
        <v>283</v>
      </c>
      <c r="O197" s="28" t="str">
        <f t="shared" si="857"/>
        <v>0303406-OffMed-LightingLowLPD</v>
      </c>
      <c r="P197" s="36">
        <f t="shared" si="806"/>
        <v>1</v>
      </c>
      <c r="Q197" s="36">
        <f t="shared" si="806"/>
        <v>1</v>
      </c>
      <c r="R197" s="36">
        <f t="shared" si="806"/>
        <v>0</v>
      </c>
      <c r="S197" s="36">
        <f t="shared" si="806"/>
        <v>1</v>
      </c>
      <c r="T197" s="36">
        <f t="shared" si="806"/>
        <v>0</v>
      </c>
      <c r="U197" s="36">
        <f t="shared" si="806"/>
        <v>8</v>
      </c>
      <c r="V197" s="36">
        <f t="shared" si="806"/>
        <v>8</v>
      </c>
      <c r="W197" s="36">
        <f t="shared" si="806"/>
        <v>1</v>
      </c>
      <c r="X197" s="36">
        <f t="shared" si="806"/>
        <v>0</v>
      </c>
      <c r="Y197" s="36">
        <f t="shared" si="806"/>
        <v>0</v>
      </c>
      <c r="Z197" s="36">
        <f t="shared" si="806"/>
        <v>0</v>
      </c>
      <c r="AA197" s="36">
        <f t="shared" si="806"/>
        <v>0</v>
      </c>
      <c r="AB197" s="36">
        <f t="shared" si="806"/>
        <v>0</v>
      </c>
      <c r="AC197" s="36">
        <f t="shared" si="806"/>
        <v>0</v>
      </c>
      <c r="AD197" s="36">
        <f t="shared" si="806"/>
        <v>0</v>
      </c>
      <c r="AE197" s="36">
        <f t="shared" si="876"/>
        <v>0</v>
      </c>
      <c r="AF197" s="36">
        <f t="shared" si="876"/>
        <v>0</v>
      </c>
      <c r="AG197" s="36">
        <f t="shared" ref="AG197:AH197" si="890">AG196</f>
        <v>0</v>
      </c>
      <c r="AH197" s="36">
        <f t="shared" si="890"/>
        <v>0</v>
      </c>
      <c r="AI197" s="36">
        <f t="shared" ref="AI197" si="891">AI196</f>
        <v>0</v>
      </c>
      <c r="AJ197" s="36">
        <f t="shared" si="806"/>
        <v>0</v>
      </c>
      <c r="AK197" s="36">
        <f t="shared" si="881"/>
        <v>0</v>
      </c>
      <c r="AL197" s="36">
        <f t="shared" si="881"/>
        <v>0</v>
      </c>
      <c r="AM197" s="36">
        <f t="shared" si="881"/>
        <v>0</v>
      </c>
      <c r="AN197" s="36">
        <f t="shared" si="881"/>
        <v>0</v>
      </c>
      <c r="AO197" s="36">
        <f t="shared" si="881"/>
        <v>0</v>
      </c>
      <c r="AP197" s="36">
        <f t="shared" si="881"/>
        <v>0</v>
      </c>
      <c r="AQ197" s="36">
        <f t="shared" si="881"/>
        <v>0</v>
      </c>
      <c r="AR197" s="36">
        <f t="shared" si="881"/>
        <v>0</v>
      </c>
      <c r="AS197" s="31" t="str">
        <f t="shared" si="861"/>
        <v>SimulationStorage,1,</v>
      </c>
      <c r="AT197" s="31" t="str">
        <f t="shared" si="862"/>
        <v>AnalysisStorage,1,</v>
      </c>
      <c r="AU197" s="31" t="str">
        <f t="shared" si="863"/>
        <v>LogRuleEvaluation,0,</v>
      </c>
      <c r="AV197" s="31" t="str">
        <f t="shared" si="864"/>
        <v>ParallelSimulations,1,</v>
      </c>
      <c r="AW197" s="31" t="str">
        <f t="shared" si="865"/>
        <v>DurationStats,0,</v>
      </c>
      <c r="AX197" s="31" t="str">
        <f t="shared" si="866"/>
        <v>AnalysisThruStep,8,</v>
      </c>
      <c r="AY197" s="31" t="str">
        <f t="shared" si="867"/>
        <v>DontAbortOnErrorsThruStep,8,</v>
      </c>
      <c r="AZ197" s="31" t="str">
        <f t="shared" si="868"/>
        <v>BypassValidFileChecks,1,</v>
      </c>
      <c r="BA197" s="31" t="str">
        <f t="shared" si="869"/>
        <v>BypassInputChecks,0,</v>
      </c>
      <c r="BB197" s="31" t="str">
        <f t="shared" si="870"/>
        <v>BypassUMLHChecks,0,</v>
      </c>
      <c r="BC197" s="31" t="str">
        <f t="shared" si="871"/>
        <v>BypassCheckSimRules,0,</v>
      </c>
      <c r="BD197" s="31" t="str">
        <f t="shared" si="872"/>
        <v>BypassCheckCodeRules,0,</v>
      </c>
      <c r="BE197" s="31" t="str">
        <f t="shared" si="830"/>
        <v>StoreResultsToModelInput,0,</v>
      </c>
      <c r="BF197" s="31" t="str">
        <f t="shared" si="831"/>
        <v>StoreBEMDetails,0,</v>
      </c>
      <c r="BG197" s="31" t="str">
        <f t="shared" si="832"/>
        <v>ModelRpt_ALL,0,</v>
      </c>
      <c r="BH197" s="31" t="str">
        <f t="shared" si="833"/>
        <v>ExportHourlyResults_All,0,</v>
      </c>
      <c r="BI197" s="31" t="str">
        <f t="shared" si="834"/>
        <v>ComplianceReportPDF,0,</v>
      </c>
      <c r="BJ197" s="31" t="str">
        <f t="shared" si="835"/>
        <v>ComplianceReportXML,0,</v>
      </c>
      <c r="BK197" s="31" t="str">
        <f t="shared" si="836"/>
        <v>QuickAnalysis,0,</v>
      </c>
      <c r="BL197" s="31" t="str">
        <f t="shared" si="836"/>
        <v>PromptUserUMLHWarning,0,</v>
      </c>
      <c r="BM197" s="31" t="str">
        <f t="shared" si="837"/>
        <v>BypassOpenStudio_all,0,</v>
      </c>
      <c r="BN197" s="31" t="str">
        <f t="shared" si="838"/>
        <v>BypassOpenStudio_zp,0,</v>
      </c>
      <c r="BO197" s="31" t="str">
        <f t="shared" si="839"/>
        <v>BypassOpenStudio_zb,0,</v>
      </c>
      <c r="BP197" s="31" t="str">
        <f t="shared" si="840"/>
        <v>BypassOpenStudio_ap,0,</v>
      </c>
      <c r="BQ197" s="31" t="str">
        <f t="shared" si="841"/>
        <v>BypassOpenStudio_ab,0,</v>
      </c>
      <c r="BR197" s="31" t="str">
        <f t="shared" si="842"/>
        <v>BypassOpenStudio_zp,0,</v>
      </c>
      <c r="BS197" s="31" t="str">
        <f t="shared" si="843"/>
        <v>BypassOpenStudio_zb,0,</v>
      </c>
      <c r="BT197" s="31" t="str">
        <f t="shared" si="844"/>
        <v>BypassOpenStudio_ap,0,</v>
      </c>
      <c r="BU197" s="31" t="str">
        <f t="shared" si="845"/>
        <v>BypassOpenStudio_ab,0,</v>
      </c>
    </row>
    <row r="198" spans="1:73" x14ac:dyDescent="0.25">
      <c r="A198" s="39">
        <f t="shared" si="846"/>
        <v>0</v>
      </c>
      <c r="B198" s="27" t="str">
        <f t="shared" si="847"/>
        <v>SoftwareSensitivityTests\StreamlinedApprovalSet\0303506-OffMed-LightingHighLPD.cibd</v>
      </c>
      <c r="C198" s="27" t="str">
        <f t="shared" si="848"/>
        <v>BatchOut_160331_r3964_SSTs\0303506-OffMed-LightingHighLPD.cibd</v>
      </c>
      <c r="D198" s="27" t="str">
        <f t="shared" si="849"/>
        <v>BatchOut_160331_r3964_SSTs\XML\</v>
      </c>
      <c r="E198" s="9" t="str">
        <f t="shared" si="850"/>
        <v>0303506</v>
      </c>
      <c r="F198" s="22"/>
      <c r="G198" s="29"/>
      <c r="H198" s="23" t="str">
        <f t="shared" si="851"/>
        <v/>
      </c>
      <c r="I198" s="9" t="s">
        <v>11</v>
      </c>
      <c r="J198"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8" s="15" t="s">
        <v>1</v>
      </c>
      <c r="L198" s="36">
        <f t="shared" si="856"/>
        <v>0</v>
      </c>
      <c r="M198" s="32" t="str">
        <f t="shared" si="852"/>
        <v>0303506</v>
      </c>
      <c r="N198" s="28" t="s">
        <v>284</v>
      </c>
      <c r="O198" s="28" t="str">
        <f t="shared" si="857"/>
        <v>0303506-OffMed-LightingHighLPD</v>
      </c>
      <c r="P198" s="36">
        <f t="shared" si="806"/>
        <v>1</v>
      </c>
      <c r="Q198" s="36">
        <f t="shared" si="806"/>
        <v>1</v>
      </c>
      <c r="R198" s="36">
        <f t="shared" si="806"/>
        <v>0</v>
      </c>
      <c r="S198" s="36">
        <f t="shared" si="806"/>
        <v>1</v>
      </c>
      <c r="T198" s="36">
        <f t="shared" si="806"/>
        <v>0</v>
      </c>
      <c r="U198" s="36">
        <f t="shared" si="806"/>
        <v>8</v>
      </c>
      <c r="V198" s="36">
        <f t="shared" si="806"/>
        <v>8</v>
      </c>
      <c r="W198" s="36">
        <f t="shared" si="806"/>
        <v>1</v>
      </c>
      <c r="X198" s="36">
        <f t="shared" si="806"/>
        <v>0</v>
      </c>
      <c r="Y198" s="36">
        <f t="shared" si="806"/>
        <v>0</v>
      </c>
      <c r="Z198" s="36">
        <f t="shared" si="806"/>
        <v>0</v>
      </c>
      <c r="AA198" s="36">
        <f t="shared" si="806"/>
        <v>0</v>
      </c>
      <c r="AB198" s="36">
        <f t="shared" si="806"/>
        <v>0</v>
      </c>
      <c r="AC198" s="36">
        <f t="shared" si="806"/>
        <v>0</v>
      </c>
      <c r="AD198" s="36">
        <f t="shared" si="806"/>
        <v>0</v>
      </c>
      <c r="AE198" s="36">
        <f t="shared" si="876"/>
        <v>0</v>
      </c>
      <c r="AF198" s="36">
        <f t="shared" si="876"/>
        <v>0</v>
      </c>
      <c r="AG198" s="36">
        <f t="shared" ref="AG198:AH198" si="892">AG197</f>
        <v>0</v>
      </c>
      <c r="AH198" s="36">
        <f t="shared" si="892"/>
        <v>0</v>
      </c>
      <c r="AI198" s="36">
        <f t="shared" ref="AI198" si="893">AI197</f>
        <v>0</v>
      </c>
      <c r="AJ198" s="36">
        <f t="shared" si="806"/>
        <v>0</v>
      </c>
      <c r="AK198" s="36">
        <f t="shared" si="881"/>
        <v>0</v>
      </c>
      <c r="AL198" s="36">
        <f t="shared" si="881"/>
        <v>0</v>
      </c>
      <c r="AM198" s="36">
        <f t="shared" si="881"/>
        <v>0</v>
      </c>
      <c r="AN198" s="36">
        <f t="shared" si="881"/>
        <v>0</v>
      </c>
      <c r="AO198" s="36">
        <f t="shared" si="881"/>
        <v>0</v>
      </c>
      <c r="AP198" s="36">
        <f t="shared" si="881"/>
        <v>0</v>
      </c>
      <c r="AQ198" s="36">
        <f t="shared" si="881"/>
        <v>0</v>
      </c>
      <c r="AR198" s="36">
        <f t="shared" si="881"/>
        <v>0</v>
      </c>
      <c r="AS198" s="31" t="str">
        <f t="shared" si="861"/>
        <v>SimulationStorage,1,</v>
      </c>
      <c r="AT198" s="31" t="str">
        <f t="shared" si="862"/>
        <v>AnalysisStorage,1,</v>
      </c>
      <c r="AU198" s="31" t="str">
        <f t="shared" si="863"/>
        <v>LogRuleEvaluation,0,</v>
      </c>
      <c r="AV198" s="31" t="str">
        <f t="shared" si="864"/>
        <v>ParallelSimulations,1,</v>
      </c>
      <c r="AW198" s="31" t="str">
        <f t="shared" si="865"/>
        <v>DurationStats,0,</v>
      </c>
      <c r="AX198" s="31" t="str">
        <f t="shared" si="866"/>
        <v>AnalysisThruStep,8,</v>
      </c>
      <c r="AY198" s="31" t="str">
        <f t="shared" si="867"/>
        <v>DontAbortOnErrorsThruStep,8,</v>
      </c>
      <c r="AZ198" s="31" t="str">
        <f t="shared" si="868"/>
        <v>BypassValidFileChecks,1,</v>
      </c>
      <c r="BA198" s="31" t="str">
        <f t="shared" si="869"/>
        <v>BypassInputChecks,0,</v>
      </c>
      <c r="BB198" s="31" t="str">
        <f t="shared" si="870"/>
        <v>BypassUMLHChecks,0,</v>
      </c>
      <c r="BC198" s="31" t="str">
        <f t="shared" si="871"/>
        <v>BypassCheckSimRules,0,</v>
      </c>
      <c r="BD198" s="31" t="str">
        <f t="shared" si="872"/>
        <v>BypassCheckCodeRules,0,</v>
      </c>
      <c r="BE198" s="31" t="str">
        <f t="shared" si="830"/>
        <v>StoreResultsToModelInput,0,</v>
      </c>
      <c r="BF198" s="31" t="str">
        <f t="shared" si="831"/>
        <v>StoreBEMDetails,0,</v>
      </c>
      <c r="BG198" s="31" t="str">
        <f t="shared" si="832"/>
        <v>ModelRpt_ALL,0,</v>
      </c>
      <c r="BH198" s="31" t="str">
        <f t="shared" si="833"/>
        <v>ExportHourlyResults_All,0,</v>
      </c>
      <c r="BI198" s="31" t="str">
        <f t="shared" si="834"/>
        <v>ComplianceReportPDF,0,</v>
      </c>
      <c r="BJ198" s="31" t="str">
        <f t="shared" si="835"/>
        <v>ComplianceReportXML,0,</v>
      </c>
      <c r="BK198" s="31" t="str">
        <f t="shared" si="836"/>
        <v>QuickAnalysis,0,</v>
      </c>
      <c r="BL198" s="31" t="str">
        <f t="shared" si="836"/>
        <v>PromptUserUMLHWarning,0,</v>
      </c>
      <c r="BM198" s="31" t="str">
        <f t="shared" si="837"/>
        <v>BypassOpenStudio_all,0,</v>
      </c>
      <c r="BN198" s="31" t="str">
        <f t="shared" si="838"/>
        <v>BypassOpenStudio_zp,0,</v>
      </c>
      <c r="BO198" s="31" t="str">
        <f t="shared" si="839"/>
        <v>BypassOpenStudio_zb,0,</v>
      </c>
      <c r="BP198" s="31" t="str">
        <f t="shared" si="840"/>
        <v>BypassOpenStudio_ap,0,</v>
      </c>
      <c r="BQ198" s="31" t="str">
        <f t="shared" si="841"/>
        <v>BypassOpenStudio_ab,0,</v>
      </c>
      <c r="BR198" s="31" t="str">
        <f t="shared" si="842"/>
        <v>BypassOpenStudio_zp,0,</v>
      </c>
      <c r="BS198" s="31" t="str">
        <f t="shared" si="843"/>
        <v>BypassOpenStudio_zb,0,</v>
      </c>
      <c r="BT198" s="31" t="str">
        <f t="shared" si="844"/>
        <v>BypassOpenStudio_ap,0,</v>
      </c>
      <c r="BU198" s="31" t="str">
        <f t="shared" si="845"/>
        <v>BypassOpenStudio_ab,0,</v>
      </c>
    </row>
    <row r="199" spans="1:73" x14ac:dyDescent="0.25">
      <c r="A199" s="39">
        <f t="shared" si="846"/>
        <v>0</v>
      </c>
      <c r="B199" s="27" t="str">
        <f t="shared" si="847"/>
        <v>SoftwareSensitivityTests\StreamlinedApprovalSet\0303015-OffMed-LightingLowLPD.cibd</v>
      </c>
      <c r="C199" s="27" t="str">
        <f t="shared" si="848"/>
        <v>BatchOut_160331_r3964_SSTs\0303015-OffMed-LightingLowLPD.cibd</v>
      </c>
      <c r="D199" s="27" t="str">
        <f t="shared" si="849"/>
        <v>BatchOut_160331_r3964_SSTs\XML\</v>
      </c>
      <c r="E199" s="9" t="str">
        <f t="shared" si="850"/>
        <v>0303015</v>
      </c>
      <c r="F199" s="22"/>
      <c r="G199" s="29"/>
      <c r="H199" s="23" t="str">
        <f t="shared" si="851"/>
        <v/>
      </c>
      <c r="I199" s="9" t="s">
        <v>11</v>
      </c>
      <c r="J199"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9" s="15" t="s">
        <v>1</v>
      </c>
      <c r="L199" s="36">
        <f t="shared" si="856"/>
        <v>0</v>
      </c>
      <c r="M199" s="32" t="str">
        <f t="shared" si="852"/>
        <v>0303015</v>
      </c>
      <c r="N199" s="28" t="s">
        <v>285</v>
      </c>
      <c r="O199" s="28" t="str">
        <f t="shared" si="857"/>
        <v>0303015-OffMed-LightingLowLPD</v>
      </c>
      <c r="P199" s="36">
        <f t="shared" si="806"/>
        <v>1</v>
      </c>
      <c r="Q199" s="36">
        <f t="shared" si="806"/>
        <v>1</v>
      </c>
      <c r="R199" s="36">
        <f t="shared" si="806"/>
        <v>0</v>
      </c>
      <c r="S199" s="36">
        <f t="shared" si="806"/>
        <v>1</v>
      </c>
      <c r="T199" s="36">
        <f t="shared" si="806"/>
        <v>0</v>
      </c>
      <c r="U199" s="36">
        <f t="shared" si="806"/>
        <v>8</v>
      </c>
      <c r="V199" s="36">
        <f t="shared" si="806"/>
        <v>8</v>
      </c>
      <c r="W199" s="36">
        <f t="shared" si="806"/>
        <v>1</v>
      </c>
      <c r="X199" s="36">
        <f t="shared" si="806"/>
        <v>0</v>
      </c>
      <c r="Y199" s="36">
        <f t="shared" si="806"/>
        <v>0</v>
      </c>
      <c r="Z199" s="36">
        <f t="shared" si="806"/>
        <v>0</v>
      </c>
      <c r="AA199" s="36">
        <f t="shared" si="806"/>
        <v>0</v>
      </c>
      <c r="AB199" s="36">
        <f t="shared" si="806"/>
        <v>0</v>
      </c>
      <c r="AC199" s="36">
        <f t="shared" si="806"/>
        <v>0</v>
      </c>
      <c r="AD199" s="36">
        <f t="shared" si="806"/>
        <v>0</v>
      </c>
      <c r="AE199" s="36">
        <f t="shared" si="876"/>
        <v>0</v>
      </c>
      <c r="AF199" s="36">
        <f t="shared" si="876"/>
        <v>0</v>
      </c>
      <c r="AG199" s="36">
        <f t="shared" ref="AG199:AH199" si="894">AG198</f>
        <v>0</v>
      </c>
      <c r="AH199" s="36">
        <f t="shared" si="894"/>
        <v>0</v>
      </c>
      <c r="AI199" s="36">
        <f t="shared" ref="AI199" si="895">AI198</f>
        <v>0</v>
      </c>
      <c r="AJ199" s="36">
        <f t="shared" si="806"/>
        <v>0</v>
      </c>
      <c r="AK199" s="36">
        <f t="shared" si="881"/>
        <v>0</v>
      </c>
      <c r="AL199" s="36">
        <f t="shared" si="881"/>
        <v>0</v>
      </c>
      <c r="AM199" s="36">
        <f t="shared" si="881"/>
        <v>0</v>
      </c>
      <c r="AN199" s="36">
        <f t="shared" si="881"/>
        <v>0</v>
      </c>
      <c r="AO199" s="36">
        <f t="shared" si="881"/>
        <v>0</v>
      </c>
      <c r="AP199" s="36">
        <f t="shared" si="881"/>
        <v>0</v>
      </c>
      <c r="AQ199" s="36">
        <f t="shared" si="881"/>
        <v>0</v>
      </c>
      <c r="AR199" s="36">
        <f t="shared" si="881"/>
        <v>0</v>
      </c>
      <c r="AS199" s="31" t="str">
        <f t="shared" si="861"/>
        <v>SimulationStorage,1,</v>
      </c>
      <c r="AT199" s="31" t="str">
        <f t="shared" si="862"/>
        <v>AnalysisStorage,1,</v>
      </c>
      <c r="AU199" s="31" t="str">
        <f t="shared" si="863"/>
        <v>LogRuleEvaluation,0,</v>
      </c>
      <c r="AV199" s="31" t="str">
        <f t="shared" si="864"/>
        <v>ParallelSimulations,1,</v>
      </c>
      <c r="AW199" s="31" t="str">
        <f t="shared" si="865"/>
        <v>DurationStats,0,</v>
      </c>
      <c r="AX199" s="31" t="str">
        <f t="shared" si="866"/>
        <v>AnalysisThruStep,8,</v>
      </c>
      <c r="AY199" s="31" t="str">
        <f t="shared" si="867"/>
        <v>DontAbortOnErrorsThruStep,8,</v>
      </c>
      <c r="AZ199" s="31" t="str">
        <f t="shared" si="868"/>
        <v>BypassValidFileChecks,1,</v>
      </c>
      <c r="BA199" s="31" t="str">
        <f t="shared" si="869"/>
        <v>BypassInputChecks,0,</v>
      </c>
      <c r="BB199" s="31" t="str">
        <f t="shared" si="870"/>
        <v>BypassUMLHChecks,0,</v>
      </c>
      <c r="BC199" s="31" t="str">
        <f t="shared" si="871"/>
        <v>BypassCheckSimRules,0,</v>
      </c>
      <c r="BD199" s="31" t="str">
        <f t="shared" si="872"/>
        <v>BypassCheckCodeRules,0,</v>
      </c>
      <c r="BE199" s="31" t="str">
        <f t="shared" si="830"/>
        <v>StoreResultsToModelInput,0,</v>
      </c>
      <c r="BF199" s="31" t="str">
        <f t="shared" si="831"/>
        <v>StoreBEMDetails,0,</v>
      </c>
      <c r="BG199" s="31" t="str">
        <f t="shared" si="832"/>
        <v>ModelRpt_ALL,0,</v>
      </c>
      <c r="BH199" s="31" t="str">
        <f t="shared" si="833"/>
        <v>ExportHourlyResults_All,0,</v>
      </c>
      <c r="BI199" s="31" t="str">
        <f t="shared" si="834"/>
        <v>ComplianceReportPDF,0,</v>
      </c>
      <c r="BJ199" s="31" t="str">
        <f t="shared" si="835"/>
        <v>ComplianceReportXML,0,</v>
      </c>
      <c r="BK199" s="31" t="str">
        <f t="shared" si="836"/>
        <v>QuickAnalysis,0,</v>
      </c>
      <c r="BL199" s="31" t="str">
        <f t="shared" si="836"/>
        <v>PromptUserUMLHWarning,0,</v>
      </c>
      <c r="BM199" s="31" t="str">
        <f t="shared" si="837"/>
        <v>BypassOpenStudio_all,0,</v>
      </c>
      <c r="BN199" s="31" t="str">
        <f t="shared" si="838"/>
        <v>BypassOpenStudio_zp,0,</v>
      </c>
      <c r="BO199" s="31" t="str">
        <f t="shared" si="839"/>
        <v>BypassOpenStudio_zb,0,</v>
      </c>
      <c r="BP199" s="31" t="str">
        <f t="shared" si="840"/>
        <v>BypassOpenStudio_ap,0,</v>
      </c>
      <c r="BQ199" s="31" t="str">
        <f t="shared" si="841"/>
        <v>BypassOpenStudio_ab,0,</v>
      </c>
      <c r="BR199" s="31" t="str">
        <f t="shared" si="842"/>
        <v>BypassOpenStudio_zp,0,</v>
      </c>
      <c r="BS199" s="31" t="str">
        <f t="shared" si="843"/>
        <v>BypassOpenStudio_zb,0,</v>
      </c>
      <c r="BT199" s="31" t="str">
        <f t="shared" si="844"/>
        <v>BypassOpenStudio_ap,0,</v>
      </c>
      <c r="BU199" s="31" t="str">
        <f t="shared" si="845"/>
        <v>BypassOpenStudio_ab,0,</v>
      </c>
    </row>
    <row r="200" spans="1:73" x14ac:dyDescent="0.25">
      <c r="A200" s="39">
        <f t="shared" si="846"/>
        <v>0</v>
      </c>
      <c r="B200" s="27" t="str">
        <f t="shared" si="847"/>
        <v>SoftwareSensitivityTests\StreamlinedApprovalSet\0306815-OffMed-HVACPVAV Design.cibd</v>
      </c>
      <c r="C200" s="27" t="str">
        <f t="shared" si="848"/>
        <v>BatchOut_160331_r3964_SSTs\0306815-OffMed-HVACPVAV Design.cibd</v>
      </c>
      <c r="D200" s="27" t="str">
        <f t="shared" si="849"/>
        <v>BatchOut_160331_r3964_SSTs\XML\</v>
      </c>
      <c r="E200" s="9" t="str">
        <f t="shared" si="850"/>
        <v>0306815</v>
      </c>
      <c r="F200" s="22"/>
      <c r="G200" s="29"/>
      <c r="H200" s="23" t="str">
        <f t="shared" si="851"/>
        <v/>
      </c>
      <c r="I200" s="9" t="s">
        <v>11</v>
      </c>
      <c r="J200"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0" s="15" t="s">
        <v>1</v>
      </c>
      <c r="L200" s="36">
        <f t="shared" si="856"/>
        <v>0</v>
      </c>
      <c r="M200" s="32" t="str">
        <f t="shared" si="852"/>
        <v>0306815</v>
      </c>
      <c r="N200" s="28" t="s">
        <v>286</v>
      </c>
      <c r="O200" s="28" t="str">
        <f t="shared" si="857"/>
        <v>0306815-OffMed-HVACPVAV Design</v>
      </c>
      <c r="P200" s="36">
        <f t="shared" si="806"/>
        <v>1</v>
      </c>
      <c r="Q200" s="36">
        <f t="shared" si="806"/>
        <v>1</v>
      </c>
      <c r="R200" s="36">
        <f t="shared" si="806"/>
        <v>0</v>
      </c>
      <c r="S200" s="36">
        <f t="shared" si="806"/>
        <v>1</v>
      </c>
      <c r="T200" s="36">
        <f t="shared" si="806"/>
        <v>0</v>
      </c>
      <c r="U200" s="36">
        <f t="shared" si="806"/>
        <v>8</v>
      </c>
      <c r="V200" s="36">
        <f t="shared" si="806"/>
        <v>8</v>
      </c>
      <c r="W200" s="36">
        <f t="shared" ref="W200:AQ215" si="896">W199</f>
        <v>1</v>
      </c>
      <c r="X200" s="36">
        <f t="shared" si="896"/>
        <v>0</v>
      </c>
      <c r="Y200" s="36">
        <f t="shared" si="896"/>
        <v>0</v>
      </c>
      <c r="Z200" s="36">
        <f t="shared" si="896"/>
        <v>0</v>
      </c>
      <c r="AA200" s="36">
        <f t="shared" si="896"/>
        <v>0</v>
      </c>
      <c r="AB200" s="36">
        <f t="shared" si="896"/>
        <v>0</v>
      </c>
      <c r="AC200" s="36">
        <f t="shared" si="896"/>
        <v>0</v>
      </c>
      <c r="AD200" s="36">
        <f t="shared" si="896"/>
        <v>0</v>
      </c>
      <c r="AE200" s="36">
        <f t="shared" ref="AE200:AF200" si="897">AE199</f>
        <v>0</v>
      </c>
      <c r="AF200" s="36">
        <f t="shared" si="897"/>
        <v>0</v>
      </c>
      <c r="AG200" s="36">
        <f t="shared" ref="AG200:AH200" si="898">AG199</f>
        <v>0</v>
      </c>
      <c r="AH200" s="36">
        <f t="shared" si="898"/>
        <v>0</v>
      </c>
      <c r="AI200" s="36">
        <f t="shared" ref="AI200" si="899">AI199</f>
        <v>0</v>
      </c>
      <c r="AJ200" s="36">
        <f t="shared" si="896"/>
        <v>0</v>
      </c>
      <c r="AK200" s="36">
        <f t="shared" si="881"/>
        <v>0</v>
      </c>
      <c r="AL200" s="36">
        <f t="shared" si="881"/>
        <v>0</v>
      </c>
      <c r="AM200" s="36">
        <f t="shared" si="881"/>
        <v>0</v>
      </c>
      <c r="AN200" s="36">
        <f t="shared" si="881"/>
        <v>0</v>
      </c>
      <c r="AO200" s="36">
        <f t="shared" si="881"/>
        <v>0</v>
      </c>
      <c r="AP200" s="36">
        <f t="shared" si="881"/>
        <v>0</v>
      </c>
      <c r="AQ200" s="36">
        <f t="shared" si="881"/>
        <v>0</v>
      </c>
      <c r="AR200" s="36">
        <f t="shared" si="881"/>
        <v>0</v>
      </c>
      <c r="AS200" s="31" t="str">
        <f t="shared" si="861"/>
        <v>SimulationStorage,1,</v>
      </c>
      <c r="AT200" s="31" t="str">
        <f t="shared" si="862"/>
        <v>AnalysisStorage,1,</v>
      </c>
      <c r="AU200" s="31" t="str">
        <f t="shared" si="863"/>
        <v>LogRuleEvaluation,0,</v>
      </c>
      <c r="AV200" s="31" t="str">
        <f t="shared" si="864"/>
        <v>ParallelSimulations,1,</v>
      </c>
      <c r="AW200" s="31" t="str">
        <f t="shared" si="865"/>
        <v>DurationStats,0,</v>
      </c>
      <c r="AX200" s="31" t="str">
        <f t="shared" si="866"/>
        <v>AnalysisThruStep,8,</v>
      </c>
      <c r="AY200" s="31" t="str">
        <f t="shared" si="867"/>
        <v>DontAbortOnErrorsThruStep,8,</v>
      </c>
      <c r="AZ200" s="31" t="str">
        <f t="shared" si="868"/>
        <v>BypassValidFileChecks,1,</v>
      </c>
      <c r="BA200" s="31" t="str">
        <f t="shared" si="869"/>
        <v>BypassInputChecks,0,</v>
      </c>
      <c r="BB200" s="31" t="str">
        <f t="shared" si="870"/>
        <v>BypassUMLHChecks,0,</v>
      </c>
      <c r="BC200" s="31" t="str">
        <f t="shared" si="871"/>
        <v>BypassCheckSimRules,0,</v>
      </c>
      <c r="BD200" s="31" t="str">
        <f t="shared" si="872"/>
        <v>BypassCheckCodeRules,0,</v>
      </c>
      <c r="BE200" s="31" t="str">
        <f t="shared" si="830"/>
        <v>StoreResultsToModelInput,0,</v>
      </c>
      <c r="BF200" s="31" t="str">
        <f t="shared" si="831"/>
        <v>StoreBEMDetails,0,</v>
      </c>
      <c r="BG200" s="31" t="str">
        <f t="shared" si="832"/>
        <v>ModelRpt_ALL,0,</v>
      </c>
      <c r="BH200" s="31" t="str">
        <f t="shared" si="833"/>
        <v>ExportHourlyResults_All,0,</v>
      </c>
      <c r="BI200" s="31" t="str">
        <f t="shared" si="834"/>
        <v>ComplianceReportPDF,0,</v>
      </c>
      <c r="BJ200" s="31" t="str">
        <f t="shared" si="835"/>
        <v>ComplianceReportXML,0,</v>
      </c>
      <c r="BK200" s="31" t="str">
        <f t="shared" si="836"/>
        <v>QuickAnalysis,0,</v>
      </c>
      <c r="BL200" s="31" t="str">
        <f t="shared" si="836"/>
        <v>PromptUserUMLHWarning,0,</v>
      </c>
      <c r="BM200" s="31" t="str">
        <f t="shared" si="837"/>
        <v>BypassOpenStudio_all,0,</v>
      </c>
      <c r="BN200" s="31" t="str">
        <f t="shared" si="838"/>
        <v>BypassOpenStudio_zp,0,</v>
      </c>
      <c r="BO200" s="31" t="str">
        <f t="shared" si="839"/>
        <v>BypassOpenStudio_zb,0,</v>
      </c>
      <c r="BP200" s="31" t="str">
        <f t="shared" si="840"/>
        <v>BypassOpenStudio_ap,0,</v>
      </c>
      <c r="BQ200" s="31" t="str">
        <f t="shared" si="841"/>
        <v>BypassOpenStudio_ab,0,</v>
      </c>
      <c r="BR200" s="31" t="str">
        <f t="shared" si="842"/>
        <v>BypassOpenStudio_zp,0,</v>
      </c>
      <c r="BS200" s="31" t="str">
        <f t="shared" si="843"/>
        <v>BypassOpenStudio_zb,0,</v>
      </c>
      <c r="BT200" s="31" t="str">
        <f t="shared" si="844"/>
        <v>BypassOpenStudio_ap,0,</v>
      </c>
      <c r="BU200" s="31" t="str">
        <f t="shared" si="845"/>
        <v>BypassOpenStudio_ab,0,</v>
      </c>
    </row>
    <row r="201" spans="1:73" x14ac:dyDescent="0.25">
      <c r="A201" s="39">
        <f t="shared" si="846"/>
        <v>0</v>
      </c>
      <c r="B201" s="27" t="str">
        <f t="shared" si="847"/>
        <v>SoftwareSensitivityTests\StreamlinedApprovalSet\0306915-OffMed-HVACPVAV SATControl.cibd</v>
      </c>
      <c r="C201" s="27" t="str">
        <f t="shared" si="848"/>
        <v>BatchOut_160331_r3964_SSTs\0306915-OffMed-HVACPVAV SATControl.cibd</v>
      </c>
      <c r="D201" s="27" t="str">
        <f t="shared" si="849"/>
        <v>BatchOut_160331_r3964_SSTs\XML\</v>
      </c>
      <c r="E201" s="9" t="str">
        <f t="shared" si="850"/>
        <v>0306915</v>
      </c>
      <c r="F201" s="22"/>
      <c r="G201" s="29"/>
      <c r="H201" s="23" t="str">
        <f t="shared" si="851"/>
        <v/>
      </c>
      <c r="I201" s="9" t="s">
        <v>11</v>
      </c>
      <c r="J201"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1" s="15" t="s">
        <v>1</v>
      </c>
      <c r="L201" s="36">
        <f t="shared" si="856"/>
        <v>0</v>
      </c>
      <c r="M201" s="32" t="str">
        <f t="shared" si="852"/>
        <v>0306915</v>
      </c>
      <c r="N201" s="28" t="s">
        <v>287</v>
      </c>
      <c r="O201" s="28" t="str">
        <f t="shared" si="857"/>
        <v>0306915-OffMed-HVACPVAV SATControl</v>
      </c>
      <c r="P201" s="36">
        <f t="shared" ref="P201:AJ225" si="900">P200</f>
        <v>1</v>
      </c>
      <c r="Q201" s="36">
        <f t="shared" si="900"/>
        <v>1</v>
      </c>
      <c r="R201" s="36">
        <f t="shared" si="900"/>
        <v>0</v>
      </c>
      <c r="S201" s="36">
        <f t="shared" si="900"/>
        <v>1</v>
      </c>
      <c r="T201" s="36">
        <f t="shared" si="900"/>
        <v>0</v>
      </c>
      <c r="U201" s="36">
        <f t="shared" si="900"/>
        <v>8</v>
      </c>
      <c r="V201" s="36">
        <f t="shared" si="900"/>
        <v>8</v>
      </c>
      <c r="W201" s="36">
        <f t="shared" si="896"/>
        <v>1</v>
      </c>
      <c r="X201" s="36">
        <f t="shared" si="896"/>
        <v>0</v>
      </c>
      <c r="Y201" s="36">
        <f t="shared" si="896"/>
        <v>0</v>
      </c>
      <c r="Z201" s="36">
        <f t="shared" si="896"/>
        <v>0</v>
      </c>
      <c r="AA201" s="36">
        <f t="shared" si="896"/>
        <v>0</v>
      </c>
      <c r="AB201" s="36">
        <f t="shared" si="896"/>
        <v>0</v>
      </c>
      <c r="AC201" s="36">
        <f t="shared" si="896"/>
        <v>0</v>
      </c>
      <c r="AD201" s="36">
        <f t="shared" si="896"/>
        <v>0</v>
      </c>
      <c r="AE201" s="36">
        <f t="shared" ref="AE201:AF201" si="901">AE200</f>
        <v>0</v>
      </c>
      <c r="AF201" s="36">
        <f t="shared" si="901"/>
        <v>0</v>
      </c>
      <c r="AG201" s="36">
        <f t="shared" ref="AG201:AH201" si="902">AG200</f>
        <v>0</v>
      </c>
      <c r="AH201" s="36">
        <f t="shared" si="902"/>
        <v>0</v>
      </c>
      <c r="AI201" s="36">
        <f t="shared" ref="AI201" si="903">AI200</f>
        <v>0</v>
      </c>
      <c r="AJ201" s="36">
        <f t="shared" si="896"/>
        <v>0</v>
      </c>
      <c r="AK201" s="36">
        <f t="shared" si="881"/>
        <v>0</v>
      </c>
      <c r="AL201" s="36">
        <f t="shared" si="881"/>
        <v>0</v>
      </c>
      <c r="AM201" s="36">
        <f t="shared" si="881"/>
        <v>0</v>
      </c>
      <c r="AN201" s="36">
        <f t="shared" si="881"/>
        <v>0</v>
      </c>
      <c r="AO201" s="36">
        <f t="shared" si="881"/>
        <v>0</v>
      </c>
      <c r="AP201" s="36">
        <f t="shared" si="881"/>
        <v>0</v>
      </c>
      <c r="AQ201" s="36">
        <f t="shared" si="881"/>
        <v>0</v>
      </c>
      <c r="AR201" s="36">
        <f t="shared" si="881"/>
        <v>0</v>
      </c>
      <c r="AS201" s="31" t="str">
        <f t="shared" si="861"/>
        <v>SimulationStorage,1,</v>
      </c>
      <c r="AT201" s="31" t="str">
        <f t="shared" si="862"/>
        <v>AnalysisStorage,1,</v>
      </c>
      <c r="AU201" s="31" t="str">
        <f t="shared" si="863"/>
        <v>LogRuleEvaluation,0,</v>
      </c>
      <c r="AV201" s="31" t="str">
        <f t="shared" si="864"/>
        <v>ParallelSimulations,1,</v>
      </c>
      <c r="AW201" s="31" t="str">
        <f t="shared" si="865"/>
        <v>DurationStats,0,</v>
      </c>
      <c r="AX201" s="31" t="str">
        <f t="shared" si="866"/>
        <v>AnalysisThruStep,8,</v>
      </c>
      <c r="AY201" s="31" t="str">
        <f t="shared" si="867"/>
        <v>DontAbortOnErrorsThruStep,8,</v>
      </c>
      <c r="AZ201" s="31" t="str">
        <f t="shared" si="868"/>
        <v>BypassValidFileChecks,1,</v>
      </c>
      <c r="BA201" s="31" t="str">
        <f t="shared" si="869"/>
        <v>BypassInputChecks,0,</v>
      </c>
      <c r="BB201" s="31" t="str">
        <f t="shared" si="870"/>
        <v>BypassUMLHChecks,0,</v>
      </c>
      <c r="BC201" s="31" t="str">
        <f t="shared" si="871"/>
        <v>BypassCheckSimRules,0,</v>
      </c>
      <c r="BD201" s="31" t="str">
        <f t="shared" si="872"/>
        <v>BypassCheckCodeRules,0,</v>
      </c>
      <c r="BE201" s="31" t="str">
        <f t="shared" si="830"/>
        <v>StoreResultsToModelInput,0,</v>
      </c>
      <c r="BF201" s="31" t="str">
        <f t="shared" si="831"/>
        <v>StoreBEMDetails,0,</v>
      </c>
      <c r="BG201" s="31" t="str">
        <f t="shared" si="832"/>
        <v>ModelRpt_ALL,0,</v>
      </c>
      <c r="BH201" s="31" t="str">
        <f t="shared" si="833"/>
        <v>ExportHourlyResults_All,0,</v>
      </c>
      <c r="BI201" s="31" t="str">
        <f t="shared" si="834"/>
        <v>ComplianceReportPDF,0,</v>
      </c>
      <c r="BJ201" s="31" t="str">
        <f t="shared" si="835"/>
        <v>ComplianceReportXML,0,</v>
      </c>
      <c r="BK201" s="31" t="str">
        <f t="shared" si="836"/>
        <v>QuickAnalysis,0,</v>
      </c>
      <c r="BL201" s="31" t="str">
        <f t="shared" si="836"/>
        <v>PromptUserUMLHWarning,0,</v>
      </c>
      <c r="BM201" s="31" t="str">
        <f t="shared" si="837"/>
        <v>BypassOpenStudio_all,0,</v>
      </c>
      <c r="BN201" s="31" t="str">
        <f t="shared" si="838"/>
        <v>BypassOpenStudio_zp,0,</v>
      </c>
      <c r="BO201" s="31" t="str">
        <f t="shared" si="839"/>
        <v>BypassOpenStudio_zb,0,</v>
      </c>
      <c r="BP201" s="31" t="str">
        <f t="shared" si="840"/>
        <v>BypassOpenStudio_ap,0,</v>
      </c>
      <c r="BQ201" s="31" t="str">
        <f t="shared" si="841"/>
        <v>BypassOpenStudio_ab,0,</v>
      </c>
      <c r="BR201" s="31" t="str">
        <f t="shared" si="842"/>
        <v>BypassOpenStudio_zp,0,</v>
      </c>
      <c r="BS201" s="31" t="str">
        <f t="shared" si="843"/>
        <v>BypassOpenStudio_zb,0,</v>
      </c>
      <c r="BT201" s="31" t="str">
        <f t="shared" si="844"/>
        <v>BypassOpenStudio_ap,0,</v>
      </c>
      <c r="BU201" s="31" t="str">
        <f t="shared" si="845"/>
        <v>BypassOpenStudio_ab,0,</v>
      </c>
    </row>
    <row r="202" spans="1:73" x14ac:dyDescent="0.25">
      <c r="A202" s="39">
        <f t="shared" si="846"/>
        <v>0</v>
      </c>
      <c r="B202" s="27" t="str">
        <f t="shared" si="847"/>
        <v>SoftwareSensitivityTests\StreamlinedApprovalSet\0307115-OffMed-HVACPVAV EconomizerType.cibd</v>
      </c>
      <c r="C202" s="27" t="str">
        <f t="shared" si="848"/>
        <v>BatchOut_160331_r3964_SSTs\0307115-OffMed-HVACPVAV EconomizerType.cibd</v>
      </c>
      <c r="D202" s="27" t="str">
        <f t="shared" si="849"/>
        <v>BatchOut_160331_r3964_SSTs\XML\</v>
      </c>
      <c r="E202" s="9" t="str">
        <f t="shared" si="850"/>
        <v>0307115</v>
      </c>
      <c r="F202" s="22"/>
      <c r="G202" s="29"/>
      <c r="H202" s="23" t="str">
        <f t="shared" si="851"/>
        <v/>
      </c>
      <c r="I202" s="9" t="s">
        <v>11</v>
      </c>
      <c r="J202"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2" s="15" t="s">
        <v>1</v>
      </c>
      <c r="L202" s="36">
        <f t="shared" si="856"/>
        <v>0</v>
      </c>
      <c r="M202" s="32" t="str">
        <f t="shared" si="852"/>
        <v>0307115</v>
      </c>
      <c r="N202" s="28" t="s">
        <v>288</v>
      </c>
      <c r="O202" s="28" t="str">
        <f t="shared" si="857"/>
        <v>0307115-OffMed-HVACPVAV EconomizerType</v>
      </c>
      <c r="P202" s="36">
        <f t="shared" si="900"/>
        <v>1</v>
      </c>
      <c r="Q202" s="36">
        <f t="shared" si="900"/>
        <v>1</v>
      </c>
      <c r="R202" s="36">
        <f t="shared" si="900"/>
        <v>0</v>
      </c>
      <c r="S202" s="36">
        <f t="shared" si="900"/>
        <v>1</v>
      </c>
      <c r="T202" s="36">
        <f t="shared" si="900"/>
        <v>0</v>
      </c>
      <c r="U202" s="36">
        <f t="shared" si="900"/>
        <v>8</v>
      </c>
      <c r="V202" s="36">
        <f t="shared" si="900"/>
        <v>8</v>
      </c>
      <c r="W202" s="36">
        <f t="shared" si="896"/>
        <v>1</v>
      </c>
      <c r="X202" s="36">
        <f t="shared" si="896"/>
        <v>0</v>
      </c>
      <c r="Y202" s="36">
        <f t="shared" si="896"/>
        <v>0</v>
      </c>
      <c r="Z202" s="36">
        <f t="shared" si="896"/>
        <v>0</v>
      </c>
      <c r="AA202" s="36">
        <f t="shared" si="896"/>
        <v>0</v>
      </c>
      <c r="AB202" s="36">
        <f t="shared" si="896"/>
        <v>0</v>
      </c>
      <c r="AC202" s="36">
        <f t="shared" si="896"/>
        <v>0</v>
      </c>
      <c r="AD202" s="36">
        <f t="shared" si="896"/>
        <v>0</v>
      </c>
      <c r="AE202" s="36">
        <f t="shared" ref="AE202:AF202" si="904">AE201</f>
        <v>0</v>
      </c>
      <c r="AF202" s="36">
        <f t="shared" si="904"/>
        <v>0</v>
      </c>
      <c r="AG202" s="36">
        <f t="shared" ref="AG202:AH202" si="905">AG201</f>
        <v>0</v>
      </c>
      <c r="AH202" s="36">
        <f t="shared" si="905"/>
        <v>0</v>
      </c>
      <c r="AI202" s="36">
        <f t="shared" ref="AI202" si="906">AI201</f>
        <v>0</v>
      </c>
      <c r="AJ202" s="36">
        <f t="shared" si="896"/>
        <v>0</v>
      </c>
      <c r="AK202" s="36">
        <f t="shared" si="881"/>
        <v>0</v>
      </c>
      <c r="AL202" s="36">
        <f t="shared" si="881"/>
        <v>0</v>
      </c>
      <c r="AM202" s="36">
        <f t="shared" si="881"/>
        <v>0</v>
      </c>
      <c r="AN202" s="36">
        <f t="shared" si="881"/>
        <v>0</v>
      </c>
      <c r="AO202" s="36">
        <f t="shared" si="881"/>
        <v>0</v>
      </c>
      <c r="AP202" s="36">
        <f t="shared" si="881"/>
        <v>0</v>
      </c>
      <c r="AQ202" s="36">
        <f t="shared" si="881"/>
        <v>0</v>
      </c>
      <c r="AR202" s="36">
        <f t="shared" si="881"/>
        <v>0</v>
      </c>
      <c r="AS202" s="31" t="str">
        <f t="shared" si="861"/>
        <v>SimulationStorage,1,</v>
      </c>
      <c r="AT202" s="31" t="str">
        <f t="shared" si="862"/>
        <v>AnalysisStorage,1,</v>
      </c>
      <c r="AU202" s="31" t="str">
        <f t="shared" si="863"/>
        <v>LogRuleEvaluation,0,</v>
      </c>
      <c r="AV202" s="31" t="str">
        <f t="shared" si="864"/>
        <v>ParallelSimulations,1,</v>
      </c>
      <c r="AW202" s="31" t="str">
        <f t="shared" si="865"/>
        <v>DurationStats,0,</v>
      </c>
      <c r="AX202" s="31" t="str">
        <f t="shared" si="866"/>
        <v>AnalysisThruStep,8,</v>
      </c>
      <c r="AY202" s="31" t="str">
        <f t="shared" si="867"/>
        <v>DontAbortOnErrorsThruStep,8,</v>
      </c>
      <c r="AZ202" s="31" t="str">
        <f t="shared" si="868"/>
        <v>BypassValidFileChecks,1,</v>
      </c>
      <c r="BA202" s="31" t="str">
        <f t="shared" si="869"/>
        <v>BypassInputChecks,0,</v>
      </c>
      <c r="BB202" s="31" t="str">
        <f t="shared" si="870"/>
        <v>BypassUMLHChecks,0,</v>
      </c>
      <c r="BC202" s="31" t="str">
        <f t="shared" si="871"/>
        <v>BypassCheckSimRules,0,</v>
      </c>
      <c r="BD202" s="31" t="str">
        <f t="shared" si="872"/>
        <v>BypassCheckCodeRules,0,</v>
      </c>
      <c r="BE202" s="31" t="str">
        <f t="shared" si="830"/>
        <v>StoreResultsToModelInput,0,</v>
      </c>
      <c r="BF202" s="31" t="str">
        <f t="shared" si="831"/>
        <v>StoreBEMDetails,0,</v>
      </c>
      <c r="BG202" s="31" t="str">
        <f t="shared" si="832"/>
        <v>ModelRpt_ALL,0,</v>
      </c>
      <c r="BH202" s="31" t="str">
        <f t="shared" si="833"/>
        <v>ExportHourlyResults_All,0,</v>
      </c>
      <c r="BI202" s="31" t="str">
        <f t="shared" si="834"/>
        <v>ComplianceReportPDF,0,</v>
      </c>
      <c r="BJ202" s="31" t="str">
        <f t="shared" si="835"/>
        <v>ComplianceReportXML,0,</v>
      </c>
      <c r="BK202" s="31" t="str">
        <f t="shared" si="836"/>
        <v>QuickAnalysis,0,</v>
      </c>
      <c r="BL202" s="31" t="str">
        <f t="shared" si="836"/>
        <v>PromptUserUMLHWarning,0,</v>
      </c>
      <c r="BM202" s="31" t="str">
        <f t="shared" si="837"/>
        <v>BypassOpenStudio_all,0,</v>
      </c>
      <c r="BN202" s="31" t="str">
        <f t="shared" si="838"/>
        <v>BypassOpenStudio_zp,0,</v>
      </c>
      <c r="BO202" s="31" t="str">
        <f t="shared" si="839"/>
        <v>BypassOpenStudio_zb,0,</v>
      </c>
      <c r="BP202" s="31" t="str">
        <f t="shared" si="840"/>
        <v>BypassOpenStudio_ap,0,</v>
      </c>
      <c r="BQ202" s="31" t="str">
        <f t="shared" si="841"/>
        <v>BypassOpenStudio_ab,0,</v>
      </c>
      <c r="BR202" s="31" t="str">
        <f t="shared" si="842"/>
        <v>BypassOpenStudio_zp,0,</v>
      </c>
      <c r="BS202" s="31" t="str">
        <f t="shared" si="843"/>
        <v>BypassOpenStudio_zb,0,</v>
      </c>
      <c r="BT202" s="31" t="str">
        <f t="shared" si="844"/>
        <v>BypassOpenStudio_ap,0,</v>
      </c>
      <c r="BU202" s="31" t="str">
        <f t="shared" si="845"/>
        <v>BypassOpenStudio_ab,0,</v>
      </c>
    </row>
    <row r="203" spans="1:73" x14ac:dyDescent="0.25">
      <c r="A203" s="39">
        <f t="shared" si="846"/>
        <v>0</v>
      </c>
      <c r="B203" s="27" t="str">
        <f t="shared" si="847"/>
        <v>SoftwareSensitivityTests\StreamlinedApprovalSet\0307606-OffMed-HVACPVAV Design.cibd</v>
      </c>
      <c r="C203" s="27" t="str">
        <f t="shared" si="848"/>
        <v>BatchOut_160331_r3964_SSTs\0307606-OffMed-HVACPVAV Design.cibd</v>
      </c>
      <c r="D203" s="27" t="str">
        <f t="shared" si="849"/>
        <v>BatchOut_160331_r3964_SSTs\XML\</v>
      </c>
      <c r="E203" s="9" t="str">
        <f t="shared" si="850"/>
        <v>0307606</v>
      </c>
      <c r="F203" s="22"/>
      <c r="G203" s="29"/>
      <c r="H203" s="23" t="str">
        <f t="shared" si="851"/>
        <v/>
      </c>
      <c r="I203" s="9" t="s">
        <v>11</v>
      </c>
      <c r="J203"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3" s="15" t="s">
        <v>1</v>
      </c>
      <c r="L203" s="36">
        <f t="shared" si="856"/>
        <v>0</v>
      </c>
      <c r="M203" s="32" t="str">
        <f t="shared" si="852"/>
        <v>0307606</v>
      </c>
      <c r="N203" s="28" t="s">
        <v>289</v>
      </c>
      <c r="O203" s="28" t="str">
        <f t="shared" si="857"/>
        <v>0307606-OffMed-HVACPVAV Design</v>
      </c>
      <c r="P203" s="36">
        <f t="shared" si="900"/>
        <v>1</v>
      </c>
      <c r="Q203" s="36">
        <f t="shared" si="900"/>
        <v>1</v>
      </c>
      <c r="R203" s="36">
        <f t="shared" si="900"/>
        <v>0</v>
      </c>
      <c r="S203" s="36">
        <f t="shared" si="900"/>
        <v>1</v>
      </c>
      <c r="T203" s="36">
        <f t="shared" si="900"/>
        <v>0</v>
      </c>
      <c r="U203" s="36">
        <f t="shared" si="900"/>
        <v>8</v>
      </c>
      <c r="V203" s="36">
        <f t="shared" si="900"/>
        <v>8</v>
      </c>
      <c r="W203" s="36">
        <f t="shared" si="896"/>
        <v>1</v>
      </c>
      <c r="X203" s="36">
        <f t="shared" si="896"/>
        <v>0</v>
      </c>
      <c r="Y203" s="36">
        <f t="shared" si="896"/>
        <v>0</v>
      </c>
      <c r="Z203" s="36">
        <f t="shared" si="896"/>
        <v>0</v>
      </c>
      <c r="AA203" s="36">
        <f t="shared" si="896"/>
        <v>0</v>
      </c>
      <c r="AB203" s="36">
        <f t="shared" si="896"/>
        <v>0</v>
      </c>
      <c r="AC203" s="36">
        <f t="shared" si="896"/>
        <v>0</v>
      </c>
      <c r="AD203" s="36">
        <f t="shared" si="896"/>
        <v>0</v>
      </c>
      <c r="AE203" s="36">
        <f t="shared" ref="AE203:AF203" si="907">AE202</f>
        <v>0</v>
      </c>
      <c r="AF203" s="36">
        <f t="shared" si="907"/>
        <v>0</v>
      </c>
      <c r="AG203" s="36">
        <f t="shared" ref="AG203:AH203" si="908">AG202</f>
        <v>0</v>
      </c>
      <c r="AH203" s="36">
        <f t="shared" si="908"/>
        <v>0</v>
      </c>
      <c r="AI203" s="36">
        <f t="shared" ref="AI203" si="909">AI202</f>
        <v>0</v>
      </c>
      <c r="AJ203" s="36">
        <f t="shared" si="896"/>
        <v>0</v>
      </c>
      <c r="AK203" s="36">
        <f t="shared" si="881"/>
        <v>0</v>
      </c>
      <c r="AL203" s="36">
        <f t="shared" si="881"/>
        <v>0</v>
      </c>
      <c r="AM203" s="36">
        <f t="shared" si="881"/>
        <v>0</v>
      </c>
      <c r="AN203" s="36">
        <f t="shared" si="881"/>
        <v>0</v>
      </c>
      <c r="AO203" s="36">
        <f t="shared" si="881"/>
        <v>0</v>
      </c>
      <c r="AP203" s="36">
        <f t="shared" si="881"/>
        <v>0</v>
      </c>
      <c r="AQ203" s="36">
        <f t="shared" si="881"/>
        <v>0</v>
      </c>
      <c r="AR203" s="36">
        <f t="shared" si="881"/>
        <v>0</v>
      </c>
      <c r="AS203" s="31" t="str">
        <f t="shared" si="861"/>
        <v>SimulationStorage,1,</v>
      </c>
      <c r="AT203" s="31" t="str">
        <f t="shared" si="862"/>
        <v>AnalysisStorage,1,</v>
      </c>
      <c r="AU203" s="31" t="str">
        <f t="shared" si="863"/>
        <v>LogRuleEvaluation,0,</v>
      </c>
      <c r="AV203" s="31" t="str">
        <f t="shared" si="864"/>
        <v>ParallelSimulations,1,</v>
      </c>
      <c r="AW203" s="31" t="str">
        <f t="shared" si="865"/>
        <v>DurationStats,0,</v>
      </c>
      <c r="AX203" s="31" t="str">
        <f t="shared" si="866"/>
        <v>AnalysisThruStep,8,</v>
      </c>
      <c r="AY203" s="31" t="str">
        <f t="shared" si="867"/>
        <v>DontAbortOnErrorsThruStep,8,</v>
      </c>
      <c r="AZ203" s="31" t="str">
        <f t="shared" si="868"/>
        <v>BypassValidFileChecks,1,</v>
      </c>
      <c r="BA203" s="31" t="str">
        <f t="shared" si="869"/>
        <v>BypassInputChecks,0,</v>
      </c>
      <c r="BB203" s="31" t="str">
        <f t="shared" si="870"/>
        <v>BypassUMLHChecks,0,</v>
      </c>
      <c r="BC203" s="31" t="str">
        <f t="shared" si="871"/>
        <v>BypassCheckSimRules,0,</v>
      </c>
      <c r="BD203" s="31" t="str">
        <f t="shared" si="872"/>
        <v>BypassCheckCodeRules,0,</v>
      </c>
      <c r="BE203" s="31" t="str">
        <f t="shared" si="830"/>
        <v>StoreResultsToModelInput,0,</v>
      </c>
      <c r="BF203" s="31" t="str">
        <f t="shared" si="831"/>
        <v>StoreBEMDetails,0,</v>
      </c>
      <c r="BG203" s="31" t="str">
        <f t="shared" si="832"/>
        <v>ModelRpt_ALL,0,</v>
      </c>
      <c r="BH203" s="31" t="str">
        <f t="shared" si="833"/>
        <v>ExportHourlyResults_All,0,</v>
      </c>
      <c r="BI203" s="31" t="str">
        <f t="shared" si="834"/>
        <v>ComplianceReportPDF,0,</v>
      </c>
      <c r="BJ203" s="31" t="str">
        <f t="shared" si="835"/>
        <v>ComplianceReportXML,0,</v>
      </c>
      <c r="BK203" s="31" t="str">
        <f t="shared" si="836"/>
        <v>QuickAnalysis,0,</v>
      </c>
      <c r="BL203" s="31" t="str">
        <f t="shared" si="836"/>
        <v>PromptUserUMLHWarning,0,</v>
      </c>
      <c r="BM203" s="31" t="str">
        <f t="shared" si="837"/>
        <v>BypassOpenStudio_all,0,</v>
      </c>
      <c r="BN203" s="31" t="str">
        <f t="shared" si="838"/>
        <v>BypassOpenStudio_zp,0,</v>
      </c>
      <c r="BO203" s="31" t="str">
        <f t="shared" si="839"/>
        <v>BypassOpenStudio_zb,0,</v>
      </c>
      <c r="BP203" s="31" t="str">
        <f t="shared" si="840"/>
        <v>BypassOpenStudio_ap,0,</v>
      </c>
      <c r="BQ203" s="31" t="str">
        <f t="shared" si="841"/>
        <v>BypassOpenStudio_ab,0,</v>
      </c>
      <c r="BR203" s="31" t="str">
        <f t="shared" si="842"/>
        <v>BypassOpenStudio_zp,0,</v>
      </c>
      <c r="BS203" s="31" t="str">
        <f t="shared" si="843"/>
        <v>BypassOpenStudio_zb,0,</v>
      </c>
      <c r="BT203" s="31" t="str">
        <f t="shared" si="844"/>
        <v>BypassOpenStudio_ap,0,</v>
      </c>
      <c r="BU203" s="31" t="str">
        <f t="shared" si="845"/>
        <v>BypassOpenStudio_ab,0,</v>
      </c>
    </row>
    <row r="204" spans="1:73" x14ac:dyDescent="0.25">
      <c r="A204" s="39">
        <f t="shared" si="846"/>
        <v>0</v>
      </c>
      <c r="B204" s="27" t="str">
        <f t="shared" si="847"/>
        <v>SoftwareSensitivityTests\StreamlinedApprovalSet\0307906-OffMed-HVACPVAV EconomizerType.cibd</v>
      </c>
      <c r="C204" s="27" t="str">
        <f t="shared" si="848"/>
        <v>BatchOut_160331_r3964_SSTs\0307906-OffMed-HVACPVAV EconomizerType.cibd</v>
      </c>
      <c r="D204" s="27" t="str">
        <f t="shared" si="849"/>
        <v>BatchOut_160331_r3964_SSTs\XML\</v>
      </c>
      <c r="E204" s="9" t="str">
        <f t="shared" si="850"/>
        <v>0307906</v>
      </c>
      <c r="F204" s="22"/>
      <c r="G204" s="29"/>
      <c r="H204" s="23" t="str">
        <f t="shared" si="851"/>
        <v/>
      </c>
      <c r="I204" s="9" t="s">
        <v>11</v>
      </c>
      <c r="J204"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4" s="15" t="s">
        <v>1</v>
      </c>
      <c r="L204" s="36">
        <f t="shared" si="856"/>
        <v>0</v>
      </c>
      <c r="M204" s="32" t="str">
        <f t="shared" si="852"/>
        <v>0307906</v>
      </c>
      <c r="N204" s="28" t="s">
        <v>290</v>
      </c>
      <c r="O204" s="28" t="str">
        <f t="shared" si="857"/>
        <v>0307906-OffMed-HVACPVAV EconomizerType</v>
      </c>
      <c r="P204" s="36">
        <f t="shared" si="900"/>
        <v>1</v>
      </c>
      <c r="Q204" s="36">
        <f t="shared" si="900"/>
        <v>1</v>
      </c>
      <c r="R204" s="36">
        <f t="shared" si="900"/>
        <v>0</v>
      </c>
      <c r="S204" s="36">
        <f t="shared" si="900"/>
        <v>1</v>
      </c>
      <c r="T204" s="36">
        <f t="shared" si="900"/>
        <v>0</v>
      </c>
      <c r="U204" s="36">
        <f t="shared" si="900"/>
        <v>8</v>
      </c>
      <c r="V204" s="36">
        <f t="shared" si="900"/>
        <v>8</v>
      </c>
      <c r="W204" s="36">
        <f t="shared" si="896"/>
        <v>1</v>
      </c>
      <c r="X204" s="36">
        <f t="shared" si="896"/>
        <v>0</v>
      </c>
      <c r="Y204" s="36">
        <f t="shared" si="896"/>
        <v>0</v>
      </c>
      <c r="Z204" s="36">
        <f t="shared" si="896"/>
        <v>0</v>
      </c>
      <c r="AA204" s="36">
        <f t="shared" si="896"/>
        <v>0</v>
      </c>
      <c r="AB204" s="36">
        <f t="shared" si="896"/>
        <v>0</v>
      </c>
      <c r="AC204" s="36">
        <f t="shared" si="896"/>
        <v>0</v>
      </c>
      <c r="AD204" s="36">
        <f t="shared" si="896"/>
        <v>0</v>
      </c>
      <c r="AE204" s="36">
        <f t="shared" ref="AE204:AF204" si="910">AE203</f>
        <v>0</v>
      </c>
      <c r="AF204" s="36">
        <f t="shared" si="910"/>
        <v>0</v>
      </c>
      <c r="AG204" s="36">
        <f t="shared" ref="AG204:AH204" si="911">AG203</f>
        <v>0</v>
      </c>
      <c r="AH204" s="36">
        <f t="shared" si="911"/>
        <v>0</v>
      </c>
      <c r="AI204" s="36">
        <f t="shared" ref="AI204" si="912">AI203</f>
        <v>0</v>
      </c>
      <c r="AJ204" s="36">
        <f t="shared" si="896"/>
        <v>0</v>
      </c>
      <c r="AK204" s="36">
        <f t="shared" si="881"/>
        <v>0</v>
      </c>
      <c r="AL204" s="36">
        <f t="shared" si="881"/>
        <v>0</v>
      </c>
      <c r="AM204" s="36">
        <f t="shared" si="881"/>
        <v>0</v>
      </c>
      <c r="AN204" s="36">
        <f t="shared" si="881"/>
        <v>0</v>
      </c>
      <c r="AO204" s="36">
        <f t="shared" si="881"/>
        <v>0</v>
      </c>
      <c r="AP204" s="36">
        <f t="shared" si="881"/>
        <v>0</v>
      </c>
      <c r="AQ204" s="36">
        <f t="shared" si="881"/>
        <v>0</v>
      </c>
      <c r="AR204" s="36">
        <f t="shared" si="881"/>
        <v>0</v>
      </c>
      <c r="AS204" s="31" t="str">
        <f t="shared" si="861"/>
        <v>SimulationStorage,1,</v>
      </c>
      <c r="AT204" s="31" t="str">
        <f t="shared" si="862"/>
        <v>AnalysisStorage,1,</v>
      </c>
      <c r="AU204" s="31" t="str">
        <f t="shared" si="863"/>
        <v>LogRuleEvaluation,0,</v>
      </c>
      <c r="AV204" s="31" t="str">
        <f t="shared" si="864"/>
        <v>ParallelSimulations,1,</v>
      </c>
      <c r="AW204" s="31" t="str">
        <f t="shared" si="865"/>
        <v>DurationStats,0,</v>
      </c>
      <c r="AX204" s="31" t="str">
        <f t="shared" si="866"/>
        <v>AnalysisThruStep,8,</v>
      </c>
      <c r="AY204" s="31" t="str">
        <f t="shared" si="867"/>
        <v>DontAbortOnErrorsThruStep,8,</v>
      </c>
      <c r="AZ204" s="31" t="str">
        <f t="shared" si="868"/>
        <v>BypassValidFileChecks,1,</v>
      </c>
      <c r="BA204" s="31" t="str">
        <f t="shared" si="869"/>
        <v>BypassInputChecks,0,</v>
      </c>
      <c r="BB204" s="31" t="str">
        <f t="shared" si="870"/>
        <v>BypassUMLHChecks,0,</v>
      </c>
      <c r="BC204" s="31" t="str">
        <f t="shared" si="871"/>
        <v>BypassCheckSimRules,0,</v>
      </c>
      <c r="BD204" s="31" t="str">
        <f t="shared" si="872"/>
        <v>BypassCheckCodeRules,0,</v>
      </c>
      <c r="BE204" s="31" t="str">
        <f t="shared" si="830"/>
        <v>StoreResultsToModelInput,0,</v>
      </c>
      <c r="BF204" s="31" t="str">
        <f t="shared" si="831"/>
        <v>StoreBEMDetails,0,</v>
      </c>
      <c r="BG204" s="31" t="str">
        <f t="shared" si="832"/>
        <v>ModelRpt_ALL,0,</v>
      </c>
      <c r="BH204" s="31" t="str">
        <f t="shared" si="833"/>
        <v>ExportHourlyResults_All,0,</v>
      </c>
      <c r="BI204" s="31" t="str">
        <f t="shared" si="834"/>
        <v>ComplianceReportPDF,0,</v>
      </c>
      <c r="BJ204" s="31" t="str">
        <f t="shared" si="835"/>
        <v>ComplianceReportXML,0,</v>
      </c>
      <c r="BK204" s="31" t="str">
        <f t="shared" si="836"/>
        <v>QuickAnalysis,0,</v>
      </c>
      <c r="BL204" s="31" t="str">
        <f t="shared" si="836"/>
        <v>PromptUserUMLHWarning,0,</v>
      </c>
      <c r="BM204" s="31" t="str">
        <f t="shared" si="837"/>
        <v>BypassOpenStudio_all,0,</v>
      </c>
      <c r="BN204" s="31" t="str">
        <f t="shared" si="838"/>
        <v>BypassOpenStudio_zp,0,</v>
      </c>
      <c r="BO204" s="31" t="str">
        <f t="shared" si="839"/>
        <v>BypassOpenStudio_zb,0,</v>
      </c>
      <c r="BP204" s="31" t="str">
        <f t="shared" si="840"/>
        <v>BypassOpenStudio_ap,0,</v>
      </c>
      <c r="BQ204" s="31" t="str">
        <f t="shared" si="841"/>
        <v>BypassOpenStudio_ab,0,</v>
      </c>
      <c r="BR204" s="31" t="str">
        <f t="shared" si="842"/>
        <v>BypassOpenStudio_zp,0,</v>
      </c>
      <c r="BS204" s="31" t="str">
        <f t="shared" si="843"/>
        <v>BypassOpenStudio_zb,0,</v>
      </c>
      <c r="BT204" s="31" t="str">
        <f t="shared" si="844"/>
        <v>BypassOpenStudio_ap,0,</v>
      </c>
      <c r="BU204" s="31" t="str">
        <f t="shared" si="845"/>
        <v>BypassOpenStudio_ab,0,</v>
      </c>
    </row>
    <row r="205" spans="1:73" x14ac:dyDescent="0.25">
      <c r="A205" s="39">
        <f t="shared" si="846"/>
        <v>0</v>
      </c>
      <c r="B205" s="27" t="str">
        <f t="shared" si="847"/>
        <v>SoftwareSensitivityTests\StreamlinedApprovalSet\0307706-OffMed-HVACPVAV SATControl.cibd</v>
      </c>
      <c r="C205" s="27" t="str">
        <f t="shared" si="848"/>
        <v>BatchOut_160331_r3964_SSTs\0307706-OffMed-HVACPVAV SATControl.cibd</v>
      </c>
      <c r="D205" s="27" t="str">
        <f t="shared" si="849"/>
        <v>BatchOut_160331_r3964_SSTs\XML\</v>
      </c>
      <c r="E205" s="9" t="str">
        <f t="shared" si="850"/>
        <v>0307706</v>
      </c>
      <c r="F205" s="22"/>
      <c r="G205" s="29"/>
      <c r="H205" s="23" t="str">
        <f t="shared" si="851"/>
        <v/>
      </c>
      <c r="I205" s="9" t="s">
        <v>11</v>
      </c>
      <c r="J205"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5" s="15" t="s">
        <v>1</v>
      </c>
      <c r="L205" s="36">
        <f t="shared" si="856"/>
        <v>0</v>
      </c>
      <c r="M205" s="32" t="str">
        <f t="shared" si="852"/>
        <v>0307706</v>
      </c>
      <c r="N205" s="28" t="s">
        <v>291</v>
      </c>
      <c r="O205" s="28" t="str">
        <f t="shared" si="857"/>
        <v>0307706-OffMed-HVACPVAV SATControl</v>
      </c>
      <c r="P205" s="36">
        <f t="shared" si="900"/>
        <v>1</v>
      </c>
      <c r="Q205" s="36">
        <f t="shared" si="900"/>
        <v>1</v>
      </c>
      <c r="R205" s="36">
        <f t="shared" si="900"/>
        <v>0</v>
      </c>
      <c r="S205" s="36">
        <f t="shared" si="900"/>
        <v>1</v>
      </c>
      <c r="T205" s="36">
        <f t="shared" si="900"/>
        <v>0</v>
      </c>
      <c r="U205" s="36">
        <f t="shared" si="900"/>
        <v>8</v>
      </c>
      <c r="V205" s="36">
        <f t="shared" si="900"/>
        <v>8</v>
      </c>
      <c r="W205" s="36">
        <f t="shared" si="896"/>
        <v>1</v>
      </c>
      <c r="X205" s="36">
        <f t="shared" si="896"/>
        <v>0</v>
      </c>
      <c r="Y205" s="36">
        <f t="shared" si="896"/>
        <v>0</v>
      </c>
      <c r="Z205" s="36">
        <f t="shared" si="896"/>
        <v>0</v>
      </c>
      <c r="AA205" s="36">
        <f t="shared" si="896"/>
        <v>0</v>
      </c>
      <c r="AB205" s="36">
        <f t="shared" si="896"/>
        <v>0</v>
      </c>
      <c r="AC205" s="36">
        <f t="shared" si="896"/>
        <v>0</v>
      </c>
      <c r="AD205" s="36">
        <f t="shared" si="896"/>
        <v>0</v>
      </c>
      <c r="AE205" s="36">
        <f t="shared" ref="AE205:AF205" si="913">AE204</f>
        <v>0</v>
      </c>
      <c r="AF205" s="36">
        <f t="shared" si="913"/>
        <v>0</v>
      </c>
      <c r="AG205" s="36">
        <f t="shared" ref="AG205:AH205" si="914">AG204</f>
        <v>0</v>
      </c>
      <c r="AH205" s="36">
        <f t="shared" si="914"/>
        <v>0</v>
      </c>
      <c r="AI205" s="36">
        <f t="shared" ref="AI205" si="915">AI204</f>
        <v>0</v>
      </c>
      <c r="AJ205" s="36">
        <f t="shared" si="896"/>
        <v>0</v>
      </c>
      <c r="AK205" s="36">
        <f t="shared" si="881"/>
        <v>0</v>
      </c>
      <c r="AL205" s="36">
        <f t="shared" si="881"/>
        <v>0</v>
      </c>
      <c r="AM205" s="36">
        <f t="shared" si="881"/>
        <v>0</v>
      </c>
      <c r="AN205" s="36">
        <f t="shared" si="881"/>
        <v>0</v>
      </c>
      <c r="AO205" s="36">
        <f t="shared" si="881"/>
        <v>0</v>
      </c>
      <c r="AP205" s="36">
        <f t="shared" si="881"/>
        <v>0</v>
      </c>
      <c r="AQ205" s="36">
        <f t="shared" si="881"/>
        <v>0</v>
      </c>
      <c r="AR205" s="36">
        <f t="shared" si="881"/>
        <v>0</v>
      </c>
      <c r="AS205" s="31" t="str">
        <f t="shared" si="861"/>
        <v>SimulationStorage,1,</v>
      </c>
      <c r="AT205" s="31" t="str">
        <f t="shared" si="862"/>
        <v>AnalysisStorage,1,</v>
      </c>
      <c r="AU205" s="31" t="str">
        <f t="shared" si="863"/>
        <v>LogRuleEvaluation,0,</v>
      </c>
      <c r="AV205" s="31" t="str">
        <f t="shared" si="864"/>
        <v>ParallelSimulations,1,</v>
      </c>
      <c r="AW205" s="31" t="str">
        <f t="shared" si="865"/>
        <v>DurationStats,0,</v>
      </c>
      <c r="AX205" s="31" t="str">
        <f t="shared" si="866"/>
        <v>AnalysisThruStep,8,</v>
      </c>
      <c r="AY205" s="31" t="str">
        <f t="shared" si="867"/>
        <v>DontAbortOnErrorsThruStep,8,</v>
      </c>
      <c r="AZ205" s="31" t="str">
        <f t="shared" si="868"/>
        <v>BypassValidFileChecks,1,</v>
      </c>
      <c r="BA205" s="31" t="str">
        <f t="shared" si="869"/>
        <v>BypassInputChecks,0,</v>
      </c>
      <c r="BB205" s="31" t="str">
        <f t="shared" si="870"/>
        <v>BypassUMLHChecks,0,</v>
      </c>
      <c r="BC205" s="31" t="str">
        <f t="shared" si="871"/>
        <v>BypassCheckSimRules,0,</v>
      </c>
      <c r="BD205" s="31" t="str">
        <f t="shared" si="872"/>
        <v>BypassCheckCodeRules,0,</v>
      </c>
      <c r="BE205" s="31" t="str">
        <f t="shared" si="830"/>
        <v>StoreResultsToModelInput,0,</v>
      </c>
      <c r="BF205" s="31" t="str">
        <f t="shared" si="831"/>
        <v>StoreBEMDetails,0,</v>
      </c>
      <c r="BG205" s="31" t="str">
        <f t="shared" si="832"/>
        <v>ModelRpt_ALL,0,</v>
      </c>
      <c r="BH205" s="31" t="str">
        <f t="shared" si="833"/>
        <v>ExportHourlyResults_All,0,</v>
      </c>
      <c r="BI205" s="31" t="str">
        <f t="shared" si="834"/>
        <v>ComplianceReportPDF,0,</v>
      </c>
      <c r="BJ205" s="31" t="str">
        <f t="shared" si="835"/>
        <v>ComplianceReportXML,0,</v>
      </c>
      <c r="BK205" s="31" t="str">
        <f t="shared" si="836"/>
        <v>QuickAnalysis,0,</v>
      </c>
      <c r="BL205" s="31" t="str">
        <f t="shared" si="836"/>
        <v>PromptUserUMLHWarning,0,</v>
      </c>
      <c r="BM205" s="31" t="str">
        <f t="shared" si="837"/>
        <v>BypassOpenStudio_all,0,</v>
      </c>
      <c r="BN205" s="31" t="str">
        <f t="shared" si="838"/>
        <v>BypassOpenStudio_zp,0,</v>
      </c>
      <c r="BO205" s="31" t="str">
        <f t="shared" si="839"/>
        <v>BypassOpenStudio_zb,0,</v>
      </c>
      <c r="BP205" s="31" t="str">
        <f t="shared" si="840"/>
        <v>BypassOpenStudio_ap,0,</v>
      </c>
      <c r="BQ205" s="31" t="str">
        <f t="shared" si="841"/>
        <v>BypassOpenStudio_ab,0,</v>
      </c>
      <c r="BR205" s="31" t="str">
        <f t="shared" si="842"/>
        <v>BypassOpenStudio_zp,0,</v>
      </c>
      <c r="BS205" s="31" t="str">
        <f t="shared" si="843"/>
        <v>BypassOpenStudio_zb,0,</v>
      </c>
      <c r="BT205" s="31" t="str">
        <f t="shared" si="844"/>
        <v>BypassOpenStudio_ap,0,</v>
      </c>
      <c r="BU205" s="31" t="str">
        <f t="shared" si="845"/>
        <v>BypassOpenStudio_ab,0,</v>
      </c>
    </row>
    <row r="206" spans="1:73" x14ac:dyDescent="0.25">
      <c r="A206" s="39">
        <f t="shared" si="846"/>
        <v>0</v>
      </c>
      <c r="B206" s="27" t="str">
        <f t="shared" si="847"/>
        <v>SoftwareSensitivityTests\StreamlinedApprovalSet\x.cibd</v>
      </c>
      <c r="C206" s="27" t="str">
        <f t="shared" si="848"/>
        <v>BatchOut_160331_r3964_SSTs\x.cibd</v>
      </c>
      <c r="D206" s="27" t="str">
        <f t="shared" si="849"/>
        <v>BatchOut_160331_r3964_SSTs\XML\</v>
      </c>
      <c r="E206" s="9" t="str">
        <f t="shared" si="850"/>
        <v>x</v>
      </c>
      <c r="F206" s="22"/>
      <c r="G206" s="29"/>
      <c r="H206" s="23" t="str">
        <f t="shared" si="851"/>
        <v/>
      </c>
      <c r="I206" s="9" t="s">
        <v>11</v>
      </c>
      <c r="J206"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6" s="15" t="s">
        <v>1</v>
      </c>
      <c r="L206" s="36">
        <v>0</v>
      </c>
      <c r="M206" s="32" t="str">
        <f t="shared" si="852"/>
        <v>x</v>
      </c>
      <c r="N206" s="28" t="s">
        <v>269</v>
      </c>
      <c r="O206" s="28" t="str">
        <f t="shared" si="857"/>
        <v>x</v>
      </c>
      <c r="P206" s="36">
        <f t="shared" si="900"/>
        <v>1</v>
      </c>
      <c r="Q206" s="36">
        <f t="shared" si="900"/>
        <v>1</v>
      </c>
      <c r="R206" s="36">
        <f t="shared" si="900"/>
        <v>0</v>
      </c>
      <c r="S206" s="36">
        <f t="shared" si="900"/>
        <v>1</v>
      </c>
      <c r="T206" s="36">
        <f t="shared" si="900"/>
        <v>0</v>
      </c>
      <c r="U206" s="36">
        <f t="shared" si="900"/>
        <v>8</v>
      </c>
      <c r="V206" s="36">
        <f t="shared" si="900"/>
        <v>8</v>
      </c>
      <c r="W206" s="36">
        <f t="shared" si="896"/>
        <v>1</v>
      </c>
      <c r="X206" s="36">
        <f t="shared" si="896"/>
        <v>0</v>
      </c>
      <c r="Y206" s="36">
        <f t="shared" si="896"/>
        <v>0</v>
      </c>
      <c r="Z206" s="36">
        <f t="shared" si="896"/>
        <v>0</v>
      </c>
      <c r="AA206" s="36">
        <f t="shared" si="896"/>
        <v>0</v>
      </c>
      <c r="AB206" s="36">
        <f t="shared" si="896"/>
        <v>0</v>
      </c>
      <c r="AC206" s="36">
        <f t="shared" si="896"/>
        <v>0</v>
      </c>
      <c r="AD206" s="36">
        <f t="shared" si="896"/>
        <v>0</v>
      </c>
      <c r="AE206" s="36">
        <f t="shared" ref="AE206:AF206" si="916">AE205</f>
        <v>0</v>
      </c>
      <c r="AF206" s="36">
        <f t="shared" si="916"/>
        <v>0</v>
      </c>
      <c r="AG206" s="36">
        <f t="shared" ref="AG206:AH206" si="917">AG205</f>
        <v>0</v>
      </c>
      <c r="AH206" s="36">
        <f t="shared" si="917"/>
        <v>0</v>
      </c>
      <c r="AI206" s="36">
        <f t="shared" ref="AI206" si="918">AI205</f>
        <v>0</v>
      </c>
      <c r="AJ206" s="36">
        <f t="shared" si="896"/>
        <v>0</v>
      </c>
      <c r="AK206" s="36">
        <f t="shared" si="881"/>
        <v>0</v>
      </c>
      <c r="AL206" s="36">
        <f t="shared" si="881"/>
        <v>0</v>
      </c>
      <c r="AM206" s="36">
        <f t="shared" si="881"/>
        <v>0</v>
      </c>
      <c r="AN206" s="36">
        <f t="shared" si="881"/>
        <v>0</v>
      </c>
      <c r="AO206" s="36">
        <f t="shared" si="881"/>
        <v>0</v>
      </c>
      <c r="AP206" s="36">
        <f t="shared" si="881"/>
        <v>0</v>
      </c>
      <c r="AQ206" s="36">
        <f t="shared" si="881"/>
        <v>0</v>
      </c>
      <c r="AR206" s="36">
        <f t="shared" si="881"/>
        <v>0</v>
      </c>
      <c r="AS206" s="31" t="str">
        <f t="shared" si="861"/>
        <v>SimulationStorage,1,</v>
      </c>
      <c r="AT206" s="31" t="str">
        <f t="shared" si="862"/>
        <v>AnalysisStorage,1,</v>
      </c>
      <c r="AU206" s="31" t="str">
        <f t="shared" si="863"/>
        <v>LogRuleEvaluation,0,</v>
      </c>
      <c r="AV206" s="31" t="str">
        <f t="shared" si="864"/>
        <v>ParallelSimulations,1,</v>
      </c>
      <c r="AW206" s="31" t="str">
        <f t="shared" si="865"/>
        <v>DurationStats,0,</v>
      </c>
      <c r="AX206" s="31" t="str">
        <f t="shared" si="866"/>
        <v>AnalysisThruStep,8,</v>
      </c>
      <c r="AY206" s="31" t="str">
        <f t="shared" si="867"/>
        <v>DontAbortOnErrorsThruStep,8,</v>
      </c>
      <c r="AZ206" s="31" t="str">
        <f t="shared" si="868"/>
        <v>BypassValidFileChecks,1,</v>
      </c>
      <c r="BA206" s="31" t="str">
        <f t="shared" si="869"/>
        <v>BypassInputChecks,0,</v>
      </c>
      <c r="BB206" s="31" t="str">
        <f t="shared" si="870"/>
        <v>BypassUMLHChecks,0,</v>
      </c>
      <c r="BC206" s="31" t="str">
        <f t="shared" si="871"/>
        <v>BypassCheckSimRules,0,</v>
      </c>
      <c r="BD206" s="31" t="str">
        <f t="shared" si="872"/>
        <v>BypassCheckCodeRules,0,</v>
      </c>
      <c r="BE206" s="31" t="str">
        <f t="shared" si="830"/>
        <v>StoreResultsToModelInput,0,</v>
      </c>
      <c r="BF206" s="31" t="str">
        <f t="shared" si="831"/>
        <v>StoreBEMDetails,0,</v>
      </c>
      <c r="BG206" s="31" t="str">
        <f t="shared" si="832"/>
        <v>ModelRpt_ALL,0,</v>
      </c>
      <c r="BH206" s="31" t="str">
        <f t="shared" si="833"/>
        <v>ExportHourlyResults_All,0,</v>
      </c>
      <c r="BI206" s="31" t="str">
        <f t="shared" si="834"/>
        <v>ComplianceReportPDF,0,</v>
      </c>
      <c r="BJ206" s="31" t="str">
        <f t="shared" si="835"/>
        <v>ComplianceReportXML,0,</v>
      </c>
      <c r="BK206" s="31" t="str">
        <f t="shared" si="836"/>
        <v>QuickAnalysis,0,</v>
      </c>
      <c r="BL206" s="31" t="str">
        <f t="shared" si="836"/>
        <v>PromptUserUMLHWarning,0,</v>
      </c>
      <c r="BM206" s="31" t="str">
        <f t="shared" si="837"/>
        <v>BypassOpenStudio_all,0,</v>
      </c>
      <c r="BN206" s="31" t="str">
        <f t="shared" si="838"/>
        <v>BypassOpenStudio_zp,0,</v>
      </c>
      <c r="BO206" s="31" t="str">
        <f t="shared" si="839"/>
        <v>BypassOpenStudio_zb,0,</v>
      </c>
      <c r="BP206" s="31" t="str">
        <f t="shared" si="840"/>
        <v>BypassOpenStudio_ap,0,</v>
      </c>
      <c r="BQ206" s="31" t="str">
        <f t="shared" si="841"/>
        <v>BypassOpenStudio_ab,0,</v>
      </c>
      <c r="BR206" s="31" t="str">
        <f t="shared" si="842"/>
        <v>BypassOpenStudio_zp,0,</v>
      </c>
      <c r="BS206" s="31" t="str">
        <f t="shared" si="843"/>
        <v>BypassOpenStudio_zb,0,</v>
      </c>
      <c r="BT206" s="31" t="str">
        <f t="shared" si="844"/>
        <v>BypassOpenStudio_ap,0,</v>
      </c>
      <c r="BU206" s="31" t="str">
        <f t="shared" si="845"/>
        <v>BypassOpenStudio_ab,0,</v>
      </c>
    </row>
    <row r="207" spans="1:73" x14ac:dyDescent="0.25">
      <c r="A207" s="39">
        <f t="shared" si="846"/>
        <v>0</v>
      </c>
      <c r="B207" s="27" t="str">
        <f t="shared" si="847"/>
        <v>SoftwareSensitivityTests\StreamlinedApprovalSet\1010115-RetlStrp-HVACPTAC DXCOP.cibd</v>
      </c>
      <c r="C207" s="27" t="str">
        <f t="shared" si="848"/>
        <v>BatchOut_160331_r3964_SSTs\1010115-RetlStrp-HVACPTAC DXCOP.cibd</v>
      </c>
      <c r="D207" s="27" t="str">
        <f t="shared" si="849"/>
        <v>BatchOut_160331_r3964_SSTs\XML\</v>
      </c>
      <c r="E207" s="9" t="str">
        <f t="shared" si="850"/>
        <v>1010115</v>
      </c>
      <c r="F207" s="22"/>
      <c r="G207" s="29"/>
      <c r="H207" s="23" t="str">
        <f t="shared" si="851"/>
        <v/>
      </c>
      <c r="I207" s="9" t="s">
        <v>11</v>
      </c>
      <c r="J207"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7" s="15" t="s">
        <v>1</v>
      </c>
      <c r="L207" s="36">
        <v>0</v>
      </c>
      <c r="M207" s="32" t="str">
        <f t="shared" si="852"/>
        <v>1010115</v>
      </c>
      <c r="N207" s="28" t="s">
        <v>292</v>
      </c>
      <c r="O207" s="28" t="str">
        <f t="shared" si="857"/>
        <v>1010115-RetlStrp-HVACPTAC DXCOP</v>
      </c>
      <c r="P207" s="36">
        <f t="shared" si="900"/>
        <v>1</v>
      </c>
      <c r="Q207" s="36">
        <f t="shared" si="900"/>
        <v>1</v>
      </c>
      <c r="R207" s="36">
        <f t="shared" si="900"/>
        <v>0</v>
      </c>
      <c r="S207" s="36">
        <f t="shared" si="900"/>
        <v>1</v>
      </c>
      <c r="T207" s="36">
        <f t="shared" si="900"/>
        <v>0</v>
      </c>
      <c r="U207" s="36">
        <f t="shared" si="900"/>
        <v>8</v>
      </c>
      <c r="V207" s="36">
        <f t="shared" si="900"/>
        <v>8</v>
      </c>
      <c r="W207" s="36">
        <f t="shared" si="896"/>
        <v>1</v>
      </c>
      <c r="X207" s="36">
        <f t="shared" si="896"/>
        <v>0</v>
      </c>
      <c r="Y207" s="36">
        <f t="shared" si="896"/>
        <v>0</v>
      </c>
      <c r="Z207" s="36">
        <f t="shared" si="896"/>
        <v>0</v>
      </c>
      <c r="AA207" s="36">
        <f t="shared" si="896"/>
        <v>0</v>
      </c>
      <c r="AB207" s="36">
        <f t="shared" si="896"/>
        <v>0</v>
      </c>
      <c r="AC207" s="36">
        <f t="shared" si="896"/>
        <v>0</v>
      </c>
      <c r="AD207" s="36">
        <f t="shared" si="896"/>
        <v>0</v>
      </c>
      <c r="AE207" s="36">
        <f t="shared" ref="AE207:AF207" si="919">AE206</f>
        <v>0</v>
      </c>
      <c r="AF207" s="36">
        <f t="shared" si="919"/>
        <v>0</v>
      </c>
      <c r="AG207" s="36">
        <f t="shared" ref="AG207:AH207" si="920">AG206</f>
        <v>0</v>
      </c>
      <c r="AH207" s="36">
        <f t="shared" si="920"/>
        <v>0</v>
      </c>
      <c r="AI207" s="36">
        <f t="shared" ref="AI207" si="921">AI206</f>
        <v>0</v>
      </c>
      <c r="AJ207" s="36">
        <f t="shared" si="896"/>
        <v>0</v>
      </c>
      <c r="AK207" s="36">
        <f t="shared" si="881"/>
        <v>0</v>
      </c>
      <c r="AL207" s="36">
        <f t="shared" si="881"/>
        <v>0</v>
      </c>
      <c r="AM207" s="36">
        <f t="shared" si="881"/>
        <v>0</v>
      </c>
      <c r="AN207" s="36">
        <f t="shared" si="881"/>
        <v>0</v>
      </c>
      <c r="AO207" s="36">
        <f t="shared" si="881"/>
        <v>0</v>
      </c>
      <c r="AP207" s="36">
        <f t="shared" si="881"/>
        <v>0</v>
      </c>
      <c r="AQ207" s="36">
        <f t="shared" si="881"/>
        <v>0</v>
      </c>
      <c r="AR207" s="36">
        <f t="shared" si="881"/>
        <v>0</v>
      </c>
      <c r="AS207" s="31" t="str">
        <f t="shared" si="861"/>
        <v>SimulationStorage,1,</v>
      </c>
      <c r="AT207" s="31" t="str">
        <f t="shared" si="862"/>
        <v>AnalysisStorage,1,</v>
      </c>
      <c r="AU207" s="31" t="str">
        <f t="shared" si="863"/>
        <v>LogRuleEvaluation,0,</v>
      </c>
      <c r="AV207" s="31" t="str">
        <f t="shared" si="864"/>
        <v>ParallelSimulations,1,</v>
      </c>
      <c r="AW207" s="31" t="str">
        <f t="shared" si="865"/>
        <v>DurationStats,0,</v>
      </c>
      <c r="AX207" s="31" t="str">
        <f t="shared" si="866"/>
        <v>AnalysisThruStep,8,</v>
      </c>
      <c r="AY207" s="31" t="str">
        <f t="shared" si="867"/>
        <v>DontAbortOnErrorsThruStep,8,</v>
      </c>
      <c r="AZ207" s="31" t="str">
        <f t="shared" si="868"/>
        <v>BypassValidFileChecks,1,</v>
      </c>
      <c r="BA207" s="31" t="str">
        <f t="shared" si="869"/>
        <v>BypassInputChecks,0,</v>
      </c>
      <c r="BB207" s="31" t="str">
        <f t="shared" si="870"/>
        <v>BypassUMLHChecks,0,</v>
      </c>
      <c r="BC207" s="31" t="str">
        <f t="shared" si="871"/>
        <v>BypassCheckSimRules,0,</v>
      </c>
      <c r="BD207" s="31" t="str">
        <f t="shared" si="872"/>
        <v>BypassCheckCodeRules,0,</v>
      </c>
      <c r="BE207" s="31" t="str">
        <f t="shared" si="830"/>
        <v>StoreResultsToModelInput,0,</v>
      </c>
      <c r="BF207" s="31" t="str">
        <f t="shared" si="831"/>
        <v>StoreBEMDetails,0,</v>
      </c>
      <c r="BG207" s="31" t="str">
        <f t="shared" si="832"/>
        <v>ModelRpt_ALL,0,</v>
      </c>
      <c r="BH207" s="31" t="str">
        <f t="shared" si="833"/>
        <v>ExportHourlyResults_All,0,</v>
      </c>
      <c r="BI207" s="31" t="str">
        <f t="shared" si="834"/>
        <v>ComplianceReportPDF,0,</v>
      </c>
      <c r="BJ207" s="31" t="str">
        <f t="shared" si="835"/>
        <v>ComplianceReportXML,0,</v>
      </c>
      <c r="BK207" s="31" t="str">
        <f t="shared" si="836"/>
        <v>QuickAnalysis,0,</v>
      </c>
      <c r="BL207" s="31" t="str">
        <f t="shared" si="836"/>
        <v>PromptUserUMLHWarning,0,</v>
      </c>
      <c r="BM207" s="31" t="str">
        <f t="shared" si="837"/>
        <v>BypassOpenStudio_all,0,</v>
      </c>
      <c r="BN207" s="31" t="str">
        <f t="shared" si="838"/>
        <v>BypassOpenStudio_zp,0,</v>
      </c>
      <c r="BO207" s="31" t="str">
        <f t="shared" si="839"/>
        <v>BypassOpenStudio_zb,0,</v>
      </c>
      <c r="BP207" s="31" t="str">
        <f t="shared" si="840"/>
        <v>BypassOpenStudio_ap,0,</v>
      </c>
      <c r="BQ207" s="31" t="str">
        <f t="shared" si="841"/>
        <v>BypassOpenStudio_ab,0,</v>
      </c>
      <c r="BR207" s="31" t="str">
        <f t="shared" si="842"/>
        <v>BypassOpenStudio_zp,0,</v>
      </c>
      <c r="BS207" s="31" t="str">
        <f t="shared" si="843"/>
        <v>BypassOpenStudio_zb,0,</v>
      </c>
      <c r="BT207" s="31" t="str">
        <f t="shared" si="844"/>
        <v>BypassOpenStudio_ap,0,</v>
      </c>
      <c r="BU207" s="31" t="str">
        <f t="shared" si="845"/>
        <v>BypassOpenStudio_ab,0,</v>
      </c>
    </row>
    <row r="208" spans="1:73" x14ac:dyDescent="0.25">
      <c r="A208" s="39">
        <f t="shared" si="846"/>
        <v>0</v>
      </c>
      <c r="B208" s="27" t="str">
        <f t="shared" si="847"/>
        <v>SoftwareSensitivityTests\StreamlinedApprovalSet\1010216-RetlStrp-HVACPTAC DXCOP.cibd</v>
      </c>
      <c r="C208" s="27" t="str">
        <f t="shared" si="848"/>
        <v>BatchOut_160331_r3964_SSTs\1010216-RetlStrp-HVACPTAC DXCOP.cibd</v>
      </c>
      <c r="D208" s="27" t="str">
        <f t="shared" si="849"/>
        <v>BatchOut_160331_r3964_SSTs\XML\</v>
      </c>
      <c r="E208" s="9" t="str">
        <f t="shared" si="850"/>
        <v>1010216</v>
      </c>
      <c r="F208" s="22"/>
      <c r="G208" s="29"/>
      <c r="H208" s="23" t="str">
        <f t="shared" si="851"/>
        <v/>
      </c>
      <c r="I208" s="9" t="s">
        <v>11</v>
      </c>
      <c r="J208"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8" s="15" t="s">
        <v>1</v>
      </c>
      <c r="L208" s="36">
        <f t="shared" si="856"/>
        <v>0</v>
      </c>
      <c r="M208" s="32" t="str">
        <f t="shared" si="852"/>
        <v>1010216</v>
      </c>
      <c r="N208" s="28" t="s">
        <v>293</v>
      </c>
      <c r="O208" s="28" t="str">
        <f t="shared" si="857"/>
        <v>1010216-RetlStrp-HVACPTAC DXCOP</v>
      </c>
      <c r="P208" s="36">
        <f t="shared" si="900"/>
        <v>1</v>
      </c>
      <c r="Q208" s="36">
        <f t="shared" si="900"/>
        <v>1</v>
      </c>
      <c r="R208" s="36">
        <f t="shared" si="900"/>
        <v>0</v>
      </c>
      <c r="S208" s="36">
        <f t="shared" si="900"/>
        <v>1</v>
      </c>
      <c r="T208" s="36">
        <f t="shared" si="900"/>
        <v>0</v>
      </c>
      <c r="U208" s="36">
        <f t="shared" si="900"/>
        <v>8</v>
      </c>
      <c r="V208" s="36">
        <f t="shared" si="900"/>
        <v>8</v>
      </c>
      <c r="W208" s="36">
        <f t="shared" si="896"/>
        <v>1</v>
      </c>
      <c r="X208" s="36">
        <f t="shared" si="896"/>
        <v>0</v>
      </c>
      <c r="Y208" s="36">
        <f t="shared" si="896"/>
        <v>0</v>
      </c>
      <c r="Z208" s="36">
        <f t="shared" si="896"/>
        <v>0</v>
      </c>
      <c r="AA208" s="36">
        <f t="shared" si="896"/>
        <v>0</v>
      </c>
      <c r="AB208" s="36">
        <f t="shared" si="896"/>
        <v>0</v>
      </c>
      <c r="AC208" s="36">
        <f t="shared" si="896"/>
        <v>0</v>
      </c>
      <c r="AD208" s="36">
        <f t="shared" si="896"/>
        <v>0</v>
      </c>
      <c r="AE208" s="36">
        <f t="shared" ref="AE208:AF208" si="922">AE207</f>
        <v>0</v>
      </c>
      <c r="AF208" s="36">
        <f t="shared" si="922"/>
        <v>0</v>
      </c>
      <c r="AG208" s="36">
        <f t="shared" ref="AG208:AH208" si="923">AG207</f>
        <v>0</v>
      </c>
      <c r="AH208" s="36">
        <f t="shared" si="923"/>
        <v>0</v>
      </c>
      <c r="AI208" s="36">
        <f t="shared" ref="AI208" si="924">AI207</f>
        <v>0</v>
      </c>
      <c r="AJ208" s="36">
        <f t="shared" si="896"/>
        <v>0</v>
      </c>
      <c r="AK208" s="36">
        <f t="shared" si="896"/>
        <v>0</v>
      </c>
      <c r="AL208" s="36">
        <f t="shared" si="896"/>
        <v>0</v>
      </c>
      <c r="AM208" s="36">
        <f t="shared" si="896"/>
        <v>0</v>
      </c>
      <c r="AN208" s="36">
        <f t="shared" si="896"/>
        <v>0</v>
      </c>
      <c r="AO208" s="36">
        <f t="shared" si="896"/>
        <v>0</v>
      </c>
      <c r="AP208" s="36">
        <f t="shared" si="896"/>
        <v>0</v>
      </c>
      <c r="AQ208" s="36">
        <f t="shared" si="896"/>
        <v>0</v>
      </c>
      <c r="AR208" s="36">
        <f t="shared" ref="AR208:AR260" si="925">AR207</f>
        <v>0</v>
      </c>
      <c r="AS208" s="31" t="str">
        <f t="shared" si="861"/>
        <v>SimulationStorage,1,</v>
      </c>
      <c r="AT208" s="31" t="str">
        <f t="shared" si="862"/>
        <v>AnalysisStorage,1,</v>
      </c>
      <c r="AU208" s="31" t="str">
        <f t="shared" si="863"/>
        <v>LogRuleEvaluation,0,</v>
      </c>
      <c r="AV208" s="31" t="str">
        <f t="shared" si="864"/>
        <v>ParallelSimulations,1,</v>
      </c>
      <c r="AW208" s="31" t="str">
        <f t="shared" si="865"/>
        <v>DurationStats,0,</v>
      </c>
      <c r="AX208" s="31" t="str">
        <f t="shared" si="866"/>
        <v>AnalysisThruStep,8,</v>
      </c>
      <c r="AY208" s="31" t="str">
        <f t="shared" si="867"/>
        <v>DontAbortOnErrorsThruStep,8,</v>
      </c>
      <c r="AZ208" s="31" t="str">
        <f t="shared" si="868"/>
        <v>BypassValidFileChecks,1,</v>
      </c>
      <c r="BA208" s="31" t="str">
        <f t="shared" si="869"/>
        <v>BypassInputChecks,0,</v>
      </c>
      <c r="BB208" s="31" t="str">
        <f t="shared" si="870"/>
        <v>BypassUMLHChecks,0,</v>
      </c>
      <c r="BC208" s="31" t="str">
        <f t="shared" si="871"/>
        <v>BypassCheckSimRules,0,</v>
      </c>
      <c r="BD208" s="31" t="str">
        <f t="shared" si="872"/>
        <v>BypassCheckCodeRules,0,</v>
      </c>
      <c r="BE208" s="31" t="str">
        <f t="shared" si="830"/>
        <v>StoreResultsToModelInput,0,</v>
      </c>
      <c r="BF208" s="31" t="str">
        <f t="shared" si="831"/>
        <v>StoreBEMDetails,0,</v>
      </c>
      <c r="BG208" s="31" t="str">
        <f t="shared" si="832"/>
        <v>ModelRpt_ALL,0,</v>
      </c>
      <c r="BH208" s="31" t="str">
        <f t="shared" si="833"/>
        <v>ExportHourlyResults_All,0,</v>
      </c>
      <c r="BI208" s="31" t="str">
        <f t="shared" si="834"/>
        <v>ComplianceReportPDF,0,</v>
      </c>
      <c r="BJ208" s="31" t="str">
        <f t="shared" si="835"/>
        <v>ComplianceReportXML,0,</v>
      </c>
      <c r="BK208" s="31" t="str">
        <f t="shared" si="836"/>
        <v>QuickAnalysis,0,</v>
      </c>
      <c r="BL208" s="31" t="str">
        <f t="shared" si="836"/>
        <v>PromptUserUMLHWarning,0,</v>
      </c>
      <c r="BM208" s="31" t="str">
        <f t="shared" si="837"/>
        <v>BypassOpenStudio_all,0,</v>
      </c>
      <c r="BN208" s="31" t="str">
        <f t="shared" si="838"/>
        <v>BypassOpenStudio_zp,0,</v>
      </c>
      <c r="BO208" s="31" t="str">
        <f t="shared" si="839"/>
        <v>BypassOpenStudio_zb,0,</v>
      </c>
      <c r="BP208" s="31" t="str">
        <f t="shared" si="840"/>
        <v>BypassOpenStudio_ap,0,</v>
      </c>
      <c r="BQ208" s="31" t="str">
        <f t="shared" si="841"/>
        <v>BypassOpenStudio_ab,0,</v>
      </c>
      <c r="BR208" s="31" t="str">
        <f t="shared" si="842"/>
        <v>BypassOpenStudio_zp,0,</v>
      </c>
      <c r="BS208" s="31" t="str">
        <f t="shared" si="843"/>
        <v>BypassOpenStudio_zb,0,</v>
      </c>
      <c r="BT208" s="31" t="str">
        <f t="shared" si="844"/>
        <v>BypassOpenStudio_ap,0,</v>
      </c>
      <c r="BU208" s="31" t="str">
        <f t="shared" si="845"/>
        <v>BypassOpenStudio_ab,0,</v>
      </c>
    </row>
    <row r="209" spans="1:73" x14ac:dyDescent="0.25">
      <c r="A209" s="39">
        <f t="shared" si="846"/>
        <v>0</v>
      </c>
      <c r="B209" s="27" t="str">
        <f t="shared" si="847"/>
        <v>SoftwareSensitivityTests\StreamlinedApprovalSet\1010306-RetlStrp-HVACPTAC DXCOP.cibd</v>
      </c>
      <c r="C209" s="27" t="str">
        <f t="shared" si="848"/>
        <v>BatchOut_160331_r3964_SSTs\1010306-RetlStrp-HVACPTAC DXCOP.cibd</v>
      </c>
      <c r="D209" s="27" t="str">
        <f t="shared" si="849"/>
        <v>BatchOut_160331_r3964_SSTs\XML\</v>
      </c>
      <c r="E209" s="9" t="str">
        <f t="shared" si="850"/>
        <v>1010306</v>
      </c>
      <c r="F209" s="22"/>
      <c r="G209" s="29"/>
      <c r="H209" s="23" t="str">
        <f t="shared" si="851"/>
        <v/>
      </c>
      <c r="I209" s="9" t="s">
        <v>11</v>
      </c>
      <c r="J209"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9" s="15" t="s">
        <v>1</v>
      </c>
      <c r="L209" s="36">
        <f t="shared" si="856"/>
        <v>0</v>
      </c>
      <c r="M209" s="32" t="str">
        <f t="shared" si="852"/>
        <v>1010306</v>
      </c>
      <c r="N209" s="28" t="s">
        <v>294</v>
      </c>
      <c r="O209" s="28" t="str">
        <f t="shared" si="857"/>
        <v>1010306-RetlStrp-HVACPTAC DXCOP</v>
      </c>
      <c r="P209" s="36">
        <f t="shared" si="900"/>
        <v>1</v>
      </c>
      <c r="Q209" s="36">
        <f t="shared" si="900"/>
        <v>1</v>
      </c>
      <c r="R209" s="36">
        <f t="shared" si="900"/>
        <v>0</v>
      </c>
      <c r="S209" s="36">
        <f t="shared" si="900"/>
        <v>1</v>
      </c>
      <c r="T209" s="36">
        <f t="shared" si="900"/>
        <v>0</v>
      </c>
      <c r="U209" s="36">
        <f t="shared" si="900"/>
        <v>8</v>
      </c>
      <c r="V209" s="36">
        <f t="shared" si="900"/>
        <v>8</v>
      </c>
      <c r="W209" s="36">
        <f t="shared" si="896"/>
        <v>1</v>
      </c>
      <c r="X209" s="36">
        <f t="shared" si="896"/>
        <v>0</v>
      </c>
      <c r="Y209" s="36">
        <f t="shared" si="896"/>
        <v>0</v>
      </c>
      <c r="Z209" s="36">
        <f t="shared" si="896"/>
        <v>0</v>
      </c>
      <c r="AA209" s="36">
        <f t="shared" si="896"/>
        <v>0</v>
      </c>
      <c r="AB209" s="36">
        <f t="shared" si="896"/>
        <v>0</v>
      </c>
      <c r="AC209" s="36">
        <f t="shared" si="896"/>
        <v>0</v>
      </c>
      <c r="AD209" s="36">
        <f t="shared" si="896"/>
        <v>0</v>
      </c>
      <c r="AE209" s="36">
        <f t="shared" ref="AE209:AF209" si="926">AE208</f>
        <v>0</v>
      </c>
      <c r="AF209" s="36">
        <f t="shared" si="926"/>
        <v>0</v>
      </c>
      <c r="AG209" s="36">
        <f t="shared" ref="AG209:AH209" si="927">AG208</f>
        <v>0</v>
      </c>
      <c r="AH209" s="36">
        <f t="shared" si="927"/>
        <v>0</v>
      </c>
      <c r="AI209" s="36">
        <f t="shared" ref="AI209" si="928">AI208</f>
        <v>0</v>
      </c>
      <c r="AJ209" s="36">
        <f t="shared" si="896"/>
        <v>0</v>
      </c>
      <c r="AK209" s="36">
        <f t="shared" si="896"/>
        <v>0</v>
      </c>
      <c r="AL209" s="36">
        <f t="shared" si="896"/>
        <v>0</v>
      </c>
      <c r="AM209" s="36">
        <f t="shared" si="896"/>
        <v>0</v>
      </c>
      <c r="AN209" s="36">
        <f t="shared" si="896"/>
        <v>0</v>
      </c>
      <c r="AO209" s="36">
        <f t="shared" si="896"/>
        <v>0</v>
      </c>
      <c r="AP209" s="36">
        <f t="shared" si="896"/>
        <v>0</v>
      </c>
      <c r="AQ209" s="36">
        <f t="shared" si="896"/>
        <v>0</v>
      </c>
      <c r="AR209" s="36">
        <f t="shared" si="925"/>
        <v>0</v>
      </c>
      <c r="AS209" s="31" t="str">
        <f t="shared" si="861"/>
        <v>SimulationStorage,1,</v>
      </c>
      <c r="AT209" s="31" t="str">
        <f t="shared" si="862"/>
        <v>AnalysisStorage,1,</v>
      </c>
      <c r="AU209" s="31" t="str">
        <f t="shared" si="863"/>
        <v>LogRuleEvaluation,0,</v>
      </c>
      <c r="AV209" s="31" t="str">
        <f t="shared" si="864"/>
        <v>ParallelSimulations,1,</v>
      </c>
      <c r="AW209" s="31" t="str">
        <f t="shared" si="865"/>
        <v>DurationStats,0,</v>
      </c>
      <c r="AX209" s="31" t="str">
        <f t="shared" si="866"/>
        <v>AnalysisThruStep,8,</v>
      </c>
      <c r="AY209" s="31" t="str">
        <f t="shared" si="867"/>
        <v>DontAbortOnErrorsThruStep,8,</v>
      </c>
      <c r="AZ209" s="31" t="str">
        <f t="shared" si="868"/>
        <v>BypassValidFileChecks,1,</v>
      </c>
      <c r="BA209" s="31" t="str">
        <f t="shared" si="869"/>
        <v>BypassInputChecks,0,</v>
      </c>
      <c r="BB209" s="31" t="str">
        <f t="shared" si="870"/>
        <v>BypassUMLHChecks,0,</v>
      </c>
      <c r="BC209" s="31" t="str">
        <f t="shared" si="871"/>
        <v>BypassCheckSimRules,0,</v>
      </c>
      <c r="BD209" s="31" t="str">
        <f t="shared" si="872"/>
        <v>BypassCheckCodeRules,0,</v>
      </c>
      <c r="BE209" s="31" t="str">
        <f t="shared" si="830"/>
        <v>StoreResultsToModelInput,0,</v>
      </c>
      <c r="BF209" s="31" t="str">
        <f t="shared" si="831"/>
        <v>StoreBEMDetails,0,</v>
      </c>
      <c r="BG209" s="31" t="str">
        <f t="shared" si="832"/>
        <v>ModelRpt_ALL,0,</v>
      </c>
      <c r="BH209" s="31" t="str">
        <f t="shared" si="833"/>
        <v>ExportHourlyResults_All,0,</v>
      </c>
      <c r="BI209" s="31" t="str">
        <f t="shared" si="834"/>
        <v>ComplianceReportPDF,0,</v>
      </c>
      <c r="BJ209" s="31" t="str">
        <f t="shared" si="835"/>
        <v>ComplianceReportXML,0,</v>
      </c>
      <c r="BK209" s="31" t="str">
        <f t="shared" si="836"/>
        <v>QuickAnalysis,0,</v>
      </c>
      <c r="BL209" s="31" t="str">
        <f t="shared" si="836"/>
        <v>PromptUserUMLHWarning,0,</v>
      </c>
      <c r="BM209" s="31" t="str">
        <f t="shared" si="837"/>
        <v>BypassOpenStudio_all,0,</v>
      </c>
      <c r="BN209" s="31" t="str">
        <f t="shared" si="838"/>
        <v>BypassOpenStudio_zp,0,</v>
      </c>
      <c r="BO209" s="31" t="str">
        <f t="shared" si="839"/>
        <v>BypassOpenStudio_zb,0,</v>
      </c>
      <c r="BP209" s="31" t="str">
        <f t="shared" si="840"/>
        <v>BypassOpenStudio_ap,0,</v>
      </c>
      <c r="BQ209" s="31" t="str">
        <f t="shared" si="841"/>
        <v>BypassOpenStudio_ab,0,</v>
      </c>
      <c r="BR209" s="31" t="str">
        <f t="shared" si="842"/>
        <v>BypassOpenStudio_zp,0,</v>
      </c>
      <c r="BS209" s="31" t="str">
        <f t="shared" si="843"/>
        <v>BypassOpenStudio_zb,0,</v>
      </c>
      <c r="BT209" s="31" t="str">
        <f t="shared" si="844"/>
        <v>BypassOpenStudio_ap,0,</v>
      </c>
      <c r="BU209" s="31" t="str">
        <f t="shared" si="845"/>
        <v>BypassOpenStudio_ab,0,</v>
      </c>
    </row>
    <row r="210" spans="1:73" x14ac:dyDescent="0.25">
      <c r="A210" s="39">
        <f t="shared" si="846"/>
        <v>0</v>
      </c>
      <c r="B210" s="27" t="str">
        <f t="shared" si="847"/>
        <v>SoftwareSensitivityTests\StreamlinedApprovalSet\1009516-RetlStrp-HVACPSZ DXCOP.cibd</v>
      </c>
      <c r="C210" s="27" t="str">
        <f t="shared" si="848"/>
        <v>BatchOut_160331_r3964_SSTs\1009516-RetlStrp-HVACPSZ DXCOP.cibd</v>
      </c>
      <c r="D210" s="27" t="str">
        <f t="shared" si="849"/>
        <v>BatchOut_160331_r3964_SSTs\XML\</v>
      </c>
      <c r="E210" s="9" t="str">
        <f t="shared" si="850"/>
        <v>1009516</v>
      </c>
      <c r="F210" s="22"/>
      <c r="G210" s="29"/>
      <c r="H210" s="23" t="str">
        <f t="shared" si="851"/>
        <v/>
      </c>
      <c r="I210" s="9" t="s">
        <v>11</v>
      </c>
      <c r="J210"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0" s="15" t="s">
        <v>1</v>
      </c>
      <c r="L210" s="36">
        <f t="shared" si="856"/>
        <v>0</v>
      </c>
      <c r="M210" s="32" t="str">
        <f t="shared" si="852"/>
        <v>1009516</v>
      </c>
      <c r="N210" s="28" t="s">
        <v>295</v>
      </c>
      <c r="O210" s="28" t="str">
        <f t="shared" si="857"/>
        <v>1009516-RetlStrp-HVACPSZ DXCOP</v>
      </c>
      <c r="P210" s="36">
        <f t="shared" si="900"/>
        <v>1</v>
      </c>
      <c r="Q210" s="36">
        <f t="shared" si="900"/>
        <v>1</v>
      </c>
      <c r="R210" s="36">
        <f t="shared" si="900"/>
        <v>0</v>
      </c>
      <c r="S210" s="36">
        <f t="shared" si="900"/>
        <v>1</v>
      </c>
      <c r="T210" s="36">
        <f t="shared" si="900"/>
        <v>0</v>
      </c>
      <c r="U210" s="36">
        <f t="shared" si="900"/>
        <v>8</v>
      </c>
      <c r="V210" s="36">
        <f t="shared" si="900"/>
        <v>8</v>
      </c>
      <c r="W210" s="36">
        <f t="shared" si="896"/>
        <v>1</v>
      </c>
      <c r="X210" s="36">
        <f t="shared" si="896"/>
        <v>0</v>
      </c>
      <c r="Y210" s="36">
        <f t="shared" si="896"/>
        <v>0</v>
      </c>
      <c r="Z210" s="36">
        <f t="shared" si="896"/>
        <v>0</v>
      </c>
      <c r="AA210" s="36">
        <f t="shared" si="896"/>
        <v>0</v>
      </c>
      <c r="AB210" s="36">
        <f t="shared" si="896"/>
        <v>0</v>
      </c>
      <c r="AC210" s="36">
        <f t="shared" si="896"/>
        <v>0</v>
      </c>
      <c r="AD210" s="36">
        <f t="shared" si="896"/>
        <v>0</v>
      </c>
      <c r="AE210" s="36">
        <f t="shared" ref="AE210:AF210" si="929">AE209</f>
        <v>0</v>
      </c>
      <c r="AF210" s="36">
        <f t="shared" si="929"/>
        <v>0</v>
      </c>
      <c r="AG210" s="36">
        <f t="shared" ref="AG210:AH210" si="930">AG209</f>
        <v>0</v>
      </c>
      <c r="AH210" s="36">
        <f t="shared" si="930"/>
        <v>0</v>
      </c>
      <c r="AI210" s="36">
        <f t="shared" ref="AI210" si="931">AI209</f>
        <v>0</v>
      </c>
      <c r="AJ210" s="36">
        <f t="shared" si="896"/>
        <v>0</v>
      </c>
      <c r="AK210" s="36">
        <f t="shared" si="896"/>
        <v>0</v>
      </c>
      <c r="AL210" s="36">
        <f t="shared" si="896"/>
        <v>0</v>
      </c>
      <c r="AM210" s="36">
        <f t="shared" si="896"/>
        <v>0</v>
      </c>
      <c r="AN210" s="36">
        <f t="shared" si="896"/>
        <v>0</v>
      </c>
      <c r="AO210" s="36">
        <f t="shared" si="896"/>
        <v>0</v>
      </c>
      <c r="AP210" s="36">
        <f t="shared" si="896"/>
        <v>0</v>
      </c>
      <c r="AQ210" s="36">
        <f t="shared" si="896"/>
        <v>0</v>
      </c>
      <c r="AR210" s="36">
        <f t="shared" si="925"/>
        <v>0</v>
      </c>
      <c r="AS210" s="31" t="str">
        <f t="shared" si="861"/>
        <v>SimulationStorage,1,</v>
      </c>
      <c r="AT210" s="31" t="str">
        <f t="shared" si="862"/>
        <v>AnalysisStorage,1,</v>
      </c>
      <c r="AU210" s="31" t="str">
        <f t="shared" si="863"/>
        <v>LogRuleEvaluation,0,</v>
      </c>
      <c r="AV210" s="31" t="str">
        <f t="shared" si="864"/>
        <v>ParallelSimulations,1,</v>
      </c>
      <c r="AW210" s="31" t="str">
        <f t="shared" si="865"/>
        <v>DurationStats,0,</v>
      </c>
      <c r="AX210" s="31" t="str">
        <f t="shared" si="866"/>
        <v>AnalysisThruStep,8,</v>
      </c>
      <c r="AY210" s="31" t="str">
        <f t="shared" si="867"/>
        <v>DontAbortOnErrorsThruStep,8,</v>
      </c>
      <c r="AZ210" s="31" t="str">
        <f t="shared" si="868"/>
        <v>BypassValidFileChecks,1,</v>
      </c>
      <c r="BA210" s="31" t="str">
        <f t="shared" si="869"/>
        <v>BypassInputChecks,0,</v>
      </c>
      <c r="BB210" s="31" t="str">
        <f t="shared" si="870"/>
        <v>BypassUMLHChecks,0,</v>
      </c>
      <c r="BC210" s="31" t="str">
        <f t="shared" si="871"/>
        <v>BypassCheckSimRules,0,</v>
      </c>
      <c r="BD210" s="31" t="str">
        <f t="shared" si="872"/>
        <v>BypassCheckCodeRules,0,</v>
      </c>
      <c r="BE210" s="31" t="str">
        <f t="shared" si="830"/>
        <v>StoreResultsToModelInput,0,</v>
      </c>
      <c r="BF210" s="31" t="str">
        <f t="shared" si="831"/>
        <v>StoreBEMDetails,0,</v>
      </c>
      <c r="BG210" s="31" t="str">
        <f t="shared" si="832"/>
        <v>ModelRpt_ALL,0,</v>
      </c>
      <c r="BH210" s="31" t="str">
        <f t="shared" si="833"/>
        <v>ExportHourlyResults_All,0,</v>
      </c>
      <c r="BI210" s="31" t="str">
        <f t="shared" si="834"/>
        <v>ComplianceReportPDF,0,</v>
      </c>
      <c r="BJ210" s="31" t="str">
        <f t="shared" si="835"/>
        <v>ComplianceReportXML,0,</v>
      </c>
      <c r="BK210" s="31" t="str">
        <f t="shared" si="836"/>
        <v>QuickAnalysis,0,</v>
      </c>
      <c r="BL210" s="31" t="str">
        <f t="shared" si="836"/>
        <v>PromptUserUMLHWarning,0,</v>
      </c>
      <c r="BM210" s="31" t="str">
        <f t="shared" si="837"/>
        <v>BypassOpenStudio_all,0,</v>
      </c>
      <c r="BN210" s="31" t="str">
        <f t="shared" si="838"/>
        <v>BypassOpenStudio_zp,0,</v>
      </c>
      <c r="BO210" s="31" t="str">
        <f t="shared" si="839"/>
        <v>BypassOpenStudio_zb,0,</v>
      </c>
      <c r="BP210" s="31" t="str">
        <f t="shared" si="840"/>
        <v>BypassOpenStudio_ap,0,</v>
      </c>
      <c r="BQ210" s="31" t="str">
        <f t="shared" si="841"/>
        <v>BypassOpenStudio_ab,0,</v>
      </c>
      <c r="BR210" s="31" t="str">
        <f t="shared" si="842"/>
        <v>BypassOpenStudio_zp,0,</v>
      </c>
      <c r="BS210" s="31" t="str">
        <f t="shared" si="843"/>
        <v>BypassOpenStudio_zb,0,</v>
      </c>
      <c r="BT210" s="31" t="str">
        <f t="shared" si="844"/>
        <v>BypassOpenStudio_ap,0,</v>
      </c>
      <c r="BU210" s="31" t="str">
        <f t="shared" si="845"/>
        <v>BypassOpenStudio_ab,0,</v>
      </c>
    </row>
    <row r="211" spans="1:73" x14ac:dyDescent="0.25">
      <c r="A211" s="39">
        <f t="shared" si="846"/>
        <v>0</v>
      </c>
      <c r="B211" s="27" t="str">
        <f t="shared" si="847"/>
        <v>SoftwareSensitivityTests\StreamlinedApprovalSet\1009616-RetlStrp-HVACPSZ HeatEff.cibd</v>
      </c>
      <c r="C211" s="27" t="str">
        <f t="shared" si="848"/>
        <v>BatchOut_160331_r3964_SSTs\1009616-RetlStrp-HVACPSZ HeatEff.cibd</v>
      </c>
      <c r="D211" s="27" t="str">
        <f t="shared" si="849"/>
        <v>BatchOut_160331_r3964_SSTs\XML\</v>
      </c>
      <c r="E211" s="9" t="str">
        <f t="shared" si="850"/>
        <v>1009616</v>
      </c>
      <c r="F211" s="22"/>
      <c r="G211" s="29"/>
      <c r="H211" s="23" t="str">
        <f t="shared" si="851"/>
        <v/>
      </c>
      <c r="I211" s="9" t="s">
        <v>11</v>
      </c>
      <c r="J211"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1" s="15" t="s">
        <v>1</v>
      </c>
      <c r="L211" s="36">
        <f t="shared" si="856"/>
        <v>0</v>
      </c>
      <c r="M211" s="32" t="str">
        <f t="shared" si="852"/>
        <v>1009616</v>
      </c>
      <c r="N211" s="28" t="s">
        <v>296</v>
      </c>
      <c r="O211" s="28" t="str">
        <f t="shared" si="857"/>
        <v>1009616-RetlStrp-HVACPSZ HeatEff</v>
      </c>
      <c r="P211" s="36">
        <f t="shared" si="900"/>
        <v>1</v>
      </c>
      <c r="Q211" s="36">
        <f t="shared" si="900"/>
        <v>1</v>
      </c>
      <c r="R211" s="36">
        <f t="shared" si="900"/>
        <v>0</v>
      </c>
      <c r="S211" s="36">
        <f t="shared" si="900"/>
        <v>1</v>
      </c>
      <c r="T211" s="36">
        <f t="shared" si="900"/>
        <v>0</v>
      </c>
      <c r="U211" s="36">
        <f t="shared" si="900"/>
        <v>8</v>
      </c>
      <c r="V211" s="36">
        <f t="shared" si="900"/>
        <v>8</v>
      </c>
      <c r="W211" s="36">
        <f t="shared" si="896"/>
        <v>1</v>
      </c>
      <c r="X211" s="36">
        <f t="shared" si="896"/>
        <v>0</v>
      </c>
      <c r="Y211" s="36">
        <f t="shared" si="896"/>
        <v>0</v>
      </c>
      <c r="Z211" s="36">
        <f t="shared" si="896"/>
        <v>0</v>
      </c>
      <c r="AA211" s="36">
        <f t="shared" si="896"/>
        <v>0</v>
      </c>
      <c r="AB211" s="36">
        <f t="shared" si="896"/>
        <v>0</v>
      </c>
      <c r="AC211" s="36">
        <f t="shared" si="896"/>
        <v>0</v>
      </c>
      <c r="AD211" s="36">
        <f t="shared" si="896"/>
        <v>0</v>
      </c>
      <c r="AE211" s="36">
        <f t="shared" ref="AE211:AF211" si="932">AE210</f>
        <v>0</v>
      </c>
      <c r="AF211" s="36">
        <f t="shared" si="932"/>
        <v>0</v>
      </c>
      <c r="AG211" s="36">
        <f t="shared" ref="AG211:AH211" si="933">AG210</f>
        <v>0</v>
      </c>
      <c r="AH211" s="36">
        <f t="shared" si="933"/>
        <v>0</v>
      </c>
      <c r="AI211" s="36">
        <f t="shared" ref="AI211" si="934">AI210</f>
        <v>0</v>
      </c>
      <c r="AJ211" s="36">
        <f t="shared" si="896"/>
        <v>0</v>
      </c>
      <c r="AK211" s="36">
        <f t="shared" si="896"/>
        <v>0</v>
      </c>
      <c r="AL211" s="36">
        <f t="shared" si="896"/>
        <v>0</v>
      </c>
      <c r="AM211" s="36">
        <f t="shared" si="896"/>
        <v>0</v>
      </c>
      <c r="AN211" s="36">
        <f t="shared" si="896"/>
        <v>0</v>
      </c>
      <c r="AO211" s="36">
        <f t="shared" si="896"/>
        <v>0</v>
      </c>
      <c r="AP211" s="36">
        <f t="shared" si="896"/>
        <v>0</v>
      </c>
      <c r="AQ211" s="36">
        <f t="shared" si="896"/>
        <v>0</v>
      </c>
      <c r="AR211" s="36">
        <f t="shared" si="925"/>
        <v>0</v>
      </c>
      <c r="AS211" s="31" t="str">
        <f t="shared" si="861"/>
        <v>SimulationStorage,1,</v>
      </c>
      <c r="AT211" s="31" t="str">
        <f t="shared" si="862"/>
        <v>AnalysisStorage,1,</v>
      </c>
      <c r="AU211" s="31" t="str">
        <f t="shared" si="863"/>
        <v>LogRuleEvaluation,0,</v>
      </c>
      <c r="AV211" s="31" t="str">
        <f t="shared" si="864"/>
        <v>ParallelSimulations,1,</v>
      </c>
      <c r="AW211" s="31" t="str">
        <f t="shared" si="865"/>
        <v>DurationStats,0,</v>
      </c>
      <c r="AX211" s="31" t="str">
        <f t="shared" si="866"/>
        <v>AnalysisThruStep,8,</v>
      </c>
      <c r="AY211" s="31" t="str">
        <f t="shared" si="867"/>
        <v>DontAbortOnErrorsThruStep,8,</v>
      </c>
      <c r="AZ211" s="31" t="str">
        <f t="shared" si="868"/>
        <v>BypassValidFileChecks,1,</v>
      </c>
      <c r="BA211" s="31" t="str">
        <f t="shared" si="869"/>
        <v>BypassInputChecks,0,</v>
      </c>
      <c r="BB211" s="31" t="str">
        <f t="shared" si="870"/>
        <v>BypassUMLHChecks,0,</v>
      </c>
      <c r="BC211" s="31" t="str">
        <f t="shared" si="871"/>
        <v>BypassCheckSimRules,0,</v>
      </c>
      <c r="BD211" s="31" t="str">
        <f t="shared" si="872"/>
        <v>BypassCheckCodeRules,0,</v>
      </c>
      <c r="BE211" s="31" t="str">
        <f t="shared" si="830"/>
        <v>StoreResultsToModelInput,0,</v>
      </c>
      <c r="BF211" s="31" t="str">
        <f t="shared" si="831"/>
        <v>StoreBEMDetails,0,</v>
      </c>
      <c r="BG211" s="31" t="str">
        <f t="shared" si="832"/>
        <v>ModelRpt_ALL,0,</v>
      </c>
      <c r="BH211" s="31" t="str">
        <f t="shared" si="833"/>
        <v>ExportHourlyResults_All,0,</v>
      </c>
      <c r="BI211" s="31" t="str">
        <f t="shared" si="834"/>
        <v>ComplianceReportPDF,0,</v>
      </c>
      <c r="BJ211" s="31" t="str">
        <f t="shared" si="835"/>
        <v>ComplianceReportXML,0,</v>
      </c>
      <c r="BK211" s="31" t="str">
        <f t="shared" si="836"/>
        <v>QuickAnalysis,0,</v>
      </c>
      <c r="BL211" s="31" t="str">
        <f t="shared" si="836"/>
        <v>PromptUserUMLHWarning,0,</v>
      </c>
      <c r="BM211" s="31" t="str">
        <f t="shared" si="837"/>
        <v>BypassOpenStudio_all,0,</v>
      </c>
      <c r="BN211" s="31" t="str">
        <f t="shared" si="838"/>
        <v>BypassOpenStudio_zp,0,</v>
      </c>
      <c r="BO211" s="31" t="str">
        <f t="shared" si="839"/>
        <v>BypassOpenStudio_zb,0,</v>
      </c>
      <c r="BP211" s="31" t="str">
        <f t="shared" si="840"/>
        <v>BypassOpenStudio_ap,0,</v>
      </c>
      <c r="BQ211" s="31" t="str">
        <f t="shared" si="841"/>
        <v>BypassOpenStudio_ab,0,</v>
      </c>
      <c r="BR211" s="31" t="str">
        <f t="shared" si="842"/>
        <v>BypassOpenStudio_zp,0,</v>
      </c>
      <c r="BS211" s="31" t="str">
        <f t="shared" si="843"/>
        <v>BypassOpenStudio_zb,0,</v>
      </c>
      <c r="BT211" s="31" t="str">
        <f t="shared" si="844"/>
        <v>BypassOpenStudio_ap,0,</v>
      </c>
      <c r="BU211" s="31" t="str">
        <f t="shared" si="845"/>
        <v>BypassOpenStudio_ab,0,</v>
      </c>
    </row>
    <row r="212" spans="1:73" x14ac:dyDescent="0.25">
      <c r="A212" s="39">
        <f t="shared" si="846"/>
        <v>0</v>
      </c>
      <c r="B212" s="27" t="str">
        <f t="shared" si="847"/>
        <v>SoftwareSensitivityTests\StreamlinedApprovalSet\1009716-RetlStrp-HVACPSZ EconomizerControl.cibd</v>
      </c>
      <c r="C212" s="27" t="str">
        <f t="shared" si="848"/>
        <v>BatchOut_160331_r3964_SSTs\1009716-RetlStrp-HVACPSZ EconomizerControl.cibd</v>
      </c>
      <c r="D212" s="27" t="str">
        <f t="shared" si="849"/>
        <v>BatchOut_160331_r3964_SSTs\XML\</v>
      </c>
      <c r="E212" s="9" t="str">
        <f t="shared" si="850"/>
        <v>1009716</v>
      </c>
      <c r="F212" s="22"/>
      <c r="G212" s="29"/>
      <c r="H212" s="23" t="str">
        <f t="shared" si="851"/>
        <v/>
      </c>
      <c r="I212" s="9" t="s">
        <v>11</v>
      </c>
      <c r="J212"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2" s="15" t="s">
        <v>1</v>
      </c>
      <c r="L212" s="36">
        <f t="shared" si="856"/>
        <v>0</v>
      </c>
      <c r="M212" s="32" t="str">
        <f t="shared" si="852"/>
        <v>1009716</v>
      </c>
      <c r="N212" s="28" t="s">
        <v>297</v>
      </c>
      <c r="O212" s="28" t="str">
        <f t="shared" si="857"/>
        <v>1009716-RetlStrp-HVACPSZ EconomizerControl</v>
      </c>
      <c r="P212" s="36">
        <f t="shared" si="900"/>
        <v>1</v>
      </c>
      <c r="Q212" s="36">
        <f t="shared" si="900"/>
        <v>1</v>
      </c>
      <c r="R212" s="36">
        <f t="shared" si="900"/>
        <v>0</v>
      </c>
      <c r="S212" s="36">
        <f t="shared" si="900"/>
        <v>1</v>
      </c>
      <c r="T212" s="36">
        <f t="shared" si="900"/>
        <v>0</v>
      </c>
      <c r="U212" s="36">
        <f t="shared" si="900"/>
        <v>8</v>
      </c>
      <c r="V212" s="36">
        <f t="shared" si="900"/>
        <v>8</v>
      </c>
      <c r="W212" s="36">
        <f t="shared" si="896"/>
        <v>1</v>
      </c>
      <c r="X212" s="36">
        <f t="shared" si="896"/>
        <v>0</v>
      </c>
      <c r="Y212" s="36">
        <f t="shared" si="896"/>
        <v>0</v>
      </c>
      <c r="Z212" s="36">
        <f t="shared" si="896"/>
        <v>0</v>
      </c>
      <c r="AA212" s="36">
        <f t="shared" si="896"/>
        <v>0</v>
      </c>
      <c r="AB212" s="36">
        <f t="shared" si="896"/>
        <v>0</v>
      </c>
      <c r="AC212" s="36">
        <f t="shared" si="896"/>
        <v>0</v>
      </c>
      <c r="AD212" s="36">
        <f t="shared" si="896"/>
        <v>0</v>
      </c>
      <c r="AE212" s="36">
        <f t="shared" ref="AE212:AF212" si="935">AE211</f>
        <v>0</v>
      </c>
      <c r="AF212" s="36">
        <f t="shared" si="935"/>
        <v>0</v>
      </c>
      <c r="AG212" s="36">
        <f t="shared" ref="AG212:AH212" si="936">AG211</f>
        <v>0</v>
      </c>
      <c r="AH212" s="36">
        <f t="shared" si="936"/>
        <v>0</v>
      </c>
      <c r="AI212" s="36">
        <f t="shared" ref="AI212" si="937">AI211</f>
        <v>0</v>
      </c>
      <c r="AJ212" s="36">
        <f t="shared" si="896"/>
        <v>0</v>
      </c>
      <c r="AK212" s="36">
        <f t="shared" si="896"/>
        <v>0</v>
      </c>
      <c r="AL212" s="36">
        <f t="shared" si="896"/>
        <v>0</v>
      </c>
      <c r="AM212" s="36">
        <f t="shared" si="896"/>
        <v>0</v>
      </c>
      <c r="AN212" s="36">
        <f t="shared" si="896"/>
        <v>0</v>
      </c>
      <c r="AO212" s="36">
        <f t="shared" si="896"/>
        <v>0</v>
      </c>
      <c r="AP212" s="36">
        <f t="shared" si="896"/>
        <v>0</v>
      </c>
      <c r="AQ212" s="36">
        <f t="shared" si="896"/>
        <v>0</v>
      </c>
      <c r="AR212" s="36">
        <f t="shared" si="925"/>
        <v>0</v>
      </c>
      <c r="AS212" s="31" t="str">
        <f t="shared" si="861"/>
        <v>SimulationStorage,1,</v>
      </c>
      <c r="AT212" s="31" t="str">
        <f t="shared" si="862"/>
        <v>AnalysisStorage,1,</v>
      </c>
      <c r="AU212" s="31" t="str">
        <f t="shared" si="863"/>
        <v>LogRuleEvaluation,0,</v>
      </c>
      <c r="AV212" s="31" t="str">
        <f t="shared" si="864"/>
        <v>ParallelSimulations,1,</v>
      </c>
      <c r="AW212" s="31" t="str">
        <f t="shared" si="865"/>
        <v>DurationStats,0,</v>
      </c>
      <c r="AX212" s="31" t="str">
        <f t="shared" si="866"/>
        <v>AnalysisThruStep,8,</v>
      </c>
      <c r="AY212" s="31" t="str">
        <f t="shared" si="867"/>
        <v>DontAbortOnErrorsThruStep,8,</v>
      </c>
      <c r="AZ212" s="31" t="str">
        <f t="shared" si="868"/>
        <v>BypassValidFileChecks,1,</v>
      </c>
      <c r="BA212" s="31" t="str">
        <f t="shared" si="869"/>
        <v>BypassInputChecks,0,</v>
      </c>
      <c r="BB212" s="31" t="str">
        <f t="shared" si="870"/>
        <v>BypassUMLHChecks,0,</v>
      </c>
      <c r="BC212" s="31" t="str">
        <f t="shared" si="871"/>
        <v>BypassCheckSimRules,0,</v>
      </c>
      <c r="BD212" s="31" t="str">
        <f t="shared" si="872"/>
        <v>BypassCheckCodeRules,0,</v>
      </c>
      <c r="BE212" s="31" t="str">
        <f t="shared" si="830"/>
        <v>StoreResultsToModelInput,0,</v>
      </c>
      <c r="BF212" s="31" t="str">
        <f t="shared" si="831"/>
        <v>StoreBEMDetails,0,</v>
      </c>
      <c r="BG212" s="31" t="str">
        <f t="shared" si="832"/>
        <v>ModelRpt_ALL,0,</v>
      </c>
      <c r="BH212" s="31" t="str">
        <f t="shared" si="833"/>
        <v>ExportHourlyResults_All,0,</v>
      </c>
      <c r="BI212" s="31" t="str">
        <f t="shared" si="834"/>
        <v>ComplianceReportPDF,0,</v>
      </c>
      <c r="BJ212" s="31" t="str">
        <f t="shared" si="835"/>
        <v>ComplianceReportXML,0,</v>
      </c>
      <c r="BK212" s="31" t="str">
        <f t="shared" si="836"/>
        <v>QuickAnalysis,0,</v>
      </c>
      <c r="BL212" s="31" t="str">
        <f t="shared" si="836"/>
        <v>PromptUserUMLHWarning,0,</v>
      </c>
      <c r="BM212" s="31" t="str">
        <f t="shared" si="837"/>
        <v>BypassOpenStudio_all,0,</v>
      </c>
      <c r="BN212" s="31" t="str">
        <f t="shared" si="838"/>
        <v>BypassOpenStudio_zp,0,</v>
      </c>
      <c r="BO212" s="31" t="str">
        <f t="shared" si="839"/>
        <v>BypassOpenStudio_zb,0,</v>
      </c>
      <c r="BP212" s="31" t="str">
        <f t="shared" si="840"/>
        <v>BypassOpenStudio_ap,0,</v>
      </c>
      <c r="BQ212" s="31" t="str">
        <f t="shared" si="841"/>
        <v>BypassOpenStudio_ab,0,</v>
      </c>
      <c r="BR212" s="31" t="str">
        <f t="shared" si="842"/>
        <v>BypassOpenStudio_zp,0,</v>
      </c>
      <c r="BS212" s="31" t="str">
        <f t="shared" si="843"/>
        <v>BypassOpenStudio_zb,0,</v>
      </c>
      <c r="BT212" s="31" t="str">
        <f t="shared" si="844"/>
        <v>BypassOpenStudio_ap,0,</v>
      </c>
      <c r="BU212" s="31" t="str">
        <f t="shared" si="845"/>
        <v>BypassOpenStudio_ab,0,</v>
      </c>
    </row>
    <row r="213" spans="1:73" x14ac:dyDescent="0.25">
      <c r="A213" s="39">
        <f t="shared" si="846"/>
        <v>0</v>
      </c>
      <c r="B213" s="27" t="str">
        <f t="shared" si="847"/>
        <v>SoftwareSensitivityTests\StreamlinedApprovalSet\1009806-RetlStrp-HVACPSZ DXCOP.cibd</v>
      </c>
      <c r="C213" s="27" t="str">
        <f t="shared" si="848"/>
        <v>BatchOut_160331_r3964_SSTs\1009806-RetlStrp-HVACPSZ DXCOP.cibd</v>
      </c>
      <c r="D213" s="27" t="str">
        <f t="shared" si="849"/>
        <v>BatchOut_160331_r3964_SSTs\XML\</v>
      </c>
      <c r="E213" s="9" t="str">
        <f t="shared" si="850"/>
        <v>1009806</v>
      </c>
      <c r="F213" s="22"/>
      <c r="G213" s="29"/>
      <c r="H213" s="23" t="str">
        <f t="shared" si="851"/>
        <v/>
      </c>
      <c r="I213" s="9" t="s">
        <v>11</v>
      </c>
      <c r="J213"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3" s="15" t="s">
        <v>1</v>
      </c>
      <c r="L213" s="36">
        <f t="shared" si="856"/>
        <v>0</v>
      </c>
      <c r="M213" s="32" t="str">
        <f t="shared" si="852"/>
        <v>1009806</v>
      </c>
      <c r="N213" s="28" t="s">
        <v>298</v>
      </c>
      <c r="O213" s="28" t="str">
        <f t="shared" si="857"/>
        <v>1009806-RetlStrp-HVACPSZ DXCOP</v>
      </c>
      <c r="P213" s="36">
        <f t="shared" si="900"/>
        <v>1</v>
      </c>
      <c r="Q213" s="36">
        <f t="shared" si="900"/>
        <v>1</v>
      </c>
      <c r="R213" s="36">
        <f t="shared" si="900"/>
        <v>0</v>
      </c>
      <c r="S213" s="36">
        <f t="shared" si="900"/>
        <v>1</v>
      </c>
      <c r="T213" s="36">
        <f t="shared" si="900"/>
        <v>0</v>
      </c>
      <c r="U213" s="36">
        <f t="shared" si="900"/>
        <v>8</v>
      </c>
      <c r="V213" s="36">
        <f t="shared" si="900"/>
        <v>8</v>
      </c>
      <c r="W213" s="36">
        <f t="shared" si="896"/>
        <v>1</v>
      </c>
      <c r="X213" s="36">
        <f t="shared" si="896"/>
        <v>0</v>
      </c>
      <c r="Y213" s="36">
        <f t="shared" si="896"/>
        <v>0</v>
      </c>
      <c r="Z213" s="36">
        <f t="shared" si="896"/>
        <v>0</v>
      </c>
      <c r="AA213" s="36">
        <f t="shared" si="896"/>
        <v>0</v>
      </c>
      <c r="AB213" s="36">
        <f t="shared" si="896"/>
        <v>0</v>
      </c>
      <c r="AC213" s="36">
        <f t="shared" si="896"/>
        <v>0</v>
      </c>
      <c r="AD213" s="36">
        <f t="shared" si="896"/>
        <v>0</v>
      </c>
      <c r="AE213" s="36">
        <f t="shared" ref="AE213:AF213" si="938">AE212</f>
        <v>0</v>
      </c>
      <c r="AF213" s="36">
        <f t="shared" si="938"/>
        <v>0</v>
      </c>
      <c r="AG213" s="36">
        <f t="shared" ref="AG213:AH213" si="939">AG212</f>
        <v>0</v>
      </c>
      <c r="AH213" s="36">
        <f t="shared" si="939"/>
        <v>0</v>
      </c>
      <c r="AI213" s="36">
        <f t="shared" ref="AI213" si="940">AI212</f>
        <v>0</v>
      </c>
      <c r="AJ213" s="36">
        <f t="shared" si="896"/>
        <v>0</v>
      </c>
      <c r="AK213" s="36">
        <f t="shared" si="896"/>
        <v>0</v>
      </c>
      <c r="AL213" s="36">
        <f t="shared" si="896"/>
        <v>0</v>
      </c>
      <c r="AM213" s="36">
        <f t="shared" si="896"/>
        <v>0</v>
      </c>
      <c r="AN213" s="36">
        <f t="shared" si="896"/>
        <v>0</v>
      </c>
      <c r="AO213" s="36">
        <f t="shared" si="896"/>
        <v>0</v>
      </c>
      <c r="AP213" s="36">
        <f t="shared" si="896"/>
        <v>0</v>
      </c>
      <c r="AQ213" s="36">
        <f t="shared" si="896"/>
        <v>0</v>
      </c>
      <c r="AR213" s="36">
        <f t="shared" si="925"/>
        <v>0</v>
      </c>
      <c r="AS213" s="31" t="str">
        <f t="shared" si="861"/>
        <v>SimulationStorage,1,</v>
      </c>
      <c r="AT213" s="31" t="str">
        <f t="shared" si="862"/>
        <v>AnalysisStorage,1,</v>
      </c>
      <c r="AU213" s="31" t="str">
        <f t="shared" si="863"/>
        <v>LogRuleEvaluation,0,</v>
      </c>
      <c r="AV213" s="31" t="str">
        <f t="shared" si="864"/>
        <v>ParallelSimulations,1,</v>
      </c>
      <c r="AW213" s="31" t="str">
        <f t="shared" si="865"/>
        <v>DurationStats,0,</v>
      </c>
      <c r="AX213" s="31" t="str">
        <f t="shared" si="866"/>
        <v>AnalysisThruStep,8,</v>
      </c>
      <c r="AY213" s="31" t="str">
        <f t="shared" si="867"/>
        <v>DontAbortOnErrorsThruStep,8,</v>
      </c>
      <c r="AZ213" s="31" t="str">
        <f t="shared" si="868"/>
        <v>BypassValidFileChecks,1,</v>
      </c>
      <c r="BA213" s="31" t="str">
        <f t="shared" si="869"/>
        <v>BypassInputChecks,0,</v>
      </c>
      <c r="BB213" s="31" t="str">
        <f t="shared" si="870"/>
        <v>BypassUMLHChecks,0,</v>
      </c>
      <c r="BC213" s="31" t="str">
        <f t="shared" si="871"/>
        <v>BypassCheckSimRules,0,</v>
      </c>
      <c r="BD213" s="31" t="str">
        <f t="shared" si="872"/>
        <v>BypassCheckCodeRules,0,</v>
      </c>
      <c r="BE213" s="31" t="str">
        <f t="shared" si="830"/>
        <v>StoreResultsToModelInput,0,</v>
      </c>
      <c r="BF213" s="31" t="str">
        <f t="shared" si="831"/>
        <v>StoreBEMDetails,0,</v>
      </c>
      <c r="BG213" s="31" t="str">
        <f t="shared" si="832"/>
        <v>ModelRpt_ALL,0,</v>
      </c>
      <c r="BH213" s="31" t="str">
        <f t="shared" si="833"/>
        <v>ExportHourlyResults_All,0,</v>
      </c>
      <c r="BI213" s="31" t="str">
        <f t="shared" si="834"/>
        <v>ComplianceReportPDF,0,</v>
      </c>
      <c r="BJ213" s="31" t="str">
        <f t="shared" si="835"/>
        <v>ComplianceReportXML,0,</v>
      </c>
      <c r="BK213" s="31" t="str">
        <f t="shared" si="836"/>
        <v>QuickAnalysis,0,</v>
      </c>
      <c r="BL213" s="31" t="str">
        <f t="shared" si="836"/>
        <v>PromptUserUMLHWarning,0,</v>
      </c>
      <c r="BM213" s="31" t="str">
        <f t="shared" si="837"/>
        <v>BypassOpenStudio_all,0,</v>
      </c>
      <c r="BN213" s="31" t="str">
        <f t="shared" si="838"/>
        <v>BypassOpenStudio_zp,0,</v>
      </c>
      <c r="BO213" s="31" t="str">
        <f t="shared" si="839"/>
        <v>BypassOpenStudio_zb,0,</v>
      </c>
      <c r="BP213" s="31" t="str">
        <f t="shared" si="840"/>
        <v>BypassOpenStudio_ap,0,</v>
      </c>
      <c r="BQ213" s="31" t="str">
        <f t="shared" si="841"/>
        <v>BypassOpenStudio_ab,0,</v>
      </c>
      <c r="BR213" s="31" t="str">
        <f t="shared" si="842"/>
        <v>BypassOpenStudio_zp,0,</v>
      </c>
      <c r="BS213" s="31" t="str">
        <f t="shared" si="843"/>
        <v>BypassOpenStudio_zb,0,</v>
      </c>
      <c r="BT213" s="31" t="str">
        <f t="shared" si="844"/>
        <v>BypassOpenStudio_ap,0,</v>
      </c>
      <c r="BU213" s="31" t="str">
        <f t="shared" si="845"/>
        <v>BypassOpenStudio_ab,0,</v>
      </c>
    </row>
    <row r="214" spans="1:73" x14ac:dyDescent="0.25">
      <c r="A214" s="39">
        <f t="shared" si="846"/>
        <v>0</v>
      </c>
      <c r="B214" s="27" t="str">
        <f t="shared" si="847"/>
        <v>SoftwareSensitivityTests\StreamlinedApprovalSet\1009906-RetlStrp-HVACPSZ HeatEff.cibd</v>
      </c>
      <c r="C214" s="27" t="str">
        <f t="shared" si="848"/>
        <v>BatchOut_160331_r3964_SSTs\1009906-RetlStrp-HVACPSZ HeatEff.cibd</v>
      </c>
      <c r="D214" s="27" t="str">
        <f t="shared" si="849"/>
        <v>BatchOut_160331_r3964_SSTs\XML\</v>
      </c>
      <c r="E214" s="9" t="str">
        <f t="shared" si="850"/>
        <v>1009906</v>
      </c>
      <c r="F214" s="22"/>
      <c r="G214" s="29"/>
      <c r="H214" s="23" t="str">
        <f t="shared" si="851"/>
        <v/>
      </c>
      <c r="I214" s="9" t="s">
        <v>11</v>
      </c>
      <c r="J214"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4" s="15" t="s">
        <v>1</v>
      </c>
      <c r="L214" s="36">
        <f t="shared" si="856"/>
        <v>0</v>
      </c>
      <c r="M214" s="32" t="str">
        <f t="shared" si="852"/>
        <v>1009906</v>
      </c>
      <c r="N214" s="28" t="s">
        <v>299</v>
      </c>
      <c r="O214" s="28" t="str">
        <f t="shared" si="857"/>
        <v>1009906-RetlStrp-HVACPSZ HeatEff</v>
      </c>
      <c r="P214" s="36">
        <f t="shared" si="900"/>
        <v>1</v>
      </c>
      <c r="Q214" s="36">
        <f t="shared" si="900"/>
        <v>1</v>
      </c>
      <c r="R214" s="36">
        <f t="shared" si="900"/>
        <v>0</v>
      </c>
      <c r="S214" s="36">
        <f t="shared" si="900"/>
        <v>1</v>
      </c>
      <c r="T214" s="36">
        <f t="shared" si="900"/>
        <v>0</v>
      </c>
      <c r="U214" s="36">
        <f t="shared" si="900"/>
        <v>8</v>
      </c>
      <c r="V214" s="36">
        <f t="shared" si="900"/>
        <v>8</v>
      </c>
      <c r="W214" s="36">
        <f t="shared" si="896"/>
        <v>1</v>
      </c>
      <c r="X214" s="36">
        <f t="shared" si="896"/>
        <v>0</v>
      </c>
      <c r="Y214" s="36">
        <f t="shared" si="896"/>
        <v>0</v>
      </c>
      <c r="Z214" s="36">
        <f t="shared" si="896"/>
        <v>0</v>
      </c>
      <c r="AA214" s="36">
        <f t="shared" si="896"/>
        <v>0</v>
      </c>
      <c r="AB214" s="36">
        <f t="shared" si="896"/>
        <v>0</v>
      </c>
      <c r="AC214" s="36">
        <f t="shared" si="896"/>
        <v>0</v>
      </c>
      <c r="AD214" s="36">
        <f t="shared" si="896"/>
        <v>0</v>
      </c>
      <c r="AE214" s="36">
        <f t="shared" ref="AE214:AF214" si="941">AE213</f>
        <v>0</v>
      </c>
      <c r="AF214" s="36">
        <f t="shared" si="941"/>
        <v>0</v>
      </c>
      <c r="AG214" s="36">
        <f t="shared" ref="AG214:AH214" si="942">AG213</f>
        <v>0</v>
      </c>
      <c r="AH214" s="36">
        <f t="shared" si="942"/>
        <v>0</v>
      </c>
      <c r="AI214" s="36">
        <f t="shared" ref="AI214" si="943">AI213</f>
        <v>0</v>
      </c>
      <c r="AJ214" s="36">
        <f t="shared" si="896"/>
        <v>0</v>
      </c>
      <c r="AK214" s="36">
        <f t="shared" si="896"/>
        <v>0</v>
      </c>
      <c r="AL214" s="36">
        <f t="shared" si="896"/>
        <v>0</v>
      </c>
      <c r="AM214" s="36">
        <f t="shared" si="896"/>
        <v>0</v>
      </c>
      <c r="AN214" s="36">
        <f t="shared" si="896"/>
        <v>0</v>
      </c>
      <c r="AO214" s="36">
        <f t="shared" si="896"/>
        <v>0</v>
      </c>
      <c r="AP214" s="36">
        <f t="shared" si="896"/>
        <v>0</v>
      </c>
      <c r="AQ214" s="36">
        <f t="shared" si="896"/>
        <v>0</v>
      </c>
      <c r="AR214" s="36">
        <f t="shared" si="925"/>
        <v>0</v>
      </c>
      <c r="AS214" s="31" t="str">
        <f t="shared" si="861"/>
        <v>SimulationStorage,1,</v>
      </c>
      <c r="AT214" s="31" t="str">
        <f t="shared" si="862"/>
        <v>AnalysisStorage,1,</v>
      </c>
      <c r="AU214" s="31" t="str">
        <f t="shared" si="863"/>
        <v>LogRuleEvaluation,0,</v>
      </c>
      <c r="AV214" s="31" t="str">
        <f t="shared" si="864"/>
        <v>ParallelSimulations,1,</v>
      </c>
      <c r="AW214" s="31" t="str">
        <f t="shared" si="865"/>
        <v>DurationStats,0,</v>
      </c>
      <c r="AX214" s="31" t="str">
        <f t="shared" si="866"/>
        <v>AnalysisThruStep,8,</v>
      </c>
      <c r="AY214" s="31" t="str">
        <f t="shared" si="867"/>
        <v>DontAbortOnErrorsThruStep,8,</v>
      </c>
      <c r="AZ214" s="31" t="str">
        <f t="shared" si="868"/>
        <v>BypassValidFileChecks,1,</v>
      </c>
      <c r="BA214" s="31" t="str">
        <f t="shared" si="869"/>
        <v>BypassInputChecks,0,</v>
      </c>
      <c r="BB214" s="31" t="str">
        <f t="shared" si="870"/>
        <v>BypassUMLHChecks,0,</v>
      </c>
      <c r="BC214" s="31" t="str">
        <f t="shared" si="871"/>
        <v>BypassCheckSimRules,0,</v>
      </c>
      <c r="BD214" s="31" t="str">
        <f t="shared" si="872"/>
        <v>BypassCheckCodeRules,0,</v>
      </c>
      <c r="BE214" s="31" t="str">
        <f t="shared" si="830"/>
        <v>StoreResultsToModelInput,0,</v>
      </c>
      <c r="BF214" s="31" t="str">
        <f t="shared" si="831"/>
        <v>StoreBEMDetails,0,</v>
      </c>
      <c r="BG214" s="31" t="str">
        <f t="shared" si="832"/>
        <v>ModelRpt_ALL,0,</v>
      </c>
      <c r="BH214" s="31" t="str">
        <f t="shared" si="833"/>
        <v>ExportHourlyResults_All,0,</v>
      </c>
      <c r="BI214" s="31" t="str">
        <f t="shared" si="834"/>
        <v>ComplianceReportPDF,0,</v>
      </c>
      <c r="BJ214" s="31" t="str">
        <f t="shared" si="835"/>
        <v>ComplianceReportXML,0,</v>
      </c>
      <c r="BK214" s="31" t="str">
        <f t="shared" si="836"/>
        <v>QuickAnalysis,0,</v>
      </c>
      <c r="BL214" s="31" t="str">
        <f t="shared" si="836"/>
        <v>PromptUserUMLHWarning,0,</v>
      </c>
      <c r="BM214" s="31" t="str">
        <f t="shared" si="837"/>
        <v>BypassOpenStudio_all,0,</v>
      </c>
      <c r="BN214" s="31" t="str">
        <f t="shared" si="838"/>
        <v>BypassOpenStudio_zp,0,</v>
      </c>
      <c r="BO214" s="31" t="str">
        <f t="shared" si="839"/>
        <v>BypassOpenStudio_zb,0,</v>
      </c>
      <c r="BP214" s="31" t="str">
        <f t="shared" si="840"/>
        <v>BypassOpenStudio_ap,0,</v>
      </c>
      <c r="BQ214" s="31" t="str">
        <f t="shared" si="841"/>
        <v>BypassOpenStudio_ab,0,</v>
      </c>
      <c r="BR214" s="31" t="str">
        <f t="shared" si="842"/>
        <v>BypassOpenStudio_zp,0,</v>
      </c>
      <c r="BS214" s="31" t="str">
        <f t="shared" si="843"/>
        <v>BypassOpenStudio_zb,0,</v>
      </c>
      <c r="BT214" s="31" t="str">
        <f t="shared" si="844"/>
        <v>BypassOpenStudio_ap,0,</v>
      </c>
      <c r="BU214" s="31" t="str">
        <f t="shared" si="845"/>
        <v>BypassOpenStudio_ab,0,</v>
      </c>
    </row>
    <row r="215" spans="1:73" x14ac:dyDescent="0.25">
      <c r="A215" s="39">
        <f t="shared" si="846"/>
        <v>0</v>
      </c>
      <c r="B215" s="27" t="str">
        <f t="shared" si="847"/>
        <v>SoftwareSensitivityTests\StreamlinedApprovalSet\1010006-RetlStrp-HVACPSZ EconomizerControl.cibd</v>
      </c>
      <c r="C215" s="27" t="str">
        <f t="shared" si="848"/>
        <v>BatchOut_160331_r3964_SSTs\1010006-RetlStrp-HVACPSZ EconomizerControl.cibd</v>
      </c>
      <c r="D215" s="27" t="str">
        <f t="shared" si="849"/>
        <v>BatchOut_160331_r3964_SSTs\XML\</v>
      </c>
      <c r="E215" s="9" t="str">
        <f t="shared" si="850"/>
        <v>1010006</v>
      </c>
      <c r="F215" s="22"/>
      <c r="G215" s="29"/>
      <c r="H215" s="23" t="str">
        <f t="shared" si="851"/>
        <v/>
      </c>
      <c r="I215" s="9" t="s">
        <v>11</v>
      </c>
      <c r="J215"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5" s="15" t="s">
        <v>1</v>
      </c>
      <c r="L215" s="36">
        <f t="shared" si="856"/>
        <v>0</v>
      </c>
      <c r="M215" s="32" t="str">
        <f t="shared" si="852"/>
        <v>1010006</v>
      </c>
      <c r="N215" s="28" t="s">
        <v>300</v>
      </c>
      <c r="O215" s="28" t="str">
        <f t="shared" si="857"/>
        <v>1010006-RetlStrp-HVACPSZ EconomizerControl</v>
      </c>
      <c r="P215" s="36">
        <f t="shared" si="900"/>
        <v>1</v>
      </c>
      <c r="Q215" s="36">
        <f t="shared" si="900"/>
        <v>1</v>
      </c>
      <c r="R215" s="36">
        <f t="shared" si="900"/>
        <v>0</v>
      </c>
      <c r="S215" s="36">
        <f t="shared" si="900"/>
        <v>1</v>
      </c>
      <c r="T215" s="36">
        <f t="shared" si="900"/>
        <v>0</v>
      </c>
      <c r="U215" s="36">
        <f t="shared" si="900"/>
        <v>8</v>
      </c>
      <c r="V215" s="36">
        <f t="shared" si="900"/>
        <v>8</v>
      </c>
      <c r="W215" s="36">
        <f t="shared" si="896"/>
        <v>1</v>
      </c>
      <c r="X215" s="36">
        <f t="shared" si="896"/>
        <v>0</v>
      </c>
      <c r="Y215" s="36">
        <f t="shared" si="896"/>
        <v>0</v>
      </c>
      <c r="Z215" s="36">
        <f t="shared" si="896"/>
        <v>0</v>
      </c>
      <c r="AA215" s="36">
        <f t="shared" si="896"/>
        <v>0</v>
      </c>
      <c r="AB215" s="36">
        <f t="shared" si="896"/>
        <v>0</v>
      </c>
      <c r="AC215" s="36">
        <f t="shared" si="896"/>
        <v>0</v>
      </c>
      <c r="AD215" s="36">
        <f t="shared" si="896"/>
        <v>0</v>
      </c>
      <c r="AE215" s="36">
        <f t="shared" ref="AE215:AF224" si="944">AE214</f>
        <v>0</v>
      </c>
      <c r="AF215" s="36">
        <f t="shared" si="944"/>
        <v>0</v>
      </c>
      <c r="AG215" s="36">
        <f t="shared" ref="AG215:AH215" si="945">AG214</f>
        <v>0</v>
      </c>
      <c r="AH215" s="36">
        <f t="shared" si="945"/>
        <v>0</v>
      </c>
      <c r="AI215" s="36">
        <f t="shared" ref="AI215" si="946">AI214</f>
        <v>0</v>
      </c>
      <c r="AJ215" s="36">
        <f t="shared" si="896"/>
        <v>0</v>
      </c>
      <c r="AK215" s="36">
        <f t="shared" si="896"/>
        <v>0</v>
      </c>
      <c r="AL215" s="36">
        <f t="shared" si="896"/>
        <v>0</v>
      </c>
      <c r="AM215" s="36">
        <f t="shared" si="896"/>
        <v>0</v>
      </c>
      <c r="AN215" s="36">
        <f t="shared" si="896"/>
        <v>0</v>
      </c>
      <c r="AO215" s="36">
        <f t="shared" si="896"/>
        <v>0</v>
      </c>
      <c r="AP215" s="36">
        <f t="shared" si="896"/>
        <v>0</v>
      </c>
      <c r="AQ215" s="36">
        <f t="shared" si="896"/>
        <v>0</v>
      </c>
      <c r="AR215" s="36">
        <f t="shared" si="925"/>
        <v>0</v>
      </c>
      <c r="AS215" s="31" t="str">
        <f t="shared" si="861"/>
        <v>SimulationStorage,1,</v>
      </c>
      <c r="AT215" s="31" t="str">
        <f t="shared" si="862"/>
        <v>AnalysisStorage,1,</v>
      </c>
      <c r="AU215" s="31" t="str">
        <f t="shared" si="863"/>
        <v>LogRuleEvaluation,0,</v>
      </c>
      <c r="AV215" s="31" t="str">
        <f t="shared" si="864"/>
        <v>ParallelSimulations,1,</v>
      </c>
      <c r="AW215" s="31" t="str">
        <f t="shared" si="865"/>
        <v>DurationStats,0,</v>
      </c>
      <c r="AX215" s="31" t="str">
        <f t="shared" si="866"/>
        <v>AnalysisThruStep,8,</v>
      </c>
      <c r="AY215" s="31" t="str">
        <f t="shared" si="867"/>
        <v>DontAbortOnErrorsThruStep,8,</v>
      </c>
      <c r="AZ215" s="31" t="str">
        <f t="shared" si="868"/>
        <v>BypassValidFileChecks,1,</v>
      </c>
      <c r="BA215" s="31" t="str">
        <f t="shared" si="869"/>
        <v>BypassInputChecks,0,</v>
      </c>
      <c r="BB215" s="31" t="str">
        <f t="shared" si="870"/>
        <v>BypassUMLHChecks,0,</v>
      </c>
      <c r="BC215" s="31" t="str">
        <f t="shared" si="871"/>
        <v>BypassCheckSimRules,0,</v>
      </c>
      <c r="BD215" s="31" t="str">
        <f t="shared" si="872"/>
        <v>BypassCheckCodeRules,0,</v>
      </c>
      <c r="BE215" s="31" t="str">
        <f t="shared" si="830"/>
        <v>StoreResultsToModelInput,0,</v>
      </c>
      <c r="BF215" s="31" t="str">
        <f t="shared" si="831"/>
        <v>StoreBEMDetails,0,</v>
      </c>
      <c r="BG215" s="31" t="str">
        <f t="shared" si="832"/>
        <v>ModelRpt_ALL,0,</v>
      </c>
      <c r="BH215" s="31" t="str">
        <f t="shared" si="833"/>
        <v>ExportHourlyResults_All,0,</v>
      </c>
      <c r="BI215" s="31" t="str">
        <f t="shared" si="834"/>
        <v>ComplianceReportPDF,0,</v>
      </c>
      <c r="BJ215" s="31" t="str">
        <f t="shared" si="835"/>
        <v>ComplianceReportXML,0,</v>
      </c>
      <c r="BK215" s="31" t="str">
        <f t="shared" si="836"/>
        <v>QuickAnalysis,0,</v>
      </c>
      <c r="BL215" s="31" t="str">
        <f t="shared" si="836"/>
        <v>PromptUserUMLHWarning,0,</v>
      </c>
      <c r="BM215" s="31" t="str">
        <f t="shared" si="837"/>
        <v>BypassOpenStudio_all,0,</v>
      </c>
      <c r="BN215" s="31" t="str">
        <f t="shared" si="838"/>
        <v>BypassOpenStudio_zp,0,</v>
      </c>
      <c r="BO215" s="31" t="str">
        <f t="shared" si="839"/>
        <v>BypassOpenStudio_zb,0,</v>
      </c>
      <c r="BP215" s="31" t="str">
        <f t="shared" si="840"/>
        <v>BypassOpenStudio_ap,0,</v>
      </c>
      <c r="BQ215" s="31" t="str">
        <f t="shared" si="841"/>
        <v>BypassOpenStudio_ab,0,</v>
      </c>
      <c r="BR215" s="31" t="str">
        <f t="shared" si="842"/>
        <v>BypassOpenStudio_zp,0,</v>
      </c>
      <c r="BS215" s="31" t="str">
        <f t="shared" si="843"/>
        <v>BypassOpenStudio_zb,0,</v>
      </c>
      <c r="BT215" s="31" t="str">
        <f t="shared" si="844"/>
        <v>BypassOpenStudio_ap,0,</v>
      </c>
      <c r="BU215" s="31" t="str">
        <f t="shared" si="845"/>
        <v>BypassOpenStudio_ab,0,</v>
      </c>
    </row>
    <row r="216" spans="1:73" x14ac:dyDescent="0.25">
      <c r="A216" s="39">
        <f t="shared" si="846"/>
        <v>0</v>
      </c>
      <c r="B216" s="27" t="str">
        <f t="shared" si="847"/>
        <v>SoftwareSensitivityTests\StreamlinedApprovalSet\x.cibd</v>
      </c>
      <c r="C216" s="27" t="str">
        <f t="shared" si="848"/>
        <v>BatchOut_160331_r3964_SSTs\x.cibd</v>
      </c>
      <c r="D216" s="27" t="str">
        <f t="shared" si="849"/>
        <v>BatchOut_160331_r3964_SSTs\XML\</v>
      </c>
      <c r="E216" s="9" t="str">
        <f t="shared" si="850"/>
        <v>x</v>
      </c>
      <c r="F216" s="22"/>
      <c r="G216" s="29"/>
      <c r="H216" s="23" t="str">
        <f t="shared" si="851"/>
        <v/>
      </c>
      <c r="I216" s="9" t="s">
        <v>11</v>
      </c>
      <c r="J216"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6" s="15" t="s">
        <v>1</v>
      </c>
      <c r="L216" s="36">
        <v>0</v>
      </c>
      <c r="M216" s="32" t="str">
        <f t="shared" si="852"/>
        <v>x</v>
      </c>
      <c r="N216" s="28" t="s">
        <v>269</v>
      </c>
      <c r="O216" s="28" t="str">
        <f t="shared" si="857"/>
        <v>x</v>
      </c>
      <c r="P216" s="36">
        <f t="shared" si="900"/>
        <v>1</v>
      </c>
      <c r="Q216" s="36">
        <f t="shared" si="900"/>
        <v>1</v>
      </c>
      <c r="R216" s="36">
        <f t="shared" si="900"/>
        <v>0</v>
      </c>
      <c r="S216" s="36">
        <f t="shared" si="900"/>
        <v>1</v>
      </c>
      <c r="T216" s="36">
        <f t="shared" si="900"/>
        <v>0</v>
      </c>
      <c r="U216" s="36">
        <f t="shared" si="900"/>
        <v>8</v>
      </c>
      <c r="V216" s="36">
        <f t="shared" si="900"/>
        <v>8</v>
      </c>
      <c r="W216" s="36">
        <f t="shared" si="900"/>
        <v>1</v>
      </c>
      <c r="X216" s="36">
        <f t="shared" si="900"/>
        <v>0</v>
      </c>
      <c r="Y216" s="36">
        <f t="shared" si="900"/>
        <v>0</v>
      </c>
      <c r="Z216" s="36">
        <f t="shared" si="900"/>
        <v>0</v>
      </c>
      <c r="AA216" s="36">
        <f t="shared" si="900"/>
        <v>0</v>
      </c>
      <c r="AB216" s="36">
        <f t="shared" si="900"/>
        <v>0</v>
      </c>
      <c r="AC216" s="36">
        <f t="shared" si="900"/>
        <v>0</v>
      </c>
      <c r="AD216" s="36">
        <f t="shared" si="900"/>
        <v>0</v>
      </c>
      <c r="AE216" s="36">
        <f t="shared" si="944"/>
        <v>0</v>
      </c>
      <c r="AF216" s="36">
        <f t="shared" si="944"/>
        <v>0</v>
      </c>
      <c r="AG216" s="36">
        <f t="shared" ref="AG216:AH216" si="947">AG215</f>
        <v>0</v>
      </c>
      <c r="AH216" s="36">
        <f t="shared" si="947"/>
        <v>0</v>
      </c>
      <c r="AI216" s="36">
        <f t="shared" ref="AI216" si="948">AI215</f>
        <v>0</v>
      </c>
      <c r="AJ216" s="36">
        <f t="shared" si="900"/>
        <v>0</v>
      </c>
      <c r="AK216" s="36">
        <f t="shared" ref="AK216:AQ231" si="949">AK215</f>
        <v>0</v>
      </c>
      <c r="AL216" s="36">
        <f t="shared" si="949"/>
        <v>0</v>
      </c>
      <c r="AM216" s="36">
        <f t="shared" si="949"/>
        <v>0</v>
      </c>
      <c r="AN216" s="36">
        <f t="shared" si="949"/>
        <v>0</v>
      </c>
      <c r="AO216" s="36">
        <f t="shared" si="949"/>
        <v>0</v>
      </c>
      <c r="AP216" s="36">
        <f t="shared" si="949"/>
        <v>0</v>
      </c>
      <c r="AQ216" s="36">
        <f t="shared" si="949"/>
        <v>0</v>
      </c>
      <c r="AR216" s="36">
        <f t="shared" si="925"/>
        <v>0</v>
      </c>
      <c r="AS216" s="31" t="str">
        <f t="shared" si="861"/>
        <v>SimulationStorage,1,</v>
      </c>
      <c r="AT216" s="31" t="str">
        <f t="shared" si="862"/>
        <v>AnalysisStorage,1,</v>
      </c>
      <c r="AU216" s="31" t="str">
        <f t="shared" si="863"/>
        <v>LogRuleEvaluation,0,</v>
      </c>
      <c r="AV216" s="31" t="str">
        <f t="shared" si="864"/>
        <v>ParallelSimulations,1,</v>
      </c>
      <c r="AW216" s="31" t="str">
        <f t="shared" si="865"/>
        <v>DurationStats,0,</v>
      </c>
      <c r="AX216" s="31" t="str">
        <f t="shared" si="866"/>
        <v>AnalysisThruStep,8,</v>
      </c>
      <c r="AY216" s="31" t="str">
        <f t="shared" si="867"/>
        <v>DontAbortOnErrorsThruStep,8,</v>
      </c>
      <c r="AZ216" s="31" t="str">
        <f t="shared" si="868"/>
        <v>BypassValidFileChecks,1,</v>
      </c>
      <c r="BA216" s="31" t="str">
        <f t="shared" si="869"/>
        <v>BypassInputChecks,0,</v>
      </c>
      <c r="BB216" s="31" t="str">
        <f t="shared" si="870"/>
        <v>BypassUMLHChecks,0,</v>
      </c>
      <c r="BC216" s="31" t="str">
        <f t="shared" si="871"/>
        <v>BypassCheckSimRules,0,</v>
      </c>
      <c r="BD216" s="31" t="str">
        <f t="shared" si="872"/>
        <v>BypassCheckCodeRules,0,</v>
      </c>
      <c r="BE216" s="31" t="str">
        <f t="shared" si="830"/>
        <v>StoreResultsToModelInput,0,</v>
      </c>
      <c r="BF216" s="31" t="str">
        <f t="shared" si="831"/>
        <v>StoreBEMDetails,0,</v>
      </c>
      <c r="BG216" s="31" t="str">
        <f t="shared" si="832"/>
        <v>ModelRpt_ALL,0,</v>
      </c>
      <c r="BH216" s="31" t="str">
        <f t="shared" si="833"/>
        <v>ExportHourlyResults_All,0,</v>
      </c>
      <c r="BI216" s="31" t="str">
        <f t="shared" si="834"/>
        <v>ComplianceReportPDF,0,</v>
      </c>
      <c r="BJ216" s="31" t="str">
        <f t="shared" si="835"/>
        <v>ComplianceReportXML,0,</v>
      </c>
      <c r="BK216" s="31" t="str">
        <f t="shared" si="836"/>
        <v>QuickAnalysis,0,</v>
      </c>
      <c r="BL216" s="31" t="str">
        <f t="shared" si="836"/>
        <v>PromptUserUMLHWarning,0,</v>
      </c>
      <c r="BM216" s="31" t="str">
        <f t="shared" si="837"/>
        <v>BypassOpenStudio_all,0,</v>
      </c>
      <c r="BN216" s="31" t="str">
        <f t="shared" si="838"/>
        <v>BypassOpenStudio_zp,0,</v>
      </c>
      <c r="BO216" s="31" t="str">
        <f t="shared" si="839"/>
        <v>BypassOpenStudio_zb,0,</v>
      </c>
      <c r="BP216" s="31" t="str">
        <f t="shared" si="840"/>
        <v>BypassOpenStudio_ap,0,</v>
      </c>
      <c r="BQ216" s="31" t="str">
        <f t="shared" si="841"/>
        <v>BypassOpenStudio_ab,0,</v>
      </c>
      <c r="BR216" s="31" t="str">
        <f t="shared" si="842"/>
        <v>BypassOpenStudio_zp,0,</v>
      </c>
      <c r="BS216" s="31" t="str">
        <f t="shared" si="843"/>
        <v>BypassOpenStudio_zb,0,</v>
      </c>
      <c r="BT216" s="31" t="str">
        <f t="shared" si="844"/>
        <v>BypassOpenStudio_ap,0,</v>
      </c>
      <c r="BU216" s="31" t="str">
        <f t="shared" si="845"/>
        <v>BypassOpenStudio_ab,0,</v>
      </c>
    </row>
    <row r="217" spans="1:73" x14ac:dyDescent="0.25">
      <c r="A217" s="39">
        <f t="shared" si="846"/>
        <v>0</v>
      </c>
      <c r="B217" s="27" t="str">
        <f t="shared" si="847"/>
        <v>SoftwareSensitivityTests\StreamlinedApprovalSet\0402507-OffLrg-WWR20.cibd</v>
      </c>
      <c r="C217" s="27" t="str">
        <f t="shared" si="848"/>
        <v>BatchOut_160331_r3964_SSTs\0402507-OffLrg-WWR20.cibd</v>
      </c>
      <c r="D217" s="27" t="str">
        <f t="shared" si="849"/>
        <v>BatchOut_160331_r3964_SSTs\XML\</v>
      </c>
      <c r="E217" s="9" t="str">
        <f t="shared" si="850"/>
        <v>0402507</v>
      </c>
      <c r="F217" s="22"/>
      <c r="G217" s="29"/>
      <c r="H217" s="23" t="str">
        <f t="shared" si="851"/>
        <v/>
      </c>
      <c r="I217" s="9" t="s">
        <v>11</v>
      </c>
      <c r="J217"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7" s="15" t="s">
        <v>1</v>
      </c>
      <c r="L217" s="36">
        <v>0</v>
      </c>
      <c r="M217" s="32" t="str">
        <f t="shared" si="852"/>
        <v>0402507</v>
      </c>
      <c r="N217" s="28" t="s">
        <v>301</v>
      </c>
      <c r="O217" s="28" t="str">
        <f t="shared" si="857"/>
        <v>0402507-OffLrg-WWR20</v>
      </c>
      <c r="P217" s="36">
        <f t="shared" si="900"/>
        <v>1</v>
      </c>
      <c r="Q217" s="36">
        <f t="shared" si="900"/>
        <v>1</v>
      </c>
      <c r="R217" s="36">
        <f t="shared" si="900"/>
        <v>0</v>
      </c>
      <c r="S217" s="36">
        <f t="shared" si="900"/>
        <v>1</v>
      </c>
      <c r="T217" s="36">
        <f t="shared" si="900"/>
        <v>0</v>
      </c>
      <c r="U217" s="36">
        <f t="shared" si="900"/>
        <v>8</v>
      </c>
      <c r="V217" s="36">
        <f t="shared" si="900"/>
        <v>8</v>
      </c>
      <c r="W217" s="36">
        <f t="shared" si="900"/>
        <v>1</v>
      </c>
      <c r="X217" s="36">
        <f t="shared" si="900"/>
        <v>0</v>
      </c>
      <c r="Y217" s="36">
        <f t="shared" si="900"/>
        <v>0</v>
      </c>
      <c r="Z217" s="36">
        <f t="shared" si="900"/>
        <v>0</v>
      </c>
      <c r="AA217" s="36">
        <f t="shared" si="900"/>
        <v>0</v>
      </c>
      <c r="AB217" s="36">
        <f t="shared" si="900"/>
        <v>0</v>
      </c>
      <c r="AC217" s="36">
        <f t="shared" si="900"/>
        <v>0</v>
      </c>
      <c r="AD217" s="36">
        <f t="shared" si="900"/>
        <v>0</v>
      </c>
      <c r="AE217" s="36">
        <f t="shared" si="944"/>
        <v>0</v>
      </c>
      <c r="AF217" s="36">
        <f t="shared" si="944"/>
        <v>0</v>
      </c>
      <c r="AG217" s="36">
        <f t="shared" ref="AG217:AH217" si="950">AG216</f>
        <v>0</v>
      </c>
      <c r="AH217" s="36">
        <f t="shared" si="950"/>
        <v>0</v>
      </c>
      <c r="AI217" s="36">
        <f t="shared" ref="AI217" si="951">AI216</f>
        <v>0</v>
      </c>
      <c r="AJ217" s="36">
        <f t="shared" si="900"/>
        <v>0</v>
      </c>
      <c r="AK217" s="36">
        <f t="shared" si="949"/>
        <v>0</v>
      </c>
      <c r="AL217" s="36">
        <f t="shared" si="949"/>
        <v>0</v>
      </c>
      <c r="AM217" s="36">
        <f t="shared" si="949"/>
        <v>0</v>
      </c>
      <c r="AN217" s="36">
        <f t="shared" si="949"/>
        <v>0</v>
      </c>
      <c r="AO217" s="36">
        <f t="shared" si="949"/>
        <v>0</v>
      </c>
      <c r="AP217" s="36">
        <f t="shared" si="949"/>
        <v>0</v>
      </c>
      <c r="AQ217" s="36">
        <f t="shared" si="949"/>
        <v>0</v>
      </c>
      <c r="AR217" s="36">
        <f t="shared" si="925"/>
        <v>0</v>
      </c>
      <c r="AS217" s="31" t="str">
        <f t="shared" si="861"/>
        <v>SimulationStorage,1,</v>
      </c>
      <c r="AT217" s="31" t="str">
        <f t="shared" si="862"/>
        <v>AnalysisStorage,1,</v>
      </c>
      <c r="AU217" s="31" t="str">
        <f t="shared" si="863"/>
        <v>LogRuleEvaluation,0,</v>
      </c>
      <c r="AV217" s="31" t="str">
        <f t="shared" si="864"/>
        <v>ParallelSimulations,1,</v>
      </c>
      <c r="AW217" s="31" t="str">
        <f t="shared" si="865"/>
        <v>DurationStats,0,</v>
      </c>
      <c r="AX217" s="31" t="str">
        <f t="shared" si="866"/>
        <v>AnalysisThruStep,8,</v>
      </c>
      <c r="AY217" s="31" t="str">
        <f t="shared" si="867"/>
        <v>DontAbortOnErrorsThruStep,8,</v>
      </c>
      <c r="AZ217" s="31" t="str">
        <f t="shared" si="868"/>
        <v>BypassValidFileChecks,1,</v>
      </c>
      <c r="BA217" s="31" t="str">
        <f t="shared" si="869"/>
        <v>BypassInputChecks,0,</v>
      </c>
      <c r="BB217" s="31" t="str">
        <f t="shared" si="870"/>
        <v>BypassUMLHChecks,0,</v>
      </c>
      <c r="BC217" s="31" t="str">
        <f t="shared" si="871"/>
        <v>BypassCheckSimRules,0,</v>
      </c>
      <c r="BD217" s="31" t="str">
        <f t="shared" si="872"/>
        <v>BypassCheckCodeRules,0,</v>
      </c>
      <c r="BE217" s="31" t="str">
        <f t="shared" si="830"/>
        <v>StoreResultsToModelInput,0,</v>
      </c>
      <c r="BF217" s="31" t="str">
        <f t="shared" si="831"/>
        <v>StoreBEMDetails,0,</v>
      </c>
      <c r="BG217" s="31" t="str">
        <f t="shared" si="832"/>
        <v>ModelRpt_ALL,0,</v>
      </c>
      <c r="BH217" s="31" t="str">
        <f t="shared" si="833"/>
        <v>ExportHourlyResults_All,0,</v>
      </c>
      <c r="BI217" s="31" t="str">
        <f t="shared" si="834"/>
        <v>ComplianceReportPDF,0,</v>
      </c>
      <c r="BJ217" s="31" t="str">
        <f t="shared" si="835"/>
        <v>ComplianceReportXML,0,</v>
      </c>
      <c r="BK217" s="31" t="str">
        <f t="shared" si="836"/>
        <v>QuickAnalysis,0,</v>
      </c>
      <c r="BL217" s="31" t="str">
        <f t="shared" si="836"/>
        <v>PromptUserUMLHWarning,0,</v>
      </c>
      <c r="BM217" s="31" t="str">
        <f t="shared" si="837"/>
        <v>BypassOpenStudio_all,0,</v>
      </c>
      <c r="BN217" s="31" t="str">
        <f t="shared" si="838"/>
        <v>BypassOpenStudio_zp,0,</v>
      </c>
      <c r="BO217" s="31" t="str">
        <f t="shared" si="839"/>
        <v>BypassOpenStudio_zb,0,</v>
      </c>
      <c r="BP217" s="31" t="str">
        <f t="shared" si="840"/>
        <v>BypassOpenStudio_ap,0,</v>
      </c>
      <c r="BQ217" s="31" t="str">
        <f t="shared" si="841"/>
        <v>BypassOpenStudio_ab,0,</v>
      </c>
      <c r="BR217" s="31" t="str">
        <f t="shared" si="842"/>
        <v>BypassOpenStudio_zp,0,</v>
      </c>
      <c r="BS217" s="31" t="str">
        <f t="shared" si="843"/>
        <v>BypassOpenStudio_zb,0,</v>
      </c>
      <c r="BT217" s="31" t="str">
        <f t="shared" si="844"/>
        <v>BypassOpenStudio_ap,0,</v>
      </c>
      <c r="BU217" s="31" t="str">
        <f t="shared" si="845"/>
        <v>BypassOpenStudio_ab,0,</v>
      </c>
    </row>
    <row r="218" spans="1:73" x14ac:dyDescent="0.25">
      <c r="A218" s="39">
        <f t="shared" si="846"/>
        <v>0</v>
      </c>
      <c r="B218" s="27" t="str">
        <f t="shared" si="847"/>
        <v>SoftwareSensitivityTests\StreamlinedApprovalSet\0400001-OffLrg-Baserun.cibd</v>
      </c>
      <c r="C218" s="27" t="str">
        <f t="shared" si="848"/>
        <v>BatchOut_160331_r3964_SSTs\0400001-OffLrg-Baserun.cibd</v>
      </c>
      <c r="D218" s="27" t="str">
        <f t="shared" si="849"/>
        <v>BatchOut_160331_r3964_SSTs\XML\</v>
      </c>
      <c r="E218" s="9" t="str">
        <f t="shared" si="850"/>
        <v>0400001</v>
      </c>
      <c r="F218" s="22"/>
      <c r="G218" s="29"/>
      <c r="H218" s="23" t="str">
        <f t="shared" si="851"/>
        <v/>
      </c>
      <c r="I218" s="9" t="s">
        <v>11</v>
      </c>
      <c r="J218"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8" s="15" t="s">
        <v>1</v>
      </c>
      <c r="L218" s="36">
        <f t="shared" si="856"/>
        <v>0</v>
      </c>
      <c r="M218" s="32" t="str">
        <f t="shared" si="852"/>
        <v>0400001</v>
      </c>
      <c r="N218" s="28" t="s">
        <v>302</v>
      </c>
      <c r="O218" s="28" t="str">
        <f t="shared" si="857"/>
        <v>0400001-OffLrg-Baserun</v>
      </c>
      <c r="P218" s="36">
        <f t="shared" si="900"/>
        <v>1</v>
      </c>
      <c r="Q218" s="36">
        <f t="shared" si="900"/>
        <v>1</v>
      </c>
      <c r="R218" s="36">
        <f t="shared" si="900"/>
        <v>0</v>
      </c>
      <c r="S218" s="36">
        <f t="shared" si="900"/>
        <v>1</v>
      </c>
      <c r="T218" s="36">
        <f t="shared" si="900"/>
        <v>0</v>
      </c>
      <c r="U218" s="36">
        <f t="shared" si="900"/>
        <v>8</v>
      </c>
      <c r="V218" s="36">
        <f t="shared" si="900"/>
        <v>8</v>
      </c>
      <c r="W218" s="36">
        <f t="shared" si="900"/>
        <v>1</v>
      </c>
      <c r="X218" s="36">
        <f t="shared" si="900"/>
        <v>0</v>
      </c>
      <c r="Y218" s="36">
        <f t="shared" si="900"/>
        <v>0</v>
      </c>
      <c r="Z218" s="36">
        <f t="shared" si="900"/>
        <v>0</v>
      </c>
      <c r="AA218" s="36">
        <f t="shared" si="900"/>
        <v>0</v>
      </c>
      <c r="AB218" s="36">
        <f t="shared" si="900"/>
        <v>0</v>
      </c>
      <c r="AC218" s="36">
        <f t="shared" si="900"/>
        <v>0</v>
      </c>
      <c r="AD218" s="36">
        <f t="shared" si="900"/>
        <v>0</v>
      </c>
      <c r="AE218" s="36">
        <f t="shared" si="944"/>
        <v>0</v>
      </c>
      <c r="AF218" s="36">
        <f t="shared" si="944"/>
        <v>0</v>
      </c>
      <c r="AG218" s="36">
        <f t="shared" ref="AG218:AH218" si="952">AG217</f>
        <v>0</v>
      </c>
      <c r="AH218" s="36">
        <f t="shared" si="952"/>
        <v>0</v>
      </c>
      <c r="AI218" s="36">
        <f t="shared" ref="AI218" si="953">AI217</f>
        <v>0</v>
      </c>
      <c r="AJ218" s="36">
        <f t="shared" si="900"/>
        <v>0</v>
      </c>
      <c r="AK218" s="36">
        <f t="shared" si="949"/>
        <v>0</v>
      </c>
      <c r="AL218" s="36">
        <f t="shared" si="949"/>
        <v>0</v>
      </c>
      <c r="AM218" s="36">
        <f t="shared" si="949"/>
        <v>0</v>
      </c>
      <c r="AN218" s="36">
        <f t="shared" si="949"/>
        <v>0</v>
      </c>
      <c r="AO218" s="36">
        <f t="shared" si="949"/>
        <v>0</v>
      </c>
      <c r="AP218" s="36">
        <f t="shared" si="949"/>
        <v>0</v>
      </c>
      <c r="AQ218" s="36">
        <f t="shared" si="949"/>
        <v>0</v>
      </c>
      <c r="AR218" s="36">
        <f t="shared" si="925"/>
        <v>0</v>
      </c>
      <c r="AS218" s="31" t="str">
        <f t="shared" si="861"/>
        <v>SimulationStorage,1,</v>
      </c>
      <c r="AT218" s="31" t="str">
        <f t="shared" si="862"/>
        <v>AnalysisStorage,1,</v>
      </c>
      <c r="AU218" s="31" t="str">
        <f t="shared" si="863"/>
        <v>LogRuleEvaluation,0,</v>
      </c>
      <c r="AV218" s="31" t="str">
        <f t="shared" si="864"/>
        <v>ParallelSimulations,1,</v>
      </c>
      <c r="AW218" s="31" t="str">
        <f t="shared" si="865"/>
        <v>DurationStats,0,</v>
      </c>
      <c r="AX218" s="31" t="str">
        <f t="shared" si="866"/>
        <v>AnalysisThruStep,8,</v>
      </c>
      <c r="AY218" s="31" t="str">
        <f t="shared" si="867"/>
        <v>DontAbortOnErrorsThruStep,8,</v>
      </c>
      <c r="AZ218" s="31" t="str">
        <f t="shared" si="868"/>
        <v>BypassValidFileChecks,1,</v>
      </c>
      <c r="BA218" s="31" t="str">
        <f t="shared" si="869"/>
        <v>BypassInputChecks,0,</v>
      </c>
      <c r="BB218" s="31" t="str">
        <f t="shared" si="870"/>
        <v>BypassUMLHChecks,0,</v>
      </c>
      <c r="BC218" s="31" t="str">
        <f t="shared" si="871"/>
        <v>BypassCheckSimRules,0,</v>
      </c>
      <c r="BD218" s="31" t="str">
        <f t="shared" si="872"/>
        <v>BypassCheckCodeRules,0,</v>
      </c>
      <c r="BE218" s="31" t="str">
        <f t="shared" si="830"/>
        <v>StoreResultsToModelInput,0,</v>
      </c>
      <c r="BF218" s="31" t="str">
        <f t="shared" si="831"/>
        <v>StoreBEMDetails,0,</v>
      </c>
      <c r="BG218" s="31" t="str">
        <f t="shared" si="832"/>
        <v>ModelRpt_ALL,0,</v>
      </c>
      <c r="BH218" s="31" t="str">
        <f t="shared" si="833"/>
        <v>ExportHourlyResults_All,0,</v>
      </c>
      <c r="BI218" s="31" t="str">
        <f t="shared" si="834"/>
        <v>ComplianceReportPDF,0,</v>
      </c>
      <c r="BJ218" s="31" t="str">
        <f t="shared" si="835"/>
        <v>ComplianceReportXML,0,</v>
      </c>
      <c r="BK218" s="31" t="str">
        <f t="shared" si="836"/>
        <v>QuickAnalysis,0,</v>
      </c>
      <c r="BL218" s="31" t="str">
        <f t="shared" si="836"/>
        <v>PromptUserUMLHWarning,0,</v>
      </c>
      <c r="BM218" s="31" t="str">
        <f t="shared" si="837"/>
        <v>BypassOpenStudio_all,0,</v>
      </c>
      <c r="BN218" s="31" t="str">
        <f t="shared" si="838"/>
        <v>BypassOpenStudio_zp,0,</v>
      </c>
      <c r="BO218" s="31" t="str">
        <f t="shared" si="839"/>
        <v>BypassOpenStudio_zb,0,</v>
      </c>
      <c r="BP218" s="31" t="str">
        <f t="shared" si="840"/>
        <v>BypassOpenStudio_ap,0,</v>
      </c>
      <c r="BQ218" s="31" t="str">
        <f t="shared" si="841"/>
        <v>BypassOpenStudio_ab,0,</v>
      </c>
      <c r="BR218" s="31" t="str">
        <f t="shared" si="842"/>
        <v>BypassOpenStudio_zp,0,</v>
      </c>
      <c r="BS218" s="31" t="str">
        <f t="shared" si="843"/>
        <v>BypassOpenStudio_zb,0,</v>
      </c>
      <c r="BT218" s="31" t="str">
        <f t="shared" si="844"/>
        <v>BypassOpenStudio_ap,0,</v>
      </c>
      <c r="BU218" s="31" t="str">
        <f t="shared" si="845"/>
        <v>BypassOpenStudio_ab,0,</v>
      </c>
    </row>
    <row r="219" spans="1:73" x14ac:dyDescent="0.25">
      <c r="A219" s="39">
        <f t="shared" si="846"/>
        <v>0</v>
      </c>
      <c r="B219" s="27" t="str">
        <f t="shared" si="847"/>
        <v>SoftwareSensitivityTests\StreamlinedApprovalSet\0400006-OffLrg-Baserun.cibd</v>
      </c>
      <c r="C219" s="27" t="str">
        <f t="shared" si="848"/>
        <v>BatchOut_160331_r3964_SSTs\0400006-OffLrg-Baserun.cibd</v>
      </c>
      <c r="D219" s="27" t="str">
        <f t="shared" si="849"/>
        <v>BatchOut_160331_r3964_SSTs\XML\</v>
      </c>
      <c r="E219" s="9" t="str">
        <f t="shared" si="850"/>
        <v>0400006</v>
      </c>
      <c r="F219" s="22"/>
      <c r="G219" s="29"/>
      <c r="H219" s="23" t="str">
        <f t="shared" si="851"/>
        <v/>
      </c>
      <c r="I219" s="9" t="s">
        <v>11</v>
      </c>
      <c r="J219"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9" s="15" t="s">
        <v>1</v>
      </c>
      <c r="L219" s="36">
        <f t="shared" si="856"/>
        <v>0</v>
      </c>
      <c r="M219" s="32" t="str">
        <f t="shared" si="852"/>
        <v>0400006</v>
      </c>
      <c r="N219" s="28" t="s">
        <v>303</v>
      </c>
      <c r="O219" s="28" t="str">
        <f t="shared" si="857"/>
        <v>0400006-OffLrg-Baserun</v>
      </c>
      <c r="P219" s="36">
        <f t="shared" si="900"/>
        <v>1</v>
      </c>
      <c r="Q219" s="36">
        <f t="shared" si="900"/>
        <v>1</v>
      </c>
      <c r="R219" s="36">
        <f t="shared" si="900"/>
        <v>0</v>
      </c>
      <c r="S219" s="36">
        <f t="shared" si="900"/>
        <v>1</v>
      </c>
      <c r="T219" s="36">
        <f t="shared" si="900"/>
        <v>0</v>
      </c>
      <c r="U219" s="36">
        <f t="shared" si="900"/>
        <v>8</v>
      </c>
      <c r="V219" s="36">
        <f t="shared" si="900"/>
        <v>8</v>
      </c>
      <c r="W219" s="36">
        <f t="shared" si="900"/>
        <v>1</v>
      </c>
      <c r="X219" s="36">
        <f t="shared" si="900"/>
        <v>0</v>
      </c>
      <c r="Y219" s="36">
        <f t="shared" si="900"/>
        <v>0</v>
      </c>
      <c r="Z219" s="36">
        <f t="shared" si="900"/>
        <v>0</v>
      </c>
      <c r="AA219" s="36">
        <f t="shared" si="900"/>
        <v>0</v>
      </c>
      <c r="AB219" s="36">
        <f t="shared" si="900"/>
        <v>0</v>
      </c>
      <c r="AC219" s="36">
        <f t="shared" si="900"/>
        <v>0</v>
      </c>
      <c r="AD219" s="36">
        <f t="shared" si="900"/>
        <v>0</v>
      </c>
      <c r="AE219" s="36">
        <f t="shared" si="944"/>
        <v>0</v>
      </c>
      <c r="AF219" s="36">
        <f t="shared" si="944"/>
        <v>0</v>
      </c>
      <c r="AG219" s="36">
        <f t="shared" ref="AG219:AH219" si="954">AG218</f>
        <v>0</v>
      </c>
      <c r="AH219" s="36">
        <f t="shared" si="954"/>
        <v>0</v>
      </c>
      <c r="AI219" s="36">
        <f t="shared" ref="AI219" si="955">AI218</f>
        <v>0</v>
      </c>
      <c r="AJ219" s="36">
        <f t="shared" si="900"/>
        <v>0</v>
      </c>
      <c r="AK219" s="36">
        <f t="shared" si="949"/>
        <v>0</v>
      </c>
      <c r="AL219" s="36">
        <f t="shared" si="949"/>
        <v>0</v>
      </c>
      <c r="AM219" s="36">
        <f t="shared" si="949"/>
        <v>0</v>
      </c>
      <c r="AN219" s="36">
        <f t="shared" si="949"/>
        <v>0</v>
      </c>
      <c r="AO219" s="36">
        <f t="shared" si="949"/>
        <v>0</v>
      </c>
      <c r="AP219" s="36">
        <f t="shared" si="949"/>
        <v>0</v>
      </c>
      <c r="AQ219" s="36">
        <f t="shared" si="949"/>
        <v>0</v>
      </c>
      <c r="AR219" s="36">
        <f t="shared" si="925"/>
        <v>0</v>
      </c>
      <c r="AS219" s="31" t="str">
        <f t="shared" si="861"/>
        <v>SimulationStorage,1,</v>
      </c>
      <c r="AT219" s="31" t="str">
        <f t="shared" si="862"/>
        <v>AnalysisStorage,1,</v>
      </c>
      <c r="AU219" s="31" t="str">
        <f t="shared" si="863"/>
        <v>LogRuleEvaluation,0,</v>
      </c>
      <c r="AV219" s="31" t="str">
        <f t="shared" si="864"/>
        <v>ParallelSimulations,1,</v>
      </c>
      <c r="AW219" s="31" t="str">
        <f t="shared" si="865"/>
        <v>DurationStats,0,</v>
      </c>
      <c r="AX219" s="31" t="str">
        <f t="shared" si="866"/>
        <v>AnalysisThruStep,8,</v>
      </c>
      <c r="AY219" s="31" t="str">
        <f t="shared" si="867"/>
        <v>DontAbortOnErrorsThruStep,8,</v>
      </c>
      <c r="AZ219" s="31" t="str">
        <f t="shared" si="868"/>
        <v>BypassValidFileChecks,1,</v>
      </c>
      <c r="BA219" s="31" t="str">
        <f t="shared" si="869"/>
        <v>BypassInputChecks,0,</v>
      </c>
      <c r="BB219" s="31" t="str">
        <f t="shared" si="870"/>
        <v>BypassUMLHChecks,0,</v>
      </c>
      <c r="BC219" s="31" t="str">
        <f t="shared" si="871"/>
        <v>BypassCheckSimRules,0,</v>
      </c>
      <c r="BD219" s="31" t="str">
        <f t="shared" si="872"/>
        <v>BypassCheckCodeRules,0,</v>
      </c>
      <c r="BE219" s="31" t="str">
        <f t="shared" si="830"/>
        <v>StoreResultsToModelInput,0,</v>
      </c>
      <c r="BF219" s="31" t="str">
        <f t="shared" si="831"/>
        <v>StoreBEMDetails,0,</v>
      </c>
      <c r="BG219" s="31" t="str">
        <f t="shared" si="832"/>
        <v>ModelRpt_ALL,0,</v>
      </c>
      <c r="BH219" s="31" t="str">
        <f t="shared" si="833"/>
        <v>ExportHourlyResults_All,0,</v>
      </c>
      <c r="BI219" s="31" t="str">
        <f t="shared" si="834"/>
        <v>ComplianceReportPDF,0,</v>
      </c>
      <c r="BJ219" s="31" t="str">
        <f t="shared" si="835"/>
        <v>ComplianceReportXML,0,</v>
      </c>
      <c r="BK219" s="31" t="str">
        <f t="shared" si="836"/>
        <v>QuickAnalysis,0,</v>
      </c>
      <c r="BL219" s="31" t="str">
        <f t="shared" si="836"/>
        <v>PromptUserUMLHWarning,0,</v>
      </c>
      <c r="BM219" s="31" t="str">
        <f t="shared" si="837"/>
        <v>BypassOpenStudio_all,0,</v>
      </c>
      <c r="BN219" s="31" t="str">
        <f t="shared" si="838"/>
        <v>BypassOpenStudio_zp,0,</v>
      </c>
      <c r="BO219" s="31" t="str">
        <f t="shared" si="839"/>
        <v>BypassOpenStudio_zb,0,</v>
      </c>
      <c r="BP219" s="31" t="str">
        <f t="shared" si="840"/>
        <v>BypassOpenStudio_ap,0,</v>
      </c>
      <c r="BQ219" s="31" t="str">
        <f t="shared" si="841"/>
        <v>BypassOpenStudio_ab,0,</v>
      </c>
      <c r="BR219" s="31" t="str">
        <f t="shared" si="842"/>
        <v>BypassOpenStudio_zp,0,</v>
      </c>
      <c r="BS219" s="31" t="str">
        <f t="shared" si="843"/>
        <v>BypassOpenStudio_zb,0,</v>
      </c>
      <c r="BT219" s="31" t="str">
        <f t="shared" si="844"/>
        <v>BypassOpenStudio_ap,0,</v>
      </c>
      <c r="BU219" s="31" t="str">
        <f t="shared" si="845"/>
        <v>BypassOpenStudio_ab,0,</v>
      </c>
    </row>
    <row r="220" spans="1:73" x14ac:dyDescent="0.25">
      <c r="A220" s="39">
        <f t="shared" si="846"/>
        <v>0</v>
      </c>
      <c r="B220" s="27" t="str">
        <f t="shared" si="847"/>
        <v>SoftwareSensitivityTests\StreamlinedApprovalSet\0402801-OffLrg-WWR20.cibd</v>
      </c>
      <c r="C220" s="27" t="str">
        <f t="shared" si="848"/>
        <v>BatchOut_160331_r3964_SSTs\0402801-OffLrg-WWR20.cibd</v>
      </c>
      <c r="D220" s="27" t="str">
        <f t="shared" si="849"/>
        <v>BatchOut_160331_r3964_SSTs\XML\</v>
      </c>
      <c r="E220" s="9" t="str">
        <f t="shared" si="850"/>
        <v>0402801</v>
      </c>
      <c r="F220" s="22"/>
      <c r="G220" s="29"/>
      <c r="H220" s="23" t="str">
        <f t="shared" si="851"/>
        <v/>
      </c>
      <c r="I220" s="9" t="s">
        <v>11</v>
      </c>
      <c r="J220"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0" s="15" t="s">
        <v>1</v>
      </c>
      <c r="L220" s="36">
        <f t="shared" si="856"/>
        <v>0</v>
      </c>
      <c r="M220" s="32" t="str">
        <f t="shared" si="852"/>
        <v>0402801</v>
      </c>
      <c r="N220" s="28" t="s">
        <v>304</v>
      </c>
      <c r="O220" s="28" t="str">
        <f t="shared" si="857"/>
        <v>0402801-OffLrg-WWR20</v>
      </c>
      <c r="P220" s="36">
        <f t="shared" si="900"/>
        <v>1</v>
      </c>
      <c r="Q220" s="36">
        <f t="shared" si="900"/>
        <v>1</v>
      </c>
      <c r="R220" s="36">
        <f t="shared" si="900"/>
        <v>0</v>
      </c>
      <c r="S220" s="36">
        <f t="shared" si="900"/>
        <v>1</v>
      </c>
      <c r="T220" s="36">
        <f t="shared" si="900"/>
        <v>0</v>
      </c>
      <c r="U220" s="36">
        <f t="shared" si="900"/>
        <v>8</v>
      </c>
      <c r="V220" s="36">
        <f t="shared" si="900"/>
        <v>8</v>
      </c>
      <c r="W220" s="36">
        <f t="shared" si="900"/>
        <v>1</v>
      </c>
      <c r="X220" s="36">
        <f t="shared" si="900"/>
        <v>0</v>
      </c>
      <c r="Y220" s="36">
        <f t="shared" si="900"/>
        <v>0</v>
      </c>
      <c r="Z220" s="36">
        <f t="shared" si="900"/>
        <v>0</v>
      </c>
      <c r="AA220" s="36">
        <f t="shared" si="900"/>
        <v>0</v>
      </c>
      <c r="AB220" s="36">
        <f t="shared" si="900"/>
        <v>0</v>
      </c>
      <c r="AC220" s="36">
        <f t="shared" si="900"/>
        <v>0</v>
      </c>
      <c r="AD220" s="36">
        <f t="shared" si="900"/>
        <v>0</v>
      </c>
      <c r="AE220" s="36">
        <f t="shared" si="944"/>
        <v>0</v>
      </c>
      <c r="AF220" s="36">
        <f t="shared" si="944"/>
        <v>0</v>
      </c>
      <c r="AG220" s="36">
        <f t="shared" ref="AG220:AH220" si="956">AG219</f>
        <v>0</v>
      </c>
      <c r="AH220" s="36">
        <f t="shared" si="956"/>
        <v>0</v>
      </c>
      <c r="AI220" s="36">
        <f t="shared" ref="AI220" si="957">AI219</f>
        <v>0</v>
      </c>
      <c r="AJ220" s="36">
        <f t="shared" si="900"/>
        <v>0</v>
      </c>
      <c r="AK220" s="36">
        <f t="shared" si="949"/>
        <v>0</v>
      </c>
      <c r="AL220" s="36">
        <f t="shared" si="949"/>
        <v>0</v>
      </c>
      <c r="AM220" s="36">
        <f t="shared" si="949"/>
        <v>0</v>
      </c>
      <c r="AN220" s="36">
        <f t="shared" si="949"/>
        <v>0</v>
      </c>
      <c r="AO220" s="36">
        <f t="shared" si="949"/>
        <v>0</v>
      </c>
      <c r="AP220" s="36">
        <f t="shared" si="949"/>
        <v>0</v>
      </c>
      <c r="AQ220" s="36">
        <f t="shared" si="949"/>
        <v>0</v>
      </c>
      <c r="AR220" s="36">
        <f t="shared" si="925"/>
        <v>0</v>
      </c>
      <c r="AS220" s="31" t="str">
        <f t="shared" si="861"/>
        <v>SimulationStorage,1,</v>
      </c>
      <c r="AT220" s="31" t="str">
        <f t="shared" si="862"/>
        <v>AnalysisStorage,1,</v>
      </c>
      <c r="AU220" s="31" t="str">
        <f t="shared" si="863"/>
        <v>LogRuleEvaluation,0,</v>
      </c>
      <c r="AV220" s="31" t="str">
        <f t="shared" si="864"/>
        <v>ParallelSimulations,1,</v>
      </c>
      <c r="AW220" s="31" t="str">
        <f t="shared" si="865"/>
        <v>DurationStats,0,</v>
      </c>
      <c r="AX220" s="31" t="str">
        <f t="shared" si="866"/>
        <v>AnalysisThruStep,8,</v>
      </c>
      <c r="AY220" s="31" t="str">
        <f t="shared" si="867"/>
        <v>DontAbortOnErrorsThruStep,8,</v>
      </c>
      <c r="AZ220" s="31" t="str">
        <f t="shared" si="868"/>
        <v>BypassValidFileChecks,1,</v>
      </c>
      <c r="BA220" s="31" t="str">
        <f t="shared" si="869"/>
        <v>BypassInputChecks,0,</v>
      </c>
      <c r="BB220" s="31" t="str">
        <f t="shared" si="870"/>
        <v>BypassUMLHChecks,0,</v>
      </c>
      <c r="BC220" s="31" t="str">
        <f t="shared" si="871"/>
        <v>BypassCheckSimRules,0,</v>
      </c>
      <c r="BD220" s="31" t="str">
        <f t="shared" si="872"/>
        <v>BypassCheckCodeRules,0,</v>
      </c>
      <c r="BE220" s="31" t="str">
        <f t="shared" si="830"/>
        <v>StoreResultsToModelInput,0,</v>
      </c>
      <c r="BF220" s="31" t="str">
        <f t="shared" si="831"/>
        <v>StoreBEMDetails,0,</v>
      </c>
      <c r="BG220" s="31" t="str">
        <f t="shared" si="832"/>
        <v>ModelRpt_ALL,0,</v>
      </c>
      <c r="BH220" s="31" t="str">
        <f t="shared" si="833"/>
        <v>ExportHourlyResults_All,0,</v>
      </c>
      <c r="BI220" s="31" t="str">
        <f t="shared" si="834"/>
        <v>ComplianceReportPDF,0,</v>
      </c>
      <c r="BJ220" s="31" t="str">
        <f t="shared" si="835"/>
        <v>ComplianceReportXML,0,</v>
      </c>
      <c r="BK220" s="31" t="str">
        <f t="shared" si="836"/>
        <v>QuickAnalysis,0,</v>
      </c>
      <c r="BL220" s="31" t="str">
        <f t="shared" si="836"/>
        <v>PromptUserUMLHWarning,0,</v>
      </c>
      <c r="BM220" s="31" t="str">
        <f t="shared" si="837"/>
        <v>BypassOpenStudio_all,0,</v>
      </c>
      <c r="BN220" s="31" t="str">
        <f t="shared" si="838"/>
        <v>BypassOpenStudio_zp,0,</v>
      </c>
      <c r="BO220" s="31" t="str">
        <f t="shared" si="839"/>
        <v>BypassOpenStudio_zb,0,</v>
      </c>
      <c r="BP220" s="31" t="str">
        <f t="shared" si="840"/>
        <v>BypassOpenStudio_ap,0,</v>
      </c>
      <c r="BQ220" s="31" t="str">
        <f t="shared" si="841"/>
        <v>BypassOpenStudio_ab,0,</v>
      </c>
      <c r="BR220" s="31" t="str">
        <f t="shared" si="842"/>
        <v>BypassOpenStudio_zp,0,</v>
      </c>
      <c r="BS220" s="31" t="str">
        <f t="shared" si="843"/>
        <v>BypassOpenStudio_zb,0,</v>
      </c>
      <c r="BT220" s="31" t="str">
        <f t="shared" si="844"/>
        <v>BypassOpenStudio_ap,0,</v>
      </c>
      <c r="BU220" s="31" t="str">
        <f t="shared" si="845"/>
        <v>BypassOpenStudio_ab,0,</v>
      </c>
    </row>
    <row r="221" spans="1:73" x14ac:dyDescent="0.25">
      <c r="A221" s="39">
        <f t="shared" si="846"/>
        <v>0</v>
      </c>
      <c r="B221" s="27" t="str">
        <f t="shared" si="847"/>
        <v>SoftwareSensitivityTests\StreamlinedApprovalSet\0402901-OffLrg-WWR60.cibd</v>
      </c>
      <c r="C221" s="27" t="str">
        <f t="shared" si="848"/>
        <v>BatchOut_160331_r3964_SSTs\0402901-OffLrg-WWR60.cibd</v>
      </c>
      <c r="D221" s="27" t="str">
        <f t="shared" si="849"/>
        <v>BatchOut_160331_r3964_SSTs\XML\</v>
      </c>
      <c r="E221" s="9" t="str">
        <f t="shared" si="850"/>
        <v>0402901</v>
      </c>
      <c r="F221" s="22"/>
      <c r="G221" s="29"/>
      <c r="H221" s="23" t="str">
        <f t="shared" si="851"/>
        <v/>
      </c>
      <c r="I221" s="9" t="s">
        <v>11</v>
      </c>
      <c r="J221"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1" s="15" t="s">
        <v>1</v>
      </c>
      <c r="L221" s="36">
        <f t="shared" si="856"/>
        <v>0</v>
      </c>
      <c r="M221" s="32" t="str">
        <f t="shared" si="852"/>
        <v>0402901</v>
      </c>
      <c r="N221" s="28" t="s">
        <v>305</v>
      </c>
      <c r="O221" s="28" t="str">
        <f t="shared" si="857"/>
        <v>0402901-OffLrg-WWR60</v>
      </c>
      <c r="P221" s="36">
        <f t="shared" si="900"/>
        <v>1</v>
      </c>
      <c r="Q221" s="36">
        <f t="shared" si="900"/>
        <v>1</v>
      </c>
      <c r="R221" s="36">
        <f t="shared" si="900"/>
        <v>0</v>
      </c>
      <c r="S221" s="36">
        <f t="shared" si="900"/>
        <v>1</v>
      </c>
      <c r="T221" s="36">
        <f t="shared" si="900"/>
        <v>0</v>
      </c>
      <c r="U221" s="36">
        <f t="shared" si="900"/>
        <v>8</v>
      </c>
      <c r="V221" s="36">
        <f t="shared" si="900"/>
        <v>8</v>
      </c>
      <c r="W221" s="36">
        <f t="shared" si="900"/>
        <v>1</v>
      </c>
      <c r="X221" s="36">
        <f t="shared" si="900"/>
        <v>0</v>
      </c>
      <c r="Y221" s="36">
        <f t="shared" si="900"/>
        <v>0</v>
      </c>
      <c r="Z221" s="36">
        <f t="shared" si="900"/>
        <v>0</v>
      </c>
      <c r="AA221" s="36">
        <f t="shared" si="900"/>
        <v>0</v>
      </c>
      <c r="AB221" s="36">
        <f t="shared" si="900"/>
        <v>0</v>
      </c>
      <c r="AC221" s="36">
        <f t="shared" si="900"/>
        <v>0</v>
      </c>
      <c r="AD221" s="36">
        <f t="shared" si="900"/>
        <v>0</v>
      </c>
      <c r="AE221" s="36">
        <f t="shared" si="944"/>
        <v>0</v>
      </c>
      <c r="AF221" s="36">
        <f t="shared" si="944"/>
        <v>0</v>
      </c>
      <c r="AG221" s="36">
        <f t="shared" ref="AG221:AH221" si="958">AG220</f>
        <v>0</v>
      </c>
      <c r="AH221" s="36">
        <f t="shared" si="958"/>
        <v>0</v>
      </c>
      <c r="AI221" s="36">
        <f t="shared" ref="AI221" si="959">AI220</f>
        <v>0</v>
      </c>
      <c r="AJ221" s="36">
        <f t="shared" si="900"/>
        <v>0</v>
      </c>
      <c r="AK221" s="36">
        <f t="shared" si="949"/>
        <v>0</v>
      </c>
      <c r="AL221" s="36">
        <f t="shared" si="949"/>
        <v>0</v>
      </c>
      <c r="AM221" s="36">
        <f t="shared" si="949"/>
        <v>0</v>
      </c>
      <c r="AN221" s="36">
        <f t="shared" si="949"/>
        <v>0</v>
      </c>
      <c r="AO221" s="36">
        <f t="shared" si="949"/>
        <v>0</v>
      </c>
      <c r="AP221" s="36">
        <f t="shared" si="949"/>
        <v>0</v>
      </c>
      <c r="AQ221" s="36">
        <f t="shared" si="949"/>
        <v>0</v>
      </c>
      <c r="AR221" s="36">
        <f t="shared" si="925"/>
        <v>0</v>
      </c>
      <c r="AS221" s="31" t="str">
        <f t="shared" si="861"/>
        <v>SimulationStorage,1,</v>
      </c>
      <c r="AT221" s="31" t="str">
        <f t="shared" si="862"/>
        <v>AnalysisStorage,1,</v>
      </c>
      <c r="AU221" s="31" t="str">
        <f t="shared" si="863"/>
        <v>LogRuleEvaluation,0,</v>
      </c>
      <c r="AV221" s="31" t="str">
        <f t="shared" si="864"/>
        <v>ParallelSimulations,1,</v>
      </c>
      <c r="AW221" s="31" t="str">
        <f t="shared" si="865"/>
        <v>DurationStats,0,</v>
      </c>
      <c r="AX221" s="31" t="str">
        <f t="shared" si="866"/>
        <v>AnalysisThruStep,8,</v>
      </c>
      <c r="AY221" s="31" t="str">
        <f t="shared" si="867"/>
        <v>DontAbortOnErrorsThruStep,8,</v>
      </c>
      <c r="AZ221" s="31" t="str">
        <f t="shared" si="868"/>
        <v>BypassValidFileChecks,1,</v>
      </c>
      <c r="BA221" s="31" t="str">
        <f t="shared" si="869"/>
        <v>BypassInputChecks,0,</v>
      </c>
      <c r="BB221" s="31" t="str">
        <f t="shared" si="870"/>
        <v>BypassUMLHChecks,0,</v>
      </c>
      <c r="BC221" s="31" t="str">
        <f t="shared" si="871"/>
        <v>BypassCheckSimRules,0,</v>
      </c>
      <c r="BD221" s="31" t="str">
        <f t="shared" si="872"/>
        <v>BypassCheckCodeRules,0,</v>
      </c>
      <c r="BE221" s="31" t="str">
        <f t="shared" si="830"/>
        <v>StoreResultsToModelInput,0,</v>
      </c>
      <c r="BF221" s="31" t="str">
        <f t="shared" si="831"/>
        <v>StoreBEMDetails,0,</v>
      </c>
      <c r="BG221" s="31" t="str">
        <f t="shared" si="832"/>
        <v>ModelRpt_ALL,0,</v>
      </c>
      <c r="BH221" s="31" t="str">
        <f t="shared" si="833"/>
        <v>ExportHourlyResults_All,0,</v>
      </c>
      <c r="BI221" s="31" t="str">
        <f t="shared" si="834"/>
        <v>ComplianceReportPDF,0,</v>
      </c>
      <c r="BJ221" s="31" t="str">
        <f t="shared" si="835"/>
        <v>ComplianceReportXML,0,</v>
      </c>
      <c r="BK221" s="31" t="str">
        <f t="shared" si="836"/>
        <v>QuickAnalysis,0,</v>
      </c>
      <c r="BL221" s="31" t="str">
        <f t="shared" si="836"/>
        <v>PromptUserUMLHWarning,0,</v>
      </c>
      <c r="BM221" s="31" t="str">
        <f t="shared" si="837"/>
        <v>BypassOpenStudio_all,0,</v>
      </c>
      <c r="BN221" s="31" t="str">
        <f t="shared" si="838"/>
        <v>BypassOpenStudio_zp,0,</v>
      </c>
      <c r="BO221" s="31" t="str">
        <f t="shared" si="839"/>
        <v>BypassOpenStudio_zb,0,</v>
      </c>
      <c r="BP221" s="31" t="str">
        <f t="shared" si="840"/>
        <v>BypassOpenStudio_ap,0,</v>
      </c>
      <c r="BQ221" s="31" t="str">
        <f t="shared" si="841"/>
        <v>BypassOpenStudio_ab,0,</v>
      </c>
      <c r="BR221" s="31" t="str">
        <f t="shared" si="842"/>
        <v>BypassOpenStudio_zp,0,</v>
      </c>
      <c r="BS221" s="31" t="str">
        <f t="shared" si="843"/>
        <v>BypassOpenStudio_zb,0,</v>
      </c>
      <c r="BT221" s="31" t="str">
        <f t="shared" si="844"/>
        <v>BypassOpenStudio_ap,0,</v>
      </c>
      <c r="BU221" s="31" t="str">
        <f t="shared" si="845"/>
        <v>BypassOpenStudio_ab,0,</v>
      </c>
    </row>
    <row r="222" spans="1:73" x14ac:dyDescent="0.25">
      <c r="A222" s="39">
        <f t="shared" si="846"/>
        <v>0</v>
      </c>
      <c r="B222" s="27" t="str">
        <f t="shared" si="847"/>
        <v>SoftwareSensitivityTests\StreamlinedApprovalSet\0404507-OffLrg-WWR20Cont.DimHighVT.cibd</v>
      </c>
      <c r="C222" s="27" t="str">
        <f t="shared" si="848"/>
        <v>BatchOut_160331_r3964_SSTs\0404507-OffLrg-WWR20Cont.DimHighVT.cibd</v>
      </c>
      <c r="D222" s="27" t="str">
        <f t="shared" si="849"/>
        <v>BatchOut_160331_r3964_SSTs\XML\</v>
      </c>
      <c r="E222" s="9" t="str">
        <f t="shared" si="850"/>
        <v>0404507</v>
      </c>
      <c r="F222" s="22"/>
      <c r="G222" s="29"/>
      <c r="H222" s="23" t="str">
        <f t="shared" si="851"/>
        <v/>
      </c>
      <c r="I222" s="9" t="s">
        <v>11</v>
      </c>
      <c r="J222"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2" s="15" t="s">
        <v>1</v>
      </c>
      <c r="L222" s="36">
        <f t="shared" si="856"/>
        <v>0</v>
      </c>
      <c r="M222" s="32" t="str">
        <f t="shared" si="852"/>
        <v>0404507</v>
      </c>
      <c r="N222" s="28" t="s">
        <v>306</v>
      </c>
      <c r="O222" s="28" t="str">
        <f t="shared" si="857"/>
        <v>0404507-OffLrg-WWR20Cont.DimHighVT</v>
      </c>
      <c r="P222" s="36">
        <f t="shared" si="900"/>
        <v>1</v>
      </c>
      <c r="Q222" s="36">
        <f t="shared" si="900"/>
        <v>1</v>
      </c>
      <c r="R222" s="36">
        <f t="shared" si="900"/>
        <v>0</v>
      </c>
      <c r="S222" s="36">
        <f t="shared" si="900"/>
        <v>1</v>
      </c>
      <c r="T222" s="36">
        <f t="shared" si="900"/>
        <v>0</v>
      </c>
      <c r="U222" s="36">
        <f t="shared" si="900"/>
        <v>8</v>
      </c>
      <c r="V222" s="36">
        <f t="shared" si="900"/>
        <v>8</v>
      </c>
      <c r="W222" s="36">
        <f t="shared" si="900"/>
        <v>1</v>
      </c>
      <c r="X222" s="36">
        <f t="shared" si="900"/>
        <v>0</v>
      </c>
      <c r="Y222" s="36">
        <f t="shared" si="900"/>
        <v>0</v>
      </c>
      <c r="Z222" s="36">
        <f t="shared" si="900"/>
        <v>0</v>
      </c>
      <c r="AA222" s="36">
        <f t="shared" si="900"/>
        <v>0</v>
      </c>
      <c r="AB222" s="36">
        <f t="shared" si="900"/>
        <v>0</v>
      </c>
      <c r="AC222" s="36">
        <f t="shared" si="900"/>
        <v>0</v>
      </c>
      <c r="AD222" s="36">
        <f t="shared" si="900"/>
        <v>0</v>
      </c>
      <c r="AE222" s="36">
        <f t="shared" si="944"/>
        <v>0</v>
      </c>
      <c r="AF222" s="36">
        <f t="shared" si="944"/>
        <v>0</v>
      </c>
      <c r="AG222" s="36">
        <f t="shared" ref="AG222:AH222" si="960">AG221</f>
        <v>0</v>
      </c>
      <c r="AH222" s="36">
        <f t="shared" si="960"/>
        <v>0</v>
      </c>
      <c r="AI222" s="36">
        <f t="shared" ref="AI222" si="961">AI221</f>
        <v>0</v>
      </c>
      <c r="AJ222" s="36">
        <f t="shared" si="900"/>
        <v>0</v>
      </c>
      <c r="AK222" s="36">
        <f t="shared" si="949"/>
        <v>0</v>
      </c>
      <c r="AL222" s="36">
        <f t="shared" si="949"/>
        <v>0</v>
      </c>
      <c r="AM222" s="36">
        <f t="shared" si="949"/>
        <v>0</v>
      </c>
      <c r="AN222" s="36">
        <f t="shared" si="949"/>
        <v>0</v>
      </c>
      <c r="AO222" s="36">
        <f t="shared" si="949"/>
        <v>0</v>
      </c>
      <c r="AP222" s="36">
        <f t="shared" si="949"/>
        <v>0</v>
      </c>
      <c r="AQ222" s="36">
        <f t="shared" si="949"/>
        <v>0</v>
      </c>
      <c r="AR222" s="36">
        <f t="shared" si="925"/>
        <v>0</v>
      </c>
      <c r="AS222" s="31" t="str">
        <f t="shared" si="861"/>
        <v>SimulationStorage,1,</v>
      </c>
      <c r="AT222" s="31" t="str">
        <f t="shared" si="862"/>
        <v>AnalysisStorage,1,</v>
      </c>
      <c r="AU222" s="31" t="str">
        <f t="shared" si="863"/>
        <v>LogRuleEvaluation,0,</v>
      </c>
      <c r="AV222" s="31" t="str">
        <f t="shared" si="864"/>
        <v>ParallelSimulations,1,</v>
      </c>
      <c r="AW222" s="31" t="str">
        <f t="shared" si="865"/>
        <v>DurationStats,0,</v>
      </c>
      <c r="AX222" s="31" t="str">
        <f t="shared" si="866"/>
        <v>AnalysisThruStep,8,</v>
      </c>
      <c r="AY222" s="31" t="str">
        <f t="shared" si="867"/>
        <v>DontAbortOnErrorsThruStep,8,</v>
      </c>
      <c r="AZ222" s="31" t="str">
        <f t="shared" si="868"/>
        <v>BypassValidFileChecks,1,</v>
      </c>
      <c r="BA222" s="31" t="str">
        <f t="shared" si="869"/>
        <v>BypassInputChecks,0,</v>
      </c>
      <c r="BB222" s="31" t="str">
        <f t="shared" si="870"/>
        <v>BypassUMLHChecks,0,</v>
      </c>
      <c r="BC222" s="31" t="str">
        <f t="shared" si="871"/>
        <v>BypassCheckSimRules,0,</v>
      </c>
      <c r="BD222" s="31" t="str">
        <f t="shared" si="872"/>
        <v>BypassCheckCodeRules,0,</v>
      </c>
      <c r="BE222" s="31" t="str">
        <f t="shared" si="830"/>
        <v>StoreResultsToModelInput,0,</v>
      </c>
      <c r="BF222" s="31" t="str">
        <f t="shared" si="831"/>
        <v>StoreBEMDetails,0,</v>
      </c>
      <c r="BG222" s="31" t="str">
        <f t="shared" si="832"/>
        <v>ModelRpt_ALL,0,</v>
      </c>
      <c r="BH222" s="31" t="str">
        <f t="shared" si="833"/>
        <v>ExportHourlyResults_All,0,</v>
      </c>
      <c r="BI222" s="31" t="str">
        <f t="shared" si="834"/>
        <v>ComplianceReportPDF,0,</v>
      </c>
      <c r="BJ222" s="31" t="str">
        <f t="shared" si="835"/>
        <v>ComplianceReportXML,0,</v>
      </c>
      <c r="BK222" s="31" t="str">
        <f t="shared" si="836"/>
        <v>QuickAnalysis,0,</v>
      </c>
      <c r="BL222" s="31" t="str">
        <f t="shared" si="836"/>
        <v>PromptUserUMLHWarning,0,</v>
      </c>
      <c r="BM222" s="31" t="str">
        <f t="shared" si="837"/>
        <v>BypassOpenStudio_all,0,</v>
      </c>
      <c r="BN222" s="31" t="str">
        <f t="shared" si="838"/>
        <v>BypassOpenStudio_zp,0,</v>
      </c>
      <c r="BO222" s="31" t="str">
        <f t="shared" si="839"/>
        <v>BypassOpenStudio_zb,0,</v>
      </c>
      <c r="BP222" s="31" t="str">
        <f t="shared" si="840"/>
        <v>BypassOpenStudio_ap,0,</v>
      </c>
      <c r="BQ222" s="31" t="str">
        <f t="shared" si="841"/>
        <v>BypassOpenStudio_ab,0,</v>
      </c>
      <c r="BR222" s="31" t="str">
        <f t="shared" si="842"/>
        <v>BypassOpenStudio_zp,0,</v>
      </c>
      <c r="BS222" s="31" t="str">
        <f t="shared" si="843"/>
        <v>BypassOpenStudio_zb,0,</v>
      </c>
      <c r="BT222" s="31" t="str">
        <f t="shared" si="844"/>
        <v>BypassOpenStudio_ap,0,</v>
      </c>
      <c r="BU222" s="31" t="str">
        <f t="shared" si="845"/>
        <v>BypassOpenStudio_ab,0,</v>
      </c>
    </row>
    <row r="223" spans="1:73" x14ac:dyDescent="0.25">
      <c r="A223" s="39">
        <f t="shared" si="846"/>
        <v>0</v>
      </c>
      <c r="B223" s="27" t="str">
        <f t="shared" si="847"/>
        <v>SoftwareSensitivityTests\StreamlinedApprovalSet\0404607-OffLrg-WWR20StepDim.cibd</v>
      </c>
      <c r="C223" s="27" t="str">
        <f t="shared" si="848"/>
        <v>BatchOut_160331_r3964_SSTs\0404607-OffLrg-WWR20StepDim.cibd</v>
      </c>
      <c r="D223" s="27" t="str">
        <f t="shared" si="849"/>
        <v>BatchOut_160331_r3964_SSTs\XML\</v>
      </c>
      <c r="E223" s="9" t="str">
        <f t="shared" si="850"/>
        <v>0404607</v>
      </c>
      <c r="F223" s="22"/>
      <c r="G223" s="29"/>
      <c r="H223" s="23" t="str">
        <f t="shared" si="851"/>
        <v/>
      </c>
      <c r="I223" s="9" t="s">
        <v>11</v>
      </c>
      <c r="J223"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3" s="15" t="s">
        <v>1</v>
      </c>
      <c r="L223" s="36">
        <f t="shared" si="856"/>
        <v>0</v>
      </c>
      <c r="M223" s="32" t="str">
        <f t="shared" si="852"/>
        <v>0404607</v>
      </c>
      <c r="N223" s="28" t="s">
        <v>307</v>
      </c>
      <c r="O223" s="28" t="str">
        <f t="shared" si="857"/>
        <v>0404607-OffLrg-WWR20StepDim</v>
      </c>
      <c r="P223" s="36">
        <f t="shared" si="900"/>
        <v>1</v>
      </c>
      <c r="Q223" s="36">
        <f t="shared" si="900"/>
        <v>1</v>
      </c>
      <c r="R223" s="36">
        <f t="shared" si="900"/>
        <v>0</v>
      </c>
      <c r="S223" s="36">
        <f t="shared" si="900"/>
        <v>1</v>
      </c>
      <c r="T223" s="36">
        <f t="shared" si="900"/>
        <v>0</v>
      </c>
      <c r="U223" s="36">
        <f t="shared" si="900"/>
        <v>8</v>
      </c>
      <c r="V223" s="36">
        <f t="shared" si="900"/>
        <v>8</v>
      </c>
      <c r="W223" s="36">
        <f t="shared" si="900"/>
        <v>1</v>
      </c>
      <c r="X223" s="36">
        <f t="shared" si="900"/>
        <v>0</v>
      </c>
      <c r="Y223" s="36">
        <f t="shared" si="900"/>
        <v>0</v>
      </c>
      <c r="Z223" s="36">
        <f t="shared" si="900"/>
        <v>0</v>
      </c>
      <c r="AA223" s="36">
        <f t="shared" si="900"/>
        <v>0</v>
      </c>
      <c r="AB223" s="36">
        <f t="shared" si="900"/>
        <v>0</v>
      </c>
      <c r="AC223" s="36">
        <f t="shared" si="900"/>
        <v>0</v>
      </c>
      <c r="AD223" s="36">
        <f t="shared" si="900"/>
        <v>0</v>
      </c>
      <c r="AE223" s="36">
        <f t="shared" si="944"/>
        <v>0</v>
      </c>
      <c r="AF223" s="36">
        <f t="shared" si="944"/>
        <v>0</v>
      </c>
      <c r="AG223" s="36">
        <f t="shared" ref="AG223:AH223" si="962">AG222</f>
        <v>0</v>
      </c>
      <c r="AH223" s="36">
        <f t="shared" si="962"/>
        <v>0</v>
      </c>
      <c r="AI223" s="36">
        <f t="shared" ref="AI223" si="963">AI222</f>
        <v>0</v>
      </c>
      <c r="AJ223" s="36">
        <f t="shared" si="900"/>
        <v>0</v>
      </c>
      <c r="AK223" s="36">
        <f t="shared" si="949"/>
        <v>0</v>
      </c>
      <c r="AL223" s="36">
        <f t="shared" si="949"/>
        <v>0</v>
      </c>
      <c r="AM223" s="36">
        <f t="shared" si="949"/>
        <v>0</v>
      </c>
      <c r="AN223" s="36">
        <f t="shared" si="949"/>
        <v>0</v>
      </c>
      <c r="AO223" s="36">
        <f t="shared" si="949"/>
        <v>0</v>
      </c>
      <c r="AP223" s="36">
        <f t="shared" si="949"/>
        <v>0</v>
      </c>
      <c r="AQ223" s="36">
        <f t="shared" si="949"/>
        <v>0</v>
      </c>
      <c r="AR223" s="36">
        <f t="shared" si="925"/>
        <v>0</v>
      </c>
      <c r="AS223" s="31" t="str">
        <f t="shared" si="861"/>
        <v>SimulationStorage,1,</v>
      </c>
      <c r="AT223" s="31" t="str">
        <f t="shared" si="862"/>
        <v>AnalysisStorage,1,</v>
      </c>
      <c r="AU223" s="31" t="str">
        <f t="shared" si="863"/>
        <v>LogRuleEvaluation,0,</v>
      </c>
      <c r="AV223" s="31" t="str">
        <f t="shared" si="864"/>
        <v>ParallelSimulations,1,</v>
      </c>
      <c r="AW223" s="31" t="str">
        <f t="shared" si="865"/>
        <v>DurationStats,0,</v>
      </c>
      <c r="AX223" s="31" t="str">
        <f t="shared" si="866"/>
        <v>AnalysisThruStep,8,</v>
      </c>
      <c r="AY223" s="31" t="str">
        <f t="shared" si="867"/>
        <v>DontAbortOnErrorsThruStep,8,</v>
      </c>
      <c r="AZ223" s="31" t="str">
        <f t="shared" si="868"/>
        <v>BypassValidFileChecks,1,</v>
      </c>
      <c r="BA223" s="31" t="str">
        <f t="shared" si="869"/>
        <v>BypassInputChecks,0,</v>
      </c>
      <c r="BB223" s="31" t="str">
        <f t="shared" si="870"/>
        <v>BypassUMLHChecks,0,</v>
      </c>
      <c r="BC223" s="31" t="str">
        <f t="shared" si="871"/>
        <v>BypassCheckSimRules,0,</v>
      </c>
      <c r="BD223" s="31" t="str">
        <f t="shared" si="872"/>
        <v>BypassCheckCodeRules,0,</v>
      </c>
      <c r="BE223" s="31" t="str">
        <f t="shared" si="830"/>
        <v>StoreResultsToModelInput,0,</v>
      </c>
      <c r="BF223" s="31" t="str">
        <f t="shared" si="831"/>
        <v>StoreBEMDetails,0,</v>
      </c>
      <c r="BG223" s="31" t="str">
        <f t="shared" si="832"/>
        <v>ModelRpt_ALL,0,</v>
      </c>
      <c r="BH223" s="31" t="str">
        <f t="shared" si="833"/>
        <v>ExportHourlyResults_All,0,</v>
      </c>
      <c r="BI223" s="31" t="str">
        <f t="shared" si="834"/>
        <v>ComplianceReportPDF,0,</v>
      </c>
      <c r="BJ223" s="31" t="str">
        <f t="shared" si="835"/>
        <v>ComplianceReportXML,0,</v>
      </c>
      <c r="BK223" s="31" t="str">
        <f t="shared" si="836"/>
        <v>QuickAnalysis,0,</v>
      </c>
      <c r="BL223" s="31" t="str">
        <f t="shared" si="836"/>
        <v>PromptUserUMLHWarning,0,</v>
      </c>
      <c r="BM223" s="31" t="str">
        <f t="shared" si="837"/>
        <v>BypassOpenStudio_all,0,</v>
      </c>
      <c r="BN223" s="31" t="str">
        <f t="shared" si="838"/>
        <v>BypassOpenStudio_zp,0,</v>
      </c>
      <c r="BO223" s="31" t="str">
        <f t="shared" si="839"/>
        <v>BypassOpenStudio_zb,0,</v>
      </c>
      <c r="BP223" s="31" t="str">
        <f t="shared" si="840"/>
        <v>BypassOpenStudio_ap,0,</v>
      </c>
      <c r="BQ223" s="31" t="str">
        <f t="shared" si="841"/>
        <v>BypassOpenStudio_ab,0,</v>
      </c>
      <c r="BR223" s="31" t="str">
        <f t="shared" si="842"/>
        <v>BypassOpenStudio_zp,0,</v>
      </c>
      <c r="BS223" s="31" t="str">
        <f t="shared" si="843"/>
        <v>BypassOpenStudio_zb,0,</v>
      </c>
      <c r="BT223" s="31" t="str">
        <f t="shared" si="844"/>
        <v>BypassOpenStudio_ap,0,</v>
      </c>
      <c r="BU223" s="31" t="str">
        <f t="shared" si="845"/>
        <v>BypassOpenStudio_ab,0,</v>
      </c>
    </row>
    <row r="224" spans="1:73" x14ac:dyDescent="0.25">
      <c r="A224" s="39">
        <f t="shared" si="846"/>
        <v>0</v>
      </c>
      <c r="B224" s="27" t="str">
        <f t="shared" si="847"/>
        <v>SoftwareSensitivityTests\StreamlinedApprovalSet\0404707-OffLrg-WWR20StepDimHighVT.cibd</v>
      </c>
      <c r="C224" s="27" t="str">
        <f t="shared" si="848"/>
        <v>BatchOut_160331_r3964_SSTs\0404707-OffLrg-WWR20StepDimHighVT.cibd</v>
      </c>
      <c r="D224" s="27" t="str">
        <f t="shared" si="849"/>
        <v>BatchOut_160331_r3964_SSTs\XML\</v>
      </c>
      <c r="E224" s="9" t="str">
        <f t="shared" si="850"/>
        <v>0404707</v>
      </c>
      <c r="F224" s="22"/>
      <c r="G224" s="29"/>
      <c r="H224" s="23" t="str">
        <f t="shared" si="851"/>
        <v/>
      </c>
      <c r="I224" s="9" t="s">
        <v>11</v>
      </c>
      <c r="J224"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4" s="15" t="s">
        <v>1</v>
      </c>
      <c r="L224" s="36">
        <f t="shared" si="856"/>
        <v>0</v>
      </c>
      <c r="M224" s="32" t="str">
        <f t="shared" si="852"/>
        <v>0404707</v>
      </c>
      <c r="N224" s="28" t="s">
        <v>308</v>
      </c>
      <c r="O224" s="28" t="str">
        <f t="shared" si="857"/>
        <v>0404707-OffLrg-WWR20StepDimHighVT</v>
      </c>
      <c r="P224" s="36">
        <f t="shared" si="900"/>
        <v>1</v>
      </c>
      <c r="Q224" s="36">
        <f t="shared" si="900"/>
        <v>1</v>
      </c>
      <c r="R224" s="36">
        <f t="shared" si="900"/>
        <v>0</v>
      </c>
      <c r="S224" s="36">
        <f t="shared" si="900"/>
        <v>1</v>
      </c>
      <c r="T224" s="36">
        <f t="shared" si="900"/>
        <v>0</v>
      </c>
      <c r="U224" s="36">
        <f t="shared" si="900"/>
        <v>8</v>
      </c>
      <c r="V224" s="36">
        <f t="shared" si="900"/>
        <v>8</v>
      </c>
      <c r="W224" s="36">
        <f t="shared" si="900"/>
        <v>1</v>
      </c>
      <c r="X224" s="36">
        <f t="shared" si="900"/>
        <v>0</v>
      </c>
      <c r="Y224" s="36">
        <f t="shared" si="900"/>
        <v>0</v>
      </c>
      <c r="Z224" s="36">
        <f t="shared" si="900"/>
        <v>0</v>
      </c>
      <c r="AA224" s="36">
        <f t="shared" si="900"/>
        <v>0</v>
      </c>
      <c r="AB224" s="36">
        <f t="shared" si="900"/>
        <v>0</v>
      </c>
      <c r="AC224" s="36">
        <f t="shared" si="900"/>
        <v>0</v>
      </c>
      <c r="AD224" s="36">
        <f t="shared" si="900"/>
        <v>0</v>
      </c>
      <c r="AE224" s="36">
        <f t="shared" si="944"/>
        <v>0</v>
      </c>
      <c r="AF224" s="36">
        <f t="shared" si="944"/>
        <v>0</v>
      </c>
      <c r="AG224" s="36">
        <f t="shared" ref="AG224:AH224" si="964">AG223</f>
        <v>0</v>
      </c>
      <c r="AH224" s="36">
        <f t="shared" si="964"/>
        <v>0</v>
      </c>
      <c r="AI224" s="36">
        <f t="shared" ref="AI224" si="965">AI223</f>
        <v>0</v>
      </c>
      <c r="AJ224" s="36">
        <f t="shared" si="900"/>
        <v>0</v>
      </c>
      <c r="AK224" s="36">
        <f t="shared" si="949"/>
        <v>0</v>
      </c>
      <c r="AL224" s="36">
        <f t="shared" si="949"/>
        <v>0</v>
      </c>
      <c r="AM224" s="36">
        <f t="shared" si="949"/>
        <v>0</v>
      </c>
      <c r="AN224" s="36">
        <f t="shared" si="949"/>
        <v>0</v>
      </c>
      <c r="AO224" s="36">
        <f t="shared" si="949"/>
        <v>0</v>
      </c>
      <c r="AP224" s="36">
        <f t="shared" si="949"/>
        <v>0</v>
      </c>
      <c r="AQ224" s="36">
        <f t="shared" si="949"/>
        <v>0</v>
      </c>
      <c r="AR224" s="36">
        <f t="shared" si="925"/>
        <v>0</v>
      </c>
      <c r="AS224" s="31" t="str">
        <f t="shared" si="861"/>
        <v>SimulationStorage,1,</v>
      </c>
      <c r="AT224" s="31" t="str">
        <f t="shared" si="862"/>
        <v>AnalysisStorage,1,</v>
      </c>
      <c r="AU224" s="31" t="str">
        <f t="shared" si="863"/>
        <v>LogRuleEvaluation,0,</v>
      </c>
      <c r="AV224" s="31" t="str">
        <f t="shared" si="864"/>
        <v>ParallelSimulations,1,</v>
      </c>
      <c r="AW224" s="31" t="str">
        <f t="shared" si="865"/>
        <v>DurationStats,0,</v>
      </c>
      <c r="AX224" s="31" t="str">
        <f t="shared" si="866"/>
        <v>AnalysisThruStep,8,</v>
      </c>
      <c r="AY224" s="31" t="str">
        <f t="shared" si="867"/>
        <v>DontAbortOnErrorsThruStep,8,</v>
      </c>
      <c r="AZ224" s="31" t="str">
        <f t="shared" si="868"/>
        <v>BypassValidFileChecks,1,</v>
      </c>
      <c r="BA224" s="31" t="str">
        <f t="shared" si="869"/>
        <v>BypassInputChecks,0,</v>
      </c>
      <c r="BB224" s="31" t="str">
        <f t="shared" si="870"/>
        <v>BypassUMLHChecks,0,</v>
      </c>
      <c r="BC224" s="31" t="str">
        <f t="shared" si="871"/>
        <v>BypassCheckSimRules,0,</v>
      </c>
      <c r="BD224" s="31" t="str">
        <f t="shared" si="872"/>
        <v>BypassCheckCodeRules,0,</v>
      </c>
      <c r="BE224" s="31" t="str">
        <f t="shared" si="830"/>
        <v>StoreResultsToModelInput,0,</v>
      </c>
      <c r="BF224" s="31" t="str">
        <f t="shared" si="831"/>
        <v>StoreBEMDetails,0,</v>
      </c>
      <c r="BG224" s="31" t="str">
        <f t="shared" si="832"/>
        <v>ModelRpt_ALL,0,</v>
      </c>
      <c r="BH224" s="31" t="str">
        <f t="shared" si="833"/>
        <v>ExportHourlyResults_All,0,</v>
      </c>
      <c r="BI224" s="31" t="str">
        <f t="shared" si="834"/>
        <v>ComplianceReportPDF,0,</v>
      </c>
      <c r="BJ224" s="31" t="str">
        <f t="shared" si="835"/>
        <v>ComplianceReportXML,0,</v>
      </c>
      <c r="BK224" s="31" t="str">
        <f t="shared" si="836"/>
        <v>QuickAnalysis,0,</v>
      </c>
      <c r="BL224" s="31" t="str">
        <f t="shared" si="836"/>
        <v>PromptUserUMLHWarning,0,</v>
      </c>
      <c r="BM224" s="31" t="str">
        <f t="shared" si="837"/>
        <v>BypassOpenStudio_all,0,</v>
      </c>
      <c r="BN224" s="31" t="str">
        <f t="shared" si="838"/>
        <v>BypassOpenStudio_zp,0,</v>
      </c>
      <c r="BO224" s="31" t="str">
        <f t="shared" si="839"/>
        <v>BypassOpenStudio_zb,0,</v>
      </c>
      <c r="BP224" s="31" t="str">
        <f t="shared" si="840"/>
        <v>BypassOpenStudio_ap,0,</v>
      </c>
      <c r="BQ224" s="31" t="str">
        <f t="shared" si="841"/>
        <v>BypassOpenStudio_ab,0,</v>
      </c>
      <c r="BR224" s="31" t="str">
        <f t="shared" si="842"/>
        <v>BypassOpenStudio_zp,0,</v>
      </c>
      <c r="BS224" s="31" t="str">
        <f t="shared" si="843"/>
        <v>BypassOpenStudio_zb,0,</v>
      </c>
      <c r="BT224" s="31" t="str">
        <f t="shared" si="844"/>
        <v>BypassOpenStudio_ap,0,</v>
      </c>
      <c r="BU224" s="31" t="str">
        <f t="shared" si="845"/>
        <v>BypassOpenStudio_ab,0,</v>
      </c>
    </row>
    <row r="225" spans="1:73" x14ac:dyDescent="0.25">
      <c r="A225" s="39">
        <f t="shared" si="846"/>
        <v>0</v>
      </c>
      <c r="B225" s="27" t="str">
        <f t="shared" si="847"/>
        <v>SoftwareSensitivityTests\StreamlinedApprovalSet\0405101-OffLrg-Cont.DimHighVT.cibd</v>
      </c>
      <c r="C225" s="27" t="str">
        <f t="shared" si="848"/>
        <v>BatchOut_160331_r3964_SSTs\0405101-OffLrg-Cont.DimHighVT.cibd</v>
      </c>
      <c r="D225" s="27" t="str">
        <f t="shared" si="849"/>
        <v>BatchOut_160331_r3964_SSTs\XML\</v>
      </c>
      <c r="E225" s="9" t="str">
        <f t="shared" si="850"/>
        <v>0405101</v>
      </c>
      <c r="F225" s="22"/>
      <c r="G225" s="29"/>
      <c r="H225" s="23" t="str">
        <f t="shared" si="851"/>
        <v/>
      </c>
      <c r="I225" s="9" t="s">
        <v>11</v>
      </c>
      <c r="J225"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5" s="15" t="s">
        <v>1</v>
      </c>
      <c r="L225" s="36">
        <f t="shared" si="856"/>
        <v>0</v>
      </c>
      <c r="M225" s="32" t="str">
        <f t="shared" si="852"/>
        <v>0405101</v>
      </c>
      <c r="N225" s="28" t="s">
        <v>309</v>
      </c>
      <c r="O225" s="28" t="str">
        <f t="shared" si="857"/>
        <v>0405101-OffLrg-Cont.DimHighVT</v>
      </c>
      <c r="P225" s="36">
        <f t="shared" si="900"/>
        <v>1</v>
      </c>
      <c r="Q225" s="36">
        <f t="shared" si="900"/>
        <v>1</v>
      </c>
      <c r="R225" s="36">
        <f t="shared" si="900"/>
        <v>0</v>
      </c>
      <c r="S225" s="36">
        <f t="shared" si="900"/>
        <v>1</v>
      </c>
      <c r="T225" s="36">
        <f t="shared" si="900"/>
        <v>0</v>
      </c>
      <c r="U225" s="36">
        <f t="shared" si="900"/>
        <v>8</v>
      </c>
      <c r="V225" s="36">
        <f t="shared" ref="V225:AP240" si="966">V224</f>
        <v>8</v>
      </c>
      <c r="W225" s="36">
        <f t="shared" si="966"/>
        <v>1</v>
      </c>
      <c r="X225" s="36">
        <f t="shared" si="966"/>
        <v>0</v>
      </c>
      <c r="Y225" s="36">
        <f t="shared" si="966"/>
        <v>0</v>
      </c>
      <c r="Z225" s="36">
        <f t="shared" si="966"/>
        <v>0</v>
      </c>
      <c r="AA225" s="36">
        <f t="shared" si="966"/>
        <v>0</v>
      </c>
      <c r="AB225" s="36">
        <f t="shared" si="966"/>
        <v>0</v>
      </c>
      <c r="AC225" s="36">
        <f t="shared" si="966"/>
        <v>0</v>
      </c>
      <c r="AD225" s="36">
        <f t="shared" si="966"/>
        <v>0</v>
      </c>
      <c r="AE225" s="36">
        <f t="shared" ref="AE225:AF225" si="967">AE224</f>
        <v>0</v>
      </c>
      <c r="AF225" s="36">
        <f t="shared" si="967"/>
        <v>0</v>
      </c>
      <c r="AG225" s="36">
        <f t="shared" ref="AG225:AH225" si="968">AG224</f>
        <v>0</v>
      </c>
      <c r="AH225" s="36">
        <f t="shared" si="968"/>
        <v>0</v>
      </c>
      <c r="AI225" s="36">
        <f t="shared" ref="AI225" si="969">AI224</f>
        <v>0</v>
      </c>
      <c r="AJ225" s="36">
        <f t="shared" si="966"/>
        <v>0</v>
      </c>
      <c r="AK225" s="36">
        <f t="shared" si="949"/>
        <v>0</v>
      </c>
      <c r="AL225" s="36">
        <f t="shared" si="949"/>
        <v>0</v>
      </c>
      <c r="AM225" s="36">
        <f t="shared" si="949"/>
        <v>0</v>
      </c>
      <c r="AN225" s="36">
        <f t="shared" si="949"/>
        <v>0</v>
      </c>
      <c r="AO225" s="36">
        <f t="shared" si="949"/>
        <v>0</v>
      </c>
      <c r="AP225" s="36">
        <f t="shared" si="949"/>
        <v>0</v>
      </c>
      <c r="AQ225" s="36">
        <f t="shared" si="949"/>
        <v>0</v>
      </c>
      <c r="AR225" s="36">
        <f t="shared" si="925"/>
        <v>0</v>
      </c>
      <c r="AS225" s="31" t="str">
        <f t="shared" si="861"/>
        <v>SimulationStorage,1,</v>
      </c>
      <c r="AT225" s="31" t="str">
        <f t="shared" si="862"/>
        <v>AnalysisStorage,1,</v>
      </c>
      <c r="AU225" s="31" t="str">
        <f t="shared" si="863"/>
        <v>LogRuleEvaluation,0,</v>
      </c>
      <c r="AV225" s="31" t="str">
        <f t="shared" si="864"/>
        <v>ParallelSimulations,1,</v>
      </c>
      <c r="AW225" s="31" t="str">
        <f t="shared" si="865"/>
        <v>DurationStats,0,</v>
      </c>
      <c r="AX225" s="31" t="str">
        <f t="shared" si="866"/>
        <v>AnalysisThruStep,8,</v>
      </c>
      <c r="AY225" s="31" t="str">
        <f t="shared" si="867"/>
        <v>DontAbortOnErrorsThruStep,8,</v>
      </c>
      <c r="AZ225" s="31" t="str">
        <f t="shared" si="868"/>
        <v>BypassValidFileChecks,1,</v>
      </c>
      <c r="BA225" s="31" t="str">
        <f t="shared" si="869"/>
        <v>BypassInputChecks,0,</v>
      </c>
      <c r="BB225" s="31" t="str">
        <f t="shared" si="870"/>
        <v>BypassUMLHChecks,0,</v>
      </c>
      <c r="BC225" s="31" t="str">
        <f t="shared" si="871"/>
        <v>BypassCheckSimRules,0,</v>
      </c>
      <c r="BD225" s="31" t="str">
        <f t="shared" si="872"/>
        <v>BypassCheckCodeRules,0,</v>
      </c>
      <c r="BE225" s="31" t="str">
        <f t="shared" si="830"/>
        <v>StoreResultsToModelInput,0,</v>
      </c>
      <c r="BF225" s="31" t="str">
        <f t="shared" si="831"/>
        <v>StoreBEMDetails,0,</v>
      </c>
      <c r="BG225" s="31" t="str">
        <f t="shared" si="832"/>
        <v>ModelRpt_ALL,0,</v>
      </c>
      <c r="BH225" s="31" t="str">
        <f t="shared" si="833"/>
        <v>ExportHourlyResults_All,0,</v>
      </c>
      <c r="BI225" s="31" t="str">
        <f t="shared" si="834"/>
        <v>ComplianceReportPDF,0,</v>
      </c>
      <c r="BJ225" s="31" t="str">
        <f t="shared" si="835"/>
        <v>ComplianceReportXML,0,</v>
      </c>
      <c r="BK225" s="31" t="str">
        <f t="shared" si="836"/>
        <v>QuickAnalysis,0,</v>
      </c>
      <c r="BL225" s="31" t="str">
        <f t="shared" si="836"/>
        <v>PromptUserUMLHWarning,0,</v>
      </c>
      <c r="BM225" s="31" t="str">
        <f t="shared" si="837"/>
        <v>BypassOpenStudio_all,0,</v>
      </c>
      <c r="BN225" s="31" t="str">
        <f t="shared" si="838"/>
        <v>BypassOpenStudio_zp,0,</v>
      </c>
      <c r="BO225" s="31" t="str">
        <f t="shared" si="839"/>
        <v>BypassOpenStudio_zb,0,</v>
      </c>
      <c r="BP225" s="31" t="str">
        <f t="shared" si="840"/>
        <v>BypassOpenStudio_ap,0,</v>
      </c>
      <c r="BQ225" s="31" t="str">
        <f t="shared" si="841"/>
        <v>BypassOpenStudio_ab,0,</v>
      </c>
      <c r="BR225" s="31" t="str">
        <f t="shared" si="842"/>
        <v>BypassOpenStudio_zp,0,</v>
      </c>
      <c r="BS225" s="31" t="str">
        <f t="shared" si="843"/>
        <v>BypassOpenStudio_zb,0,</v>
      </c>
      <c r="BT225" s="31" t="str">
        <f t="shared" si="844"/>
        <v>BypassOpenStudio_ap,0,</v>
      </c>
      <c r="BU225" s="31" t="str">
        <f t="shared" si="845"/>
        <v>BypassOpenStudio_ab,0,</v>
      </c>
    </row>
    <row r="226" spans="1:73" x14ac:dyDescent="0.25">
      <c r="A226" s="39">
        <f t="shared" si="846"/>
        <v>0</v>
      </c>
      <c r="B226" s="27" t="str">
        <f t="shared" si="847"/>
        <v>SoftwareSensitivityTests\StreamlinedApprovalSet\0405201-OffLrg-StepDim.cibd</v>
      </c>
      <c r="C226" s="27" t="str">
        <f t="shared" si="848"/>
        <v>BatchOut_160331_r3964_SSTs\0405201-OffLrg-StepDim.cibd</v>
      </c>
      <c r="D226" s="27" t="str">
        <f t="shared" si="849"/>
        <v>BatchOut_160331_r3964_SSTs\XML\</v>
      </c>
      <c r="E226" s="9" t="str">
        <f t="shared" si="850"/>
        <v>0405201</v>
      </c>
      <c r="F226" s="22"/>
      <c r="G226" s="29"/>
      <c r="H226" s="23" t="str">
        <f t="shared" si="851"/>
        <v/>
      </c>
      <c r="I226" s="9" t="s">
        <v>11</v>
      </c>
      <c r="J226"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6" s="15" t="s">
        <v>1</v>
      </c>
      <c r="L226" s="36">
        <f t="shared" si="856"/>
        <v>0</v>
      </c>
      <c r="M226" s="32" t="str">
        <f t="shared" si="852"/>
        <v>0405201</v>
      </c>
      <c r="N226" s="28" t="s">
        <v>310</v>
      </c>
      <c r="O226" s="28" t="str">
        <f t="shared" si="857"/>
        <v>0405201-OffLrg-StepDim</v>
      </c>
      <c r="P226" s="36">
        <f t="shared" ref="P226:AJ251" si="970">P225</f>
        <v>1</v>
      </c>
      <c r="Q226" s="36">
        <f t="shared" si="970"/>
        <v>1</v>
      </c>
      <c r="R226" s="36">
        <f t="shared" si="970"/>
        <v>0</v>
      </c>
      <c r="S226" s="36">
        <f t="shared" si="970"/>
        <v>1</v>
      </c>
      <c r="T226" s="36">
        <f t="shared" si="970"/>
        <v>0</v>
      </c>
      <c r="U226" s="36">
        <f t="shared" si="970"/>
        <v>8</v>
      </c>
      <c r="V226" s="36">
        <f t="shared" si="966"/>
        <v>8</v>
      </c>
      <c r="W226" s="36">
        <f t="shared" si="966"/>
        <v>1</v>
      </c>
      <c r="X226" s="36">
        <f t="shared" si="966"/>
        <v>0</v>
      </c>
      <c r="Y226" s="36">
        <f t="shared" si="966"/>
        <v>0</v>
      </c>
      <c r="Z226" s="36">
        <f t="shared" si="966"/>
        <v>0</v>
      </c>
      <c r="AA226" s="36">
        <f t="shared" si="966"/>
        <v>0</v>
      </c>
      <c r="AB226" s="36">
        <f t="shared" si="966"/>
        <v>0</v>
      </c>
      <c r="AC226" s="36">
        <f t="shared" si="966"/>
        <v>0</v>
      </c>
      <c r="AD226" s="36">
        <f t="shared" si="966"/>
        <v>0</v>
      </c>
      <c r="AE226" s="36">
        <f t="shared" ref="AE226:AF226" si="971">AE225</f>
        <v>0</v>
      </c>
      <c r="AF226" s="36">
        <f t="shared" si="971"/>
        <v>0</v>
      </c>
      <c r="AG226" s="36">
        <f t="shared" ref="AG226:AH226" si="972">AG225</f>
        <v>0</v>
      </c>
      <c r="AH226" s="36">
        <f t="shared" si="972"/>
        <v>0</v>
      </c>
      <c r="AI226" s="36">
        <f t="shared" ref="AI226" si="973">AI225</f>
        <v>0</v>
      </c>
      <c r="AJ226" s="36">
        <f t="shared" si="966"/>
        <v>0</v>
      </c>
      <c r="AK226" s="36">
        <f t="shared" si="949"/>
        <v>0</v>
      </c>
      <c r="AL226" s="36">
        <f t="shared" si="949"/>
        <v>0</v>
      </c>
      <c r="AM226" s="36">
        <f t="shared" si="949"/>
        <v>0</v>
      </c>
      <c r="AN226" s="36">
        <f t="shared" si="949"/>
        <v>0</v>
      </c>
      <c r="AO226" s="36">
        <f t="shared" si="949"/>
        <v>0</v>
      </c>
      <c r="AP226" s="36">
        <f t="shared" si="949"/>
        <v>0</v>
      </c>
      <c r="AQ226" s="36">
        <f t="shared" si="949"/>
        <v>0</v>
      </c>
      <c r="AR226" s="36">
        <f t="shared" si="925"/>
        <v>0</v>
      </c>
      <c r="AS226" s="31" t="str">
        <f t="shared" si="861"/>
        <v>SimulationStorage,1,</v>
      </c>
      <c r="AT226" s="31" t="str">
        <f t="shared" si="862"/>
        <v>AnalysisStorage,1,</v>
      </c>
      <c r="AU226" s="31" t="str">
        <f t="shared" si="863"/>
        <v>LogRuleEvaluation,0,</v>
      </c>
      <c r="AV226" s="31" t="str">
        <f t="shared" si="864"/>
        <v>ParallelSimulations,1,</v>
      </c>
      <c r="AW226" s="31" t="str">
        <f t="shared" si="865"/>
        <v>DurationStats,0,</v>
      </c>
      <c r="AX226" s="31" t="str">
        <f t="shared" si="866"/>
        <v>AnalysisThruStep,8,</v>
      </c>
      <c r="AY226" s="31" t="str">
        <f t="shared" si="867"/>
        <v>DontAbortOnErrorsThruStep,8,</v>
      </c>
      <c r="AZ226" s="31" t="str">
        <f t="shared" si="868"/>
        <v>BypassValidFileChecks,1,</v>
      </c>
      <c r="BA226" s="31" t="str">
        <f t="shared" si="869"/>
        <v>BypassInputChecks,0,</v>
      </c>
      <c r="BB226" s="31" t="str">
        <f t="shared" si="870"/>
        <v>BypassUMLHChecks,0,</v>
      </c>
      <c r="BC226" s="31" t="str">
        <f t="shared" si="871"/>
        <v>BypassCheckSimRules,0,</v>
      </c>
      <c r="BD226" s="31" t="str">
        <f t="shared" si="872"/>
        <v>BypassCheckCodeRules,0,</v>
      </c>
      <c r="BE226" s="31" t="str">
        <f t="shared" si="830"/>
        <v>StoreResultsToModelInput,0,</v>
      </c>
      <c r="BF226" s="31" t="str">
        <f t="shared" si="831"/>
        <v>StoreBEMDetails,0,</v>
      </c>
      <c r="BG226" s="31" t="str">
        <f t="shared" si="832"/>
        <v>ModelRpt_ALL,0,</v>
      </c>
      <c r="BH226" s="31" t="str">
        <f t="shared" si="833"/>
        <v>ExportHourlyResults_All,0,</v>
      </c>
      <c r="BI226" s="31" t="str">
        <f t="shared" si="834"/>
        <v>ComplianceReportPDF,0,</v>
      </c>
      <c r="BJ226" s="31" t="str">
        <f t="shared" si="835"/>
        <v>ComplianceReportXML,0,</v>
      </c>
      <c r="BK226" s="31" t="str">
        <f t="shared" si="836"/>
        <v>QuickAnalysis,0,</v>
      </c>
      <c r="BL226" s="31" t="str">
        <f t="shared" si="836"/>
        <v>PromptUserUMLHWarning,0,</v>
      </c>
      <c r="BM226" s="31" t="str">
        <f t="shared" si="837"/>
        <v>BypassOpenStudio_all,0,</v>
      </c>
      <c r="BN226" s="31" t="str">
        <f t="shared" si="838"/>
        <v>BypassOpenStudio_zp,0,</v>
      </c>
      <c r="BO226" s="31" t="str">
        <f t="shared" si="839"/>
        <v>BypassOpenStudio_zb,0,</v>
      </c>
      <c r="BP226" s="31" t="str">
        <f t="shared" si="840"/>
        <v>BypassOpenStudio_ap,0,</v>
      </c>
      <c r="BQ226" s="31" t="str">
        <f t="shared" si="841"/>
        <v>BypassOpenStudio_ab,0,</v>
      </c>
      <c r="BR226" s="31" t="str">
        <f t="shared" si="842"/>
        <v>BypassOpenStudio_zp,0,</v>
      </c>
      <c r="BS226" s="31" t="str">
        <f t="shared" si="843"/>
        <v>BypassOpenStudio_zb,0,</v>
      </c>
      <c r="BT226" s="31" t="str">
        <f t="shared" si="844"/>
        <v>BypassOpenStudio_ap,0,</v>
      </c>
      <c r="BU226" s="31" t="str">
        <f t="shared" si="845"/>
        <v>BypassOpenStudio_ab,0,</v>
      </c>
    </row>
    <row r="227" spans="1:73" x14ac:dyDescent="0.25">
      <c r="A227" s="39">
        <f t="shared" si="846"/>
        <v>0</v>
      </c>
      <c r="B227" s="27" t="str">
        <f t="shared" si="847"/>
        <v>SoftwareSensitivityTests\StreamlinedApprovalSet\0405301-OffLrg-StepDimHighVT.cibd</v>
      </c>
      <c r="C227" s="27" t="str">
        <f t="shared" si="848"/>
        <v>BatchOut_160331_r3964_SSTs\0405301-OffLrg-StepDimHighVT.cibd</v>
      </c>
      <c r="D227" s="27" t="str">
        <f t="shared" si="849"/>
        <v>BatchOut_160331_r3964_SSTs\XML\</v>
      </c>
      <c r="E227" s="9" t="str">
        <f t="shared" si="850"/>
        <v>0405301</v>
      </c>
      <c r="F227" s="22"/>
      <c r="G227" s="29"/>
      <c r="H227" s="23" t="str">
        <f t="shared" si="851"/>
        <v/>
      </c>
      <c r="I227" s="9" t="s">
        <v>11</v>
      </c>
      <c r="J227"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7" s="15" t="s">
        <v>1</v>
      </c>
      <c r="L227" s="36">
        <f t="shared" si="856"/>
        <v>0</v>
      </c>
      <c r="M227" s="32" t="str">
        <f t="shared" si="852"/>
        <v>0405301</v>
      </c>
      <c r="N227" s="28" t="s">
        <v>311</v>
      </c>
      <c r="O227" s="28" t="str">
        <f t="shared" si="857"/>
        <v>0405301-OffLrg-StepDimHighVT</v>
      </c>
      <c r="P227" s="36">
        <f t="shared" si="970"/>
        <v>1</v>
      </c>
      <c r="Q227" s="36">
        <f t="shared" si="970"/>
        <v>1</v>
      </c>
      <c r="R227" s="36">
        <f t="shared" si="970"/>
        <v>0</v>
      </c>
      <c r="S227" s="36">
        <f t="shared" si="970"/>
        <v>1</v>
      </c>
      <c r="T227" s="36">
        <f t="shared" si="970"/>
        <v>0</v>
      </c>
      <c r="U227" s="36">
        <f t="shared" si="970"/>
        <v>8</v>
      </c>
      <c r="V227" s="36">
        <f t="shared" si="966"/>
        <v>8</v>
      </c>
      <c r="W227" s="36">
        <f t="shared" si="966"/>
        <v>1</v>
      </c>
      <c r="X227" s="36">
        <f t="shared" si="966"/>
        <v>0</v>
      </c>
      <c r="Y227" s="36">
        <f t="shared" si="966"/>
        <v>0</v>
      </c>
      <c r="Z227" s="36">
        <f t="shared" si="966"/>
        <v>0</v>
      </c>
      <c r="AA227" s="36">
        <f t="shared" si="966"/>
        <v>0</v>
      </c>
      <c r="AB227" s="36">
        <f t="shared" si="966"/>
        <v>0</v>
      </c>
      <c r="AC227" s="36">
        <f t="shared" si="966"/>
        <v>0</v>
      </c>
      <c r="AD227" s="36">
        <f t="shared" si="966"/>
        <v>0</v>
      </c>
      <c r="AE227" s="36">
        <f t="shared" ref="AE227:AF227" si="974">AE226</f>
        <v>0</v>
      </c>
      <c r="AF227" s="36">
        <f t="shared" si="974"/>
        <v>0</v>
      </c>
      <c r="AG227" s="36">
        <f t="shared" ref="AG227:AH227" si="975">AG226</f>
        <v>0</v>
      </c>
      <c r="AH227" s="36">
        <f t="shared" si="975"/>
        <v>0</v>
      </c>
      <c r="AI227" s="36">
        <f t="shared" ref="AI227" si="976">AI226</f>
        <v>0</v>
      </c>
      <c r="AJ227" s="36">
        <f t="shared" si="966"/>
        <v>0</v>
      </c>
      <c r="AK227" s="36">
        <f t="shared" si="949"/>
        <v>0</v>
      </c>
      <c r="AL227" s="36">
        <f t="shared" si="949"/>
        <v>0</v>
      </c>
      <c r="AM227" s="36">
        <f t="shared" si="949"/>
        <v>0</v>
      </c>
      <c r="AN227" s="36">
        <f t="shared" si="949"/>
        <v>0</v>
      </c>
      <c r="AO227" s="36">
        <f t="shared" si="949"/>
        <v>0</v>
      </c>
      <c r="AP227" s="36">
        <f t="shared" si="949"/>
        <v>0</v>
      </c>
      <c r="AQ227" s="36">
        <f t="shared" si="949"/>
        <v>0</v>
      </c>
      <c r="AR227" s="36">
        <f t="shared" si="925"/>
        <v>0</v>
      </c>
      <c r="AS227" s="31" t="str">
        <f t="shared" si="861"/>
        <v>SimulationStorage,1,</v>
      </c>
      <c r="AT227" s="31" t="str">
        <f t="shared" si="862"/>
        <v>AnalysisStorage,1,</v>
      </c>
      <c r="AU227" s="31" t="str">
        <f t="shared" si="863"/>
        <v>LogRuleEvaluation,0,</v>
      </c>
      <c r="AV227" s="31" t="str">
        <f t="shared" si="864"/>
        <v>ParallelSimulations,1,</v>
      </c>
      <c r="AW227" s="31" t="str">
        <f t="shared" si="865"/>
        <v>DurationStats,0,</v>
      </c>
      <c r="AX227" s="31" t="str">
        <f t="shared" si="866"/>
        <v>AnalysisThruStep,8,</v>
      </c>
      <c r="AY227" s="31" t="str">
        <f t="shared" si="867"/>
        <v>DontAbortOnErrorsThruStep,8,</v>
      </c>
      <c r="AZ227" s="31" t="str">
        <f t="shared" si="868"/>
        <v>BypassValidFileChecks,1,</v>
      </c>
      <c r="BA227" s="31" t="str">
        <f t="shared" si="869"/>
        <v>BypassInputChecks,0,</v>
      </c>
      <c r="BB227" s="31" t="str">
        <f t="shared" si="870"/>
        <v>BypassUMLHChecks,0,</v>
      </c>
      <c r="BC227" s="31" t="str">
        <f t="shared" si="871"/>
        <v>BypassCheckSimRules,0,</v>
      </c>
      <c r="BD227" s="31" t="str">
        <f t="shared" si="872"/>
        <v>BypassCheckCodeRules,0,</v>
      </c>
      <c r="BE227" s="31" t="str">
        <f t="shared" si="830"/>
        <v>StoreResultsToModelInput,0,</v>
      </c>
      <c r="BF227" s="31" t="str">
        <f t="shared" si="831"/>
        <v>StoreBEMDetails,0,</v>
      </c>
      <c r="BG227" s="31" t="str">
        <f t="shared" si="832"/>
        <v>ModelRpt_ALL,0,</v>
      </c>
      <c r="BH227" s="31" t="str">
        <f t="shared" si="833"/>
        <v>ExportHourlyResults_All,0,</v>
      </c>
      <c r="BI227" s="31" t="str">
        <f t="shared" si="834"/>
        <v>ComplianceReportPDF,0,</v>
      </c>
      <c r="BJ227" s="31" t="str">
        <f t="shared" si="835"/>
        <v>ComplianceReportXML,0,</v>
      </c>
      <c r="BK227" s="31" t="str">
        <f t="shared" si="836"/>
        <v>QuickAnalysis,0,</v>
      </c>
      <c r="BL227" s="31" t="str">
        <f t="shared" si="836"/>
        <v>PromptUserUMLHWarning,0,</v>
      </c>
      <c r="BM227" s="31" t="str">
        <f t="shared" si="837"/>
        <v>BypassOpenStudio_all,0,</v>
      </c>
      <c r="BN227" s="31" t="str">
        <f t="shared" si="838"/>
        <v>BypassOpenStudio_zp,0,</v>
      </c>
      <c r="BO227" s="31" t="str">
        <f t="shared" si="839"/>
        <v>BypassOpenStudio_zb,0,</v>
      </c>
      <c r="BP227" s="31" t="str">
        <f t="shared" si="840"/>
        <v>BypassOpenStudio_ap,0,</v>
      </c>
      <c r="BQ227" s="31" t="str">
        <f t="shared" si="841"/>
        <v>BypassOpenStudio_ab,0,</v>
      </c>
      <c r="BR227" s="31" t="str">
        <f t="shared" si="842"/>
        <v>BypassOpenStudio_zp,0,</v>
      </c>
      <c r="BS227" s="31" t="str">
        <f t="shared" si="843"/>
        <v>BypassOpenStudio_zb,0,</v>
      </c>
      <c r="BT227" s="31" t="str">
        <f t="shared" si="844"/>
        <v>BypassOpenStudio_ap,0,</v>
      </c>
      <c r="BU227" s="31" t="str">
        <f t="shared" si="845"/>
        <v>BypassOpenStudio_ab,0,</v>
      </c>
    </row>
    <row r="228" spans="1:73" x14ac:dyDescent="0.25">
      <c r="A228" s="39">
        <f t="shared" si="846"/>
        <v>0</v>
      </c>
      <c r="B228" s="27" t="str">
        <f t="shared" si="847"/>
        <v>SoftwareSensitivityTests\StreamlinedApprovalSet\0400015-OffLrg-Baserun.cibd</v>
      </c>
      <c r="C228" s="27" t="str">
        <f t="shared" si="848"/>
        <v>BatchOut_160331_r3964_SSTs\0400015-OffLrg-Baserun.cibd</v>
      </c>
      <c r="D228" s="27" t="str">
        <f t="shared" si="849"/>
        <v>BatchOut_160331_r3964_SSTs\XML\</v>
      </c>
      <c r="E228" s="9" t="str">
        <f t="shared" si="850"/>
        <v>0400015</v>
      </c>
      <c r="F228" s="22"/>
      <c r="G228" s="29"/>
      <c r="H228" s="23" t="str">
        <f t="shared" si="851"/>
        <v/>
      </c>
      <c r="I228" s="9" t="s">
        <v>11</v>
      </c>
      <c r="J228"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8" s="15" t="s">
        <v>1</v>
      </c>
      <c r="L228" s="36">
        <f t="shared" si="856"/>
        <v>0</v>
      </c>
      <c r="M228" s="32" t="str">
        <f t="shared" si="852"/>
        <v>0400015</v>
      </c>
      <c r="N228" s="28" t="s">
        <v>312</v>
      </c>
      <c r="O228" s="28" t="str">
        <f t="shared" si="857"/>
        <v>0400015-OffLrg-Baserun</v>
      </c>
      <c r="P228" s="36">
        <f t="shared" si="970"/>
        <v>1</v>
      </c>
      <c r="Q228" s="36">
        <f t="shared" si="970"/>
        <v>1</v>
      </c>
      <c r="R228" s="36">
        <f t="shared" si="970"/>
        <v>0</v>
      </c>
      <c r="S228" s="36">
        <f t="shared" si="970"/>
        <v>1</v>
      </c>
      <c r="T228" s="36">
        <f t="shared" si="970"/>
        <v>0</v>
      </c>
      <c r="U228" s="36">
        <f t="shared" si="970"/>
        <v>8</v>
      </c>
      <c r="V228" s="36">
        <f t="shared" si="966"/>
        <v>8</v>
      </c>
      <c r="W228" s="36">
        <f t="shared" si="966"/>
        <v>1</v>
      </c>
      <c r="X228" s="36">
        <f t="shared" si="966"/>
        <v>0</v>
      </c>
      <c r="Y228" s="36">
        <f t="shared" si="966"/>
        <v>0</v>
      </c>
      <c r="Z228" s="36">
        <f t="shared" si="966"/>
        <v>0</v>
      </c>
      <c r="AA228" s="36">
        <f t="shared" si="966"/>
        <v>0</v>
      </c>
      <c r="AB228" s="36">
        <f t="shared" si="966"/>
        <v>0</v>
      </c>
      <c r="AC228" s="36">
        <f t="shared" si="966"/>
        <v>0</v>
      </c>
      <c r="AD228" s="36">
        <f t="shared" si="966"/>
        <v>0</v>
      </c>
      <c r="AE228" s="36">
        <f t="shared" ref="AE228:AF228" si="977">AE227</f>
        <v>0</v>
      </c>
      <c r="AF228" s="36">
        <f t="shared" si="977"/>
        <v>0</v>
      </c>
      <c r="AG228" s="36">
        <f t="shared" ref="AG228:AH228" si="978">AG227</f>
        <v>0</v>
      </c>
      <c r="AH228" s="36">
        <f t="shared" si="978"/>
        <v>0</v>
      </c>
      <c r="AI228" s="36">
        <f t="shared" ref="AI228" si="979">AI227</f>
        <v>0</v>
      </c>
      <c r="AJ228" s="36">
        <f t="shared" si="966"/>
        <v>0</v>
      </c>
      <c r="AK228" s="36">
        <f t="shared" si="949"/>
        <v>0</v>
      </c>
      <c r="AL228" s="36">
        <f t="shared" si="949"/>
        <v>0</v>
      </c>
      <c r="AM228" s="36">
        <f t="shared" si="949"/>
        <v>0</v>
      </c>
      <c r="AN228" s="36">
        <f t="shared" si="949"/>
        <v>0</v>
      </c>
      <c r="AO228" s="36">
        <f t="shared" si="949"/>
        <v>0</v>
      </c>
      <c r="AP228" s="36">
        <f t="shared" si="949"/>
        <v>0</v>
      </c>
      <c r="AQ228" s="36">
        <f t="shared" si="949"/>
        <v>0</v>
      </c>
      <c r="AR228" s="36">
        <f t="shared" si="925"/>
        <v>0</v>
      </c>
      <c r="AS228" s="31" t="str">
        <f t="shared" si="861"/>
        <v>SimulationStorage,1,</v>
      </c>
      <c r="AT228" s="31" t="str">
        <f t="shared" si="862"/>
        <v>AnalysisStorage,1,</v>
      </c>
      <c r="AU228" s="31" t="str">
        <f t="shared" si="863"/>
        <v>LogRuleEvaluation,0,</v>
      </c>
      <c r="AV228" s="31" t="str">
        <f t="shared" si="864"/>
        <v>ParallelSimulations,1,</v>
      </c>
      <c r="AW228" s="31" t="str">
        <f t="shared" si="865"/>
        <v>DurationStats,0,</v>
      </c>
      <c r="AX228" s="31" t="str">
        <f t="shared" si="866"/>
        <v>AnalysisThruStep,8,</v>
      </c>
      <c r="AY228" s="31" t="str">
        <f t="shared" si="867"/>
        <v>DontAbortOnErrorsThruStep,8,</v>
      </c>
      <c r="AZ228" s="31" t="str">
        <f t="shared" si="868"/>
        <v>BypassValidFileChecks,1,</v>
      </c>
      <c r="BA228" s="31" t="str">
        <f t="shared" si="869"/>
        <v>BypassInputChecks,0,</v>
      </c>
      <c r="BB228" s="31" t="str">
        <f t="shared" si="870"/>
        <v>BypassUMLHChecks,0,</v>
      </c>
      <c r="BC228" s="31" t="str">
        <f t="shared" si="871"/>
        <v>BypassCheckSimRules,0,</v>
      </c>
      <c r="BD228" s="31" t="str">
        <f t="shared" si="872"/>
        <v>BypassCheckCodeRules,0,</v>
      </c>
      <c r="BE228" s="31" t="str">
        <f t="shared" si="830"/>
        <v>StoreResultsToModelInput,0,</v>
      </c>
      <c r="BF228" s="31" t="str">
        <f t="shared" si="831"/>
        <v>StoreBEMDetails,0,</v>
      </c>
      <c r="BG228" s="31" t="str">
        <f t="shared" si="832"/>
        <v>ModelRpt_ALL,0,</v>
      </c>
      <c r="BH228" s="31" t="str">
        <f t="shared" si="833"/>
        <v>ExportHourlyResults_All,0,</v>
      </c>
      <c r="BI228" s="31" t="str">
        <f t="shared" si="834"/>
        <v>ComplianceReportPDF,0,</v>
      </c>
      <c r="BJ228" s="31" t="str">
        <f t="shared" si="835"/>
        <v>ComplianceReportXML,0,</v>
      </c>
      <c r="BK228" s="31" t="str">
        <f t="shared" si="836"/>
        <v>QuickAnalysis,0,</v>
      </c>
      <c r="BL228" s="31" t="str">
        <f t="shared" si="836"/>
        <v>PromptUserUMLHWarning,0,</v>
      </c>
      <c r="BM228" s="31" t="str">
        <f t="shared" si="837"/>
        <v>BypassOpenStudio_all,0,</v>
      </c>
      <c r="BN228" s="31" t="str">
        <f t="shared" si="838"/>
        <v>BypassOpenStudio_zp,0,</v>
      </c>
      <c r="BO228" s="31" t="str">
        <f t="shared" si="839"/>
        <v>BypassOpenStudio_zb,0,</v>
      </c>
      <c r="BP228" s="31" t="str">
        <f t="shared" si="840"/>
        <v>BypassOpenStudio_ap,0,</v>
      </c>
      <c r="BQ228" s="31" t="str">
        <f t="shared" si="841"/>
        <v>BypassOpenStudio_ab,0,</v>
      </c>
      <c r="BR228" s="31" t="str">
        <f t="shared" si="842"/>
        <v>BypassOpenStudio_zp,0,</v>
      </c>
      <c r="BS228" s="31" t="str">
        <f t="shared" si="843"/>
        <v>BypassOpenStudio_zb,0,</v>
      </c>
      <c r="BT228" s="31" t="str">
        <f t="shared" si="844"/>
        <v>BypassOpenStudio_ap,0,</v>
      </c>
      <c r="BU228" s="31" t="str">
        <f t="shared" si="845"/>
        <v>BypassOpenStudio_ab,0,</v>
      </c>
    </row>
    <row r="229" spans="1:73" x14ac:dyDescent="0.25">
      <c r="A229" s="39">
        <f t="shared" si="846"/>
        <v>0</v>
      </c>
      <c r="B229" s="27" t="str">
        <f t="shared" si="847"/>
        <v>SoftwareSensitivityTests\StreamlinedApprovalSet\0408015-OffLrg-HVACChillerCOP.cibd</v>
      </c>
      <c r="C229" s="27" t="str">
        <f t="shared" si="848"/>
        <v>BatchOut_160331_r3964_SSTs\0408015-OffLrg-HVACChillerCOP.cibd</v>
      </c>
      <c r="D229" s="27" t="str">
        <f t="shared" si="849"/>
        <v>BatchOut_160331_r3964_SSTs\XML\</v>
      </c>
      <c r="E229" s="9" t="str">
        <f t="shared" si="850"/>
        <v>0408015</v>
      </c>
      <c r="F229" s="22"/>
      <c r="G229" s="29"/>
      <c r="H229" s="23" t="str">
        <f t="shared" si="851"/>
        <v/>
      </c>
      <c r="I229" s="9" t="s">
        <v>11</v>
      </c>
      <c r="J229"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9" s="15" t="s">
        <v>1</v>
      </c>
      <c r="L229" s="36">
        <f t="shared" si="856"/>
        <v>0</v>
      </c>
      <c r="M229" s="32" t="str">
        <f t="shared" si="852"/>
        <v>0408015</v>
      </c>
      <c r="N229" s="28" t="s">
        <v>313</v>
      </c>
      <c r="O229" s="28" t="str">
        <f t="shared" si="857"/>
        <v>0408015-OffLrg-HVACChillerCOP</v>
      </c>
      <c r="P229" s="36">
        <f t="shared" si="970"/>
        <v>1</v>
      </c>
      <c r="Q229" s="36">
        <f t="shared" si="970"/>
        <v>1</v>
      </c>
      <c r="R229" s="36">
        <f t="shared" si="970"/>
        <v>0</v>
      </c>
      <c r="S229" s="36">
        <f t="shared" si="970"/>
        <v>1</v>
      </c>
      <c r="T229" s="36">
        <f t="shared" si="970"/>
        <v>0</v>
      </c>
      <c r="U229" s="36">
        <f t="shared" si="970"/>
        <v>8</v>
      </c>
      <c r="V229" s="36">
        <f t="shared" si="966"/>
        <v>8</v>
      </c>
      <c r="W229" s="36">
        <f t="shared" si="966"/>
        <v>1</v>
      </c>
      <c r="X229" s="36">
        <f t="shared" si="966"/>
        <v>0</v>
      </c>
      <c r="Y229" s="36">
        <f t="shared" si="966"/>
        <v>0</v>
      </c>
      <c r="Z229" s="36">
        <f t="shared" si="966"/>
        <v>0</v>
      </c>
      <c r="AA229" s="36">
        <f t="shared" si="966"/>
        <v>0</v>
      </c>
      <c r="AB229" s="36">
        <f t="shared" si="966"/>
        <v>0</v>
      </c>
      <c r="AC229" s="36">
        <f t="shared" si="966"/>
        <v>0</v>
      </c>
      <c r="AD229" s="36">
        <f t="shared" si="966"/>
        <v>0</v>
      </c>
      <c r="AE229" s="36">
        <f t="shared" ref="AE229:AF229" si="980">AE228</f>
        <v>0</v>
      </c>
      <c r="AF229" s="36">
        <f t="shared" si="980"/>
        <v>0</v>
      </c>
      <c r="AG229" s="36">
        <f t="shared" ref="AG229:AH229" si="981">AG228</f>
        <v>0</v>
      </c>
      <c r="AH229" s="36">
        <f t="shared" si="981"/>
        <v>0</v>
      </c>
      <c r="AI229" s="36">
        <f t="shared" ref="AI229" si="982">AI228</f>
        <v>0</v>
      </c>
      <c r="AJ229" s="36">
        <f t="shared" si="966"/>
        <v>0</v>
      </c>
      <c r="AK229" s="36">
        <f t="shared" si="949"/>
        <v>0</v>
      </c>
      <c r="AL229" s="36">
        <f t="shared" si="949"/>
        <v>0</v>
      </c>
      <c r="AM229" s="36">
        <f t="shared" si="949"/>
        <v>0</v>
      </c>
      <c r="AN229" s="36">
        <f t="shared" si="949"/>
        <v>0</v>
      </c>
      <c r="AO229" s="36">
        <f t="shared" si="949"/>
        <v>0</v>
      </c>
      <c r="AP229" s="36">
        <f t="shared" si="949"/>
        <v>0</v>
      </c>
      <c r="AQ229" s="36">
        <f t="shared" si="949"/>
        <v>0</v>
      </c>
      <c r="AR229" s="36">
        <f t="shared" si="925"/>
        <v>0</v>
      </c>
      <c r="AS229" s="31" t="str">
        <f t="shared" si="861"/>
        <v>SimulationStorage,1,</v>
      </c>
      <c r="AT229" s="31" t="str">
        <f t="shared" si="862"/>
        <v>AnalysisStorage,1,</v>
      </c>
      <c r="AU229" s="31" t="str">
        <f t="shared" si="863"/>
        <v>LogRuleEvaluation,0,</v>
      </c>
      <c r="AV229" s="31" t="str">
        <f t="shared" si="864"/>
        <v>ParallelSimulations,1,</v>
      </c>
      <c r="AW229" s="31" t="str">
        <f t="shared" si="865"/>
        <v>DurationStats,0,</v>
      </c>
      <c r="AX229" s="31" t="str">
        <f t="shared" si="866"/>
        <v>AnalysisThruStep,8,</v>
      </c>
      <c r="AY229" s="31" t="str">
        <f t="shared" si="867"/>
        <v>DontAbortOnErrorsThruStep,8,</v>
      </c>
      <c r="AZ229" s="31" t="str">
        <f t="shared" si="868"/>
        <v>BypassValidFileChecks,1,</v>
      </c>
      <c r="BA229" s="31" t="str">
        <f t="shared" si="869"/>
        <v>BypassInputChecks,0,</v>
      </c>
      <c r="BB229" s="31" t="str">
        <f t="shared" si="870"/>
        <v>BypassUMLHChecks,0,</v>
      </c>
      <c r="BC229" s="31" t="str">
        <f t="shared" si="871"/>
        <v>BypassCheckSimRules,0,</v>
      </c>
      <c r="BD229" s="31" t="str">
        <f t="shared" si="872"/>
        <v>BypassCheckCodeRules,0,</v>
      </c>
      <c r="BE229" s="31" t="str">
        <f t="shared" si="830"/>
        <v>StoreResultsToModelInput,0,</v>
      </c>
      <c r="BF229" s="31" t="str">
        <f t="shared" si="831"/>
        <v>StoreBEMDetails,0,</v>
      </c>
      <c r="BG229" s="31" t="str">
        <f t="shared" si="832"/>
        <v>ModelRpt_ALL,0,</v>
      </c>
      <c r="BH229" s="31" t="str">
        <f t="shared" si="833"/>
        <v>ExportHourlyResults_All,0,</v>
      </c>
      <c r="BI229" s="31" t="str">
        <f t="shared" si="834"/>
        <v>ComplianceReportPDF,0,</v>
      </c>
      <c r="BJ229" s="31" t="str">
        <f t="shared" si="835"/>
        <v>ComplianceReportXML,0,</v>
      </c>
      <c r="BK229" s="31" t="str">
        <f t="shared" si="836"/>
        <v>QuickAnalysis,0,</v>
      </c>
      <c r="BL229" s="31" t="str">
        <f t="shared" si="836"/>
        <v>PromptUserUMLHWarning,0,</v>
      </c>
      <c r="BM229" s="31" t="str">
        <f t="shared" si="837"/>
        <v>BypassOpenStudio_all,0,</v>
      </c>
      <c r="BN229" s="31" t="str">
        <f t="shared" si="838"/>
        <v>BypassOpenStudio_zp,0,</v>
      </c>
      <c r="BO229" s="31" t="str">
        <f t="shared" si="839"/>
        <v>BypassOpenStudio_zb,0,</v>
      </c>
      <c r="BP229" s="31" t="str">
        <f t="shared" si="840"/>
        <v>BypassOpenStudio_ap,0,</v>
      </c>
      <c r="BQ229" s="31" t="str">
        <f t="shared" si="841"/>
        <v>BypassOpenStudio_ab,0,</v>
      </c>
      <c r="BR229" s="31" t="str">
        <f t="shared" si="842"/>
        <v>BypassOpenStudio_zp,0,</v>
      </c>
      <c r="BS229" s="31" t="str">
        <f t="shared" si="843"/>
        <v>BypassOpenStudio_zb,0,</v>
      </c>
      <c r="BT229" s="31" t="str">
        <f t="shared" si="844"/>
        <v>BypassOpenStudio_ap,0,</v>
      </c>
      <c r="BU229" s="31" t="str">
        <f t="shared" si="845"/>
        <v>BypassOpenStudio_ab,0,</v>
      </c>
    </row>
    <row r="230" spans="1:73" x14ac:dyDescent="0.25">
      <c r="A230" s="39">
        <f t="shared" si="846"/>
        <v>0</v>
      </c>
      <c r="B230" s="27" t="str">
        <f t="shared" si="847"/>
        <v>SoftwareSensitivityTests\StreamlinedApprovalSet\0408806-OffLrg-HVACChillerCOP.cibd</v>
      </c>
      <c r="C230" s="27" t="str">
        <f t="shared" si="848"/>
        <v>BatchOut_160331_r3964_SSTs\0408806-OffLrg-HVACChillerCOP.cibd</v>
      </c>
      <c r="D230" s="27" t="str">
        <f t="shared" si="849"/>
        <v>BatchOut_160331_r3964_SSTs\XML\</v>
      </c>
      <c r="E230" s="9" t="str">
        <f t="shared" si="850"/>
        <v>0408806</v>
      </c>
      <c r="F230" s="22"/>
      <c r="G230" s="29"/>
      <c r="H230" s="23" t="str">
        <f t="shared" si="851"/>
        <v/>
      </c>
      <c r="I230" s="9" t="s">
        <v>11</v>
      </c>
      <c r="J230"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0" s="15" t="s">
        <v>1</v>
      </c>
      <c r="L230" s="36">
        <f t="shared" si="856"/>
        <v>0</v>
      </c>
      <c r="M230" s="32" t="str">
        <f t="shared" si="852"/>
        <v>0408806</v>
      </c>
      <c r="N230" s="28" t="s">
        <v>314</v>
      </c>
      <c r="O230" s="28" t="str">
        <f t="shared" si="857"/>
        <v>0408806-OffLrg-HVACChillerCOP</v>
      </c>
      <c r="P230" s="36">
        <f t="shared" si="970"/>
        <v>1</v>
      </c>
      <c r="Q230" s="36">
        <f t="shared" si="970"/>
        <v>1</v>
      </c>
      <c r="R230" s="36">
        <f t="shared" si="970"/>
        <v>0</v>
      </c>
      <c r="S230" s="36">
        <f t="shared" si="970"/>
        <v>1</v>
      </c>
      <c r="T230" s="36">
        <f t="shared" si="970"/>
        <v>0</v>
      </c>
      <c r="U230" s="36">
        <f t="shared" si="970"/>
        <v>8</v>
      </c>
      <c r="V230" s="36">
        <f t="shared" si="966"/>
        <v>8</v>
      </c>
      <c r="W230" s="36">
        <f t="shared" si="966"/>
        <v>1</v>
      </c>
      <c r="X230" s="36">
        <f t="shared" si="966"/>
        <v>0</v>
      </c>
      <c r="Y230" s="36">
        <f t="shared" si="966"/>
        <v>0</v>
      </c>
      <c r="Z230" s="36">
        <f t="shared" si="966"/>
        <v>0</v>
      </c>
      <c r="AA230" s="36">
        <f t="shared" si="966"/>
        <v>0</v>
      </c>
      <c r="AB230" s="36">
        <f t="shared" si="966"/>
        <v>0</v>
      </c>
      <c r="AC230" s="36">
        <f t="shared" si="966"/>
        <v>0</v>
      </c>
      <c r="AD230" s="36">
        <f t="shared" si="966"/>
        <v>0</v>
      </c>
      <c r="AE230" s="36">
        <f t="shared" ref="AE230:AF230" si="983">AE229</f>
        <v>0</v>
      </c>
      <c r="AF230" s="36">
        <f t="shared" si="983"/>
        <v>0</v>
      </c>
      <c r="AG230" s="36">
        <f t="shared" ref="AG230:AH230" si="984">AG229</f>
        <v>0</v>
      </c>
      <c r="AH230" s="36">
        <f t="shared" si="984"/>
        <v>0</v>
      </c>
      <c r="AI230" s="36">
        <f t="shared" ref="AI230" si="985">AI229</f>
        <v>0</v>
      </c>
      <c r="AJ230" s="36">
        <f t="shared" si="966"/>
        <v>0</v>
      </c>
      <c r="AK230" s="36">
        <f t="shared" si="949"/>
        <v>0</v>
      </c>
      <c r="AL230" s="36">
        <f t="shared" si="949"/>
        <v>0</v>
      </c>
      <c r="AM230" s="36">
        <f t="shared" si="949"/>
        <v>0</v>
      </c>
      <c r="AN230" s="36">
        <f t="shared" si="949"/>
        <v>0</v>
      </c>
      <c r="AO230" s="36">
        <f t="shared" si="949"/>
        <v>0</v>
      </c>
      <c r="AP230" s="36">
        <f t="shared" si="949"/>
        <v>0</v>
      </c>
      <c r="AQ230" s="36">
        <f t="shared" si="949"/>
        <v>0</v>
      </c>
      <c r="AR230" s="36">
        <f t="shared" si="925"/>
        <v>0</v>
      </c>
      <c r="AS230" s="31" t="str">
        <f t="shared" si="861"/>
        <v>SimulationStorage,1,</v>
      </c>
      <c r="AT230" s="31" t="str">
        <f t="shared" si="862"/>
        <v>AnalysisStorage,1,</v>
      </c>
      <c r="AU230" s="31" t="str">
        <f t="shared" si="863"/>
        <v>LogRuleEvaluation,0,</v>
      </c>
      <c r="AV230" s="31" t="str">
        <f t="shared" si="864"/>
        <v>ParallelSimulations,1,</v>
      </c>
      <c r="AW230" s="31" t="str">
        <f t="shared" si="865"/>
        <v>DurationStats,0,</v>
      </c>
      <c r="AX230" s="31" t="str">
        <f t="shared" si="866"/>
        <v>AnalysisThruStep,8,</v>
      </c>
      <c r="AY230" s="31" t="str">
        <f t="shared" si="867"/>
        <v>DontAbortOnErrorsThruStep,8,</v>
      </c>
      <c r="AZ230" s="31" t="str">
        <f t="shared" si="868"/>
        <v>BypassValidFileChecks,1,</v>
      </c>
      <c r="BA230" s="31" t="str">
        <f t="shared" si="869"/>
        <v>BypassInputChecks,0,</v>
      </c>
      <c r="BB230" s="31" t="str">
        <f t="shared" si="870"/>
        <v>BypassUMLHChecks,0,</v>
      </c>
      <c r="BC230" s="31" t="str">
        <f t="shared" si="871"/>
        <v>BypassCheckSimRules,0,</v>
      </c>
      <c r="BD230" s="31" t="str">
        <f t="shared" si="872"/>
        <v>BypassCheckCodeRules,0,</v>
      </c>
      <c r="BE230" s="31" t="str">
        <f t="shared" si="830"/>
        <v>StoreResultsToModelInput,0,</v>
      </c>
      <c r="BF230" s="31" t="str">
        <f t="shared" si="831"/>
        <v>StoreBEMDetails,0,</v>
      </c>
      <c r="BG230" s="31" t="str">
        <f t="shared" si="832"/>
        <v>ModelRpt_ALL,0,</v>
      </c>
      <c r="BH230" s="31" t="str">
        <f t="shared" si="833"/>
        <v>ExportHourlyResults_All,0,</v>
      </c>
      <c r="BI230" s="31" t="str">
        <f t="shared" si="834"/>
        <v>ComplianceReportPDF,0,</v>
      </c>
      <c r="BJ230" s="31" t="str">
        <f t="shared" si="835"/>
        <v>ComplianceReportXML,0,</v>
      </c>
      <c r="BK230" s="31" t="str">
        <f t="shared" si="836"/>
        <v>QuickAnalysis,0,</v>
      </c>
      <c r="BL230" s="31" t="str">
        <f t="shared" si="836"/>
        <v>PromptUserUMLHWarning,0,</v>
      </c>
      <c r="BM230" s="31" t="str">
        <f t="shared" si="837"/>
        <v>BypassOpenStudio_all,0,</v>
      </c>
      <c r="BN230" s="31" t="str">
        <f t="shared" si="838"/>
        <v>BypassOpenStudio_zp,0,</v>
      </c>
      <c r="BO230" s="31" t="str">
        <f t="shared" si="839"/>
        <v>BypassOpenStudio_zb,0,</v>
      </c>
      <c r="BP230" s="31" t="str">
        <f t="shared" si="840"/>
        <v>BypassOpenStudio_ap,0,</v>
      </c>
      <c r="BQ230" s="31" t="str">
        <f t="shared" si="841"/>
        <v>BypassOpenStudio_ab,0,</v>
      </c>
      <c r="BR230" s="31" t="str">
        <f t="shared" si="842"/>
        <v>BypassOpenStudio_zp,0,</v>
      </c>
      <c r="BS230" s="31" t="str">
        <f t="shared" si="843"/>
        <v>BypassOpenStudio_zb,0,</v>
      </c>
      <c r="BT230" s="31" t="str">
        <f t="shared" si="844"/>
        <v>BypassOpenStudio_ap,0,</v>
      </c>
      <c r="BU230" s="31" t="str">
        <f t="shared" si="845"/>
        <v>BypassOpenStudio_ab,0,</v>
      </c>
    </row>
    <row r="231" spans="1:73" x14ac:dyDescent="0.25">
      <c r="A231" s="39">
        <f t="shared" si="846"/>
        <v>0</v>
      </c>
      <c r="B231" s="27" t="str">
        <f t="shared" si="847"/>
        <v>SoftwareSensitivityTests\StreamlinedApprovalSet\0408906-OffLrg-HVACChWDeltaT.cibd</v>
      </c>
      <c r="C231" s="27" t="str">
        <f t="shared" si="848"/>
        <v>BatchOut_160331_r3964_SSTs\0408906-OffLrg-HVACChWDeltaT.cibd</v>
      </c>
      <c r="D231" s="27" t="str">
        <f t="shared" si="849"/>
        <v>BatchOut_160331_r3964_SSTs\XML\</v>
      </c>
      <c r="E231" s="9" t="str">
        <f t="shared" si="850"/>
        <v>0408906</v>
      </c>
      <c r="F231" s="22"/>
      <c r="G231" s="29"/>
      <c r="H231" s="23" t="str">
        <f t="shared" si="851"/>
        <v/>
      </c>
      <c r="I231" s="9" t="s">
        <v>11</v>
      </c>
      <c r="J231"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1" s="15" t="s">
        <v>1</v>
      </c>
      <c r="L231" s="36">
        <f t="shared" si="856"/>
        <v>0</v>
      </c>
      <c r="M231" s="32" t="str">
        <f t="shared" si="852"/>
        <v>0408906</v>
      </c>
      <c r="N231" s="28" t="s">
        <v>315</v>
      </c>
      <c r="O231" s="28" t="str">
        <f t="shared" si="857"/>
        <v>0408906-OffLrg-HVACChWDeltaT</v>
      </c>
      <c r="P231" s="36">
        <f t="shared" si="970"/>
        <v>1</v>
      </c>
      <c r="Q231" s="36">
        <f t="shared" si="970"/>
        <v>1</v>
      </c>
      <c r="R231" s="36">
        <f t="shared" si="970"/>
        <v>0</v>
      </c>
      <c r="S231" s="36">
        <f t="shared" si="970"/>
        <v>1</v>
      </c>
      <c r="T231" s="36">
        <f t="shared" si="970"/>
        <v>0</v>
      </c>
      <c r="U231" s="36">
        <f t="shared" si="970"/>
        <v>8</v>
      </c>
      <c r="V231" s="36">
        <f t="shared" si="966"/>
        <v>8</v>
      </c>
      <c r="W231" s="36">
        <f t="shared" si="966"/>
        <v>1</v>
      </c>
      <c r="X231" s="36">
        <f t="shared" si="966"/>
        <v>0</v>
      </c>
      <c r="Y231" s="36">
        <f t="shared" si="966"/>
        <v>0</v>
      </c>
      <c r="Z231" s="36">
        <f t="shared" si="966"/>
        <v>0</v>
      </c>
      <c r="AA231" s="36">
        <f t="shared" si="966"/>
        <v>0</v>
      </c>
      <c r="AB231" s="36">
        <f t="shared" si="966"/>
        <v>0</v>
      </c>
      <c r="AC231" s="36">
        <f t="shared" si="966"/>
        <v>0</v>
      </c>
      <c r="AD231" s="36">
        <f t="shared" si="966"/>
        <v>0</v>
      </c>
      <c r="AE231" s="36">
        <f t="shared" ref="AE231:AF231" si="986">AE230</f>
        <v>0</v>
      </c>
      <c r="AF231" s="36">
        <f t="shared" si="986"/>
        <v>0</v>
      </c>
      <c r="AG231" s="36">
        <f t="shared" ref="AG231:AH231" si="987">AG230</f>
        <v>0</v>
      </c>
      <c r="AH231" s="36">
        <f t="shared" si="987"/>
        <v>0</v>
      </c>
      <c r="AI231" s="36">
        <f t="shared" ref="AI231" si="988">AI230</f>
        <v>0</v>
      </c>
      <c r="AJ231" s="36">
        <f t="shared" si="966"/>
        <v>0</v>
      </c>
      <c r="AK231" s="36">
        <f t="shared" si="949"/>
        <v>0</v>
      </c>
      <c r="AL231" s="36">
        <f t="shared" si="949"/>
        <v>0</v>
      </c>
      <c r="AM231" s="36">
        <f t="shared" si="949"/>
        <v>0</v>
      </c>
      <c r="AN231" s="36">
        <f t="shared" si="949"/>
        <v>0</v>
      </c>
      <c r="AO231" s="36">
        <f t="shared" si="949"/>
        <v>0</v>
      </c>
      <c r="AP231" s="36">
        <f t="shared" si="949"/>
        <v>0</v>
      </c>
      <c r="AQ231" s="36">
        <f t="shared" si="949"/>
        <v>0</v>
      </c>
      <c r="AR231" s="36">
        <f t="shared" si="925"/>
        <v>0</v>
      </c>
      <c r="AS231" s="31" t="str">
        <f t="shared" si="861"/>
        <v>SimulationStorage,1,</v>
      </c>
      <c r="AT231" s="31" t="str">
        <f t="shared" si="862"/>
        <v>AnalysisStorage,1,</v>
      </c>
      <c r="AU231" s="31" t="str">
        <f t="shared" si="863"/>
        <v>LogRuleEvaluation,0,</v>
      </c>
      <c r="AV231" s="31" t="str">
        <f t="shared" si="864"/>
        <v>ParallelSimulations,1,</v>
      </c>
      <c r="AW231" s="31" t="str">
        <f t="shared" si="865"/>
        <v>DurationStats,0,</v>
      </c>
      <c r="AX231" s="31" t="str">
        <f t="shared" si="866"/>
        <v>AnalysisThruStep,8,</v>
      </c>
      <c r="AY231" s="31" t="str">
        <f t="shared" si="867"/>
        <v>DontAbortOnErrorsThruStep,8,</v>
      </c>
      <c r="AZ231" s="31" t="str">
        <f t="shared" si="868"/>
        <v>BypassValidFileChecks,1,</v>
      </c>
      <c r="BA231" s="31" t="str">
        <f t="shared" si="869"/>
        <v>BypassInputChecks,0,</v>
      </c>
      <c r="BB231" s="31" t="str">
        <f t="shared" si="870"/>
        <v>BypassUMLHChecks,0,</v>
      </c>
      <c r="BC231" s="31" t="str">
        <f t="shared" si="871"/>
        <v>BypassCheckSimRules,0,</v>
      </c>
      <c r="BD231" s="31" t="str">
        <f t="shared" si="872"/>
        <v>BypassCheckCodeRules,0,</v>
      </c>
      <c r="BE231" s="31" t="str">
        <f t="shared" si="830"/>
        <v>StoreResultsToModelInput,0,</v>
      </c>
      <c r="BF231" s="31" t="str">
        <f t="shared" si="831"/>
        <v>StoreBEMDetails,0,</v>
      </c>
      <c r="BG231" s="31" t="str">
        <f t="shared" si="832"/>
        <v>ModelRpt_ALL,0,</v>
      </c>
      <c r="BH231" s="31" t="str">
        <f t="shared" si="833"/>
        <v>ExportHourlyResults_All,0,</v>
      </c>
      <c r="BI231" s="31" t="str">
        <f t="shared" si="834"/>
        <v>ComplianceReportPDF,0,</v>
      </c>
      <c r="BJ231" s="31" t="str">
        <f t="shared" si="835"/>
        <v>ComplianceReportXML,0,</v>
      </c>
      <c r="BK231" s="31" t="str">
        <f t="shared" si="836"/>
        <v>QuickAnalysis,0,</v>
      </c>
      <c r="BL231" s="31" t="str">
        <f t="shared" si="836"/>
        <v>PromptUserUMLHWarning,0,</v>
      </c>
      <c r="BM231" s="31" t="str">
        <f t="shared" si="837"/>
        <v>BypassOpenStudio_all,0,</v>
      </c>
      <c r="BN231" s="31" t="str">
        <f t="shared" si="838"/>
        <v>BypassOpenStudio_zp,0,</v>
      </c>
      <c r="BO231" s="31" t="str">
        <f t="shared" si="839"/>
        <v>BypassOpenStudio_zb,0,</v>
      </c>
      <c r="BP231" s="31" t="str">
        <f t="shared" si="840"/>
        <v>BypassOpenStudio_ap,0,</v>
      </c>
      <c r="BQ231" s="31" t="str">
        <f t="shared" si="841"/>
        <v>BypassOpenStudio_ab,0,</v>
      </c>
      <c r="BR231" s="31" t="str">
        <f t="shared" si="842"/>
        <v>BypassOpenStudio_zp,0,</v>
      </c>
      <c r="BS231" s="31" t="str">
        <f t="shared" si="843"/>
        <v>BypassOpenStudio_zb,0,</v>
      </c>
      <c r="BT231" s="31" t="str">
        <f t="shared" si="844"/>
        <v>BypassOpenStudio_ap,0,</v>
      </c>
      <c r="BU231" s="31" t="str">
        <f t="shared" si="845"/>
        <v>BypassOpenStudio_ab,0,</v>
      </c>
    </row>
    <row r="232" spans="1:73" x14ac:dyDescent="0.25">
      <c r="A232" s="39">
        <f t="shared" si="846"/>
        <v>0</v>
      </c>
      <c r="B232" s="27" t="str">
        <f t="shared" si="847"/>
        <v>SoftwareSensitivityTests\StreamlinedApprovalSet\0405401-OffLrg-WWR20Cont.DimHighVT.cibd</v>
      </c>
      <c r="C232" s="27" t="str">
        <f t="shared" si="848"/>
        <v>BatchOut_160331_r3964_SSTs\0405401-OffLrg-WWR20Cont.DimHighVT.cibd</v>
      </c>
      <c r="D232" s="27" t="str">
        <f t="shared" si="849"/>
        <v>BatchOut_160331_r3964_SSTs\XML\</v>
      </c>
      <c r="E232" s="9" t="str">
        <f t="shared" si="850"/>
        <v>0405401</v>
      </c>
      <c r="F232" s="22"/>
      <c r="G232" s="29"/>
      <c r="H232" s="23" t="str">
        <f t="shared" si="851"/>
        <v/>
      </c>
      <c r="I232" s="9" t="s">
        <v>11</v>
      </c>
      <c r="J232"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2" s="15" t="s">
        <v>1</v>
      </c>
      <c r="L232" s="36">
        <f t="shared" si="856"/>
        <v>0</v>
      </c>
      <c r="M232" s="32" t="str">
        <f t="shared" si="852"/>
        <v>0405401</v>
      </c>
      <c r="N232" s="28" t="s">
        <v>316</v>
      </c>
      <c r="O232" s="28" t="str">
        <f t="shared" si="857"/>
        <v>0405401-OffLrg-WWR20Cont.DimHighVT</v>
      </c>
      <c r="P232" s="36">
        <f t="shared" si="970"/>
        <v>1</v>
      </c>
      <c r="Q232" s="36">
        <f t="shared" si="970"/>
        <v>1</v>
      </c>
      <c r="R232" s="36">
        <f t="shared" si="970"/>
        <v>0</v>
      </c>
      <c r="S232" s="36">
        <f t="shared" si="970"/>
        <v>1</v>
      </c>
      <c r="T232" s="36">
        <f t="shared" si="970"/>
        <v>0</v>
      </c>
      <c r="U232" s="36">
        <f t="shared" si="970"/>
        <v>8</v>
      </c>
      <c r="V232" s="36">
        <f t="shared" si="966"/>
        <v>8</v>
      </c>
      <c r="W232" s="36">
        <f t="shared" si="966"/>
        <v>1</v>
      </c>
      <c r="X232" s="36">
        <f t="shared" si="966"/>
        <v>0</v>
      </c>
      <c r="Y232" s="36">
        <f t="shared" si="966"/>
        <v>0</v>
      </c>
      <c r="Z232" s="36">
        <f t="shared" si="966"/>
        <v>0</v>
      </c>
      <c r="AA232" s="36">
        <f t="shared" si="966"/>
        <v>0</v>
      </c>
      <c r="AB232" s="36">
        <f t="shared" si="966"/>
        <v>0</v>
      </c>
      <c r="AC232" s="36">
        <f t="shared" si="966"/>
        <v>0</v>
      </c>
      <c r="AD232" s="36">
        <f t="shared" si="966"/>
        <v>0</v>
      </c>
      <c r="AE232" s="36">
        <f t="shared" ref="AE232:AF232" si="989">AE231</f>
        <v>0</v>
      </c>
      <c r="AF232" s="36">
        <f t="shared" si="989"/>
        <v>0</v>
      </c>
      <c r="AG232" s="36">
        <f t="shared" ref="AG232:AH232" si="990">AG231</f>
        <v>0</v>
      </c>
      <c r="AH232" s="36">
        <f t="shared" si="990"/>
        <v>0</v>
      </c>
      <c r="AI232" s="36">
        <f t="shared" ref="AI232" si="991">AI231</f>
        <v>0</v>
      </c>
      <c r="AJ232" s="36">
        <f t="shared" si="966"/>
        <v>0</v>
      </c>
      <c r="AK232" s="36">
        <f t="shared" si="966"/>
        <v>0</v>
      </c>
      <c r="AL232" s="36">
        <f t="shared" si="966"/>
        <v>0</v>
      </c>
      <c r="AM232" s="36">
        <f t="shared" si="966"/>
        <v>0</v>
      </c>
      <c r="AN232" s="36">
        <f t="shared" si="966"/>
        <v>0</v>
      </c>
      <c r="AO232" s="36">
        <f t="shared" si="966"/>
        <v>0</v>
      </c>
      <c r="AP232" s="36">
        <f t="shared" si="966"/>
        <v>0</v>
      </c>
      <c r="AQ232" s="36">
        <f t="shared" ref="AQ232:AQ260" si="992">AQ231</f>
        <v>0</v>
      </c>
      <c r="AR232" s="36">
        <f t="shared" si="925"/>
        <v>0</v>
      </c>
      <c r="AS232" s="31" t="str">
        <f t="shared" si="861"/>
        <v>SimulationStorage,1,</v>
      </c>
      <c r="AT232" s="31" t="str">
        <f t="shared" si="862"/>
        <v>AnalysisStorage,1,</v>
      </c>
      <c r="AU232" s="31" t="str">
        <f t="shared" si="863"/>
        <v>LogRuleEvaluation,0,</v>
      </c>
      <c r="AV232" s="31" t="str">
        <f t="shared" si="864"/>
        <v>ParallelSimulations,1,</v>
      </c>
      <c r="AW232" s="31" t="str">
        <f t="shared" si="865"/>
        <v>DurationStats,0,</v>
      </c>
      <c r="AX232" s="31" t="str">
        <f t="shared" si="866"/>
        <v>AnalysisThruStep,8,</v>
      </c>
      <c r="AY232" s="31" t="str">
        <f t="shared" si="867"/>
        <v>DontAbortOnErrorsThruStep,8,</v>
      </c>
      <c r="AZ232" s="31" t="str">
        <f t="shared" si="868"/>
        <v>BypassValidFileChecks,1,</v>
      </c>
      <c r="BA232" s="31" t="str">
        <f t="shared" si="869"/>
        <v>BypassInputChecks,0,</v>
      </c>
      <c r="BB232" s="31" t="str">
        <f t="shared" si="870"/>
        <v>BypassUMLHChecks,0,</v>
      </c>
      <c r="BC232" s="31" t="str">
        <f t="shared" si="871"/>
        <v>BypassCheckSimRules,0,</v>
      </c>
      <c r="BD232" s="31" t="str">
        <f t="shared" si="872"/>
        <v>BypassCheckCodeRules,0,</v>
      </c>
      <c r="BE232" s="31" t="str">
        <f t="shared" si="830"/>
        <v>StoreResultsToModelInput,0,</v>
      </c>
      <c r="BF232" s="31" t="str">
        <f t="shared" si="831"/>
        <v>StoreBEMDetails,0,</v>
      </c>
      <c r="BG232" s="31" t="str">
        <f t="shared" si="832"/>
        <v>ModelRpt_ALL,0,</v>
      </c>
      <c r="BH232" s="31" t="str">
        <f t="shared" si="833"/>
        <v>ExportHourlyResults_All,0,</v>
      </c>
      <c r="BI232" s="31" t="str">
        <f t="shared" si="834"/>
        <v>ComplianceReportPDF,0,</v>
      </c>
      <c r="BJ232" s="31" t="str">
        <f t="shared" si="835"/>
        <v>ComplianceReportXML,0,</v>
      </c>
      <c r="BK232" s="31" t="str">
        <f t="shared" si="836"/>
        <v>QuickAnalysis,0,</v>
      </c>
      <c r="BL232" s="31" t="str">
        <f t="shared" si="836"/>
        <v>PromptUserUMLHWarning,0,</v>
      </c>
      <c r="BM232" s="31" t="str">
        <f t="shared" si="837"/>
        <v>BypassOpenStudio_all,0,</v>
      </c>
      <c r="BN232" s="31" t="str">
        <f t="shared" si="838"/>
        <v>BypassOpenStudio_zp,0,</v>
      </c>
      <c r="BO232" s="31" t="str">
        <f t="shared" si="839"/>
        <v>BypassOpenStudio_zb,0,</v>
      </c>
      <c r="BP232" s="31" t="str">
        <f t="shared" si="840"/>
        <v>BypassOpenStudio_ap,0,</v>
      </c>
      <c r="BQ232" s="31" t="str">
        <f t="shared" si="841"/>
        <v>BypassOpenStudio_ab,0,</v>
      </c>
      <c r="BR232" s="31" t="str">
        <f t="shared" si="842"/>
        <v>BypassOpenStudio_zp,0,</v>
      </c>
      <c r="BS232" s="31" t="str">
        <f t="shared" si="843"/>
        <v>BypassOpenStudio_zb,0,</v>
      </c>
      <c r="BT232" s="31" t="str">
        <f t="shared" si="844"/>
        <v>BypassOpenStudio_ap,0,</v>
      </c>
      <c r="BU232" s="31" t="str">
        <f t="shared" si="845"/>
        <v>BypassOpenStudio_ab,0,</v>
      </c>
    </row>
    <row r="233" spans="1:73" x14ac:dyDescent="0.25">
      <c r="A233" s="39">
        <f t="shared" si="846"/>
        <v>0</v>
      </c>
      <c r="B233" s="27" t="str">
        <f t="shared" si="847"/>
        <v>SoftwareSensitivityTests\StreamlinedApprovalSet\0405501-OffLrg-WWR20StepDim.cibd</v>
      </c>
      <c r="C233" s="27" t="str">
        <f t="shared" si="848"/>
        <v>BatchOut_160331_r3964_SSTs\0405501-OffLrg-WWR20StepDim.cibd</v>
      </c>
      <c r="D233" s="27" t="str">
        <f t="shared" si="849"/>
        <v>BatchOut_160331_r3964_SSTs\XML\</v>
      </c>
      <c r="E233" s="9" t="str">
        <f t="shared" si="850"/>
        <v>0405501</v>
      </c>
      <c r="F233" s="22"/>
      <c r="G233" s="29"/>
      <c r="H233" s="23" t="str">
        <f t="shared" si="851"/>
        <v/>
      </c>
      <c r="I233" s="9" t="s">
        <v>11</v>
      </c>
      <c r="J233"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3" s="15" t="s">
        <v>1</v>
      </c>
      <c r="L233" s="36">
        <f t="shared" si="856"/>
        <v>0</v>
      </c>
      <c r="M233" s="32" t="str">
        <f t="shared" si="852"/>
        <v>0405501</v>
      </c>
      <c r="N233" s="28" t="s">
        <v>317</v>
      </c>
      <c r="O233" s="28" t="str">
        <f t="shared" si="857"/>
        <v>0405501-OffLrg-WWR20StepDim</v>
      </c>
      <c r="P233" s="36">
        <f t="shared" si="970"/>
        <v>1</v>
      </c>
      <c r="Q233" s="36">
        <f t="shared" si="970"/>
        <v>1</v>
      </c>
      <c r="R233" s="36">
        <f t="shared" si="970"/>
        <v>0</v>
      </c>
      <c r="S233" s="36">
        <f t="shared" si="970"/>
        <v>1</v>
      </c>
      <c r="T233" s="36">
        <f t="shared" si="970"/>
        <v>0</v>
      </c>
      <c r="U233" s="36">
        <f t="shared" si="970"/>
        <v>8</v>
      </c>
      <c r="V233" s="36">
        <f t="shared" si="966"/>
        <v>8</v>
      </c>
      <c r="W233" s="36">
        <f t="shared" si="966"/>
        <v>1</v>
      </c>
      <c r="X233" s="36">
        <f t="shared" si="966"/>
        <v>0</v>
      </c>
      <c r="Y233" s="36">
        <f t="shared" si="966"/>
        <v>0</v>
      </c>
      <c r="Z233" s="36">
        <f t="shared" si="966"/>
        <v>0</v>
      </c>
      <c r="AA233" s="36">
        <f t="shared" si="966"/>
        <v>0</v>
      </c>
      <c r="AB233" s="36">
        <f t="shared" si="966"/>
        <v>0</v>
      </c>
      <c r="AC233" s="36">
        <f t="shared" si="966"/>
        <v>0</v>
      </c>
      <c r="AD233" s="36">
        <f t="shared" si="966"/>
        <v>0</v>
      </c>
      <c r="AE233" s="36">
        <f t="shared" ref="AE233:AF233" si="993">AE232</f>
        <v>0</v>
      </c>
      <c r="AF233" s="36">
        <f t="shared" si="993"/>
        <v>0</v>
      </c>
      <c r="AG233" s="36">
        <f t="shared" ref="AG233:AH233" si="994">AG232</f>
        <v>0</v>
      </c>
      <c r="AH233" s="36">
        <f t="shared" si="994"/>
        <v>0</v>
      </c>
      <c r="AI233" s="36">
        <f t="shared" ref="AI233" si="995">AI232</f>
        <v>0</v>
      </c>
      <c r="AJ233" s="36">
        <f t="shared" si="966"/>
        <v>0</v>
      </c>
      <c r="AK233" s="36">
        <f t="shared" si="966"/>
        <v>0</v>
      </c>
      <c r="AL233" s="36">
        <f t="shared" si="966"/>
        <v>0</v>
      </c>
      <c r="AM233" s="36">
        <f t="shared" si="966"/>
        <v>0</v>
      </c>
      <c r="AN233" s="36">
        <f t="shared" si="966"/>
        <v>0</v>
      </c>
      <c r="AO233" s="36">
        <f t="shared" si="966"/>
        <v>0</v>
      </c>
      <c r="AP233" s="36">
        <f t="shared" si="966"/>
        <v>0</v>
      </c>
      <c r="AQ233" s="36">
        <f t="shared" si="992"/>
        <v>0</v>
      </c>
      <c r="AR233" s="36">
        <f t="shared" si="925"/>
        <v>0</v>
      </c>
      <c r="AS233" s="31" t="str">
        <f t="shared" si="861"/>
        <v>SimulationStorage,1,</v>
      </c>
      <c r="AT233" s="31" t="str">
        <f t="shared" si="862"/>
        <v>AnalysisStorage,1,</v>
      </c>
      <c r="AU233" s="31" t="str">
        <f t="shared" si="863"/>
        <v>LogRuleEvaluation,0,</v>
      </c>
      <c r="AV233" s="31" t="str">
        <f t="shared" si="864"/>
        <v>ParallelSimulations,1,</v>
      </c>
      <c r="AW233" s="31" t="str">
        <f t="shared" si="865"/>
        <v>DurationStats,0,</v>
      </c>
      <c r="AX233" s="31" t="str">
        <f t="shared" si="866"/>
        <v>AnalysisThruStep,8,</v>
      </c>
      <c r="AY233" s="31" t="str">
        <f t="shared" si="867"/>
        <v>DontAbortOnErrorsThruStep,8,</v>
      </c>
      <c r="AZ233" s="31" t="str">
        <f t="shared" si="868"/>
        <v>BypassValidFileChecks,1,</v>
      </c>
      <c r="BA233" s="31" t="str">
        <f t="shared" si="869"/>
        <v>BypassInputChecks,0,</v>
      </c>
      <c r="BB233" s="31" t="str">
        <f t="shared" si="870"/>
        <v>BypassUMLHChecks,0,</v>
      </c>
      <c r="BC233" s="31" t="str">
        <f t="shared" si="871"/>
        <v>BypassCheckSimRules,0,</v>
      </c>
      <c r="BD233" s="31" t="str">
        <f t="shared" si="872"/>
        <v>BypassCheckCodeRules,0,</v>
      </c>
      <c r="BE233" s="31" t="str">
        <f t="shared" si="830"/>
        <v>StoreResultsToModelInput,0,</v>
      </c>
      <c r="BF233" s="31" t="str">
        <f t="shared" si="831"/>
        <v>StoreBEMDetails,0,</v>
      </c>
      <c r="BG233" s="31" t="str">
        <f t="shared" si="832"/>
        <v>ModelRpt_ALL,0,</v>
      </c>
      <c r="BH233" s="31" t="str">
        <f t="shared" si="833"/>
        <v>ExportHourlyResults_All,0,</v>
      </c>
      <c r="BI233" s="31" t="str">
        <f t="shared" si="834"/>
        <v>ComplianceReportPDF,0,</v>
      </c>
      <c r="BJ233" s="31" t="str">
        <f t="shared" si="835"/>
        <v>ComplianceReportXML,0,</v>
      </c>
      <c r="BK233" s="31" t="str">
        <f t="shared" si="836"/>
        <v>QuickAnalysis,0,</v>
      </c>
      <c r="BL233" s="31" t="str">
        <f t="shared" si="836"/>
        <v>PromptUserUMLHWarning,0,</v>
      </c>
      <c r="BM233" s="31" t="str">
        <f t="shared" si="837"/>
        <v>BypassOpenStudio_all,0,</v>
      </c>
      <c r="BN233" s="31" t="str">
        <f t="shared" si="838"/>
        <v>BypassOpenStudio_zp,0,</v>
      </c>
      <c r="BO233" s="31" t="str">
        <f t="shared" si="839"/>
        <v>BypassOpenStudio_zb,0,</v>
      </c>
      <c r="BP233" s="31" t="str">
        <f t="shared" si="840"/>
        <v>BypassOpenStudio_ap,0,</v>
      </c>
      <c r="BQ233" s="31" t="str">
        <f t="shared" si="841"/>
        <v>BypassOpenStudio_ab,0,</v>
      </c>
      <c r="BR233" s="31" t="str">
        <f t="shared" si="842"/>
        <v>BypassOpenStudio_zp,0,</v>
      </c>
      <c r="BS233" s="31" t="str">
        <f t="shared" si="843"/>
        <v>BypassOpenStudio_zb,0,</v>
      </c>
      <c r="BT233" s="31" t="str">
        <f t="shared" si="844"/>
        <v>BypassOpenStudio_ap,0,</v>
      </c>
      <c r="BU233" s="31" t="str">
        <f t="shared" si="845"/>
        <v>BypassOpenStudio_ab,0,</v>
      </c>
    </row>
    <row r="234" spans="1:73" x14ac:dyDescent="0.25">
      <c r="A234" s="39">
        <f t="shared" si="846"/>
        <v>0</v>
      </c>
      <c r="B234" s="27" t="str">
        <f t="shared" si="847"/>
        <v>SoftwareSensitivityTests\StreamlinedApprovalSet\0405601-OffLrg-WWR20StepDimHighVT.cibd</v>
      </c>
      <c r="C234" s="27" t="str">
        <f t="shared" si="848"/>
        <v>BatchOut_160331_r3964_SSTs\0405601-OffLrg-WWR20StepDimHighVT.cibd</v>
      </c>
      <c r="D234" s="27" t="str">
        <f t="shared" si="849"/>
        <v>BatchOut_160331_r3964_SSTs\XML\</v>
      </c>
      <c r="E234" s="9" t="str">
        <f t="shared" si="850"/>
        <v>0405601</v>
      </c>
      <c r="F234" s="22"/>
      <c r="G234" s="29"/>
      <c r="H234" s="23" t="str">
        <f t="shared" si="851"/>
        <v/>
      </c>
      <c r="I234" s="9" t="s">
        <v>11</v>
      </c>
      <c r="J234"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4" s="15" t="s">
        <v>1</v>
      </c>
      <c r="L234" s="36">
        <f t="shared" si="856"/>
        <v>0</v>
      </c>
      <c r="M234" s="32" t="str">
        <f t="shared" si="852"/>
        <v>0405601</v>
      </c>
      <c r="N234" s="28" t="s">
        <v>318</v>
      </c>
      <c r="O234" s="28" t="str">
        <f t="shared" si="857"/>
        <v>0405601-OffLrg-WWR20StepDimHighVT</v>
      </c>
      <c r="P234" s="36">
        <f t="shared" si="970"/>
        <v>1</v>
      </c>
      <c r="Q234" s="36">
        <f t="shared" si="970"/>
        <v>1</v>
      </c>
      <c r="R234" s="36">
        <f t="shared" si="970"/>
        <v>0</v>
      </c>
      <c r="S234" s="36">
        <f t="shared" si="970"/>
        <v>1</v>
      </c>
      <c r="T234" s="36">
        <f t="shared" si="970"/>
        <v>0</v>
      </c>
      <c r="U234" s="36">
        <f t="shared" si="970"/>
        <v>8</v>
      </c>
      <c r="V234" s="36">
        <f t="shared" si="966"/>
        <v>8</v>
      </c>
      <c r="W234" s="36">
        <f t="shared" si="966"/>
        <v>1</v>
      </c>
      <c r="X234" s="36">
        <f t="shared" si="966"/>
        <v>0</v>
      </c>
      <c r="Y234" s="36">
        <f t="shared" si="966"/>
        <v>0</v>
      </c>
      <c r="Z234" s="36">
        <f t="shared" si="966"/>
        <v>0</v>
      </c>
      <c r="AA234" s="36">
        <f t="shared" si="966"/>
        <v>0</v>
      </c>
      <c r="AB234" s="36">
        <f t="shared" si="966"/>
        <v>0</v>
      </c>
      <c r="AC234" s="36">
        <f t="shared" si="966"/>
        <v>0</v>
      </c>
      <c r="AD234" s="36">
        <f t="shared" si="966"/>
        <v>0</v>
      </c>
      <c r="AE234" s="36">
        <f t="shared" ref="AE234:AF234" si="996">AE233</f>
        <v>0</v>
      </c>
      <c r="AF234" s="36">
        <f t="shared" si="996"/>
        <v>0</v>
      </c>
      <c r="AG234" s="36">
        <f t="shared" ref="AG234:AH234" si="997">AG233</f>
        <v>0</v>
      </c>
      <c r="AH234" s="36">
        <f t="shared" si="997"/>
        <v>0</v>
      </c>
      <c r="AI234" s="36">
        <f t="shared" ref="AI234" si="998">AI233</f>
        <v>0</v>
      </c>
      <c r="AJ234" s="36">
        <f t="shared" si="966"/>
        <v>0</v>
      </c>
      <c r="AK234" s="36">
        <f t="shared" si="966"/>
        <v>0</v>
      </c>
      <c r="AL234" s="36">
        <f t="shared" si="966"/>
        <v>0</v>
      </c>
      <c r="AM234" s="36">
        <f t="shared" si="966"/>
        <v>0</v>
      </c>
      <c r="AN234" s="36">
        <f t="shared" si="966"/>
        <v>0</v>
      </c>
      <c r="AO234" s="36">
        <f t="shared" si="966"/>
        <v>0</v>
      </c>
      <c r="AP234" s="36">
        <f t="shared" si="966"/>
        <v>0</v>
      </c>
      <c r="AQ234" s="36">
        <f t="shared" si="992"/>
        <v>0</v>
      </c>
      <c r="AR234" s="36">
        <f t="shared" si="925"/>
        <v>0</v>
      </c>
      <c r="AS234" s="31" t="str">
        <f t="shared" si="861"/>
        <v>SimulationStorage,1,</v>
      </c>
      <c r="AT234" s="31" t="str">
        <f t="shared" si="862"/>
        <v>AnalysisStorage,1,</v>
      </c>
      <c r="AU234" s="31" t="str">
        <f t="shared" si="863"/>
        <v>LogRuleEvaluation,0,</v>
      </c>
      <c r="AV234" s="31" t="str">
        <f t="shared" si="864"/>
        <v>ParallelSimulations,1,</v>
      </c>
      <c r="AW234" s="31" t="str">
        <f t="shared" si="865"/>
        <v>DurationStats,0,</v>
      </c>
      <c r="AX234" s="31" t="str">
        <f t="shared" si="866"/>
        <v>AnalysisThruStep,8,</v>
      </c>
      <c r="AY234" s="31" t="str">
        <f t="shared" si="867"/>
        <v>DontAbortOnErrorsThruStep,8,</v>
      </c>
      <c r="AZ234" s="31" t="str">
        <f t="shared" si="868"/>
        <v>BypassValidFileChecks,1,</v>
      </c>
      <c r="BA234" s="31" t="str">
        <f t="shared" si="869"/>
        <v>BypassInputChecks,0,</v>
      </c>
      <c r="BB234" s="31" t="str">
        <f t="shared" si="870"/>
        <v>BypassUMLHChecks,0,</v>
      </c>
      <c r="BC234" s="31" t="str">
        <f t="shared" si="871"/>
        <v>BypassCheckSimRules,0,</v>
      </c>
      <c r="BD234" s="31" t="str">
        <f t="shared" si="872"/>
        <v>BypassCheckCodeRules,0,</v>
      </c>
      <c r="BE234" s="31" t="str">
        <f t="shared" si="830"/>
        <v>StoreResultsToModelInput,0,</v>
      </c>
      <c r="BF234" s="31" t="str">
        <f t="shared" si="831"/>
        <v>StoreBEMDetails,0,</v>
      </c>
      <c r="BG234" s="31" t="str">
        <f t="shared" si="832"/>
        <v>ModelRpt_ALL,0,</v>
      </c>
      <c r="BH234" s="31" t="str">
        <f t="shared" si="833"/>
        <v>ExportHourlyResults_All,0,</v>
      </c>
      <c r="BI234" s="31" t="str">
        <f t="shared" si="834"/>
        <v>ComplianceReportPDF,0,</v>
      </c>
      <c r="BJ234" s="31" t="str">
        <f t="shared" si="835"/>
        <v>ComplianceReportXML,0,</v>
      </c>
      <c r="BK234" s="31" t="str">
        <f t="shared" si="836"/>
        <v>QuickAnalysis,0,</v>
      </c>
      <c r="BL234" s="31" t="str">
        <f t="shared" si="836"/>
        <v>PromptUserUMLHWarning,0,</v>
      </c>
      <c r="BM234" s="31" t="str">
        <f t="shared" si="837"/>
        <v>BypassOpenStudio_all,0,</v>
      </c>
      <c r="BN234" s="31" t="str">
        <f t="shared" si="838"/>
        <v>BypassOpenStudio_zp,0,</v>
      </c>
      <c r="BO234" s="31" t="str">
        <f t="shared" si="839"/>
        <v>BypassOpenStudio_zb,0,</v>
      </c>
      <c r="BP234" s="31" t="str">
        <f t="shared" si="840"/>
        <v>BypassOpenStudio_ap,0,</v>
      </c>
      <c r="BQ234" s="31" t="str">
        <f t="shared" si="841"/>
        <v>BypassOpenStudio_ab,0,</v>
      </c>
      <c r="BR234" s="31" t="str">
        <f t="shared" si="842"/>
        <v>BypassOpenStudio_zp,0,</v>
      </c>
      <c r="BS234" s="31" t="str">
        <f t="shared" si="843"/>
        <v>BypassOpenStudio_zb,0,</v>
      </c>
      <c r="BT234" s="31" t="str">
        <f t="shared" si="844"/>
        <v>BypassOpenStudio_ap,0,</v>
      </c>
      <c r="BU234" s="31" t="str">
        <f t="shared" si="845"/>
        <v>BypassOpenStudio_ab,0,</v>
      </c>
    </row>
    <row r="235" spans="1:73" x14ac:dyDescent="0.25">
      <c r="A235" s="39">
        <f t="shared" si="846"/>
        <v>0</v>
      </c>
      <c r="B235" s="27" t="str">
        <f t="shared" si="847"/>
        <v>SoftwareSensitivityTests\StreamlinedApprovalSet\0405701-OffLrg-WWR60Cont.DimHighVT.cibd</v>
      </c>
      <c r="C235" s="27" t="str">
        <f t="shared" si="848"/>
        <v>BatchOut_160331_r3964_SSTs\0405701-OffLrg-WWR60Cont.DimHighVT.cibd</v>
      </c>
      <c r="D235" s="27" t="str">
        <f t="shared" si="849"/>
        <v>BatchOut_160331_r3964_SSTs\XML\</v>
      </c>
      <c r="E235" s="9" t="str">
        <f t="shared" si="850"/>
        <v>0405701</v>
      </c>
      <c r="F235" s="22"/>
      <c r="G235" s="29"/>
      <c r="H235" s="23" t="str">
        <f t="shared" si="851"/>
        <v/>
      </c>
      <c r="I235" s="9" t="s">
        <v>11</v>
      </c>
      <c r="J235"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5" s="15" t="s">
        <v>1</v>
      </c>
      <c r="L235" s="36">
        <f t="shared" si="856"/>
        <v>0</v>
      </c>
      <c r="M235" s="32" t="str">
        <f t="shared" si="852"/>
        <v>0405701</v>
      </c>
      <c r="N235" s="28" t="s">
        <v>319</v>
      </c>
      <c r="O235" s="28" t="str">
        <f t="shared" si="857"/>
        <v>0405701-OffLrg-WWR60Cont.DimHighVT</v>
      </c>
      <c r="P235" s="36">
        <f t="shared" si="970"/>
        <v>1</v>
      </c>
      <c r="Q235" s="36">
        <f t="shared" si="970"/>
        <v>1</v>
      </c>
      <c r="R235" s="36">
        <f t="shared" si="970"/>
        <v>0</v>
      </c>
      <c r="S235" s="36">
        <f t="shared" si="970"/>
        <v>1</v>
      </c>
      <c r="T235" s="36">
        <f t="shared" si="970"/>
        <v>0</v>
      </c>
      <c r="U235" s="36">
        <f t="shared" si="970"/>
        <v>8</v>
      </c>
      <c r="V235" s="36">
        <f t="shared" si="966"/>
        <v>8</v>
      </c>
      <c r="W235" s="36">
        <f t="shared" si="966"/>
        <v>1</v>
      </c>
      <c r="X235" s="36">
        <f t="shared" si="966"/>
        <v>0</v>
      </c>
      <c r="Y235" s="36">
        <f t="shared" si="966"/>
        <v>0</v>
      </c>
      <c r="Z235" s="36">
        <f t="shared" si="966"/>
        <v>0</v>
      </c>
      <c r="AA235" s="36">
        <f t="shared" si="966"/>
        <v>0</v>
      </c>
      <c r="AB235" s="36">
        <f t="shared" si="966"/>
        <v>0</v>
      </c>
      <c r="AC235" s="36">
        <f t="shared" si="966"/>
        <v>0</v>
      </c>
      <c r="AD235" s="36">
        <f t="shared" si="966"/>
        <v>0</v>
      </c>
      <c r="AE235" s="36">
        <f t="shared" ref="AE235:AF235" si="999">AE234</f>
        <v>0</v>
      </c>
      <c r="AF235" s="36">
        <f t="shared" si="999"/>
        <v>0</v>
      </c>
      <c r="AG235" s="36">
        <f t="shared" ref="AG235:AH235" si="1000">AG234</f>
        <v>0</v>
      </c>
      <c r="AH235" s="36">
        <f t="shared" si="1000"/>
        <v>0</v>
      </c>
      <c r="AI235" s="36">
        <f t="shared" ref="AI235" si="1001">AI234</f>
        <v>0</v>
      </c>
      <c r="AJ235" s="36">
        <f t="shared" si="966"/>
        <v>0</v>
      </c>
      <c r="AK235" s="36">
        <f t="shared" si="966"/>
        <v>0</v>
      </c>
      <c r="AL235" s="36">
        <f t="shared" si="966"/>
        <v>0</v>
      </c>
      <c r="AM235" s="36">
        <f t="shared" si="966"/>
        <v>0</v>
      </c>
      <c r="AN235" s="36">
        <f t="shared" si="966"/>
        <v>0</v>
      </c>
      <c r="AO235" s="36">
        <f t="shared" si="966"/>
        <v>0</v>
      </c>
      <c r="AP235" s="36">
        <f t="shared" si="966"/>
        <v>0</v>
      </c>
      <c r="AQ235" s="36">
        <f t="shared" si="992"/>
        <v>0</v>
      </c>
      <c r="AR235" s="36">
        <f t="shared" si="925"/>
        <v>0</v>
      </c>
      <c r="AS235" s="31" t="str">
        <f t="shared" si="861"/>
        <v>SimulationStorage,1,</v>
      </c>
      <c r="AT235" s="31" t="str">
        <f t="shared" si="862"/>
        <v>AnalysisStorage,1,</v>
      </c>
      <c r="AU235" s="31" t="str">
        <f t="shared" si="863"/>
        <v>LogRuleEvaluation,0,</v>
      </c>
      <c r="AV235" s="31" t="str">
        <f t="shared" si="864"/>
        <v>ParallelSimulations,1,</v>
      </c>
      <c r="AW235" s="31" t="str">
        <f t="shared" si="865"/>
        <v>DurationStats,0,</v>
      </c>
      <c r="AX235" s="31" t="str">
        <f t="shared" si="866"/>
        <v>AnalysisThruStep,8,</v>
      </c>
      <c r="AY235" s="31" t="str">
        <f t="shared" si="867"/>
        <v>DontAbortOnErrorsThruStep,8,</v>
      </c>
      <c r="AZ235" s="31" t="str">
        <f t="shared" si="868"/>
        <v>BypassValidFileChecks,1,</v>
      </c>
      <c r="BA235" s="31" t="str">
        <f t="shared" si="869"/>
        <v>BypassInputChecks,0,</v>
      </c>
      <c r="BB235" s="31" t="str">
        <f t="shared" si="870"/>
        <v>BypassUMLHChecks,0,</v>
      </c>
      <c r="BC235" s="31" t="str">
        <f t="shared" si="871"/>
        <v>BypassCheckSimRules,0,</v>
      </c>
      <c r="BD235" s="31" t="str">
        <f t="shared" si="872"/>
        <v>BypassCheckCodeRules,0,</v>
      </c>
      <c r="BE235" s="31" t="str">
        <f t="shared" si="830"/>
        <v>StoreResultsToModelInput,0,</v>
      </c>
      <c r="BF235" s="31" t="str">
        <f t="shared" si="831"/>
        <v>StoreBEMDetails,0,</v>
      </c>
      <c r="BG235" s="31" t="str">
        <f t="shared" si="832"/>
        <v>ModelRpt_ALL,0,</v>
      </c>
      <c r="BH235" s="31" t="str">
        <f t="shared" si="833"/>
        <v>ExportHourlyResults_All,0,</v>
      </c>
      <c r="BI235" s="31" t="str">
        <f t="shared" si="834"/>
        <v>ComplianceReportPDF,0,</v>
      </c>
      <c r="BJ235" s="31" t="str">
        <f t="shared" si="835"/>
        <v>ComplianceReportXML,0,</v>
      </c>
      <c r="BK235" s="31" t="str">
        <f t="shared" si="836"/>
        <v>QuickAnalysis,0,</v>
      </c>
      <c r="BL235" s="31" t="str">
        <f t="shared" si="836"/>
        <v>PromptUserUMLHWarning,0,</v>
      </c>
      <c r="BM235" s="31" t="str">
        <f t="shared" si="837"/>
        <v>BypassOpenStudio_all,0,</v>
      </c>
      <c r="BN235" s="31" t="str">
        <f t="shared" si="838"/>
        <v>BypassOpenStudio_zp,0,</v>
      </c>
      <c r="BO235" s="31" t="str">
        <f t="shared" si="839"/>
        <v>BypassOpenStudio_zb,0,</v>
      </c>
      <c r="BP235" s="31" t="str">
        <f t="shared" si="840"/>
        <v>BypassOpenStudio_ap,0,</v>
      </c>
      <c r="BQ235" s="31" t="str">
        <f t="shared" si="841"/>
        <v>BypassOpenStudio_ab,0,</v>
      </c>
      <c r="BR235" s="31" t="str">
        <f t="shared" si="842"/>
        <v>BypassOpenStudio_zp,0,</v>
      </c>
      <c r="BS235" s="31" t="str">
        <f t="shared" si="843"/>
        <v>BypassOpenStudio_zb,0,</v>
      </c>
      <c r="BT235" s="31" t="str">
        <f t="shared" si="844"/>
        <v>BypassOpenStudio_ap,0,</v>
      </c>
      <c r="BU235" s="31" t="str">
        <f t="shared" si="845"/>
        <v>BypassOpenStudio_ab,0,</v>
      </c>
    </row>
    <row r="236" spans="1:73" x14ac:dyDescent="0.25">
      <c r="A236" s="39">
        <f t="shared" si="846"/>
        <v>0</v>
      </c>
      <c r="B236" s="27" t="str">
        <f t="shared" si="847"/>
        <v>SoftwareSensitivityTests\StreamlinedApprovalSet\0405801-OffLrg-WWR60StepDim.cibd</v>
      </c>
      <c r="C236" s="27" t="str">
        <f t="shared" si="848"/>
        <v>BatchOut_160331_r3964_SSTs\0405801-OffLrg-WWR60StepDim.cibd</v>
      </c>
      <c r="D236" s="27" t="str">
        <f t="shared" si="849"/>
        <v>BatchOut_160331_r3964_SSTs\XML\</v>
      </c>
      <c r="E236" s="9" t="str">
        <f t="shared" si="850"/>
        <v>0405801</v>
      </c>
      <c r="F236" s="22"/>
      <c r="G236" s="29"/>
      <c r="H236" s="23" t="str">
        <f t="shared" si="851"/>
        <v/>
      </c>
      <c r="I236" s="9" t="s">
        <v>11</v>
      </c>
      <c r="J236"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6" s="15" t="s">
        <v>1</v>
      </c>
      <c r="L236" s="36">
        <f t="shared" si="856"/>
        <v>0</v>
      </c>
      <c r="M236" s="32" t="str">
        <f t="shared" si="852"/>
        <v>0405801</v>
      </c>
      <c r="N236" s="28" t="s">
        <v>320</v>
      </c>
      <c r="O236" s="28" t="str">
        <f t="shared" si="857"/>
        <v>0405801-OffLrg-WWR60StepDim</v>
      </c>
      <c r="P236" s="36">
        <f t="shared" si="970"/>
        <v>1</v>
      </c>
      <c r="Q236" s="36">
        <f t="shared" si="970"/>
        <v>1</v>
      </c>
      <c r="R236" s="36">
        <f t="shared" si="970"/>
        <v>0</v>
      </c>
      <c r="S236" s="36">
        <f t="shared" si="970"/>
        <v>1</v>
      </c>
      <c r="T236" s="36">
        <f t="shared" si="970"/>
        <v>0</v>
      </c>
      <c r="U236" s="36">
        <f t="shared" si="970"/>
        <v>8</v>
      </c>
      <c r="V236" s="36">
        <f t="shared" si="966"/>
        <v>8</v>
      </c>
      <c r="W236" s="36">
        <f t="shared" si="966"/>
        <v>1</v>
      </c>
      <c r="X236" s="36">
        <f t="shared" si="966"/>
        <v>0</v>
      </c>
      <c r="Y236" s="36">
        <f t="shared" si="966"/>
        <v>0</v>
      </c>
      <c r="Z236" s="36">
        <f t="shared" si="966"/>
        <v>0</v>
      </c>
      <c r="AA236" s="36">
        <f t="shared" si="966"/>
        <v>0</v>
      </c>
      <c r="AB236" s="36">
        <f t="shared" si="966"/>
        <v>0</v>
      </c>
      <c r="AC236" s="36">
        <f t="shared" si="966"/>
        <v>0</v>
      </c>
      <c r="AD236" s="36">
        <f t="shared" si="966"/>
        <v>0</v>
      </c>
      <c r="AE236" s="36">
        <f t="shared" ref="AE236:AF236" si="1002">AE235</f>
        <v>0</v>
      </c>
      <c r="AF236" s="36">
        <f t="shared" si="1002"/>
        <v>0</v>
      </c>
      <c r="AG236" s="36">
        <f t="shared" ref="AG236:AH236" si="1003">AG235</f>
        <v>0</v>
      </c>
      <c r="AH236" s="36">
        <f t="shared" si="1003"/>
        <v>0</v>
      </c>
      <c r="AI236" s="36">
        <f t="shared" ref="AI236" si="1004">AI235</f>
        <v>0</v>
      </c>
      <c r="AJ236" s="36">
        <f t="shared" si="966"/>
        <v>0</v>
      </c>
      <c r="AK236" s="36">
        <f t="shared" si="966"/>
        <v>0</v>
      </c>
      <c r="AL236" s="36">
        <f t="shared" si="966"/>
        <v>0</v>
      </c>
      <c r="AM236" s="36">
        <f t="shared" si="966"/>
        <v>0</v>
      </c>
      <c r="AN236" s="36">
        <f t="shared" si="966"/>
        <v>0</v>
      </c>
      <c r="AO236" s="36">
        <f t="shared" si="966"/>
        <v>0</v>
      </c>
      <c r="AP236" s="36">
        <f t="shared" si="966"/>
        <v>0</v>
      </c>
      <c r="AQ236" s="36">
        <f t="shared" si="992"/>
        <v>0</v>
      </c>
      <c r="AR236" s="36">
        <f t="shared" si="925"/>
        <v>0</v>
      </c>
      <c r="AS236" s="31" t="str">
        <f t="shared" si="861"/>
        <v>SimulationStorage,1,</v>
      </c>
      <c r="AT236" s="31" t="str">
        <f t="shared" si="862"/>
        <v>AnalysisStorage,1,</v>
      </c>
      <c r="AU236" s="31" t="str">
        <f t="shared" si="863"/>
        <v>LogRuleEvaluation,0,</v>
      </c>
      <c r="AV236" s="31" t="str">
        <f t="shared" si="864"/>
        <v>ParallelSimulations,1,</v>
      </c>
      <c r="AW236" s="31" t="str">
        <f t="shared" si="865"/>
        <v>DurationStats,0,</v>
      </c>
      <c r="AX236" s="31" t="str">
        <f t="shared" si="866"/>
        <v>AnalysisThruStep,8,</v>
      </c>
      <c r="AY236" s="31" t="str">
        <f t="shared" si="867"/>
        <v>DontAbortOnErrorsThruStep,8,</v>
      </c>
      <c r="AZ236" s="31" t="str">
        <f t="shared" si="868"/>
        <v>BypassValidFileChecks,1,</v>
      </c>
      <c r="BA236" s="31" t="str">
        <f t="shared" si="869"/>
        <v>BypassInputChecks,0,</v>
      </c>
      <c r="BB236" s="31" t="str">
        <f t="shared" si="870"/>
        <v>BypassUMLHChecks,0,</v>
      </c>
      <c r="BC236" s="31" t="str">
        <f t="shared" si="871"/>
        <v>BypassCheckSimRules,0,</v>
      </c>
      <c r="BD236" s="31" t="str">
        <f t="shared" si="872"/>
        <v>BypassCheckCodeRules,0,</v>
      </c>
      <c r="BE236" s="31" t="str">
        <f t="shared" si="830"/>
        <v>StoreResultsToModelInput,0,</v>
      </c>
      <c r="BF236" s="31" t="str">
        <f t="shared" si="831"/>
        <v>StoreBEMDetails,0,</v>
      </c>
      <c r="BG236" s="31" t="str">
        <f t="shared" si="832"/>
        <v>ModelRpt_ALL,0,</v>
      </c>
      <c r="BH236" s="31" t="str">
        <f t="shared" si="833"/>
        <v>ExportHourlyResults_All,0,</v>
      </c>
      <c r="BI236" s="31" t="str">
        <f t="shared" si="834"/>
        <v>ComplianceReportPDF,0,</v>
      </c>
      <c r="BJ236" s="31" t="str">
        <f t="shared" si="835"/>
        <v>ComplianceReportXML,0,</v>
      </c>
      <c r="BK236" s="31" t="str">
        <f t="shared" si="836"/>
        <v>QuickAnalysis,0,</v>
      </c>
      <c r="BL236" s="31" t="str">
        <f t="shared" si="836"/>
        <v>PromptUserUMLHWarning,0,</v>
      </c>
      <c r="BM236" s="31" t="str">
        <f t="shared" si="837"/>
        <v>BypassOpenStudio_all,0,</v>
      </c>
      <c r="BN236" s="31" t="str">
        <f t="shared" si="838"/>
        <v>BypassOpenStudio_zp,0,</v>
      </c>
      <c r="BO236" s="31" t="str">
        <f t="shared" si="839"/>
        <v>BypassOpenStudio_zb,0,</v>
      </c>
      <c r="BP236" s="31" t="str">
        <f t="shared" si="840"/>
        <v>BypassOpenStudio_ap,0,</v>
      </c>
      <c r="BQ236" s="31" t="str">
        <f t="shared" si="841"/>
        <v>BypassOpenStudio_ab,0,</v>
      </c>
      <c r="BR236" s="31" t="str">
        <f t="shared" si="842"/>
        <v>BypassOpenStudio_zp,0,</v>
      </c>
      <c r="BS236" s="31" t="str">
        <f t="shared" si="843"/>
        <v>BypassOpenStudio_zb,0,</v>
      </c>
      <c r="BT236" s="31" t="str">
        <f t="shared" si="844"/>
        <v>BypassOpenStudio_ap,0,</v>
      </c>
      <c r="BU236" s="31" t="str">
        <f t="shared" si="845"/>
        <v>BypassOpenStudio_ab,0,</v>
      </c>
    </row>
    <row r="237" spans="1:73" x14ac:dyDescent="0.25">
      <c r="A237" s="39">
        <f t="shared" si="846"/>
        <v>0</v>
      </c>
      <c r="B237" s="27" t="str">
        <f t="shared" si="847"/>
        <v>SoftwareSensitivityTests\StreamlinedApprovalSet\0405901-OffLrg-WWR60StepDimHighVT.cibd</v>
      </c>
      <c r="C237" s="27" t="str">
        <f t="shared" si="848"/>
        <v>BatchOut_160331_r3964_SSTs\0405901-OffLrg-WWR60StepDimHighVT.cibd</v>
      </c>
      <c r="D237" s="27" t="str">
        <f t="shared" si="849"/>
        <v>BatchOut_160331_r3964_SSTs\XML\</v>
      </c>
      <c r="E237" s="9" t="str">
        <f t="shared" si="850"/>
        <v>0405901</v>
      </c>
      <c r="F237" s="22"/>
      <c r="G237" s="29"/>
      <c r="H237" s="23" t="str">
        <f t="shared" si="851"/>
        <v/>
      </c>
      <c r="I237" s="9" t="s">
        <v>11</v>
      </c>
      <c r="J237"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7" s="15" t="s">
        <v>1</v>
      </c>
      <c r="L237" s="36">
        <f t="shared" si="856"/>
        <v>0</v>
      </c>
      <c r="M237" s="32" t="str">
        <f t="shared" si="852"/>
        <v>0405901</v>
      </c>
      <c r="N237" s="28" t="s">
        <v>321</v>
      </c>
      <c r="O237" s="28" t="str">
        <f t="shared" si="857"/>
        <v>0405901-OffLrg-WWR60StepDimHighVT</v>
      </c>
      <c r="P237" s="36">
        <f t="shared" si="970"/>
        <v>1</v>
      </c>
      <c r="Q237" s="36">
        <f t="shared" si="970"/>
        <v>1</v>
      </c>
      <c r="R237" s="36">
        <f t="shared" si="970"/>
        <v>0</v>
      </c>
      <c r="S237" s="36">
        <f t="shared" si="970"/>
        <v>1</v>
      </c>
      <c r="T237" s="36">
        <f t="shared" si="970"/>
        <v>0</v>
      </c>
      <c r="U237" s="36">
        <f t="shared" si="970"/>
        <v>8</v>
      </c>
      <c r="V237" s="36">
        <f t="shared" si="966"/>
        <v>8</v>
      </c>
      <c r="W237" s="36">
        <f t="shared" si="966"/>
        <v>1</v>
      </c>
      <c r="X237" s="36">
        <f t="shared" si="966"/>
        <v>0</v>
      </c>
      <c r="Y237" s="36">
        <f t="shared" si="966"/>
        <v>0</v>
      </c>
      <c r="Z237" s="36">
        <f t="shared" si="966"/>
        <v>0</v>
      </c>
      <c r="AA237" s="36">
        <f t="shared" si="966"/>
        <v>0</v>
      </c>
      <c r="AB237" s="36">
        <f t="shared" si="966"/>
        <v>0</v>
      </c>
      <c r="AC237" s="36">
        <f t="shared" si="966"/>
        <v>0</v>
      </c>
      <c r="AD237" s="36">
        <f t="shared" si="966"/>
        <v>0</v>
      </c>
      <c r="AE237" s="36">
        <f t="shared" ref="AE237:AF237" si="1005">AE236</f>
        <v>0</v>
      </c>
      <c r="AF237" s="36">
        <f t="shared" si="1005"/>
        <v>0</v>
      </c>
      <c r="AG237" s="36">
        <f t="shared" ref="AG237:AH237" si="1006">AG236</f>
        <v>0</v>
      </c>
      <c r="AH237" s="36">
        <f t="shared" si="1006"/>
        <v>0</v>
      </c>
      <c r="AI237" s="36">
        <f t="shared" ref="AI237" si="1007">AI236</f>
        <v>0</v>
      </c>
      <c r="AJ237" s="36">
        <f t="shared" si="966"/>
        <v>0</v>
      </c>
      <c r="AK237" s="36">
        <f t="shared" si="966"/>
        <v>0</v>
      </c>
      <c r="AL237" s="36">
        <f t="shared" si="966"/>
        <v>0</v>
      </c>
      <c r="AM237" s="36">
        <f t="shared" si="966"/>
        <v>0</v>
      </c>
      <c r="AN237" s="36">
        <f t="shared" si="966"/>
        <v>0</v>
      </c>
      <c r="AO237" s="36">
        <f t="shared" si="966"/>
        <v>0</v>
      </c>
      <c r="AP237" s="36">
        <f t="shared" si="966"/>
        <v>0</v>
      </c>
      <c r="AQ237" s="36">
        <f t="shared" si="992"/>
        <v>0</v>
      </c>
      <c r="AR237" s="36">
        <f t="shared" si="925"/>
        <v>0</v>
      </c>
      <c r="AS237" s="31" t="str">
        <f t="shared" si="861"/>
        <v>SimulationStorage,1,</v>
      </c>
      <c r="AT237" s="31" t="str">
        <f t="shared" si="862"/>
        <v>AnalysisStorage,1,</v>
      </c>
      <c r="AU237" s="31" t="str">
        <f t="shared" si="863"/>
        <v>LogRuleEvaluation,0,</v>
      </c>
      <c r="AV237" s="31" t="str">
        <f t="shared" si="864"/>
        <v>ParallelSimulations,1,</v>
      </c>
      <c r="AW237" s="31" t="str">
        <f t="shared" si="865"/>
        <v>DurationStats,0,</v>
      </c>
      <c r="AX237" s="31" t="str">
        <f t="shared" si="866"/>
        <v>AnalysisThruStep,8,</v>
      </c>
      <c r="AY237" s="31" t="str">
        <f t="shared" si="867"/>
        <v>DontAbortOnErrorsThruStep,8,</v>
      </c>
      <c r="AZ237" s="31" t="str">
        <f t="shared" si="868"/>
        <v>BypassValidFileChecks,1,</v>
      </c>
      <c r="BA237" s="31" t="str">
        <f t="shared" si="869"/>
        <v>BypassInputChecks,0,</v>
      </c>
      <c r="BB237" s="31" t="str">
        <f t="shared" si="870"/>
        <v>BypassUMLHChecks,0,</v>
      </c>
      <c r="BC237" s="31" t="str">
        <f t="shared" si="871"/>
        <v>BypassCheckSimRules,0,</v>
      </c>
      <c r="BD237" s="31" t="str">
        <f t="shared" si="872"/>
        <v>BypassCheckCodeRules,0,</v>
      </c>
      <c r="BE237" s="31" t="str">
        <f t="shared" si="830"/>
        <v>StoreResultsToModelInput,0,</v>
      </c>
      <c r="BF237" s="31" t="str">
        <f t="shared" si="831"/>
        <v>StoreBEMDetails,0,</v>
      </c>
      <c r="BG237" s="31" t="str">
        <f t="shared" si="832"/>
        <v>ModelRpt_ALL,0,</v>
      </c>
      <c r="BH237" s="31" t="str">
        <f t="shared" si="833"/>
        <v>ExportHourlyResults_All,0,</v>
      </c>
      <c r="BI237" s="31" t="str">
        <f t="shared" si="834"/>
        <v>ComplianceReportPDF,0,</v>
      </c>
      <c r="BJ237" s="31" t="str">
        <f t="shared" si="835"/>
        <v>ComplianceReportXML,0,</v>
      </c>
      <c r="BK237" s="31" t="str">
        <f t="shared" si="836"/>
        <v>QuickAnalysis,0,</v>
      </c>
      <c r="BL237" s="31" t="str">
        <f t="shared" si="836"/>
        <v>PromptUserUMLHWarning,0,</v>
      </c>
      <c r="BM237" s="31" t="str">
        <f t="shared" si="837"/>
        <v>BypassOpenStudio_all,0,</v>
      </c>
      <c r="BN237" s="31" t="str">
        <f t="shared" si="838"/>
        <v>BypassOpenStudio_zp,0,</v>
      </c>
      <c r="BO237" s="31" t="str">
        <f t="shared" si="839"/>
        <v>BypassOpenStudio_zb,0,</v>
      </c>
      <c r="BP237" s="31" t="str">
        <f t="shared" si="840"/>
        <v>BypassOpenStudio_ap,0,</v>
      </c>
      <c r="BQ237" s="31" t="str">
        <f t="shared" si="841"/>
        <v>BypassOpenStudio_ab,0,</v>
      </c>
      <c r="BR237" s="31" t="str">
        <f t="shared" si="842"/>
        <v>BypassOpenStudio_zp,0,</v>
      </c>
      <c r="BS237" s="31" t="str">
        <f t="shared" si="843"/>
        <v>BypassOpenStudio_zb,0,</v>
      </c>
      <c r="BT237" s="31" t="str">
        <f t="shared" si="844"/>
        <v>BypassOpenStudio_ap,0,</v>
      </c>
      <c r="BU237" s="31" t="str">
        <f t="shared" si="845"/>
        <v>BypassOpenStudio_ab,0,</v>
      </c>
    </row>
    <row r="238" spans="1:73" x14ac:dyDescent="0.25">
      <c r="A238" s="39">
        <f t="shared" si="846"/>
        <v>0</v>
      </c>
      <c r="B238" s="27" t="str">
        <f t="shared" si="847"/>
        <v>SoftwareSensitivityTests\StreamlinedApprovalSet\x.cibd</v>
      </c>
      <c r="C238" s="27" t="str">
        <f t="shared" si="848"/>
        <v>BatchOut_160331_r3964_SSTs\x.cibd</v>
      </c>
      <c r="D238" s="27" t="str">
        <f t="shared" si="849"/>
        <v>BatchOut_160331_r3964_SSTs\XML\</v>
      </c>
      <c r="E238" s="9" t="str">
        <f t="shared" si="850"/>
        <v>x</v>
      </c>
      <c r="F238" s="22"/>
      <c r="G238" s="29"/>
      <c r="H238" s="23" t="str">
        <f t="shared" si="851"/>
        <v/>
      </c>
      <c r="I238" s="9" t="s">
        <v>11</v>
      </c>
      <c r="J238"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8" s="15" t="s">
        <v>1</v>
      </c>
      <c r="L238" s="36">
        <v>0</v>
      </c>
      <c r="M238" s="32" t="str">
        <f t="shared" si="852"/>
        <v>x</v>
      </c>
      <c r="N238" s="28" t="s">
        <v>269</v>
      </c>
      <c r="O238" s="28" t="str">
        <f t="shared" si="857"/>
        <v>x</v>
      </c>
      <c r="P238" s="36">
        <f t="shared" si="970"/>
        <v>1</v>
      </c>
      <c r="Q238" s="36">
        <f t="shared" si="970"/>
        <v>1</v>
      </c>
      <c r="R238" s="36">
        <f t="shared" si="970"/>
        <v>0</v>
      </c>
      <c r="S238" s="36">
        <f t="shared" si="970"/>
        <v>1</v>
      </c>
      <c r="T238" s="36">
        <f t="shared" si="970"/>
        <v>0</v>
      </c>
      <c r="U238" s="36">
        <f t="shared" si="970"/>
        <v>8</v>
      </c>
      <c r="V238" s="36">
        <f t="shared" si="966"/>
        <v>8</v>
      </c>
      <c r="W238" s="36">
        <f t="shared" si="966"/>
        <v>1</v>
      </c>
      <c r="X238" s="36">
        <f t="shared" si="966"/>
        <v>0</v>
      </c>
      <c r="Y238" s="36">
        <f t="shared" si="966"/>
        <v>0</v>
      </c>
      <c r="Z238" s="36">
        <f t="shared" si="966"/>
        <v>0</v>
      </c>
      <c r="AA238" s="36">
        <f t="shared" si="966"/>
        <v>0</v>
      </c>
      <c r="AB238" s="36">
        <f t="shared" si="966"/>
        <v>0</v>
      </c>
      <c r="AC238" s="36">
        <f t="shared" si="966"/>
        <v>0</v>
      </c>
      <c r="AD238" s="36">
        <f t="shared" si="966"/>
        <v>0</v>
      </c>
      <c r="AE238" s="36">
        <f t="shared" ref="AE238:AF238" si="1008">AE237</f>
        <v>0</v>
      </c>
      <c r="AF238" s="36">
        <f t="shared" si="1008"/>
        <v>0</v>
      </c>
      <c r="AG238" s="36">
        <f t="shared" ref="AG238:AH238" si="1009">AG237</f>
        <v>0</v>
      </c>
      <c r="AH238" s="36">
        <f t="shared" si="1009"/>
        <v>0</v>
      </c>
      <c r="AI238" s="36">
        <f t="shared" ref="AI238" si="1010">AI237</f>
        <v>0</v>
      </c>
      <c r="AJ238" s="36">
        <f t="shared" si="966"/>
        <v>0</v>
      </c>
      <c r="AK238" s="36">
        <f t="shared" si="966"/>
        <v>0</v>
      </c>
      <c r="AL238" s="36">
        <f t="shared" si="966"/>
        <v>0</v>
      </c>
      <c r="AM238" s="36">
        <f t="shared" si="966"/>
        <v>0</v>
      </c>
      <c r="AN238" s="36">
        <f t="shared" si="966"/>
        <v>0</v>
      </c>
      <c r="AO238" s="36">
        <f t="shared" si="966"/>
        <v>0</v>
      </c>
      <c r="AP238" s="36">
        <f t="shared" si="966"/>
        <v>0</v>
      </c>
      <c r="AQ238" s="36">
        <f t="shared" si="992"/>
        <v>0</v>
      </c>
      <c r="AR238" s="36">
        <f t="shared" si="925"/>
        <v>0</v>
      </c>
      <c r="AS238" s="31" t="str">
        <f t="shared" si="861"/>
        <v>SimulationStorage,1,</v>
      </c>
      <c r="AT238" s="31" t="str">
        <f t="shared" si="862"/>
        <v>AnalysisStorage,1,</v>
      </c>
      <c r="AU238" s="31" t="str">
        <f t="shared" si="863"/>
        <v>LogRuleEvaluation,0,</v>
      </c>
      <c r="AV238" s="31" t="str">
        <f t="shared" si="864"/>
        <v>ParallelSimulations,1,</v>
      </c>
      <c r="AW238" s="31" t="str">
        <f t="shared" si="865"/>
        <v>DurationStats,0,</v>
      </c>
      <c r="AX238" s="31" t="str">
        <f t="shared" si="866"/>
        <v>AnalysisThruStep,8,</v>
      </c>
      <c r="AY238" s="31" t="str">
        <f t="shared" si="867"/>
        <v>DontAbortOnErrorsThruStep,8,</v>
      </c>
      <c r="AZ238" s="31" t="str">
        <f t="shared" si="868"/>
        <v>BypassValidFileChecks,1,</v>
      </c>
      <c r="BA238" s="31" t="str">
        <f t="shared" si="869"/>
        <v>BypassInputChecks,0,</v>
      </c>
      <c r="BB238" s="31" t="str">
        <f t="shared" si="870"/>
        <v>BypassUMLHChecks,0,</v>
      </c>
      <c r="BC238" s="31" t="str">
        <f t="shared" si="871"/>
        <v>BypassCheckSimRules,0,</v>
      </c>
      <c r="BD238" s="31" t="str">
        <f t="shared" si="872"/>
        <v>BypassCheckCodeRules,0,</v>
      </c>
      <c r="BE238" s="31" t="str">
        <f t="shared" si="830"/>
        <v>StoreResultsToModelInput,0,</v>
      </c>
      <c r="BF238" s="31" t="str">
        <f t="shared" si="831"/>
        <v>StoreBEMDetails,0,</v>
      </c>
      <c r="BG238" s="31" t="str">
        <f t="shared" si="832"/>
        <v>ModelRpt_ALL,0,</v>
      </c>
      <c r="BH238" s="31" t="str">
        <f t="shared" si="833"/>
        <v>ExportHourlyResults_All,0,</v>
      </c>
      <c r="BI238" s="31" t="str">
        <f t="shared" si="834"/>
        <v>ComplianceReportPDF,0,</v>
      </c>
      <c r="BJ238" s="31" t="str">
        <f t="shared" si="835"/>
        <v>ComplianceReportXML,0,</v>
      </c>
      <c r="BK238" s="31" t="str">
        <f t="shared" si="836"/>
        <v>QuickAnalysis,0,</v>
      </c>
      <c r="BL238" s="31" t="str">
        <f t="shared" si="836"/>
        <v>PromptUserUMLHWarning,0,</v>
      </c>
      <c r="BM238" s="31" t="str">
        <f t="shared" si="837"/>
        <v>BypassOpenStudio_all,0,</v>
      </c>
      <c r="BN238" s="31" t="str">
        <f t="shared" si="838"/>
        <v>BypassOpenStudio_zp,0,</v>
      </c>
      <c r="BO238" s="31" t="str">
        <f t="shared" si="839"/>
        <v>BypassOpenStudio_zb,0,</v>
      </c>
      <c r="BP238" s="31" t="str">
        <f t="shared" si="840"/>
        <v>BypassOpenStudio_ap,0,</v>
      </c>
      <c r="BQ238" s="31" t="str">
        <f t="shared" si="841"/>
        <v>BypassOpenStudio_ab,0,</v>
      </c>
      <c r="BR238" s="31" t="str">
        <f t="shared" si="842"/>
        <v>BypassOpenStudio_zp,0,</v>
      </c>
      <c r="BS238" s="31" t="str">
        <f t="shared" si="843"/>
        <v>BypassOpenStudio_zb,0,</v>
      </c>
      <c r="BT238" s="31" t="str">
        <f t="shared" si="844"/>
        <v>BypassOpenStudio_ap,0,</v>
      </c>
      <c r="BU238" s="31" t="str">
        <f t="shared" si="845"/>
        <v>BypassOpenStudio_ab,0,</v>
      </c>
    </row>
    <row r="239" spans="1:73" x14ac:dyDescent="0.25">
      <c r="A239" s="39">
        <f t="shared" si="846"/>
        <v>0</v>
      </c>
      <c r="B239" s="27" t="str">
        <f t="shared" si="847"/>
        <v>SoftwareSensitivityTests\StreamlinedApprovalSet\0500616-RetlMed-EnvelopeHeavy.cibd</v>
      </c>
      <c r="C239" s="27" t="str">
        <f t="shared" si="848"/>
        <v>BatchOut_160331_r3964_SSTs\0500616-RetlMed-EnvelopeHeavy.cibd</v>
      </c>
      <c r="D239" s="27" t="str">
        <f t="shared" si="849"/>
        <v>BatchOut_160331_r3964_SSTs\XML\</v>
      </c>
      <c r="E239" s="9" t="str">
        <f t="shared" si="850"/>
        <v>0500616</v>
      </c>
      <c r="F239" s="22"/>
      <c r="G239" s="29"/>
      <c r="H239" s="23" t="str">
        <f t="shared" si="851"/>
        <v/>
      </c>
      <c r="I239" s="9" t="s">
        <v>11</v>
      </c>
      <c r="J239"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9" s="15" t="s">
        <v>1</v>
      </c>
      <c r="L239" s="36">
        <v>0</v>
      </c>
      <c r="M239" s="32" t="str">
        <f t="shared" si="852"/>
        <v>0500616</v>
      </c>
      <c r="N239" s="28" t="s">
        <v>322</v>
      </c>
      <c r="O239" s="28" t="str">
        <f t="shared" si="857"/>
        <v>0500616-RetlMed-EnvelopeHeavy</v>
      </c>
      <c r="P239" s="36">
        <f t="shared" si="970"/>
        <v>1</v>
      </c>
      <c r="Q239" s="36">
        <f t="shared" si="970"/>
        <v>1</v>
      </c>
      <c r="R239" s="36">
        <f t="shared" si="970"/>
        <v>0</v>
      </c>
      <c r="S239" s="36">
        <f t="shared" si="970"/>
        <v>1</v>
      </c>
      <c r="T239" s="36">
        <f t="shared" si="970"/>
        <v>0</v>
      </c>
      <c r="U239" s="36">
        <f t="shared" si="970"/>
        <v>8</v>
      </c>
      <c r="V239" s="36">
        <f t="shared" si="966"/>
        <v>8</v>
      </c>
      <c r="W239" s="36">
        <f t="shared" si="966"/>
        <v>1</v>
      </c>
      <c r="X239" s="36">
        <f t="shared" si="966"/>
        <v>0</v>
      </c>
      <c r="Y239" s="36">
        <f t="shared" si="966"/>
        <v>0</v>
      </c>
      <c r="Z239" s="36">
        <f t="shared" si="966"/>
        <v>0</v>
      </c>
      <c r="AA239" s="36">
        <f t="shared" si="966"/>
        <v>0</v>
      </c>
      <c r="AB239" s="36">
        <f t="shared" si="966"/>
        <v>0</v>
      </c>
      <c r="AC239" s="36">
        <f t="shared" si="966"/>
        <v>0</v>
      </c>
      <c r="AD239" s="36">
        <f t="shared" si="966"/>
        <v>0</v>
      </c>
      <c r="AE239" s="36">
        <f t="shared" ref="AE239:AF239" si="1011">AE238</f>
        <v>0</v>
      </c>
      <c r="AF239" s="36">
        <f t="shared" si="1011"/>
        <v>0</v>
      </c>
      <c r="AG239" s="36">
        <f t="shared" ref="AG239:AH239" si="1012">AG238</f>
        <v>0</v>
      </c>
      <c r="AH239" s="36">
        <f t="shared" si="1012"/>
        <v>0</v>
      </c>
      <c r="AI239" s="36">
        <f t="shared" ref="AI239" si="1013">AI238</f>
        <v>0</v>
      </c>
      <c r="AJ239" s="36">
        <f t="shared" si="966"/>
        <v>0</v>
      </c>
      <c r="AK239" s="36">
        <f t="shared" si="966"/>
        <v>0</v>
      </c>
      <c r="AL239" s="36">
        <f t="shared" si="966"/>
        <v>0</v>
      </c>
      <c r="AM239" s="36">
        <f t="shared" si="966"/>
        <v>0</v>
      </c>
      <c r="AN239" s="36">
        <f t="shared" si="966"/>
        <v>0</v>
      </c>
      <c r="AO239" s="36">
        <f t="shared" si="966"/>
        <v>0</v>
      </c>
      <c r="AP239" s="36">
        <f t="shared" si="966"/>
        <v>0</v>
      </c>
      <c r="AQ239" s="36">
        <f t="shared" si="992"/>
        <v>0</v>
      </c>
      <c r="AR239" s="36">
        <f t="shared" si="925"/>
        <v>0</v>
      </c>
      <c r="AS239" s="31" t="str">
        <f t="shared" si="861"/>
        <v>SimulationStorage,1,</v>
      </c>
      <c r="AT239" s="31" t="str">
        <f t="shared" si="862"/>
        <v>AnalysisStorage,1,</v>
      </c>
      <c r="AU239" s="31" t="str">
        <f t="shared" si="863"/>
        <v>LogRuleEvaluation,0,</v>
      </c>
      <c r="AV239" s="31" t="str">
        <f t="shared" si="864"/>
        <v>ParallelSimulations,1,</v>
      </c>
      <c r="AW239" s="31" t="str">
        <f t="shared" si="865"/>
        <v>DurationStats,0,</v>
      </c>
      <c r="AX239" s="31" t="str">
        <f t="shared" si="866"/>
        <v>AnalysisThruStep,8,</v>
      </c>
      <c r="AY239" s="31" t="str">
        <f t="shared" si="867"/>
        <v>DontAbortOnErrorsThruStep,8,</v>
      </c>
      <c r="AZ239" s="31" t="str">
        <f t="shared" si="868"/>
        <v>BypassValidFileChecks,1,</v>
      </c>
      <c r="BA239" s="31" t="str">
        <f t="shared" si="869"/>
        <v>BypassInputChecks,0,</v>
      </c>
      <c r="BB239" s="31" t="str">
        <f t="shared" si="870"/>
        <v>BypassUMLHChecks,0,</v>
      </c>
      <c r="BC239" s="31" t="str">
        <f t="shared" si="871"/>
        <v>BypassCheckSimRules,0,</v>
      </c>
      <c r="BD239" s="31" t="str">
        <f t="shared" si="872"/>
        <v>BypassCheckCodeRules,0,</v>
      </c>
      <c r="BE239" s="31" t="str">
        <f t="shared" si="830"/>
        <v>StoreResultsToModelInput,0,</v>
      </c>
      <c r="BF239" s="31" t="str">
        <f t="shared" si="831"/>
        <v>StoreBEMDetails,0,</v>
      </c>
      <c r="BG239" s="31" t="str">
        <f t="shared" si="832"/>
        <v>ModelRpt_ALL,0,</v>
      </c>
      <c r="BH239" s="31" t="str">
        <f t="shared" si="833"/>
        <v>ExportHourlyResults_All,0,</v>
      </c>
      <c r="BI239" s="31" t="str">
        <f t="shared" si="834"/>
        <v>ComplianceReportPDF,0,</v>
      </c>
      <c r="BJ239" s="31" t="str">
        <f t="shared" si="835"/>
        <v>ComplianceReportXML,0,</v>
      </c>
      <c r="BK239" s="31" t="str">
        <f t="shared" si="836"/>
        <v>QuickAnalysis,0,</v>
      </c>
      <c r="BL239" s="31" t="str">
        <f t="shared" si="836"/>
        <v>PromptUserUMLHWarning,0,</v>
      </c>
      <c r="BM239" s="31" t="str">
        <f t="shared" si="837"/>
        <v>BypassOpenStudio_all,0,</v>
      </c>
      <c r="BN239" s="31" t="str">
        <f t="shared" si="838"/>
        <v>BypassOpenStudio_zp,0,</v>
      </c>
      <c r="BO239" s="31" t="str">
        <f t="shared" si="839"/>
        <v>BypassOpenStudio_zb,0,</v>
      </c>
      <c r="BP239" s="31" t="str">
        <f t="shared" si="840"/>
        <v>BypassOpenStudio_ap,0,</v>
      </c>
      <c r="BQ239" s="31" t="str">
        <f t="shared" si="841"/>
        <v>BypassOpenStudio_ab,0,</v>
      </c>
      <c r="BR239" s="31" t="str">
        <f t="shared" si="842"/>
        <v>BypassOpenStudio_zp,0,</v>
      </c>
      <c r="BS239" s="31" t="str">
        <f t="shared" si="843"/>
        <v>BypassOpenStudio_zb,0,</v>
      </c>
      <c r="BT239" s="31" t="str">
        <f t="shared" si="844"/>
        <v>BypassOpenStudio_ap,0,</v>
      </c>
      <c r="BU239" s="31" t="str">
        <f t="shared" si="845"/>
        <v>BypassOpenStudio_ab,0,</v>
      </c>
    </row>
    <row r="240" spans="1:73" x14ac:dyDescent="0.25">
      <c r="A240" s="39">
        <f t="shared" si="846"/>
        <v>0</v>
      </c>
      <c r="B240" s="27" t="str">
        <f t="shared" si="847"/>
        <v>SoftwareSensitivityTests\StreamlinedApprovalSet\0500416-RetlMed-EnvelopeRoofInsulation.cibd</v>
      </c>
      <c r="C240" s="27" t="str">
        <f t="shared" si="848"/>
        <v>BatchOut_160331_r3964_SSTs\0500416-RetlMed-EnvelopeRoofInsulation.cibd</v>
      </c>
      <c r="D240" s="27" t="str">
        <f t="shared" si="849"/>
        <v>BatchOut_160331_r3964_SSTs\XML\</v>
      </c>
      <c r="E240" s="9" t="str">
        <f t="shared" si="850"/>
        <v>0500416</v>
      </c>
      <c r="F240" s="22"/>
      <c r="G240" s="29"/>
      <c r="H240" s="23" t="str">
        <f t="shared" si="851"/>
        <v/>
      </c>
      <c r="I240" s="9" t="s">
        <v>11</v>
      </c>
      <c r="J240"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0" s="15" t="s">
        <v>1</v>
      </c>
      <c r="L240" s="36">
        <f t="shared" si="856"/>
        <v>0</v>
      </c>
      <c r="M240" s="32" t="str">
        <f t="shared" si="852"/>
        <v>0500416</v>
      </c>
      <c r="N240" s="28" t="s">
        <v>323</v>
      </c>
      <c r="O240" s="28" t="str">
        <f t="shared" si="857"/>
        <v>0500416-RetlMed-EnvelopeRoofInsulation</v>
      </c>
      <c r="P240" s="36">
        <f t="shared" si="970"/>
        <v>1</v>
      </c>
      <c r="Q240" s="36">
        <f t="shared" si="970"/>
        <v>1</v>
      </c>
      <c r="R240" s="36">
        <f t="shared" si="970"/>
        <v>0</v>
      </c>
      <c r="S240" s="36">
        <f t="shared" si="970"/>
        <v>1</v>
      </c>
      <c r="T240" s="36">
        <f t="shared" si="970"/>
        <v>0</v>
      </c>
      <c r="U240" s="36">
        <f t="shared" si="970"/>
        <v>8</v>
      </c>
      <c r="V240" s="36">
        <f t="shared" si="966"/>
        <v>8</v>
      </c>
      <c r="W240" s="36">
        <f t="shared" si="966"/>
        <v>1</v>
      </c>
      <c r="X240" s="36">
        <f t="shared" si="966"/>
        <v>0</v>
      </c>
      <c r="Y240" s="36">
        <f t="shared" si="966"/>
        <v>0</v>
      </c>
      <c r="Z240" s="36">
        <f t="shared" si="966"/>
        <v>0</v>
      </c>
      <c r="AA240" s="36">
        <f t="shared" si="966"/>
        <v>0</v>
      </c>
      <c r="AB240" s="36">
        <f t="shared" si="966"/>
        <v>0</v>
      </c>
      <c r="AC240" s="36">
        <f t="shared" si="966"/>
        <v>0</v>
      </c>
      <c r="AD240" s="36">
        <f t="shared" si="966"/>
        <v>0</v>
      </c>
      <c r="AE240" s="36">
        <f t="shared" ref="AE240:AF250" si="1014">AE239</f>
        <v>0</v>
      </c>
      <c r="AF240" s="36">
        <f t="shared" si="1014"/>
        <v>0</v>
      </c>
      <c r="AG240" s="36">
        <f t="shared" ref="AG240:AH240" si="1015">AG239</f>
        <v>0</v>
      </c>
      <c r="AH240" s="36">
        <f t="shared" si="1015"/>
        <v>0</v>
      </c>
      <c r="AI240" s="36">
        <f t="shared" ref="AI240" si="1016">AI239</f>
        <v>0</v>
      </c>
      <c r="AJ240" s="36">
        <f t="shared" si="966"/>
        <v>0</v>
      </c>
      <c r="AK240" s="36">
        <f t="shared" si="966"/>
        <v>0</v>
      </c>
      <c r="AL240" s="36">
        <f t="shared" si="966"/>
        <v>0</v>
      </c>
      <c r="AM240" s="36">
        <f t="shared" si="966"/>
        <v>0</v>
      </c>
      <c r="AN240" s="36">
        <f t="shared" si="966"/>
        <v>0</v>
      </c>
      <c r="AO240" s="36">
        <f t="shared" si="966"/>
        <v>0</v>
      </c>
      <c r="AP240" s="36">
        <f t="shared" si="966"/>
        <v>0</v>
      </c>
      <c r="AQ240" s="36">
        <f t="shared" si="992"/>
        <v>0</v>
      </c>
      <c r="AR240" s="36">
        <f t="shared" si="925"/>
        <v>0</v>
      </c>
      <c r="AS240" s="31" t="str">
        <f t="shared" si="861"/>
        <v>SimulationStorage,1,</v>
      </c>
      <c r="AT240" s="31" t="str">
        <f t="shared" si="862"/>
        <v>AnalysisStorage,1,</v>
      </c>
      <c r="AU240" s="31" t="str">
        <f t="shared" si="863"/>
        <v>LogRuleEvaluation,0,</v>
      </c>
      <c r="AV240" s="31" t="str">
        <f t="shared" si="864"/>
        <v>ParallelSimulations,1,</v>
      </c>
      <c r="AW240" s="31" t="str">
        <f t="shared" si="865"/>
        <v>DurationStats,0,</v>
      </c>
      <c r="AX240" s="31" t="str">
        <f t="shared" si="866"/>
        <v>AnalysisThruStep,8,</v>
      </c>
      <c r="AY240" s="31" t="str">
        <f t="shared" si="867"/>
        <v>DontAbortOnErrorsThruStep,8,</v>
      </c>
      <c r="AZ240" s="31" t="str">
        <f t="shared" si="868"/>
        <v>BypassValidFileChecks,1,</v>
      </c>
      <c r="BA240" s="31" t="str">
        <f t="shared" si="869"/>
        <v>BypassInputChecks,0,</v>
      </c>
      <c r="BB240" s="31" t="str">
        <f t="shared" si="870"/>
        <v>BypassUMLHChecks,0,</v>
      </c>
      <c r="BC240" s="31" t="str">
        <f t="shared" si="871"/>
        <v>BypassCheckSimRules,0,</v>
      </c>
      <c r="BD240" s="31" t="str">
        <f t="shared" si="872"/>
        <v>BypassCheckCodeRules,0,</v>
      </c>
      <c r="BE240" s="31" t="str">
        <f t="shared" si="830"/>
        <v>StoreResultsToModelInput,0,</v>
      </c>
      <c r="BF240" s="31" t="str">
        <f t="shared" si="831"/>
        <v>StoreBEMDetails,0,</v>
      </c>
      <c r="BG240" s="31" t="str">
        <f t="shared" si="832"/>
        <v>ModelRpt_ALL,0,</v>
      </c>
      <c r="BH240" s="31" t="str">
        <f t="shared" si="833"/>
        <v>ExportHourlyResults_All,0,</v>
      </c>
      <c r="BI240" s="31" t="str">
        <f t="shared" si="834"/>
        <v>ComplianceReportPDF,0,</v>
      </c>
      <c r="BJ240" s="31" t="str">
        <f t="shared" si="835"/>
        <v>ComplianceReportXML,0,</v>
      </c>
      <c r="BK240" s="31" t="str">
        <f t="shared" si="836"/>
        <v>QuickAnalysis,0,</v>
      </c>
      <c r="BL240" s="31" t="str">
        <f t="shared" si="836"/>
        <v>PromptUserUMLHWarning,0,</v>
      </c>
      <c r="BM240" s="31" t="str">
        <f t="shared" si="837"/>
        <v>BypassOpenStudio_all,0,</v>
      </c>
      <c r="BN240" s="31" t="str">
        <f t="shared" si="838"/>
        <v>BypassOpenStudio_zp,0,</v>
      </c>
      <c r="BO240" s="31" t="str">
        <f t="shared" si="839"/>
        <v>BypassOpenStudio_zb,0,</v>
      </c>
      <c r="BP240" s="31" t="str">
        <f t="shared" si="840"/>
        <v>BypassOpenStudio_ap,0,</v>
      </c>
      <c r="BQ240" s="31" t="str">
        <f t="shared" si="841"/>
        <v>BypassOpenStudio_ab,0,</v>
      </c>
      <c r="BR240" s="31" t="str">
        <f t="shared" si="842"/>
        <v>BypassOpenStudio_zp,0,</v>
      </c>
      <c r="BS240" s="31" t="str">
        <f t="shared" si="843"/>
        <v>BypassOpenStudio_zb,0,</v>
      </c>
      <c r="BT240" s="31" t="str">
        <f t="shared" si="844"/>
        <v>BypassOpenStudio_ap,0,</v>
      </c>
      <c r="BU240" s="31" t="str">
        <f t="shared" si="845"/>
        <v>BypassOpenStudio_ab,0,</v>
      </c>
    </row>
    <row r="241" spans="1:73" x14ac:dyDescent="0.25">
      <c r="A241" s="39">
        <f t="shared" si="846"/>
        <v>0</v>
      </c>
      <c r="B241" s="27" t="str">
        <f t="shared" si="847"/>
        <v>SoftwareSensitivityTests\StreamlinedApprovalSet\0500806-RetlMed-EnvelopeWallInsulation.cibd</v>
      </c>
      <c r="C241" s="27" t="str">
        <f t="shared" si="848"/>
        <v>BatchOut_160331_r3964_SSTs\0500806-RetlMed-EnvelopeWallInsulation.cibd</v>
      </c>
      <c r="D241" s="27" t="str">
        <f t="shared" si="849"/>
        <v>BatchOut_160331_r3964_SSTs\XML\</v>
      </c>
      <c r="E241" s="9" t="str">
        <f t="shared" si="850"/>
        <v>0500806</v>
      </c>
      <c r="F241" s="22"/>
      <c r="G241" s="29"/>
      <c r="H241" s="23" t="str">
        <f t="shared" si="851"/>
        <v/>
      </c>
      <c r="I241" s="9" t="s">
        <v>11</v>
      </c>
      <c r="J241"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1" s="15" t="s">
        <v>1</v>
      </c>
      <c r="L241" s="36">
        <f t="shared" si="856"/>
        <v>0</v>
      </c>
      <c r="M241" s="32" t="str">
        <f t="shared" si="852"/>
        <v>0500806</v>
      </c>
      <c r="N241" s="28" t="s">
        <v>324</v>
      </c>
      <c r="O241" s="28" t="str">
        <f t="shared" si="857"/>
        <v>0500806-RetlMed-EnvelopeWallInsulation</v>
      </c>
      <c r="P241" s="36">
        <f t="shared" si="970"/>
        <v>1</v>
      </c>
      <c r="Q241" s="36">
        <f t="shared" si="970"/>
        <v>1</v>
      </c>
      <c r="R241" s="36">
        <f t="shared" si="970"/>
        <v>0</v>
      </c>
      <c r="S241" s="36">
        <f t="shared" si="970"/>
        <v>1</v>
      </c>
      <c r="T241" s="36">
        <f t="shared" si="970"/>
        <v>0</v>
      </c>
      <c r="U241" s="36">
        <f t="shared" si="970"/>
        <v>8</v>
      </c>
      <c r="V241" s="36">
        <f t="shared" si="970"/>
        <v>8</v>
      </c>
      <c r="W241" s="36">
        <f t="shared" si="970"/>
        <v>1</v>
      </c>
      <c r="X241" s="36">
        <f t="shared" si="970"/>
        <v>0</v>
      </c>
      <c r="Y241" s="36">
        <f t="shared" si="970"/>
        <v>0</v>
      </c>
      <c r="Z241" s="36">
        <f t="shared" si="970"/>
        <v>0</v>
      </c>
      <c r="AA241" s="36">
        <f t="shared" si="970"/>
        <v>0</v>
      </c>
      <c r="AB241" s="36">
        <f t="shared" si="970"/>
        <v>0</v>
      </c>
      <c r="AC241" s="36">
        <f t="shared" si="970"/>
        <v>0</v>
      </c>
      <c r="AD241" s="36">
        <f t="shared" si="970"/>
        <v>0</v>
      </c>
      <c r="AE241" s="36">
        <f t="shared" si="1014"/>
        <v>0</v>
      </c>
      <c r="AF241" s="36">
        <f t="shared" si="1014"/>
        <v>0</v>
      </c>
      <c r="AG241" s="36">
        <f t="shared" ref="AG241:AH241" si="1017">AG240</f>
        <v>0</v>
      </c>
      <c r="AH241" s="36">
        <f t="shared" si="1017"/>
        <v>0</v>
      </c>
      <c r="AI241" s="36">
        <f t="shared" ref="AI241" si="1018">AI240</f>
        <v>0</v>
      </c>
      <c r="AJ241" s="36">
        <f t="shared" si="970"/>
        <v>0</v>
      </c>
      <c r="AK241" s="36">
        <f t="shared" ref="AK241:AP256" si="1019">AK240</f>
        <v>0</v>
      </c>
      <c r="AL241" s="36">
        <f t="shared" si="1019"/>
        <v>0</v>
      </c>
      <c r="AM241" s="36">
        <f t="shared" si="1019"/>
        <v>0</v>
      </c>
      <c r="AN241" s="36">
        <f t="shared" si="1019"/>
        <v>0</v>
      </c>
      <c r="AO241" s="36">
        <f t="shared" si="1019"/>
        <v>0</v>
      </c>
      <c r="AP241" s="36">
        <f t="shared" si="1019"/>
        <v>0</v>
      </c>
      <c r="AQ241" s="36">
        <f t="shared" si="992"/>
        <v>0</v>
      </c>
      <c r="AR241" s="36">
        <f t="shared" si="925"/>
        <v>0</v>
      </c>
      <c r="AS241" s="31" t="str">
        <f t="shared" si="861"/>
        <v>SimulationStorage,1,</v>
      </c>
      <c r="AT241" s="31" t="str">
        <f t="shared" si="862"/>
        <v>AnalysisStorage,1,</v>
      </c>
      <c r="AU241" s="31" t="str">
        <f t="shared" si="863"/>
        <v>LogRuleEvaluation,0,</v>
      </c>
      <c r="AV241" s="31" t="str">
        <f t="shared" si="864"/>
        <v>ParallelSimulations,1,</v>
      </c>
      <c r="AW241" s="31" t="str">
        <f t="shared" si="865"/>
        <v>DurationStats,0,</v>
      </c>
      <c r="AX241" s="31" t="str">
        <f t="shared" si="866"/>
        <v>AnalysisThruStep,8,</v>
      </c>
      <c r="AY241" s="31" t="str">
        <f t="shared" si="867"/>
        <v>DontAbortOnErrorsThruStep,8,</v>
      </c>
      <c r="AZ241" s="31" t="str">
        <f t="shared" si="868"/>
        <v>BypassValidFileChecks,1,</v>
      </c>
      <c r="BA241" s="31" t="str">
        <f t="shared" si="869"/>
        <v>BypassInputChecks,0,</v>
      </c>
      <c r="BB241" s="31" t="str">
        <f t="shared" si="870"/>
        <v>BypassUMLHChecks,0,</v>
      </c>
      <c r="BC241" s="31" t="str">
        <f t="shared" si="871"/>
        <v>BypassCheckSimRules,0,</v>
      </c>
      <c r="BD241" s="31" t="str">
        <f t="shared" si="872"/>
        <v>BypassCheckCodeRules,0,</v>
      </c>
      <c r="BE241" s="31" t="str">
        <f t="shared" si="830"/>
        <v>StoreResultsToModelInput,0,</v>
      </c>
      <c r="BF241" s="31" t="str">
        <f t="shared" si="831"/>
        <v>StoreBEMDetails,0,</v>
      </c>
      <c r="BG241" s="31" t="str">
        <f t="shared" si="832"/>
        <v>ModelRpt_ALL,0,</v>
      </c>
      <c r="BH241" s="31" t="str">
        <f t="shared" si="833"/>
        <v>ExportHourlyResults_All,0,</v>
      </c>
      <c r="BI241" s="31" t="str">
        <f t="shared" si="834"/>
        <v>ComplianceReportPDF,0,</v>
      </c>
      <c r="BJ241" s="31" t="str">
        <f t="shared" si="835"/>
        <v>ComplianceReportXML,0,</v>
      </c>
      <c r="BK241" s="31" t="str">
        <f t="shared" si="836"/>
        <v>QuickAnalysis,0,</v>
      </c>
      <c r="BL241" s="31" t="str">
        <f t="shared" si="836"/>
        <v>PromptUserUMLHWarning,0,</v>
      </c>
      <c r="BM241" s="31" t="str">
        <f t="shared" si="837"/>
        <v>BypassOpenStudio_all,0,</v>
      </c>
      <c r="BN241" s="31" t="str">
        <f t="shared" si="838"/>
        <v>BypassOpenStudio_zp,0,</v>
      </c>
      <c r="BO241" s="31" t="str">
        <f t="shared" si="839"/>
        <v>BypassOpenStudio_zb,0,</v>
      </c>
      <c r="BP241" s="31" t="str">
        <f t="shared" si="840"/>
        <v>BypassOpenStudio_ap,0,</v>
      </c>
      <c r="BQ241" s="31" t="str">
        <f t="shared" si="841"/>
        <v>BypassOpenStudio_ab,0,</v>
      </c>
      <c r="BR241" s="31" t="str">
        <f t="shared" si="842"/>
        <v>BypassOpenStudio_zp,0,</v>
      </c>
      <c r="BS241" s="31" t="str">
        <f t="shared" si="843"/>
        <v>BypassOpenStudio_zb,0,</v>
      </c>
      <c r="BT241" s="31" t="str">
        <f t="shared" si="844"/>
        <v>BypassOpenStudio_ap,0,</v>
      </c>
      <c r="BU241" s="31" t="str">
        <f t="shared" si="845"/>
        <v>BypassOpenStudio_ab,0,</v>
      </c>
    </row>
    <row r="242" spans="1:73" x14ac:dyDescent="0.25">
      <c r="A242" s="39">
        <f t="shared" si="846"/>
        <v>0</v>
      </c>
      <c r="B242" s="27" t="str">
        <f t="shared" si="847"/>
        <v>SoftwareSensitivityTests\StreamlinedApprovalSet\0500416-RetlMed-EnvelopeRoofInsulation.cibd</v>
      </c>
      <c r="C242" s="27" t="str">
        <f t="shared" si="848"/>
        <v>BatchOut_160331_r3964_SSTs\0500416-RetlMed-EnvelopeRoofInsulation.cibd</v>
      </c>
      <c r="D242" s="27" t="str">
        <f t="shared" si="849"/>
        <v>BatchOut_160331_r3964_SSTs\XML\</v>
      </c>
      <c r="E242" s="9" t="str">
        <f t="shared" si="850"/>
        <v>0500416</v>
      </c>
      <c r="F242" s="22"/>
      <c r="G242" s="29"/>
      <c r="H242" s="23" t="str">
        <f t="shared" si="851"/>
        <v/>
      </c>
      <c r="I242" s="9" t="s">
        <v>11</v>
      </c>
      <c r="J242"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2" s="15" t="s">
        <v>1</v>
      </c>
      <c r="L242" s="36">
        <f t="shared" si="856"/>
        <v>0</v>
      </c>
      <c r="M242" s="32" t="str">
        <f t="shared" si="852"/>
        <v>0500416</v>
      </c>
      <c r="N242" s="28" t="s">
        <v>323</v>
      </c>
      <c r="O242" s="28" t="str">
        <f t="shared" si="857"/>
        <v>0500416-RetlMed-EnvelopeRoofInsulation</v>
      </c>
      <c r="P242" s="36">
        <f t="shared" si="970"/>
        <v>1</v>
      </c>
      <c r="Q242" s="36">
        <f t="shared" si="970"/>
        <v>1</v>
      </c>
      <c r="R242" s="36">
        <f t="shared" si="970"/>
        <v>0</v>
      </c>
      <c r="S242" s="36">
        <f t="shared" si="970"/>
        <v>1</v>
      </c>
      <c r="T242" s="36">
        <f t="shared" si="970"/>
        <v>0</v>
      </c>
      <c r="U242" s="36">
        <f t="shared" si="970"/>
        <v>8</v>
      </c>
      <c r="V242" s="36">
        <f t="shared" si="970"/>
        <v>8</v>
      </c>
      <c r="W242" s="36">
        <f t="shared" si="970"/>
        <v>1</v>
      </c>
      <c r="X242" s="36">
        <f t="shared" si="970"/>
        <v>0</v>
      </c>
      <c r="Y242" s="36">
        <f t="shared" si="970"/>
        <v>0</v>
      </c>
      <c r="Z242" s="36">
        <f t="shared" si="970"/>
        <v>0</v>
      </c>
      <c r="AA242" s="36">
        <f t="shared" si="970"/>
        <v>0</v>
      </c>
      <c r="AB242" s="36">
        <f t="shared" si="970"/>
        <v>0</v>
      </c>
      <c r="AC242" s="36">
        <f t="shared" si="970"/>
        <v>0</v>
      </c>
      <c r="AD242" s="36">
        <f t="shared" si="970"/>
        <v>0</v>
      </c>
      <c r="AE242" s="36">
        <f t="shared" si="1014"/>
        <v>0</v>
      </c>
      <c r="AF242" s="36">
        <f t="shared" si="1014"/>
        <v>0</v>
      </c>
      <c r="AG242" s="36">
        <f t="shared" ref="AG242:AH242" si="1020">AG241</f>
        <v>0</v>
      </c>
      <c r="AH242" s="36">
        <f t="shared" si="1020"/>
        <v>0</v>
      </c>
      <c r="AI242" s="36">
        <f t="shared" ref="AI242" si="1021">AI241</f>
        <v>0</v>
      </c>
      <c r="AJ242" s="36">
        <f t="shared" si="970"/>
        <v>0</v>
      </c>
      <c r="AK242" s="36">
        <f t="shared" si="1019"/>
        <v>0</v>
      </c>
      <c r="AL242" s="36">
        <f t="shared" si="1019"/>
        <v>0</v>
      </c>
      <c r="AM242" s="36">
        <f t="shared" si="1019"/>
        <v>0</v>
      </c>
      <c r="AN242" s="36">
        <f t="shared" si="1019"/>
        <v>0</v>
      </c>
      <c r="AO242" s="36">
        <f t="shared" si="1019"/>
        <v>0</v>
      </c>
      <c r="AP242" s="36">
        <f t="shared" si="1019"/>
        <v>0</v>
      </c>
      <c r="AQ242" s="36">
        <f t="shared" si="992"/>
        <v>0</v>
      </c>
      <c r="AR242" s="36">
        <f t="shared" si="925"/>
        <v>0</v>
      </c>
      <c r="AS242" s="31" t="str">
        <f t="shared" si="861"/>
        <v>SimulationStorage,1,</v>
      </c>
      <c r="AT242" s="31" t="str">
        <f t="shared" si="862"/>
        <v>AnalysisStorage,1,</v>
      </c>
      <c r="AU242" s="31" t="str">
        <f t="shared" si="863"/>
        <v>LogRuleEvaluation,0,</v>
      </c>
      <c r="AV242" s="31" t="str">
        <f t="shared" si="864"/>
        <v>ParallelSimulations,1,</v>
      </c>
      <c r="AW242" s="31" t="str">
        <f t="shared" si="865"/>
        <v>DurationStats,0,</v>
      </c>
      <c r="AX242" s="31" t="str">
        <f t="shared" si="866"/>
        <v>AnalysisThruStep,8,</v>
      </c>
      <c r="AY242" s="31" t="str">
        <f t="shared" si="867"/>
        <v>DontAbortOnErrorsThruStep,8,</v>
      </c>
      <c r="AZ242" s="31" t="str">
        <f t="shared" si="868"/>
        <v>BypassValidFileChecks,1,</v>
      </c>
      <c r="BA242" s="31" t="str">
        <f t="shared" si="869"/>
        <v>BypassInputChecks,0,</v>
      </c>
      <c r="BB242" s="31" t="str">
        <f t="shared" si="870"/>
        <v>BypassUMLHChecks,0,</v>
      </c>
      <c r="BC242" s="31" t="str">
        <f t="shared" si="871"/>
        <v>BypassCheckSimRules,0,</v>
      </c>
      <c r="BD242" s="31" t="str">
        <f t="shared" si="872"/>
        <v>BypassCheckCodeRules,0,</v>
      </c>
      <c r="BE242" s="31" t="str">
        <f t="shared" si="830"/>
        <v>StoreResultsToModelInput,0,</v>
      </c>
      <c r="BF242" s="31" t="str">
        <f t="shared" si="831"/>
        <v>StoreBEMDetails,0,</v>
      </c>
      <c r="BG242" s="31" t="str">
        <f t="shared" si="832"/>
        <v>ModelRpt_ALL,0,</v>
      </c>
      <c r="BH242" s="31" t="str">
        <f t="shared" si="833"/>
        <v>ExportHourlyResults_All,0,</v>
      </c>
      <c r="BI242" s="31" t="str">
        <f t="shared" si="834"/>
        <v>ComplianceReportPDF,0,</v>
      </c>
      <c r="BJ242" s="31" t="str">
        <f t="shared" si="835"/>
        <v>ComplianceReportXML,0,</v>
      </c>
      <c r="BK242" s="31" t="str">
        <f t="shared" si="836"/>
        <v>QuickAnalysis,0,</v>
      </c>
      <c r="BL242" s="31" t="str">
        <f t="shared" si="836"/>
        <v>PromptUserUMLHWarning,0,</v>
      </c>
      <c r="BM242" s="31" t="str">
        <f t="shared" si="837"/>
        <v>BypassOpenStudio_all,0,</v>
      </c>
      <c r="BN242" s="31" t="str">
        <f t="shared" si="838"/>
        <v>BypassOpenStudio_zp,0,</v>
      </c>
      <c r="BO242" s="31" t="str">
        <f t="shared" si="839"/>
        <v>BypassOpenStudio_zb,0,</v>
      </c>
      <c r="BP242" s="31" t="str">
        <f t="shared" si="840"/>
        <v>BypassOpenStudio_ap,0,</v>
      </c>
      <c r="BQ242" s="31" t="str">
        <f t="shared" si="841"/>
        <v>BypassOpenStudio_ab,0,</v>
      </c>
      <c r="BR242" s="31" t="str">
        <f t="shared" si="842"/>
        <v>BypassOpenStudio_zp,0,</v>
      </c>
      <c r="BS242" s="31" t="str">
        <f t="shared" si="843"/>
        <v>BypassOpenStudio_zb,0,</v>
      </c>
      <c r="BT242" s="31" t="str">
        <f t="shared" si="844"/>
        <v>BypassOpenStudio_ap,0,</v>
      </c>
      <c r="BU242" s="31" t="str">
        <f t="shared" si="845"/>
        <v>BypassOpenStudio_ab,0,</v>
      </c>
    </row>
    <row r="243" spans="1:73" x14ac:dyDescent="0.25">
      <c r="A243" s="39">
        <f t="shared" si="846"/>
        <v>0</v>
      </c>
      <c r="B243" s="27" t="str">
        <f t="shared" si="847"/>
        <v>SoftwareSensitivityTests\StreamlinedApprovalSet\0500616-RetlMed-EnvelopeHeavy.cibd</v>
      </c>
      <c r="C243" s="27" t="str">
        <f t="shared" si="848"/>
        <v>BatchOut_160331_r3964_SSTs\0500616-RetlMed-EnvelopeHeavy.cibd</v>
      </c>
      <c r="D243" s="27" t="str">
        <f t="shared" si="849"/>
        <v>BatchOut_160331_r3964_SSTs\XML\</v>
      </c>
      <c r="E243" s="9" t="str">
        <f t="shared" si="850"/>
        <v>0500616</v>
      </c>
      <c r="F243" s="22"/>
      <c r="G243" s="29"/>
      <c r="H243" s="23" t="str">
        <f t="shared" si="851"/>
        <v/>
      </c>
      <c r="I243" s="9" t="s">
        <v>11</v>
      </c>
      <c r="J243"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3" s="15" t="s">
        <v>1</v>
      </c>
      <c r="L243" s="36">
        <f t="shared" si="856"/>
        <v>0</v>
      </c>
      <c r="M243" s="32" t="str">
        <f t="shared" si="852"/>
        <v>0500616</v>
      </c>
      <c r="N243" s="28" t="s">
        <v>322</v>
      </c>
      <c r="O243" s="28" t="str">
        <f t="shared" si="857"/>
        <v>0500616-RetlMed-EnvelopeHeavy</v>
      </c>
      <c r="P243" s="36">
        <f t="shared" si="970"/>
        <v>1</v>
      </c>
      <c r="Q243" s="36">
        <f t="shared" si="970"/>
        <v>1</v>
      </c>
      <c r="R243" s="36">
        <f t="shared" si="970"/>
        <v>0</v>
      </c>
      <c r="S243" s="36">
        <f t="shared" si="970"/>
        <v>1</v>
      </c>
      <c r="T243" s="36">
        <f t="shared" si="970"/>
        <v>0</v>
      </c>
      <c r="U243" s="36">
        <f t="shared" si="970"/>
        <v>8</v>
      </c>
      <c r="V243" s="36">
        <f t="shared" si="970"/>
        <v>8</v>
      </c>
      <c r="W243" s="36">
        <f t="shared" si="970"/>
        <v>1</v>
      </c>
      <c r="X243" s="36">
        <f t="shared" si="970"/>
        <v>0</v>
      </c>
      <c r="Y243" s="36">
        <f t="shared" si="970"/>
        <v>0</v>
      </c>
      <c r="Z243" s="36">
        <f t="shared" si="970"/>
        <v>0</v>
      </c>
      <c r="AA243" s="36">
        <f t="shared" si="970"/>
        <v>0</v>
      </c>
      <c r="AB243" s="36">
        <f t="shared" si="970"/>
        <v>0</v>
      </c>
      <c r="AC243" s="36">
        <f t="shared" si="970"/>
        <v>0</v>
      </c>
      <c r="AD243" s="36">
        <f t="shared" si="970"/>
        <v>0</v>
      </c>
      <c r="AE243" s="36">
        <f t="shared" si="1014"/>
        <v>0</v>
      </c>
      <c r="AF243" s="36">
        <f t="shared" si="1014"/>
        <v>0</v>
      </c>
      <c r="AG243" s="36">
        <f t="shared" ref="AG243:AH243" si="1022">AG242</f>
        <v>0</v>
      </c>
      <c r="AH243" s="36">
        <f t="shared" si="1022"/>
        <v>0</v>
      </c>
      <c r="AI243" s="36">
        <f t="shared" ref="AI243" si="1023">AI242</f>
        <v>0</v>
      </c>
      <c r="AJ243" s="36">
        <f t="shared" si="970"/>
        <v>0</v>
      </c>
      <c r="AK243" s="36">
        <f t="shared" si="1019"/>
        <v>0</v>
      </c>
      <c r="AL243" s="36">
        <f t="shared" si="1019"/>
        <v>0</v>
      </c>
      <c r="AM243" s="36">
        <f t="shared" si="1019"/>
        <v>0</v>
      </c>
      <c r="AN243" s="36">
        <f t="shared" si="1019"/>
        <v>0</v>
      </c>
      <c r="AO243" s="36">
        <f t="shared" si="1019"/>
        <v>0</v>
      </c>
      <c r="AP243" s="36">
        <f t="shared" si="1019"/>
        <v>0</v>
      </c>
      <c r="AQ243" s="36">
        <f t="shared" si="992"/>
        <v>0</v>
      </c>
      <c r="AR243" s="36">
        <f t="shared" si="925"/>
        <v>0</v>
      </c>
      <c r="AS243" s="31" t="str">
        <f t="shared" si="861"/>
        <v>SimulationStorage,1,</v>
      </c>
      <c r="AT243" s="31" t="str">
        <f t="shared" si="862"/>
        <v>AnalysisStorage,1,</v>
      </c>
      <c r="AU243" s="31" t="str">
        <f t="shared" si="863"/>
        <v>LogRuleEvaluation,0,</v>
      </c>
      <c r="AV243" s="31" t="str">
        <f t="shared" si="864"/>
        <v>ParallelSimulations,1,</v>
      </c>
      <c r="AW243" s="31" t="str">
        <f t="shared" si="865"/>
        <v>DurationStats,0,</v>
      </c>
      <c r="AX243" s="31" t="str">
        <f t="shared" si="866"/>
        <v>AnalysisThruStep,8,</v>
      </c>
      <c r="AY243" s="31" t="str">
        <f t="shared" si="867"/>
        <v>DontAbortOnErrorsThruStep,8,</v>
      </c>
      <c r="AZ243" s="31" t="str">
        <f t="shared" si="868"/>
        <v>BypassValidFileChecks,1,</v>
      </c>
      <c r="BA243" s="31" t="str">
        <f t="shared" si="869"/>
        <v>BypassInputChecks,0,</v>
      </c>
      <c r="BB243" s="31" t="str">
        <f t="shared" si="870"/>
        <v>BypassUMLHChecks,0,</v>
      </c>
      <c r="BC243" s="31" t="str">
        <f t="shared" si="871"/>
        <v>BypassCheckSimRules,0,</v>
      </c>
      <c r="BD243" s="31" t="str">
        <f t="shared" si="872"/>
        <v>BypassCheckCodeRules,0,</v>
      </c>
      <c r="BE243" s="31" t="str">
        <f t="shared" si="830"/>
        <v>StoreResultsToModelInput,0,</v>
      </c>
      <c r="BF243" s="31" t="str">
        <f t="shared" si="831"/>
        <v>StoreBEMDetails,0,</v>
      </c>
      <c r="BG243" s="31" t="str">
        <f t="shared" si="832"/>
        <v>ModelRpt_ALL,0,</v>
      </c>
      <c r="BH243" s="31" t="str">
        <f t="shared" si="833"/>
        <v>ExportHourlyResults_All,0,</v>
      </c>
      <c r="BI243" s="31" t="str">
        <f t="shared" si="834"/>
        <v>ComplianceReportPDF,0,</v>
      </c>
      <c r="BJ243" s="31" t="str">
        <f t="shared" si="835"/>
        <v>ComplianceReportXML,0,</v>
      </c>
      <c r="BK243" s="31" t="str">
        <f t="shared" si="836"/>
        <v>QuickAnalysis,0,</v>
      </c>
      <c r="BL243" s="31" t="str">
        <f t="shared" si="836"/>
        <v>PromptUserUMLHWarning,0,</v>
      </c>
      <c r="BM243" s="31" t="str">
        <f t="shared" si="837"/>
        <v>BypassOpenStudio_all,0,</v>
      </c>
      <c r="BN243" s="31" t="str">
        <f t="shared" si="838"/>
        <v>BypassOpenStudio_zp,0,</v>
      </c>
      <c r="BO243" s="31" t="str">
        <f t="shared" si="839"/>
        <v>BypassOpenStudio_zb,0,</v>
      </c>
      <c r="BP243" s="31" t="str">
        <f t="shared" si="840"/>
        <v>BypassOpenStudio_ap,0,</v>
      </c>
      <c r="BQ243" s="31" t="str">
        <f t="shared" si="841"/>
        <v>BypassOpenStudio_ab,0,</v>
      </c>
      <c r="BR243" s="31" t="str">
        <f t="shared" si="842"/>
        <v>BypassOpenStudio_zp,0,</v>
      </c>
      <c r="BS243" s="31" t="str">
        <f t="shared" si="843"/>
        <v>BypassOpenStudio_zb,0,</v>
      </c>
      <c r="BT243" s="31" t="str">
        <f t="shared" si="844"/>
        <v>BypassOpenStudio_ap,0,</v>
      </c>
      <c r="BU243" s="31" t="str">
        <f t="shared" si="845"/>
        <v>BypassOpenStudio_ab,0,</v>
      </c>
    </row>
    <row r="244" spans="1:73" x14ac:dyDescent="0.25">
      <c r="A244" s="39">
        <f t="shared" si="846"/>
        <v>0</v>
      </c>
      <c r="B244" s="27" t="str">
        <f t="shared" si="847"/>
        <v>SoftwareSensitivityTests\StreamlinedApprovalSet\0500416-RetlMed-EnvelopeRoofInsulation.cibd</v>
      </c>
      <c r="C244" s="27" t="str">
        <f t="shared" si="848"/>
        <v>BatchOut_160331_r3964_SSTs\0500416-RetlMed-EnvelopeRoofInsulation.cibd</v>
      </c>
      <c r="D244" s="27" t="str">
        <f t="shared" si="849"/>
        <v>BatchOut_160331_r3964_SSTs\XML\</v>
      </c>
      <c r="E244" s="9" t="str">
        <f t="shared" si="850"/>
        <v>0500416</v>
      </c>
      <c r="F244" s="22"/>
      <c r="G244" s="29"/>
      <c r="H244" s="23" t="str">
        <f t="shared" si="851"/>
        <v/>
      </c>
      <c r="I244" s="9" t="s">
        <v>11</v>
      </c>
      <c r="J244"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4" s="15" t="s">
        <v>1</v>
      </c>
      <c r="L244" s="36">
        <f t="shared" si="856"/>
        <v>0</v>
      </c>
      <c r="M244" s="32" t="str">
        <f t="shared" si="852"/>
        <v>0500416</v>
      </c>
      <c r="N244" s="28" t="s">
        <v>323</v>
      </c>
      <c r="O244" s="28" t="str">
        <f t="shared" si="857"/>
        <v>0500416-RetlMed-EnvelopeRoofInsulation</v>
      </c>
      <c r="P244" s="36">
        <f t="shared" si="970"/>
        <v>1</v>
      </c>
      <c r="Q244" s="36">
        <f t="shared" si="970"/>
        <v>1</v>
      </c>
      <c r="R244" s="36">
        <f t="shared" si="970"/>
        <v>0</v>
      </c>
      <c r="S244" s="36">
        <f t="shared" si="970"/>
        <v>1</v>
      </c>
      <c r="T244" s="36">
        <f t="shared" si="970"/>
        <v>0</v>
      </c>
      <c r="U244" s="36">
        <f t="shared" si="970"/>
        <v>8</v>
      </c>
      <c r="V244" s="36">
        <f t="shared" si="970"/>
        <v>8</v>
      </c>
      <c r="W244" s="36">
        <f t="shared" si="970"/>
        <v>1</v>
      </c>
      <c r="X244" s="36">
        <f t="shared" si="970"/>
        <v>0</v>
      </c>
      <c r="Y244" s="36">
        <f t="shared" si="970"/>
        <v>0</v>
      </c>
      <c r="Z244" s="36">
        <f t="shared" si="970"/>
        <v>0</v>
      </c>
      <c r="AA244" s="36">
        <f t="shared" si="970"/>
        <v>0</v>
      </c>
      <c r="AB244" s="36">
        <f t="shared" si="970"/>
        <v>0</v>
      </c>
      <c r="AC244" s="36">
        <f t="shared" si="970"/>
        <v>0</v>
      </c>
      <c r="AD244" s="36">
        <f t="shared" si="970"/>
        <v>0</v>
      </c>
      <c r="AE244" s="36">
        <f t="shared" si="1014"/>
        <v>0</v>
      </c>
      <c r="AF244" s="36">
        <f t="shared" si="1014"/>
        <v>0</v>
      </c>
      <c r="AG244" s="36">
        <f t="shared" ref="AG244:AH244" si="1024">AG243</f>
        <v>0</v>
      </c>
      <c r="AH244" s="36">
        <f t="shared" si="1024"/>
        <v>0</v>
      </c>
      <c r="AI244" s="36">
        <f t="shared" ref="AI244" si="1025">AI243</f>
        <v>0</v>
      </c>
      <c r="AJ244" s="36">
        <f t="shared" si="970"/>
        <v>0</v>
      </c>
      <c r="AK244" s="36">
        <f t="shared" si="1019"/>
        <v>0</v>
      </c>
      <c r="AL244" s="36">
        <f t="shared" si="1019"/>
        <v>0</v>
      </c>
      <c r="AM244" s="36">
        <f t="shared" si="1019"/>
        <v>0</v>
      </c>
      <c r="AN244" s="36">
        <f t="shared" si="1019"/>
        <v>0</v>
      </c>
      <c r="AO244" s="36">
        <f t="shared" si="1019"/>
        <v>0</v>
      </c>
      <c r="AP244" s="36">
        <f t="shared" si="1019"/>
        <v>0</v>
      </c>
      <c r="AQ244" s="36">
        <f t="shared" si="992"/>
        <v>0</v>
      </c>
      <c r="AR244" s="36">
        <f t="shared" si="925"/>
        <v>0</v>
      </c>
      <c r="AS244" s="31" t="str">
        <f t="shared" si="861"/>
        <v>SimulationStorage,1,</v>
      </c>
      <c r="AT244" s="31" t="str">
        <f t="shared" si="862"/>
        <v>AnalysisStorage,1,</v>
      </c>
      <c r="AU244" s="31" t="str">
        <f t="shared" si="863"/>
        <v>LogRuleEvaluation,0,</v>
      </c>
      <c r="AV244" s="31" t="str">
        <f t="shared" si="864"/>
        <v>ParallelSimulations,1,</v>
      </c>
      <c r="AW244" s="31" t="str">
        <f t="shared" si="865"/>
        <v>DurationStats,0,</v>
      </c>
      <c r="AX244" s="31" t="str">
        <f t="shared" si="866"/>
        <v>AnalysisThruStep,8,</v>
      </c>
      <c r="AY244" s="31" t="str">
        <f t="shared" si="867"/>
        <v>DontAbortOnErrorsThruStep,8,</v>
      </c>
      <c r="AZ244" s="31" t="str">
        <f t="shared" si="868"/>
        <v>BypassValidFileChecks,1,</v>
      </c>
      <c r="BA244" s="31" t="str">
        <f t="shared" si="869"/>
        <v>BypassInputChecks,0,</v>
      </c>
      <c r="BB244" s="31" t="str">
        <f t="shared" si="870"/>
        <v>BypassUMLHChecks,0,</v>
      </c>
      <c r="BC244" s="31" t="str">
        <f t="shared" si="871"/>
        <v>BypassCheckSimRules,0,</v>
      </c>
      <c r="BD244" s="31" t="str">
        <f t="shared" si="872"/>
        <v>BypassCheckCodeRules,0,</v>
      </c>
      <c r="BE244" s="31" t="str">
        <f t="shared" si="830"/>
        <v>StoreResultsToModelInput,0,</v>
      </c>
      <c r="BF244" s="31" t="str">
        <f t="shared" si="831"/>
        <v>StoreBEMDetails,0,</v>
      </c>
      <c r="BG244" s="31" t="str">
        <f t="shared" si="832"/>
        <v>ModelRpt_ALL,0,</v>
      </c>
      <c r="BH244" s="31" t="str">
        <f t="shared" si="833"/>
        <v>ExportHourlyResults_All,0,</v>
      </c>
      <c r="BI244" s="31" t="str">
        <f t="shared" si="834"/>
        <v>ComplianceReportPDF,0,</v>
      </c>
      <c r="BJ244" s="31" t="str">
        <f t="shared" si="835"/>
        <v>ComplianceReportXML,0,</v>
      </c>
      <c r="BK244" s="31" t="str">
        <f t="shared" si="836"/>
        <v>QuickAnalysis,0,</v>
      </c>
      <c r="BL244" s="31" t="str">
        <f t="shared" si="836"/>
        <v>PromptUserUMLHWarning,0,</v>
      </c>
      <c r="BM244" s="31" t="str">
        <f t="shared" si="837"/>
        <v>BypassOpenStudio_all,0,</v>
      </c>
      <c r="BN244" s="31" t="str">
        <f t="shared" si="838"/>
        <v>BypassOpenStudio_zp,0,</v>
      </c>
      <c r="BO244" s="31" t="str">
        <f t="shared" si="839"/>
        <v>BypassOpenStudio_zb,0,</v>
      </c>
      <c r="BP244" s="31" t="str">
        <f t="shared" si="840"/>
        <v>BypassOpenStudio_ap,0,</v>
      </c>
      <c r="BQ244" s="31" t="str">
        <f t="shared" si="841"/>
        <v>BypassOpenStudio_ab,0,</v>
      </c>
      <c r="BR244" s="31" t="str">
        <f t="shared" si="842"/>
        <v>BypassOpenStudio_zp,0,</v>
      </c>
      <c r="BS244" s="31" t="str">
        <f t="shared" si="843"/>
        <v>BypassOpenStudio_zb,0,</v>
      </c>
      <c r="BT244" s="31" t="str">
        <f t="shared" si="844"/>
        <v>BypassOpenStudio_ap,0,</v>
      </c>
      <c r="BU244" s="31" t="str">
        <f t="shared" si="845"/>
        <v>BypassOpenStudio_ab,0,</v>
      </c>
    </row>
    <row r="245" spans="1:73" x14ac:dyDescent="0.25">
      <c r="A245" s="39">
        <f t="shared" si="846"/>
        <v>0</v>
      </c>
      <c r="B245" s="27" t="str">
        <f t="shared" si="847"/>
        <v>SoftwareSensitivityTests\StreamlinedApprovalSet\0500806-RetlMed-EnvelopeWallInsulation.cibd</v>
      </c>
      <c r="C245" s="27" t="str">
        <f t="shared" si="848"/>
        <v>BatchOut_160331_r3964_SSTs\0500806-RetlMed-EnvelopeWallInsulation.cibd</v>
      </c>
      <c r="D245" s="27" t="str">
        <f t="shared" si="849"/>
        <v>BatchOut_160331_r3964_SSTs\XML\</v>
      </c>
      <c r="E245" s="9" t="str">
        <f t="shared" si="850"/>
        <v>0500806</v>
      </c>
      <c r="F245" s="22"/>
      <c r="G245" s="29"/>
      <c r="H245" s="23" t="str">
        <f t="shared" si="851"/>
        <v/>
      </c>
      <c r="I245" s="9" t="s">
        <v>11</v>
      </c>
      <c r="J245"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5" s="15" t="s">
        <v>1</v>
      </c>
      <c r="L245" s="36">
        <f t="shared" si="856"/>
        <v>0</v>
      </c>
      <c r="M245" s="32" t="str">
        <f t="shared" si="852"/>
        <v>0500806</v>
      </c>
      <c r="N245" s="28" t="s">
        <v>324</v>
      </c>
      <c r="O245" s="28" t="str">
        <f t="shared" si="857"/>
        <v>0500806-RetlMed-EnvelopeWallInsulation</v>
      </c>
      <c r="P245" s="36">
        <f t="shared" si="970"/>
        <v>1</v>
      </c>
      <c r="Q245" s="36">
        <f t="shared" si="970"/>
        <v>1</v>
      </c>
      <c r="R245" s="36">
        <f t="shared" si="970"/>
        <v>0</v>
      </c>
      <c r="S245" s="36">
        <f t="shared" si="970"/>
        <v>1</v>
      </c>
      <c r="T245" s="36">
        <f t="shared" si="970"/>
        <v>0</v>
      </c>
      <c r="U245" s="36">
        <f t="shared" si="970"/>
        <v>8</v>
      </c>
      <c r="V245" s="36">
        <f t="shared" si="970"/>
        <v>8</v>
      </c>
      <c r="W245" s="36">
        <f t="shared" si="970"/>
        <v>1</v>
      </c>
      <c r="X245" s="36">
        <f t="shared" si="970"/>
        <v>0</v>
      </c>
      <c r="Y245" s="36">
        <f t="shared" si="970"/>
        <v>0</v>
      </c>
      <c r="Z245" s="36">
        <f t="shared" si="970"/>
        <v>0</v>
      </c>
      <c r="AA245" s="36">
        <f t="shared" si="970"/>
        <v>0</v>
      </c>
      <c r="AB245" s="36">
        <f t="shared" si="970"/>
        <v>0</v>
      </c>
      <c r="AC245" s="36">
        <f t="shared" si="970"/>
        <v>0</v>
      </c>
      <c r="AD245" s="36">
        <f t="shared" si="970"/>
        <v>0</v>
      </c>
      <c r="AE245" s="36">
        <f t="shared" si="1014"/>
        <v>0</v>
      </c>
      <c r="AF245" s="36">
        <f t="shared" si="1014"/>
        <v>0</v>
      </c>
      <c r="AG245" s="36">
        <f t="shared" ref="AG245:AH245" si="1026">AG244</f>
        <v>0</v>
      </c>
      <c r="AH245" s="36">
        <f t="shared" si="1026"/>
        <v>0</v>
      </c>
      <c r="AI245" s="36">
        <f t="shared" ref="AI245" si="1027">AI244</f>
        <v>0</v>
      </c>
      <c r="AJ245" s="36">
        <f t="shared" si="970"/>
        <v>0</v>
      </c>
      <c r="AK245" s="36">
        <f t="shared" si="1019"/>
        <v>0</v>
      </c>
      <c r="AL245" s="36">
        <f t="shared" si="1019"/>
        <v>0</v>
      </c>
      <c r="AM245" s="36">
        <f t="shared" si="1019"/>
        <v>0</v>
      </c>
      <c r="AN245" s="36">
        <f t="shared" si="1019"/>
        <v>0</v>
      </c>
      <c r="AO245" s="36">
        <f t="shared" si="1019"/>
        <v>0</v>
      </c>
      <c r="AP245" s="36">
        <f t="shared" si="1019"/>
        <v>0</v>
      </c>
      <c r="AQ245" s="36">
        <f t="shared" si="992"/>
        <v>0</v>
      </c>
      <c r="AR245" s="36">
        <f t="shared" si="925"/>
        <v>0</v>
      </c>
      <c r="AS245" s="31" t="str">
        <f t="shared" si="861"/>
        <v>SimulationStorage,1,</v>
      </c>
      <c r="AT245" s="31" t="str">
        <f t="shared" si="862"/>
        <v>AnalysisStorage,1,</v>
      </c>
      <c r="AU245" s="31" t="str">
        <f t="shared" si="863"/>
        <v>LogRuleEvaluation,0,</v>
      </c>
      <c r="AV245" s="31" t="str">
        <f t="shared" si="864"/>
        <v>ParallelSimulations,1,</v>
      </c>
      <c r="AW245" s="31" t="str">
        <f t="shared" si="865"/>
        <v>DurationStats,0,</v>
      </c>
      <c r="AX245" s="31" t="str">
        <f t="shared" si="866"/>
        <v>AnalysisThruStep,8,</v>
      </c>
      <c r="AY245" s="31" t="str">
        <f t="shared" si="867"/>
        <v>DontAbortOnErrorsThruStep,8,</v>
      </c>
      <c r="AZ245" s="31" t="str">
        <f t="shared" si="868"/>
        <v>BypassValidFileChecks,1,</v>
      </c>
      <c r="BA245" s="31" t="str">
        <f t="shared" si="869"/>
        <v>BypassInputChecks,0,</v>
      </c>
      <c r="BB245" s="31" t="str">
        <f t="shared" si="870"/>
        <v>BypassUMLHChecks,0,</v>
      </c>
      <c r="BC245" s="31" t="str">
        <f t="shared" si="871"/>
        <v>BypassCheckSimRules,0,</v>
      </c>
      <c r="BD245" s="31" t="str">
        <f t="shared" si="872"/>
        <v>BypassCheckCodeRules,0,</v>
      </c>
      <c r="BE245" s="31" t="str">
        <f t="shared" si="830"/>
        <v>StoreResultsToModelInput,0,</v>
      </c>
      <c r="BF245" s="31" t="str">
        <f t="shared" si="831"/>
        <v>StoreBEMDetails,0,</v>
      </c>
      <c r="BG245" s="31" t="str">
        <f t="shared" si="832"/>
        <v>ModelRpt_ALL,0,</v>
      </c>
      <c r="BH245" s="31" t="str">
        <f t="shared" si="833"/>
        <v>ExportHourlyResults_All,0,</v>
      </c>
      <c r="BI245" s="31" t="str">
        <f t="shared" si="834"/>
        <v>ComplianceReportPDF,0,</v>
      </c>
      <c r="BJ245" s="31" t="str">
        <f t="shared" si="835"/>
        <v>ComplianceReportXML,0,</v>
      </c>
      <c r="BK245" s="31" t="str">
        <f t="shared" si="836"/>
        <v>QuickAnalysis,0,</v>
      </c>
      <c r="BL245" s="31" t="str">
        <f t="shared" si="836"/>
        <v>PromptUserUMLHWarning,0,</v>
      </c>
      <c r="BM245" s="31" t="str">
        <f t="shared" si="837"/>
        <v>BypassOpenStudio_all,0,</v>
      </c>
      <c r="BN245" s="31" t="str">
        <f t="shared" si="838"/>
        <v>BypassOpenStudio_zp,0,</v>
      </c>
      <c r="BO245" s="31" t="str">
        <f t="shared" si="839"/>
        <v>BypassOpenStudio_zb,0,</v>
      </c>
      <c r="BP245" s="31" t="str">
        <f t="shared" si="840"/>
        <v>BypassOpenStudio_ap,0,</v>
      </c>
      <c r="BQ245" s="31" t="str">
        <f t="shared" si="841"/>
        <v>BypassOpenStudio_ab,0,</v>
      </c>
      <c r="BR245" s="31" t="str">
        <f t="shared" si="842"/>
        <v>BypassOpenStudio_zp,0,</v>
      </c>
      <c r="BS245" s="31" t="str">
        <f t="shared" si="843"/>
        <v>BypassOpenStudio_zb,0,</v>
      </c>
      <c r="BT245" s="31" t="str">
        <f t="shared" si="844"/>
        <v>BypassOpenStudio_ap,0,</v>
      </c>
      <c r="BU245" s="31" t="str">
        <f t="shared" si="845"/>
        <v>BypassOpenStudio_ab,0,</v>
      </c>
    </row>
    <row r="246" spans="1:73" x14ac:dyDescent="0.25">
      <c r="A246" s="39">
        <f t="shared" si="846"/>
        <v>0</v>
      </c>
      <c r="B246" s="27" t="str">
        <f t="shared" si="847"/>
        <v>SoftwareSensitivityTests\StreamlinedApprovalSet\0500906-RetlMed-EnvelopeHeavy.cibd</v>
      </c>
      <c r="C246" s="27" t="str">
        <f t="shared" si="848"/>
        <v>BatchOut_160331_r3964_SSTs\0500906-RetlMed-EnvelopeHeavy.cibd</v>
      </c>
      <c r="D246" s="27" t="str">
        <f t="shared" si="849"/>
        <v>BatchOut_160331_r3964_SSTs\XML\</v>
      </c>
      <c r="E246" s="9" t="str">
        <f t="shared" si="850"/>
        <v>0500906</v>
      </c>
      <c r="F246" s="22"/>
      <c r="G246" s="29"/>
      <c r="H246" s="23" t="str">
        <f t="shared" si="851"/>
        <v/>
      </c>
      <c r="I246" s="9" t="s">
        <v>11</v>
      </c>
      <c r="J246"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6" s="15" t="s">
        <v>1</v>
      </c>
      <c r="L246" s="36">
        <f t="shared" si="856"/>
        <v>0</v>
      </c>
      <c r="M246" s="32" t="str">
        <f t="shared" si="852"/>
        <v>0500906</v>
      </c>
      <c r="N246" s="28" t="s">
        <v>325</v>
      </c>
      <c r="O246" s="28" t="str">
        <f t="shared" si="857"/>
        <v>0500906-RetlMed-EnvelopeHeavy</v>
      </c>
      <c r="P246" s="36">
        <f t="shared" si="970"/>
        <v>1</v>
      </c>
      <c r="Q246" s="36">
        <f t="shared" si="970"/>
        <v>1</v>
      </c>
      <c r="R246" s="36">
        <f t="shared" si="970"/>
        <v>0</v>
      </c>
      <c r="S246" s="36">
        <f t="shared" si="970"/>
        <v>1</v>
      </c>
      <c r="T246" s="36">
        <f t="shared" si="970"/>
        <v>0</v>
      </c>
      <c r="U246" s="36">
        <f t="shared" si="970"/>
        <v>8</v>
      </c>
      <c r="V246" s="36">
        <f t="shared" si="970"/>
        <v>8</v>
      </c>
      <c r="W246" s="36">
        <f t="shared" si="970"/>
        <v>1</v>
      </c>
      <c r="X246" s="36">
        <f t="shared" si="970"/>
        <v>0</v>
      </c>
      <c r="Y246" s="36">
        <f t="shared" si="970"/>
        <v>0</v>
      </c>
      <c r="Z246" s="36">
        <f t="shared" si="970"/>
        <v>0</v>
      </c>
      <c r="AA246" s="36">
        <f t="shared" si="970"/>
        <v>0</v>
      </c>
      <c r="AB246" s="36">
        <f t="shared" si="970"/>
        <v>0</v>
      </c>
      <c r="AC246" s="36">
        <f t="shared" si="970"/>
        <v>0</v>
      </c>
      <c r="AD246" s="36">
        <f t="shared" si="970"/>
        <v>0</v>
      </c>
      <c r="AE246" s="36">
        <f t="shared" si="1014"/>
        <v>0</v>
      </c>
      <c r="AF246" s="36">
        <f t="shared" si="1014"/>
        <v>0</v>
      </c>
      <c r="AG246" s="36">
        <f t="shared" ref="AG246:AH246" si="1028">AG245</f>
        <v>0</v>
      </c>
      <c r="AH246" s="36">
        <f t="shared" si="1028"/>
        <v>0</v>
      </c>
      <c r="AI246" s="36">
        <f t="shared" ref="AI246" si="1029">AI245</f>
        <v>0</v>
      </c>
      <c r="AJ246" s="36">
        <f t="shared" si="970"/>
        <v>0</v>
      </c>
      <c r="AK246" s="36">
        <f t="shared" si="1019"/>
        <v>0</v>
      </c>
      <c r="AL246" s="36">
        <f t="shared" si="1019"/>
        <v>0</v>
      </c>
      <c r="AM246" s="36">
        <f t="shared" si="1019"/>
        <v>0</v>
      </c>
      <c r="AN246" s="36">
        <f t="shared" si="1019"/>
        <v>0</v>
      </c>
      <c r="AO246" s="36">
        <f t="shared" si="1019"/>
        <v>0</v>
      </c>
      <c r="AP246" s="36">
        <f t="shared" si="1019"/>
        <v>0</v>
      </c>
      <c r="AQ246" s="36">
        <f t="shared" si="992"/>
        <v>0</v>
      </c>
      <c r="AR246" s="36">
        <f t="shared" si="925"/>
        <v>0</v>
      </c>
      <c r="AS246" s="31" t="str">
        <f t="shared" si="861"/>
        <v>SimulationStorage,1,</v>
      </c>
      <c r="AT246" s="31" t="str">
        <f t="shared" si="862"/>
        <v>AnalysisStorage,1,</v>
      </c>
      <c r="AU246" s="31" t="str">
        <f t="shared" si="863"/>
        <v>LogRuleEvaluation,0,</v>
      </c>
      <c r="AV246" s="31" t="str">
        <f t="shared" si="864"/>
        <v>ParallelSimulations,1,</v>
      </c>
      <c r="AW246" s="31" t="str">
        <f t="shared" si="865"/>
        <v>DurationStats,0,</v>
      </c>
      <c r="AX246" s="31" t="str">
        <f t="shared" si="866"/>
        <v>AnalysisThruStep,8,</v>
      </c>
      <c r="AY246" s="31" t="str">
        <f t="shared" si="867"/>
        <v>DontAbortOnErrorsThruStep,8,</v>
      </c>
      <c r="AZ246" s="31" t="str">
        <f t="shared" si="868"/>
        <v>BypassValidFileChecks,1,</v>
      </c>
      <c r="BA246" s="31" t="str">
        <f t="shared" si="869"/>
        <v>BypassInputChecks,0,</v>
      </c>
      <c r="BB246" s="31" t="str">
        <f t="shared" si="870"/>
        <v>BypassUMLHChecks,0,</v>
      </c>
      <c r="BC246" s="31" t="str">
        <f t="shared" si="871"/>
        <v>BypassCheckSimRules,0,</v>
      </c>
      <c r="BD246" s="31" t="str">
        <f t="shared" si="872"/>
        <v>BypassCheckCodeRules,0,</v>
      </c>
      <c r="BE246" s="31" t="str">
        <f t="shared" si="830"/>
        <v>StoreResultsToModelInput,0,</v>
      </c>
      <c r="BF246" s="31" t="str">
        <f t="shared" si="831"/>
        <v>StoreBEMDetails,0,</v>
      </c>
      <c r="BG246" s="31" t="str">
        <f t="shared" si="832"/>
        <v>ModelRpt_ALL,0,</v>
      </c>
      <c r="BH246" s="31" t="str">
        <f t="shared" si="833"/>
        <v>ExportHourlyResults_All,0,</v>
      </c>
      <c r="BI246" s="31" t="str">
        <f t="shared" si="834"/>
        <v>ComplianceReportPDF,0,</v>
      </c>
      <c r="BJ246" s="31" t="str">
        <f t="shared" si="835"/>
        <v>ComplianceReportXML,0,</v>
      </c>
      <c r="BK246" s="31" t="str">
        <f t="shared" si="836"/>
        <v>QuickAnalysis,0,</v>
      </c>
      <c r="BL246" s="31" t="str">
        <f t="shared" si="836"/>
        <v>PromptUserUMLHWarning,0,</v>
      </c>
      <c r="BM246" s="31" t="str">
        <f t="shared" si="837"/>
        <v>BypassOpenStudio_all,0,</v>
      </c>
      <c r="BN246" s="31" t="str">
        <f t="shared" si="838"/>
        <v>BypassOpenStudio_zp,0,</v>
      </c>
      <c r="BO246" s="31" t="str">
        <f t="shared" si="839"/>
        <v>BypassOpenStudio_zb,0,</v>
      </c>
      <c r="BP246" s="31" t="str">
        <f t="shared" si="840"/>
        <v>BypassOpenStudio_ap,0,</v>
      </c>
      <c r="BQ246" s="31" t="str">
        <f t="shared" si="841"/>
        <v>BypassOpenStudio_ab,0,</v>
      </c>
      <c r="BR246" s="31" t="str">
        <f t="shared" si="842"/>
        <v>BypassOpenStudio_zp,0,</v>
      </c>
      <c r="BS246" s="31" t="str">
        <f t="shared" si="843"/>
        <v>BypassOpenStudio_zb,0,</v>
      </c>
      <c r="BT246" s="31" t="str">
        <f t="shared" si="844"/>
        <v>BypassOpenStudio_ap,0,</v>
      </c>
      <c r="BU246" s="31" t="str">
        <f t="shared" si="845"/>
        <v>BypassOpenStudio_ab,0,</v>
      </c>
    </row>
    <row r="247" spans="1:73" x14ac:dyDescent="0.25">
      <c r="A247" s="39">
        <f t="shared" si="846"/>
        <v>0</v>
      </c>
      <c r="B247" s="27" t="str">
        <f t="shared" si="847"/>
        <v>SoftwareSensitivityTests\StreamlinedApprovalSet\0500007-RetlMed-Baseline.cibd</v>
      </c>
      <c r="C247" s="27" t="str">
        <f t="shared" si="848"/>
        <v>BatchOut_160331_r3964_SSTs\0500007-RetlMed-Baseline.cibd</v>
      </c>
      <c r="D247" s="27" t="str">
        <f t="shared" si="849"/>
        <v>BatchOut_160331_r3964_SSTs\XML\</v>
      </c>
      <c r="E247" s="9" t="str">
        <f t="shared" si="850"/>
        <v>0500007</v>
      </c>
      <c r="F247" s="22"/>
      <c r="G247" s="29"/>
      <c r="H247" s="23" t="str">
        <f t="shared" si="851"/>
        <v/>
      </c>
      <c r="I247" s="9" t="s">
        <v>11</v>
      </c>
      <c r="J247"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7" s="15" t="s">
        <v>1</v>
      </c>
      <c r="L247" s="36">
        <f t="shared" si="856"/>
        <v>0</v>
      </c>
      <c r="M247" s="32" t="str">
        <f t="shared" si="852"/>
        <v>0500007</v>
      </c>
      <c r="N247" s="28" t="s">
        <v>326</v>
      </c>
      <c r="O247" s="28" t="str">
        <f t="shared" si="857"/>
        <v>0500007-RetlMed-Baseline</v>
      </c>
      <c r="P247" s="36">
        <f t="shared" si="970"/>
        <v>1</v>
      </c>
      <c r="Q247" s="36">
        <f t="shared" si="970"/>
        <v>1</v>
      </c>
      <c r="R247" s="36">
        <f t="shared" si="970"/>
        <v>0</v>
      </c>
      <c r="S247" s="36">
        <f t="shared" si="970"/>
        <v>1</v>
      </c>
      <c r="T247" s="36">
        <f t="shared" si="970"/>
        <v>0</v>
      </c>
      <c r="U247" s="36">
        <f t="shared" si="970"/>
        <v>8</v>
      </c>
      <c r="V247" s="36">
        <f t="shared" si="970"/>
        <v>8</v>
      </c>
      <c r="W247" s="36">
        <f t="shared" si="970"/>
        <v>1</v>
      </c>
      <c r="X247" s="36">
        <f t="shared" si="970"/>
        <v>0</v>
      </c>
      <c r="Y247" s="36">
        <f t="shared" si="970"/>
        <v>0</v>
      </c>
      <c r="Z247" s="36">
        <f t="shared" si="970"/>
        <v>0</v>
      </c>
      <c r="AA247" s="36">
        <f t="shared" si="970"/>
        <v>0</v>
      </c>
      <c r="AB247" s="36">
        <f t="shared" si="970"/>
        <v>0</v>
      </c>
      <c r="AC247" s="36">
        <f t="shared" si="970"/>
        <v>0</v>
      </c>
      <c r="AD247" s="36">
        <f t="shared" si="970"/>
        <v>0</v>
      </c>
      <c r="AE247" s="36">
        <f t="shared" si="1014"/>
        <v>0</v>
      </c>
      <c r="AF247" s="36">
        <f t="shared" si="1014"/>
        <v>0</v>
      </c>
      <c r="AG247" s="36">
        <f t="shared" ref="AG247:AH247" si="1030">AG246</f>
        <v>0</v>
      </c>
      <c r="AH247" s="36">
        <f t="shared" si="1030"/>
        <v>0</v>
      </c>
      <c r="AI247" s="36">
        <f t="shared" ref="AI247" si="1031">AI246</f>
        <v>0</v>
      </c>
      <c r="AJ247" s="36">
        <f t="shared" si="970"/>
        <v>0</v>
      </c>
      <c r="AK247" s="36">
        <f t="shared" si="1019"/>
        <v>0</v>
      </c>
      <c r="AL247" s="36">
        <f t="shared" si="1019"/>
        <v>0</v>
      </c>
      <c r="AM247" s="36">
        <f t="shared" si="1019"/>
        <v>0</v>
      </c>
      <c r="AN247" s="36">
        <f t="shared" si="1019"/>
        <v>0</v>
      </c>
      <c r="AO247" s="36">
        <f t="shared" si="1019"/>
        <v>0</v>
      </c>
      <c r="AP247" s="36">
        <f t="shared" si="1019"/>
        <v>0</v>
      </c>
      <c r="AQ247" s="36">
        <f t="shared" si="992"/>
        <v>0</v>
      </c>
      <c r="AR247" s="36">
        <f t="shared" si="925"/>
        <v>0</v>
      </c>
      <c r="AS247" s="31" t="str">
        <f t="shared" si="861"/>
        <v>SimulationStorage,1,</v>
      </c>
      <c r="AT247" s="31" t="str">
        <f t="shared" si="862"/>
        <v>AnalysisStorage,1,</v>
      </c>
      <c r="AU247" s="31" t="str">
        <f t="shared" si="863"/>
        <v>LogRuleEvaluation,0,</v>
      </c>
      <c r="AV247" s="31" t="str">
        <f t="shared" si="864"/>
        <v>ParallelSimulations,1,</v>
      </c>
      <c r="AW247" s="31" t="str">
        <f t="shared" si="865"/>
        <v>DurationStats,0,</v>
      </c>
      <c r="AX247" s="31" t="str">
        <f t="shared" si="866"/>
        <v>AnalysisThruStep,8,</v>
      </c>
      <c r="AY247" s="31" t="str">
        <f t="shared" si="867"/>
        <v>DontAbortOnErrorsThruStep,8,</v>
      </c>
      <c r="AZ247" s="31" t="str">
        <f t="shared" si="868"/>
        <v>BypassValidFileChecks,1,</v>
      </c>
      <c r="BA247" s="31" t="str">
        <f t="shared" si="869"/>
        <v>BypassInputChecks,0,</v>
      </c>
      <c r="BB247" s="31" t="str">
        <f t="shared" si="870"/>
        <v>BypassUMLHChecks,0,</v>
      </c>
      <c r="BC247" s="31" t="str">
        <f t="shared" si="871"/>
        <v>BypassCheckSimRules,0,</v>
      </c>
      <c r="BD247" s="31" t="str">
        <f t="shared" si="872"/>
        <v>BypassCheckCodeRules,0,</v>
      </c>
      <c r="BE247" s="31" t="str">
        <f t="shared" si="830"/>
        <v>StoreResultsToModelInput,0,</v>
      </c>
      <c r="BF247" s="31" t="str">
        <f t="shared" si="831"/>
        <v>StoreBEMDetails,0,</v>
      </c>
      <c r="BG247" s="31" t="str">
        <f t="shared" si="832"/>
        <v>ModelRpt_ALL,0,</v>
      </c>
      <c r="BH247" s="31" t="str">
        <f t="shared" si="833"/>
        <v>ExportHourlyResults_All,0,</v>
      </c>
      <c r="BI247" s="31" t="str">
        <f t="shared" si="834"/>
        <v>ComplianceReportPDF,0,</v>
      </c>
      <c r="BJ247" s="31" t="str">
        <f t="shared" si="835"/>
        <v>ComplianceReportXML,0,</v>
      </c>
      <c r="BK247" s="31" t="str">
        <f t="shared" si="836"/>
        <v>QuickAnalysis,0,</v>
      </c>
      <c r="BL247" s="31" t="str">
        <f t="shared" si="836"/>
        <v>PromptUserUMLHWarning,0,</v>
      </c>
      <c r="BM247" s="31" t="str">
        <f t="shared" si="837"/>
        <v>BypassOpenStudio_all,0,</v>
      </c>
      <c r="BN247" s="31" t="str">
        <f t="shared" si="838"/>
        <v>BypassOpenStudio_zp,0,</v>
      </c>
      <c r="BO247" s="31" t="str">
        <f t="shared" si="839"/>
        <v>BypassOpenStudio_zb,0,</v>
      </c>
      <c r="BP247" s="31" t="str">
        <f t="shared" si="840"/>
        <v>BypassOpenStudio_ap,0,</v>
      </c>
      <c r="BQ247" s="31" t="str">
        <f t="shared" si="841"/>
        <v>BypassOpenStudio_ab,0,</v>
      </c>
      <c r="BR247" s="31" t="str">
        <f t="shared" si="842"/>
        <v>BypassOpenStudio_zp,0,</v>
      </c>
      <c r="BS247" s="31" t="str">
        <f t="shared" si="843"/>
        <v>BypassOpenStudio_zb,0,</v>
      </c>
      <c r="BT247" s="31" t="str">
        <f t="shared" si="844"/>
        <v>BypassOpenStudio_ap,0,</v>
      </c>
      <c r="BU247" s="31" t="str">
        <f t="shared" si="845"/>
        <v>BypassOpenStudio_ab,0,</v>
      </c>
    </row>
    <row r="248" spans="1:73" x14ac:dyDescent="0.25">
      <c r="A248" s="39">
        <f t="shared" si="846"/>
        <v>0</v>
      </c>
      <c r="B248" s="27" t="str">
        <f t="shared" si="847"/>
        <v>SoftwareSensitivityTests\StreamlinedApprovalSet\0506007-RetlMed-Daylighting SRRBaseHighVT.cibd</v>
      </c>
      <c r="C248" s="27" t="str">
        <f t="shared" si="848"/>
        <v>BatchOut_160331_r3964_SSTs\0506007-RetlMed-Daylighting SRRBaseHighVT.cibd</v>
      </c>
      <c r="D248" s="27" t="str">
        <f t="shared" si="849"/>
        <v>BatchOut_160331_r3964_SSTs\XML\</v>
      </c>
      <c r="E248" s="9" t="str">
        <f t="shared" si="850"/>
        <v>0506007</v>
      </c>
      <c r="F248" s="22"/>
      <c r="G248" s="29"/>
      <c r="H248" s="23" t="str">
        <f t="shared" si="851"/>
        <v/>
      </c>
      <c r="I248" s="9" t="s">
        <v>11</v>
      </c>
      <c r="J248"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8" s="15" t="s">
        <v>1</v>
      </c>
      <c r="L248" s="36">
        <f t="shared" si="856"/>
        <v>0</v>
      </c>
      <c r="M248" s="32" t="str">
        <f t="shared" si="852"/>
        <v>0506007</v>
      </c>
      <c r="N248" s="28" t="s">
        <v>327</v>
      </c>
      <c r="O248" s="28" t="str">
        <f t="shared" si="857"/>
        <v>0506007-RetlMed-Daylighting SRRBaseHighVT</v>
      </c>
      <c r="P248" s="36">
        <f t="shared" si="970"/>
        <v>1</v>
      </c>
      <c r="Q248" s="36">
        <f t="shared" si="970"/>
        <v>1</v>
      </c>
      <c r="R248" s="36">
        <f t="shared" si="970"/>
        <v>0</v>
      </c>
      <c r="S248" s="36">
        <f t="shared" si="970"/>
        <v>1</v>
      </c>
      <c r="T248" s="36">
        <f t="shared" si="970"/>
        <v>0</v>
      </c>
      <c r="U248" s="36">
        <f t="shared" si="970"/>
        <v>8</v>
      </c>
      <c r="V248" s="36">
        <f t="shared" si="970"/>
        <v>8</v>
      </c>
      <c r="W248" s="36">
        <f t="shared" si="970"/>
        <v>1</v>
      </c>
      <c r="X248" s="36">
        <f t="shared" si="970"/>
        <v>0</v>
      </c>
      <c r="Y248" s="36">
        <f t="shared" si="970"/>
        <v>0</v>
      </c>
      <c r="Z248" s="36">
        <f t="shared" si="970"/>
        <v>0</v>
      </c>
      <c r="AA248" s="36">
        <f t="shared" si="970"/>
        <v>0</v>
      </c>
      <c r="AB248" s="36">
        <f t="shared" si="970"/>
        <v>0</v>
      </c>
      <c r="AC248" s="36">
        <f t="shared" si="970"/>
        <v>0</v>
      </c>
      <c r="AD248" s="36">
        <f t="shared" si="970"/>
        <v>0</v>
      </c>
      <c r="AE248" s="36">
        <f t="shared" si="1014"/>
        <v>0</v>
      </c>
      <c r="AF248" s="36">
        <f t="shared" si="1014"/>
        <v>0</v>
      </c>
      <c r="AG248" s="36">
        <f t="shared" ref="AG248:AH248" si="1032">AG247</f>
        <v>0</v>
      </c>
      <c r="AH248" s="36">
        <f t="shared" si="1032"/>
        <v>0</v>
      </c>
      <c r="AI248" s="36">
        <f t="shared" ref="AI248" si="1033">AI247</f>
        <v>0</v>
      </c>
      <c r="AJ248" s="36">
        <f t="shared" si="970"/>
        <v>0</v>
      </c>
      <c r="AK248" s="36">
        <f t="shared" si="1019"/>
        <v>0</v>
      </c>
      <c r="AL248" s="36">
        <f t="shared" si="1019"/>
        <v>0</v>
      </c>
      <c r="AM248" s="36">
        <f t="shared" si="1019"/>
        <v>0</v>
      </c>
      <c r="AN248" s="36">
        <f t="shared" si="1019"/>
        <v>0</v>
      </c>
      <c r="AO248" s="36">
        <f t="shared" si="1019"/>
        <v>0</v>
      </c>
      <c r="AP248" s="36">
        <f t="shared" si="1019"/>
        <v>0</v>
      </c>
      <c r="AQ248" s="36">
        <f t="shared" si="992"/>
        <v>0</v>
      </c>
      <c r="AR248" s="36">
        <f t="shared" si="925"/>
        <v>0</v>
      </c>
      <c r="AS248" s="31" t="str">
        <f t="shared" si="861"/>
        <v>SimulationStorage,1,</v>
      </c>
      <c r="AT248" s="31" t="str">
        <f t="shared" si="862"/>
        <v>AnalysisStorage,1,</v>
      </c>
      <c r="AU248" s="31" t="str">
        <f t="shared" si="863"/>
        <v>LogRuleEvaluation,0,</v>
      </c>
      <c r="AV248" s="31" t="str">
        <f t="shared" si="864"/>
        <v>ParallelSimulations,1,</v>
      </c>
      <c r="AW248" s="31" t="str">
        <f t="shared" si="865"/>
        <v>DurationStats,0,</v>
      </c>
      <c r="AX248" s="31" t="str">
        <f t="shared" si="866"/>
        <v>AnalysisThruStep,8,</v>
      </c>
      <c r="AY248" s="31" t="str">
        <f t="shared" si="867"/>
        <v>DontAbortOnErrorsThruStep,8,</v>
      </c>
      <c r="AZ248" s="31" t="str">
        <f t="shared" si="868"/>
        <v>BypassValidFileChecks,1,</v>
      </c>
      <c r="BA248" s="31" t="str">
        <f t="shared" si="869"/>
        <v>BypassInputChecks,0,</v>
      </c>
      <c r="BB248" s="31" t="str">
        <f t="shared" si="870"/>
        <v>BypassUMLHChecks,0,</v>
      </c>
      <c r="BC248" s="31" t="str">
        <f t="shared" si="871"/>
        <v>BypassCheckSimRules,0,</v>
      </c>
      <c r="BD248" s="31" t="str">
        <f t="shared" si="872"/>
        <v>BypassCheckCodeRules,0,</v>
      </c>
      <c r="BE248" s="31" t="str">
        <f t="shared" si="830"/>
        <v>StoreResultsToModelInput,0,</v>
      </c>
      <c r="BF248" s="31" t="str">
        <f t="shared" si="831"/>
        <v>StoreBEMDetails,0,</v>
      </c>
      <c r="BG248" s="31" t="str">
        <f t="shared" si="832"/>
        <v>ModelRpt_ALL,0,</v>
      </c>
      <c r="BH248" s="31" t="str">
        <f t="shared" si="833"/>
        <v>ExportHourlyResults_All,0,</v>
      </c>
      <c r="BI248" s="31" t="str">
        <f t="shared" si="834"/>
        <v>ComplianceReportPDF,0,</v>
      </c>
      <c r="BJ248" s="31" t="str">
        <f t="shared" si="835"/>
        <v>ComplianceReportXML,0,</v>
      </c>
      <c r="BK248" s="31" t="str">
        <f t="shared" si="836"/>
        <v>QuickAnalysis,0,</v>
      </c>
      <c r="BL248" s="31" t="str">
        <f t="shared" si="836"/>
        <v>PromptUserUMLHWarning,0,</v>
      </c>
      <c r="BM248" s="31" t="str">
        <f t="shared" si="837"/>
        <v>BypassOpenStudio_all,0,</v>
      </c>
      <c r="BN248" s="31" t="str">
        <f t="shared" si="838"/>
        <v>BypassOpenStudio_zp,0,</v>
      </c>
      <c r="BO248" s="31" t="str">
        <f t="shared" si="839"/>
        <v>BypassOpenStudio_zb,0,</v>
      </c>
      <c r="BP248" s="31" t="str">
        <f t="shared" si="840"/>
        <v>BypassOpenStudio_ap,0,</v>
      </c>
      <c r="BQ248" s="31" t="str">
        <f t="shared" si="841"/>
        <v>BypassOpenStudio_ab,0,</v>
      </c>
      <c r="BR248" s="31" t="str">
        <f t="shared" si="842"/>
        <v>BypassOpenStudio_zp,0,</v>
      </c>
      <c r="BS248" s="31" t="str">
        <f t="shared" si="843"/>
        <v>BypassOpenStudio_zb,0,</v>
      </c>
      <c r="BT248" s="31" t="str">
        <f t="shared" si="844"/>
        <v>BypassOpenStudio_ap,0,</v>
      </c>
      <c r="BU248" s="31" t="str">
        <f t="shared" si="845"/>
        <v>BypassOpenStudio_ab,0,</v>
      </c>
    </row>
    <row r="249" spans="1:73" x14ac:dyDescent="0.25">
      <c r="A249" s="39">
        <f t="shared" si="846"/>
        <v>0</v>
      </c>
      <c r="B249" s="27" t="str">
        <f t="shared" si="847"/>
        <v>SoftwareSensitivityTests\StreamlinedApprovalSet\0506107-RetlMed-Daylighting SRR4.67.cibd</v>
      </c>
      <c r="C249" s="27" t="str">
        <f t="shared" si="848"/>
        <v>BatchOut_160331_r3964_SSTs\0506107-RetlMed-Daylighting SRR4.67.cibd</v>
      </c>
      <c r="D249" s="27" t="str">
        <f t="shared" si="849"/>
        <v>BatchOut_160331_r3964_SSTs\XML\</v>
      </c>
      <c r="E249" s="9" t="str">
        <f t="shared" si="850"/>
        <v>0506107</v>
      </c>
      <c r="F249" s="22"/>
      <c r="G249" s="29"/>
      <c r="H249" s="23" t="str">
        <f t="shared" si="851"/>
        <v/>
      </c>
      <c r="I249" s="9" t="s">
        <v>11</v>
      </c>
      <c r="J249"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9" s="15" t="s">
        <v>1</v>
      </c>
      <c r="L249" s="36">
        <f t="shared" si="856"/>
        <v>0</v>
      </c>
      <c r="M249" s="32" t="str">
        <f t="shared" si="852"/>
        <v>0506107</v>
      </c>
      <c r="N249" s="28" t="s">
        <v>328</v>
      </c>
      <c r="O249" s="28" t="str">
        <f t="shared" si="857"/>
        <v>0506107-RetlMed-Daylighting SRR4.67</v>
      </c>
      <c r="P249" s="36">
        <f t="shared" si="970"/>
        <v>1</v>
      </c>
      <c r="Q249" s="36">
        <f t="shared" si="970"/>
        <v>1</v>
      </c>
      <c r="R249" s="36">
        <f t="shared" si="970"/>
        <v>0</v>
      </c>
      <c r="S249" s="36">
        <f t="shared" si="970"/>
        <v>1</v>
      </c>
      <c r="T249" s="36">
        <f t="shared" si="970"/>
        <v>0</v>
      </c>
      <c r="U249" s="36">
        <f t="shared" si="970"/>
        <v>8</v>
      </c>
      <c r="V249" s="36">
        <f t="shared" si="970"/>
        <v>8</v>
      </c>
      <c r="W249" s="36">
        <f t="shared" si="970"/>
        <v>1</v>
      </c>
      <c r="X249" s="36">
        <f t="shared" si="970"/>
        <v>0</v>
      </c>
      <c r="Y249" s="36">
        <f t="shared" si="970"/>
        <v>0</v>
      </c>
      <c r="Z249" s="36">
        <f t="shared" si="970"/>
        <v>0</v>
      </c>
      <c r="AA249" s="36">
        <f t="shared" si="970"/>
        <v>0</v>
      </c>
      <c r="AB249" s="36">
        <f t="shared" si="970"/>
        <v>0</v>
      </c>
      <c r="AC249" s="36">
        <f t="shared" si="970"/>
        <v>0</v>
      </c>
      <c r="AD249" s="36">
        <f t="shared" si="970"/>
        <v>0</v>
      </c>
      <c r="AE249" s="36">
        <f t="shared" si="1014"/>
        <v>0</v>
      </c>
      <c r="AF249" s="36">
        <f t="shared" si="1014"/>
        <v>0</v>
      </c>
      <c r="AG249" s="36">
        <f t="shared" ref="AG249:AH249" si="1034">AG248</f>
        <v>0</v>
      </c>
      <c r="AH249" s="36">
        <f t="shared" si="1034"/>
        <v>0</v>
      </c>
      <c r="AI249" s="36">
        <f t="shared" ref="AI249" si="1035">AI248</f>
        <v>0</v>
      </c>
      <c r="AJ249" s="36">
        <f t="shared" si="970"/>
        <v>0</v>
      </c>
      <c r="AK249" s="36">
        <f t="shared" si="1019"/>
        <v>0</v>
      </c>
      <c r="AL249" s="36">
        <f t="shared" si="1019"/>
        <v>0</v>
      </c>
      <c r="AM249" s="36">
        <f t="shared" si="1019"/>
        <v>0</v>
      </c>
      <c r="AN249" s="36">
        <f t="shared" si="1019"/>
        <v>0</v>
      </c>
      <c r="AO249" s="36">
        <f t="shared" si="1019"/>
        <v>0</v>
      </c>
      <c r="AP249" s="36">
        <f t="shared" si="1019"/>
        <v>0</v>
      </c>
      <c r="AQ249" s="36">
        <f t="shared" si="992"/>
        <v>0</v>
      </c>
      <c r="AR249" s="36">
        <f t="shared" si="925"/>
        <v>0</v>
      </c>
      <c r="AS249" s="31" t="str">
        <f t="shared" si="861"/>
        <v>SimulationStorage,1,</v>
      </c>
      <c r="AT249" s="31" t="str">
        <f t="shared" si="862"/>
        <v>AnalysisStorage,1,</v>
      </c>
      <c r="AU249" s="31" t="str">
        <f t="shared" si="863"/>
        <v>LogRuleEvaluation,0,</v>
      </c>
      <c r="AV249" s="31" t="str">
        <f t="shared" si="864"/>
        <v>ParallelSimulations,1,</v>
      </c>
      <c r="AW249" s="31" t="str">
        <f t="shared" si="865"/>
        <v>DurationStats,0,</v>
      </c>
      <c r="AX249" s="31" t="str">
        <f t="shared" si="866"/>
        <v>AnalysisThruStep,8,</v>
      </c>
      <c r="AY249" s="31" t="str">
        <f t="shared" si="867"/>
        <v>DontAbortOnErrorsThruStep,8,</v>
      </c>
      <c r="AZ249" s="31" t="str">
        <f t="shared" si="868"/>
        <v>BypassValidFileChecks,1,</v>
      </c>
      <c r="BA249" s="31" t="str">
        <f t="shared" si="869"/>
        <v>BypassInputChecks,0,</v>
      </c>
      <c r="BB249" s="31" t="str">
        <f t="shared" si="870"/>
        <v>BypassUMLHChecks,0,</v>
      </c>
      <c r="BC249" s="31" t="str">
        <f t="shared" si="871"/>
        <v>BypassCheckSimRules,0,</v>
      </c>
      <c r="BD249" s="31" t="str">
        <f t="shared" si="872"/>
        <v>BypassCheckCodeRules,0,</v>
      </c>
      <c r="BE249" s="31" t="str">
        <f t="shared" si="830"/>
        <v>StoreResultsToModelInput,0,</v>
      </c>
      <c r="BF249" s="31" t="str">
        <f t="shared" si="831"/>
        <v>StoreBEMDetails,0,</v>
      </c>
      <c r="BG249" s="31" t="str">
        <f t="shared" si="832"/>
        <v>ModelRpt_ALL,0,</v>
      </c>
      <c r="BH249" s="31" t="str">
        <f t="shared" si="833"/>
        <v>ExportHourlyResults_All,0,</v>
      </c>
      <c r="BI249" s="31" t="str">
        <f t="shared" si="834"/>
        <v>ComplianceReportPDF,0,</v>
      </c>
      <c r="BJ249" s="31" t="str">
        <f t="shared" si="835"/>
        <v>ComplianceReportXML,0,</v>
      </c>
      <c r="BK249" s="31" t="str">
        <f t="shared" si="836"/>
        <v>QuickAnalysis,0,</v>
      </c>
      <c r="BL249" s="31" t="str">
        <f t="shared" si="836"/>
        <v>PromptUserUMLHWarning,0,</v>
      </c>
      <c r="BM249" s="31" t="str">
        <f t="shared" si="837"/>
        <v>BypassOpenStudio_all,0,</v>
      </c>
      <c r="BN249" s="31" t="str">
        <f t="shared" si="838"/>
        <v>BypassOpenStudio_zp,0,</v>
      </c>
      <c r="BO249" s="31" t="str">
        <f t="shared" si="839"/>
        <v>BypassOpenStudio_zb,0,</v>
      </c>
      <c r="BP249" s="31" t="str">
        <f t="shared" si="840"/>
        <v>BypassOpenStudio_ap,0,</v>
      </c>
      <c r="BQ249" s="31" t="str">
        <f t="shared" si="841"/>
        <v>BypassOpenStudio_ab,0,</v>
      </c>
      <c r="BR249" s="31" t="str">
        <f t="shared" si="842"/>
        <v>BypassOpenStudio_zp,0,</v>
      </c>
      <c r="BS249" s="31" t="str">
        <f t="shared" si="843"/>
        <v>BypassOpenStudio_zb,0,</v>
      </c>
      <c r="BT249" s="31" t="str">
        <f t="shared" si="844"/>
        <v>BypassOpenStudio_ap,0,</v>
      </c>
      <c r="BU249" s="31" t="str">
        <f t="shared" si="845"/>
        <v>BypassOpenStudio_ab,0,</v>
      </c>
    </row>
    <row r="250" spans="1:73" x14ac:dyDescent="0.25">
      <c r="A250" s="39">
        <f t="shared" si="846"/>
        <v>0</v>
      </c>
      <c r="B250" s="27" t="str">
        <f t="shared" si="847"/>
        <v>SoftwareSensitivityTests\StreamlinedApprovalSet\0506207-RetlMed-Daylighting SRR4.67HighVT.cibd</v>
      </c>
      <c r="C250" s="27" t="str">
        <f t="shared" si="848"/>
        <v>BatchOut_160331_r3964_SSTs\0506207-RetlMed-Daylighting SRR4.67HighVT.cibd</v>
      </c>
      <c r="D250" s="27" t="str">
        <f t="shared" si="849"/>
        <v>BatchOut_160331_r3964_SSTs\XML\</v>
      </c>
      <c r="E250" s="9" t="str">
        <f t="shared" si="850"/>
        <v>0506207</v>
      </c>
      <c r="F250" s="22"/>
      <c r="G250" s="29"/>
      <c r="H250" s="23" t="str">
        <f t="shared" si="851"/>
        <v/>
      </c>
      <c r="I250" s="9" t="s">
        <v>11</v>
      </c>
      <c r="J250" s="94" t="str">
        <f t="shared" si="827"/>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0" s="15" t="s">
        <v>1</v>
      </c>
      <c r="L250" s="36">
        <f t="shared" si="856"/>
        <v>0</v>
      </c>
      <c r="M250" s="32" t="str">
        <f t="shared" si="852"/>
        <v>0506207</v>
      </c>
      <c r="N250" s="28" t="s">
        <v>329</v>
      </c>
      <c r="O250" s="28" t="str">
        <f t="shared" si="857"/>
        <v>0506207-RetlMed-Daylighting SRR4.67HighVT</v>
      </c>
      <c r="P250" s="36">
        <f t="shared" si="970"/>
        <v>1</v>
      </c>
      <c r="Q250" s="36">
        <f t="shared" si="970"/>
        <v>1</v>
      </c>
      <c r="R250" s="36">
        <f t="shared" si="970"/>
        <v>0</v>
      </c>
      <c r="S250" s="36">
        <f t="shared" si="970"/>
        <v>1</v>
      </c>
      <c r="T250" s="36">
        <f t="shared" si="970"/>
        <v>0</v>
      </c>
      <c r="U250" s="36">
        <f t="shared" si="970"/>
        <v>8</v>
      </c>
      <c r="V250" s="36">
        <f t="shared" si="970"/>
        <v>8</v>
      </c>
      <c r="W250" s="36">
        <f t="shared" si="970"/>
        <v>1</v>
      </c>
      <c r="X250" s="36">
        <f t="shared" si="970"/>
        <v>0</v>
      </c>
      <c r="Y250" s="36">
        <f t="shared" si="970"/>
        <v>0</v>
      </c>
      <c r="Z250" s="36">
        <f t="shared" si="970"/>
        <v>0</v>
      </c>
      <c r="AA250" s="36">
        <f t="shared" si="970"/>
        <v>0</v>
      </c>
      <c r="AB250" s="36">
        <f t="shared" si="970"/>
        <v>0</v>
      </c>
      <c r="AC250" s="36">
        <f t="shared" si="970"/>
        <v>0</v>
      </c>
      <c r="AD250" s="36">
        <f t="shared" si="970"/>
        <v>0</v>
      </c>
      <c r="AE250" s="36">
        <f t="shared" si="1014"/>
        <v>0</v>
      </c>
      <c r="AF250" s="36">
        <f t="shared" si="1014"/>
        <v>0</v>
      </c>
      <c r="AG250" s="36">
        <f t="shared" ref="AG250:AH250" si="1036">AG249</f>
        <v>0</v>
      </c>
      <c r="AH250" s="36">
        <f t="shared" si="1036"/>
        <v>0</v>
      </c>
      <c r="AI250" s="36">
        <f t="shared" ref="AI250" si="1037">AI249</f>
        <v>0</v>
      </c>
      <c r="AJ250" s="36">
        <f t="shared" si="970"/>
        <v>0</v>
      </c>
      <c r="AK250" s="36">
        <f t="shared" si="1019"/>
        <v>0</v>
      </c>
      <c r="AL250" s="36">
        <f t="shared" si="1019"/>
        <v>0</v>
      </c>
      <c r="AM250" s="36">
        <f t="shared" si="1019"/>
        <v>0</v>
      </c>
      <c r="AN250" s="36">
        <f t="shared" si="1019"/>
        <v>0</v>
      </c>
      <c r="AO250" s="36">
        <f t="shared" si="1019"/>
        <v>0</v>
      </c>
      <c r="AP250" s="36">
        <f t="shared" si="1019"/>
        <v>0</v>
      </c>
      <c r="AQ250" s="36">
        <f t="shared" si="992"/>
        <v>0</v>
      </c>
      <c r="AR250" s="36">
        <f t="shared" si="925"/>
        <v>0</v>
      </c>
      <c r="AS250" s="31" t="str">
        <f t="shared" si="861"/>
        <v>SimulationStorage,1,</v>
      </c>
      <c r="AT250" s="31" t="str">
        <f t="shared" si="862"/>
        <v>AnalysisStorage,1,</v>
      </c>
      <c r="AU250" s="31" t="str">
        <f t="shared" si="863"/>
        <v>LogRuleEvaluation,0,</v>
      </c>
      <c r="AV250" s="31" t="str">
        <f t="shared" si="864"/>
        <v>ParallelSimulations,1,</v>
      </c>
      <c r="AW250" s="31" t="str">
        <f t="shared" si="865"/>
        <v>DurationStats,0,</v>
      </c>
      <c r="AX250" s="31" t="str">
        <f t="shared" si="866"/>
        <v>AnalysisThruStep,8,</v>
      </c>
      <c r="AY250" s="31" t="str">
        <f t="shared" si="867"/>
        <v>DontAbortOnErrorsThruStep,8,</v>
      </c>
      <c r="AZ250" s="31" t="str">
        <f t="shared" si="868"/>
        <v>BypassValidFileChecks,1,</v>
      </c>
      <c r="BA250" s="31" t="str">
        <f t="shared" si="869"/>
        <v>BypassInputChecks,0,</v>
      </c>
      <c r="BB250" s="31" t="str">
        <f t="shared" si="870"/>
        <v>BypassUMLHChecks,0,</v>
      </c>
      <c r="BC250" s="31" t="str">
        <f t="shared" si="871"/>
        <v>BypassCheckSimRules,0,</v>
      </c>
      <c r="BD250" s="31" t="str">
        <f t="shared" si="872"/>
        <v>BypassCheckCodeRules,0,</v>
      </c>
      <c r="BE250" s="31" t="str">
        <f t="shared" si="830"/>
        <v>StoreResultsToModelInput,0,</v>
      </c>
      <c r="BF250" s="31" t="str">
        <f t="shared" si="831"/>
        <v>StoreBEMDetails,0,</v>
      </c>
      <c r="BG250" s="31" t="str">
        <f t="shared" si="832"/>
        <v>ModelRpt_ALL,0,</v>
      </c>
      <c r="BH250" s="31" t="str">
        <f t="shared" si="833"/>
        <v>ExportHourlyResults_All,0,</v>
      </c>
      <c r="BI250" s="31" t="str">
        <f t="shared" si="834"/>
        <v>ComplianceReportPDF,0,</v>
      </c>
      <c r="BJ250" s="31" t="str">
        <f t="shared" si="835"/>
        <v>ComplianceReportXML,0,</v>
      </c>
      <c r="BK250" s="31" t="str">
        <f t="shared" si="836"/>
        <v>QuickAnalysis,0,</v>
      </c>
      <c r="BL250" s="31" t="str">
        <f t="shared" si="836"/>
        <v>PromptUserUMLHWarning,0,</v>
      </c>
      <c r="BM250" s="31" t="str">
        <f t="shared" si="837"/>
        <v>BypassOpenStudio_all,0,</v>
      </c>
      <c r="BN250" s="31" t="str">
        <f t="shared" si="838"/>
        <v>BypassOpenStudio_zp,0,</v>
      </c>
      <c r="BO250" s="31" t="str">
        <f t="shared" si="839"/>
        <v>BypassOpenStudio_zb,0,</v>
      </c>
      <c r="BP250" s="31" t="str">
        <f t="shared" si="840"/>
        <v>BypassOpenStudio_ap,0,</v>
      </c>
      <c r="BQ250" s="31" t="str">
        <f t="shared" si="841"/>
        <v>BypassOpenStudio_ab,0,</v>
      </c>
      <c r="BR250" s="31" t="str">
        <f t="shared" si="842"/>
        <v>BypassOpenStudio_zp,0,</v>
      </c>
      <c r="BS250" s="31" t="str">
        <f t="shared" si="843"/>
        <v>BypassOpenStudio_zb,0,</v>
      </c>
      <c r="BT250" s="31" t="str">
        <f t="shared" si="844"/>
        <v>BypassOpenStudio_ap,0,</v>
      </c>
      <c r="BU250" s="31" t="str">
        <f t="shared" si="845"/>
        <v>BypassOpenStudio_ab,0,</v>
      </c>
    </row>
    <row r="251" spans="1:73" x14ac:dyDescent="0.25">
      <c r="A251" s="39">
        <f t="shared" si="846"/>
        <v>0</v>
      </c>
      <c r="B251" s="27" t="str">
        <f t="shared" si="847"/>
        <v>SoftwareSensitivityTests\StreamlinedApprovalSet\0500001-RetlMed-Baseline.cibd</v>
      </c>
      <c r="C251" s="27" t="str">
        <f t="shared" si="848"/>
        <v>BatchOut_160331_r3964_SSTs\0500001-RetlMed-Baseline.cibd</v>
      </c>
      <c r="D251" s="27" t="str">
        <f t="shared" si="849"/>
        <v>BatchOut_160331_r3964_SSTs\XML\</v>
      </c>
      <c r="E251" s="9" t="str">
        <f t="shared" si="850"/>
        <v>0500001</v>
      </c>
      <c r="F251" s="22"/>
      <c r="G251" s="29"/>
      <c r="H251" s="23" t="str">
        <f t="shared" si="851"/>
        <v/>
      </c>
      <c r="I251" s="9" t="s">
        <v>11</v>
      </c>
      <c r="J251" s="94" t="str">
        <f t="shared" ref="J251:J260" si="1038">CONCATENATE(AS251,AT251,AU251,AV251,AW251,AX251,AY251,AZ251,BA251,BB251,BC251,BD251,BE251,BF251,BG251,BH251,BI251,BJ251,BK251,BL251,BM251,BN251,BO251,BP251,BQ251,BR251,BS251,BT251,BU251)</f>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1" s="15" t="s">
        <v>1</v>
      </c>
      <c r="L251" s="36">
        <f t="shared" si="856"/>
        <v>0</v>
      </c>
      <c r="M251" s="32" t="str">
        <f t="shared" si="852"/>
        <v>0500001</v>
      </c>
      <c r="N251" s="28" t="s">
        <v>330</v>
      </c>
      <c r="O251" s="28" t="str">
        <f t="shared" si="857"/>
        <v>0500001-RetlMed-Baseline</v>
      </c>
      <c r="P251" s="36">
        <f t="shared" si="970"/>
        <v>1</v>
      </c>
      <c r="Q251" s="36">
        <f t="shared" si="970"/>
        <v>1</v>
      </c>
      <c r="R251" s="36">
        <f t="shared" si="970"/>
        <v>0</v>
      </c>
      <c r="S251" s="36">
        <f t="shared" si="970"/>
        <v>1</v>
      </c>
      <c r="T251" s="36">
        <f t="shared" si="970"/>
        <v>0</v>
      </c>
      <c r="U251" s="36">
        <f t="shared" ref="U251:AO260" si="1039">U250</f>
        <v>8</v>
      </c>
      <c r="V251" s="36">
        <f t="shared" si="1039"/>
        <v>8</v>
      </c>
      <c r="W251" s="36">
        <f t="shared" si="1039"/>
        <v>1</v>
      </c>
      <c r="X251" s="36">
        <f t="shared" si="1039"/>
        <v>0</v>
      </c>
      <c r="Y251" s="36">
        <f t="shared" si="1039"/>
        <v>0</v>
      </c>
      <c r="Z251" s="36">
        <f t="shared" si="1039"/>
        <v>0</v>
      </c>
      <c r="AA251" s="36">
        <f t="shared" si="1039"/>
        <v>0</v>
      </c>
      <c r="AB251" s="36">
        <f t="shared" si="1039"/>
        <v>0</v>
      </c>
      <c r="AC251" s="36">
        <f t="shared" si="1039"/>
        <v>0</v>
      </c>
      <c r="AD251" s="36">
        <f t="shared" si="1039"/>
        <v>0</v>
      </c>
      <c r="AE251" s="36">
        <f t="shared" ref="AE251:AF251" si="1040">AE250</f>
        <v>0</v>
      </c>
      <c r="AF251" s="36">
        <f t="shared" si="1040"/>
        <v>0</v>
      </c>
      <c r="AG251" s="36">
        <f t="shared" ref="AG251:AH251" si="1041">AG250</f>
        <v>0</v>
      </c>
      <c r="AH251" s="36">
        <f t="shared" si="1041"/>
        <v>0</v>
      </c>
      <c r="AI251" s="36">
        <f t="shared" ref="AI251" si="1042">AI250</f>
        <v>0</v>
      </c>
      <c r="AJ251" s="36">
        <f t="shared" si="1039"/>
        <v>0</v>
      </c>
      <c r="AK251" s="36">
        <f t="shared" si="1019"/>
        <v>0</v>
      </c>
      <c r="AL251" s="36">
        <f t="shared" si="1019"/>
        <v>0</v>
      </c>
      <c r="AM251" s="36">
        <f t="shared" si="1019"/>
        <v>0</v>
      </c>
      <c r="AN251" s="36">
        <f t="shared" si="1019"/>
        <v>0</v>
      </c>
      <c r="AO251" s="36">
        <f t="shared" si="1019"/>
        <v>0</v>
      </c>
      <c r="AP251" s="36">
        <f t="shared" si="1019"/>
        <v>0</v>
      </c>
      <c r="AQ251" s="36">
        <f t="shared" si="992"/>
        <v>0</v>
      </c>
      <c r="AR251" s="36">
        <f t="shared" si="925"/>
        <v>0</v>
      </c>
      <c r="AS251" s="31" t="str">
        <f t="shared" si="861"/>
        <v>SimulationStorage,1,</v>
      </c>
      <c r="AT251" s="31" t="str">
        <f t="shared" si="862"/>
        <v>AnalysisStorage,1,</v>
      </c>
      <c r="AU251" s="31" t="str">
        <f t="shared" si="863"/>
        <v>LogRuleEvaluation,0,</v>
      </c>
      <c r="AV251" s="31" t="str">
        <f t="shared" si="864"/>
        <v>ParallelSimulations,1,</v>
      </c>
      <c r="AW251" s="31" t="str">
        <f t="shared" si="865"/>
        <v>DurationStats,0,</v>
      </c>
      <c r="AX251" s="31" t="str">
        <f t="shared" si="866"/>
        <v>AnalysisThruStep,8,</v>
      </c>
      <c r="AY251" s="31" t="str">
        <f t="shared" si="867"/>
        <v>DontAbortOnErrorsThruStep,8,</v>
      </c>
      <c r="AZ251" s="31" t="str">
        <f t="shared" si="868"/>
        <v>BypassValidFileChecks,1,</v>
      </c>
      <c r="BA251" s="31" t="str">
        <f t="shared" si="869"/>
        <v>BypassInputChecks,0,</v>
      </c>
      <c r="BB251" s="31" t="str">
        <f t="shared" si="870"/>
        <v>BypassUMLHChecks,0,</v>
      </c>
      <c r="BC251" s="31" t="str">
        <f t="shared" si="871"/>
        <v>BypassCheckSimRules,0,</v>
      </c>
      <c r="BD251" s="31" t="str">
        <f t="shared" si="872"/>
        <v>BypassCheckCodeRules,0,</v>
      </c>
      <c r="BE251" s="31" t="str">
        <f t="shared" ref="BE251:BE253" si="1043">AB$13&amp;AB251&amp;","</f>
        <v>StoreResultsToModelInput,0,</v>
      </c>
      <c r="BF251" s="31" t="str">
        <f t="shared" ref="BF251:BF253" si="1044">AC$13&amp;AC251&amp;","</f>
        <v>StoreBEMDetails,0,</v>
      </c>
      <c r="BG251" s="31" t="str">
        <f t="shared" ref="BG251:BG253" si="1045">AD$13&amp;AD251&amp;","</f>
        <v>ModelRpt_ALL,0,</v>
      </c>
      <c r="BH251" s="31" t="str">
        <f t="shared" ref="BH251:BH253" si="1046">AE$13&amp;AE251&amp;","</f>
        <v>ExportHourlyResults_All,0,</v>
      </c>
      <c r="BI251" s="31" t="str">
        <f t="shared" ref="BI251:BI253" si="1047">AF$13&amp;AF251&amp;","</f>
        <v>ComplianceReportPDF,0,</v>
      </c>
      <c r="BJ251" s="31" t="str">
        <f t="shared" ref="BJ251:BJ253" si="1048">AG$13&amp;AG251&amp;","</f>
        <v>ComplianceReportXML,0,</v>
      </c>
      <c r="BK251" s="31" t="str">
        <f t="shared" ref="BK251:BL253" si="1049">AH$13&amp;AH251&amp;","</f>
        <v>QuickAnalysis,0,</v>
      </c>
      <c r="BL251" s="31" t="str">
        <f t="shared" si="1049"/>
        <v>PromptUserUMLHWarning,0,</v>
      </c>
      <c r="BM251" s="31" t="str">
        <f t="shared" ref="BM251:BM253" si="1050">AJ$13&amp;AJ251&amp;","</f>
        <v>BypassOpenStudio_all,0,</v>
      </c>
      <c r="BN251" s="31" t="str">
        <f t="shared" ref="BN251:BN253" si="1051">AK$13&amp;AK251&amp;","</f>
        <v>BypassOpenStudio_zp,0,</v>
      </c>
      <c r="BO251" s="31" t="str">
        <f t="shared" ref="BO251:BO253" si="1052">AL$13&amp;AL251&amp;","</f>
        <v>BypassOpenStudio_zb,0,</v>
      </c>
      <c r="BP251" s="31" t="str">
        <f t="shared" ref="BP251:BP253" si="1053">AM$13&amp;AM251&amp;","</f>
        <v>BypassOpenStudio_ap,0,</v>
      </c>
      <c r="BQ251" s="31" t="str">
        <f t="shared" ref="BQ251:BQ253" si="1054">AN$13&amp;AN251&amp;","</f>
        <v>BypassOpenStudio_ab,0,</v>
      </c>
      <c r="BR251" s="31" t="str">
        <f t="shared" ref="BR251:BR253" si="1055">AO$13&amp;AO251&amp;","</f>
        <v>BypassOpenStudio_zp,0,</v>
      </c>
      <c r="BS251" s="31" t="str">
        <f t="shared" ref="BS251:BS253" si="1056">AP$13&amp;AP251&amp;","</f>
        <v>BypassOpenStudio_zb,0,</v>
      </c>
      <c r="BT251" s="31" t="str">
        <f t="shared" ref="BT251:BT253" si="1057">AQ$13&amp;AQ251&amp;","</f>
        <v>BypassOpenStudio_ap,0,</v>
      </c>
      <c r="BU251" s="31" t="str">
        <f t="shared" ref="BU251:BU253" si="1058">AR$13&amp;AR251&amp;","</f>
        <v>BypassOpenStudio_ab,0,</v>
      </c>
    </row>
    <row r="252" spans="1:73" x14ac:dyDescent="0.25">
      <c r="A252" s="39">
        <f t="shared" ref="A252:A260" si="1059">L252</f>
        <v>0</v>
      </c>
      <c r="B252" s="27" t="str">
        <f t="shared" ref="B252:B260" si="1060">M$119&amp;N252&amp;".cibd"</f>
        <v>SoftwareSensitivityTests\StreamlinedApprovalSet\0506301-RetlMed-Daylighting SRRBaseHighVT.cibd</v>
      </c>
      <c r="C252" s="27" t="str">
        <f t="shared" ref="C252:C260" si="1061" xml:space="preserve"> M$120 &amp; O252 &amp; ".cibd"</f>
        <v>BatchOut_160331_r3964_SSTs\0506301-RetlMed-Daylighting SRRBaseHighVT.cibd</v>
      </c>
      <c r="D252" s="27" t="str">
        <f t="shared" ref="D252:D260" si="1062">$M$121</f>
        <v>BatchOut_160331_r3964_SSTs\XML\</v>
      </c>
      <c r="E252" s="9" t="str">
        <f t="shared" ref="E252:E260" si="1063">M252</f>
        <v>0506301</v>
      </c>
      <c r="F252" s="22"/>
      <c r="G252" s="29"/>
      <c r="H252" s="23" t="str">
        <f t="shared" ref="H252:H260" si="1064">IF(F252&gt;1,1,"")</f>
        <v/>
      </c>
      <c r="I252" s="9" t="s">
        <v>11</v>
      </c>
      <c r="J252"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2" s="15" t="s">
        <v>1</v>
      </c>
      <c r="L252" s="36">
        <f t="shared" si="856"/>
        <v>0</v>
      </c>
      <c r="M252" s="32" t="str">
        <f t="shared" ref="M252:M260" si="1065">LEFT(N252,7)</f>
        <v>0506301</v>
      </c>
      <c r="N252" s="28" t="s">
        <v>331</v>
      </c>
      <c r="O252" s="28" t="str">
        <f t="shared" si="857"/>
        <v>0506301-RetlMed-Daylighting SRRBaseHighVT</v>
      </c>
      <c r="P252" s="36">
        <f t="shared" ref="P252:T260" si="1066">P251</f>
        <v>1</v>
      </c>
      <c r="Q252" s="36">
        <f t="shared" si="1066"/>
        <v>1</v>
      </c>
      <c r="R252" s="36">
        <f t="shared" si="1066"/>
        <v>0</v>
      </c>
      <c r="S252" s="36">
        <f t="shared" si="1066"/>
        <v>1</v>
      </c>
      <c r="T252" s="36">
        <f t="shared" si="1066"/>
        <v>0</v>
      </c>
      <c r="U252" s="36">
        <f t="shared" si="1039"/>
        <v>8</v>
      </c>
      <c r="V252" s="36">
        <f t="shared" si="1039"/>
        <v>8</v>
      </c>
      <c r="W252" s="36">
        <f t="shared" si="1039"/>
        <v>1</v>
      </c>
      <c r="X252" s="36">
        <f t="shared" si="1039"/>
        <v>0</v>
      </c>
      <c r="Y252" s="36">
        <f t="shared" si="1039"/>
        <v>0</v>
      </c>
      <c r="Z252" s="36">
        <f t="shared" si="1039"/>
        <v>0</v>
      </c>
      <c r="AA252" s="36">
        <f t="shared" si="1039"/>
        <v>0</v>
      </c>
      <c r="AB252" s="36">
        <f t="shared" si="1039"/>
        <v>0</v>
      </c>
      <c r="AC252" s="36">
        <f t="shared" si="1039"/>
        <v>0</v>
      </c>
      <c r="AD252" s="36">
        <f t="shared" si="1039"/>
        <v>0</v>
      </c>
      <c r="AE252" s="36">
        <f t="shared" ref="AE252:AF252" si="1067">AE251</f>
        <v>0</v>
      </c>
      <c r="AF252" s="36">
        <f t="shared" si="1067"/>
        <v>0</v>
      </c>
      <c r="AG252" s="36">
        <f t="shared" ref="AG252:AH252" si="1068">AG251</f>
        <v>0</v>
      </c>
      <c r="AH252" s="36">
        <f t="shared" si="1068"/>
        <v>0</v>
      </c>
      <c r="AI252" s="36">
        <f t="shared" ref="AI252" si="1069">AI251</f>
        <v>0</v>
      </c>
      <c r="AJ252" s="36">
        <f t="shared" si="1039"/>
        <v>0</v>
      </c>
      <c r="AK252" s="36">
        <f t="shared" si="1019"/>
        <v>0</v>
      </c>
      <c r="AL252" s="36">
        <f t="shared" si="1019"/>
        <v>0</v>
      </c>
      <c r="AM252" s="36">
        <f t="shared" si="1019"/>
        <v>0</v>
      </c>
      <c r="AN252" s="36">
        <f t="shared" si="1019"/>
        <v>0</v>
      </c>
      <c r="AO252" s="36">
        <f t="shared" si="1019"/>
        <v>0</v>
      </c>
      <c r="AP252" s="36">
        <f t="shared" si="1019"/>
        <v>0</v>
      </c>
      <c r="AQ252" s="36">
        <f t="shared" si="992"/>
        <v>0</v>
      </c>
      <c r="AR252" s="36">
        <f t="shared" si="925"/>
        <v>0</v>
      </c>
      <c r="AS252" s="31" t="str">
        <f t="shared" si="861"/>
        <v>SimulationStorage,1,</v>
      </c>
      <c r="AT252" s="31" t="str">
        <f t="shared" si="862"/>
        <v>AnalysisStorage,1,</v>
      </c>
      <c r="AU252" s="31" t="str">
        <f t="shared" si="863"/>
        <v>LogRuleEvaluation,0,</v>
      </c>
      <c r="AV252" s="31" t="str">
        <f t="shared" si="864"/>
        <v>ParallelSimulations,1,</v>
      </c>
      <c r="AW252" s="31" t="str">
        <f t="shared" si="865"/>
        <v>DurationStats,0,</v>
      </c>
      <c r="AX252" s="31" t="str">
        <f t="shared" si="866"/>
        <v>AnalysisThruStep,8,</v>
      </c>
      <c r="AY252" s="31" t="str">
        <f t="shared" si="867"/>
        <v>DontAbortOnErrorsThruStep,8,</v>
      </c>
      <c r="AZ252" s="31" t="str">
        <f t="shared" si="868"/>
        <v>BypassValidFileChecks,1,</v>
      </c>
      <c r="BA252" s="31" t="str">
        <f t="shared" si="869"/>
        <v>BypassInputChecks,0,</v>
      </c>
      <c r="BB252" s="31" t="str">
        <f t="shared" si="870"/>
        <v>BypassUMLHChecks,0,</v>
      </c>
      <c r="BC252" s="31" t="str">
        <f t="shared" si="871"/>
        <v>BypassCheckSimRules,0,</v>
      </c>
      <c r="BD252" s="31" t="str">
        <f t="shared" si="872"/>
        <v>BypassCheckCodeRules,0,</v>
      </c>
      <c r="BE252" s="31" t="str">
        <f t="shared" si="1043"/>
        <v>StoreResultsToModelInput,0,</v>
      </c>
      <c r="BF252" s="31" t="str">
        <f t="shared" si="1044"/>
        <v>StoreBEMDetails,0,</v>
      </c>
      <c r="BG252" s="31" t="str">
        <f t="shared" si="1045"/>
        <v>ModelRpt_ALL,0,</v>
      </c>
      <c r="BH252" s="31" t="str">
        <f t="shared" si="1046"/>
        <v>ExportHourlyResults_All,0,</v>
      </c>
      <c r="BI252" s="31" t="str">
        <f t="shared" si="1047"/>
        <v>ComplianceReportPDF,0,</v>
      </c>
      <c r="BJ252" s="31" t="str">
        <f t="shared" si="1048"/>
        <v>ComplianceReportXML,0,</v>
      </c>
      <c r="BK252" s="31" t="str">
        <f t="shared" si="1049"/>
        <v>QuickAnalysis,0,</v>
      </c>
      <c r="BL252" s="31" t="str">
        <f t="shared" si="1049"/>
        <v>PromptUserUMLHWarning,0,</v>
      </c>
      <c r="BM252" s="31" t="str">
        <f t="shared" si="1050"/>
        <v>BypassOpenStudio_all,0,</v>
      </c>
      <c r="BN252" s="31" t="str">
        <f t="shared" si="1051"/>
        <v>BypassOpenStudio_zp,0,</v>
      </c>
      <c r="BO252" s="31" t="str">
        <f t="shared" si="1052"/>
        <v>BypassOpenStudio_zb,0,</v>
      </c>
      <c r="BP252" s="31" t="str">
        <f t="shared" si="1053"/>
        <v>BypassOpenStudio_ap,0,</v>
      </c>
      <c r="BQ252" s="31" t="str">
        <f t="shared" si="1054"/>
        <v>BypassOpenStudio_ab,0,</v>
      </c>
      <c r="BR252" s="31" t="str">
        <f t="shared" si="1055"/>
        <v>BypassOpenStudio_zp,0,</v>
      </c>
      <c r="BS252" s="31" t="str">
        <f t="shared" si="1056"/>
        <v>BypassOpenStudio_zb,0,</v>
      </c>
      <c r="BT252" s="31" t="str">
        <f t="shared" si="1057"/>
        <v>BypassOpenStudio_ap,0,</v>
      </c>
      <c r="BU252" s="31" t="str">
        <f t="shared" si="1058"/>
        <v>BypassOpenStudio_ab,0,</v>
      </c>
    </row>
    <row r="253" spans="1:73" x14ac:dyDescent="0.25">
      <c r="A253" s="39">
        <f t="shared" si="1059"/>
        <v>0</v>
      </c>
      <c r="B253" s="27" t="str">
        <f t="shared" si="1060"/>
        <v>SoftwareSensitivityTests\StreamlinedApprovalSet\0506501-RetlMed-Daylighting SRR4.67HighVT.cibd</v>
      </c>
      <c r="C253" s="27" t="str">
        <f t="shared" si="1061"/>
        <v>BatchOut_160331_r3964_SSTs\0506501-RetlMed-Daylighting SRR4.67HighVT.cibd</v>
      </c>
      <c r="D253" s="27" t="str">
        <f t="shared" si="1062"/>
        <v>BatchOut_160331_r3964_SSTs\XML\</v>
      </c>
      <c r="E253" s="9" t="str">
        <f t="shared" si="1063"/>
        <v>0506501</v>
      </c>
      <c r="F253" s="22"/>
      <c r="G253" s="29"/>
      <c r="H253" s="23" t="str">
        <f t="shared" si="1064"/>
        <v/>
      </c>
      <c r="I253" s="9" t="s">
        <v>11</v>
      </c>
      <c r="J253"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3" s="15" t="s">
        <v>1</v>
      </c>
      <c r="L253" s="36">
        <f t="shared" ref="L253:L260" si="1070">L252</f>
        <v>0</v>
      </c>
      <c r="M253" s="32" t="str">
        <f t="shared" si="1065"/>
        <v>0506501</v>
      </c>
      <c r="N253" s="28" t="s">
        <v>332</v>
      </c>
      <c r="O253" s="28" t="str">
        <f t="shared" ref="O253:O260" si="1071">N253</f>
        <v>0506501-RetlMed-Daylighting SRR4.67HighVT</v>
      </c>
      <c r="P253" s="36">
        <f t="shared" si="1066"/>
        <v>1</v>
      </c>
      <c r="Q253" s="36">
        <f t="shared" si="1066"/>
        <v>1</v>
      </c>
      <c r="R253" s="36">
        <f t="shared" si="1066"/>
        <v>0</v>
      </c>
      <c r="S253" s="36">
        <f t="shared" si="1066"/>
        <v>1</v>
      </c>
      <c r="T253" s="36">
        <f t="shared" si="1066"/>
        <v>0</v>
      </c>
      <c r="U253" s="36">
        <f t="shared" si="1039"/>
        <v>8</v>
      </c>
      <c r="V253" s="36">
        <f t="shared" si="1039"/>
        <v>8</v>
      </c>
      <c r="W253" s="36">
        <f t="shared" si="1039"/>
        <v>1</v>
      </c>
      <c r="X253" s="36">
        <f t="shared" si="1039"/>
        <v>0</v>
      </c>
      <c r="Y253" s="36">
        <f t="shared" si="1039"/>
        <v>0</v>
      </c>
      <c r="Z253" s="36">
        <f t="shared" si="1039"/>
        <v>0</v>
      </c>
      <c r="AA253" s="36">
        <f t="shared" si="1039"/>
        <v>0</v>
      </c>
      <c r="AB253" s="36">
        <f t="shared" si="1039"/>
        <v>0</v>
      </c>
      <c r="AC253" s="36">
        <f t="shared" si="1039"/>
        <v>0</v>
      </c>
      <c r="AD253" s="36">
        <f t="shared" si="1039"/>
        <v>0</v>
      </c>
      <c r="AE253" s="36">
        <f t="shared" ref="AE253:AF253" si="1072">AE252</f>
        <v>0</v>
      </c>
      <c r="AF253" s="36">
        <f t="shared" si="1072"/>
        <v>0</v>
      </c>
      <c r="AG253" s="36">
        <f t="shared" ref="AG253:AH253" si="1073">AG252</f>
        <v>0</v>
      </c>
      <c r="AH253" s="36">
        <f t="shared" si="1073"/>
        <v>0</v>
      </c>
      <c r="AI253" s="36">
        <f t="shared" ref="AI253" si="1074">AI252</f>
        <v>0</v>
      </c>
      <c r="AJ253" s="36">
        <f t="shared" si="1039"/>
        <v>0</v>
      </c>
      <c r="AK253" s="36">
        <f t="shared" si="1019"/>
        <v>0</v>
      </c>
      <c r="AL253" s="36">
        <f t="shared" si="1019"/>
        <v>0</v>
      </c>
      <c r="AM253" s="36">
        <f t="shared" si="1019"/>
        <v>0</v>
      </c>
      <c r="AN253" s="36">
        <f t="shared" si="1019"/>
        <v>0</v>
      </c>
      <c r="AO253" s="36">
        <f t="shared" si="1019"/>
        <v>0</v>
      </c>
      <c r="AP253" s="36">
        <f t="shared" si="1019"/>
        <v>0</v>
      </c>
      <c r="AQ253" s="36">
        <f t="shared" si="992"/>
        <v>0</v>
      </c>
      <c r="AR253" s="36">
        <f t="shared" si="925"/>
        <v>0</v>
      </c>
      <c r="AS253" s="31" t="str">
        <f t="shared" ref="AS253:AS260" si="1075">P$13&amp;P253&amp;","</f>
        <v>SimulationStorage,1,</v>
      </c>
      <c r="AT253" s="31" t="str">
        <f t="shared" ref="AT253:AT260" si="1076">Q$13&amp;Q253&amp;","</f>
        <v>AnalysisStorage,1,</v>
      </c>
      <c r="AU253" s="31" t="str">
        <f t="shared" ref="AU253:AU260" si="1077">R$13&amp;R253&amp;","</f>
        <v>LogRuleEvaluation,0,</v>
      </c>
      <c r="AV253" s="31" t="str">
        <f t="shared" ref="AV253:AV260" si="1078">S$13&amp;S253&amp;","</f>
        <v>ParallelSimulations,1,</v>
      </c>
      <c r="AW253" s="31" t="str">
        <f t="shared" ref="AW253:AW260" si="1079">T$13&amp;T253&amp;","</f>
        <v>DurationStats,0,</v>
      </c>
      <c r="AX253" s="31" t="str">
        <f t="shared" ref="AX253:AX260" si="1080">U$13&amp;U253&amp;","</f>
        <v>AnalysisThruStep,8,</v>
      </c>
      <c r="AY253" s="31" t="str">
        <f t="shared" ref="AY253:AY260" si="1081">V$13&amp;V253&amp;","</f>
        <v>DontAbortOnErrorsThruStep,8,</v>
      </c>
      <c r="AZ253" s="31" t="str">
        <f t="shared" ref="AZ253:AZ260" si="1082">W$13&amp;W253&amp;","</f>
        <v>BypassValidFileChecks,1,</v>
      </c>
      <c r="BA253" s="31" t="str">
        <f t="shared" ref="BA253:BA260" si="1083">X$13&amp;X253&amp;","</f>
        <v>BypassInputChecks,0,</v>
      </c>
      <c r="BB253" s="31" t="str">
        <f t="shared" ref="BB253:BB260" si="1084">Y$13&amp;Y253&amp;","</f>
        <v>BypassUMLHChecks,0,</v>
      </c>
      <c r="BC253" s="31" t="str">
        <f t="shared" ref="BC253:BC260" si="1085">Z$13&amp;Z253&amp;","</f>
        <v>BypassCheckSimRules,0,</v>
      </c>
      <c r="BD253" s="31" t="str">
        <f t="shared" ref="BD253" si="1086">AA$13&amp;AA253&amp;","</f>
        <v>BypassCheckCodeRules,0,</v>
      </c>
      <c r="BE253" s="31" t="str">
        <f t="shared" si="1043"/>
        <v>StoreResultsToModelInput,0,</v>
      </c>
      <c r="BF253" s="31" t="str">
        <f t="shared" si="1044"/>
        <v>StoreBEMDetails,0,</v>
      </c>
      <c r="BG253" s="31" t="str">
        <f t="shared" si="1045"/>
        <v>ModelRpt_ALL,0,</v>
      </c>
      <c r="BH253" s="31" t="str">
        <f t="shared" si="1046"/>
        <v>ExportHourlyResults_All,0,</v>
      </c>
      <c r="BI253" s="31" t="str">
        <f t="shared" si="1047"/>
        <v>ComplianceReportPDF,0,</v>
      </c>
      <c r="BJ253" s="31" t="str">
        <f t="shared" si="1048"/>
        <v>ComplianceReportXML,0,</v>
      </c>
      <c r="BK253" s="31" t="str">
        <f t="shared" si="1049"/>
        <v>QuickAnalysis,0,</v>
      </c>
      <c r="BL253" s="31" t="str">
        <f t="shared" si="1049"/>
        <v>PromptUserUMLHWarning,0,</v>
      </c>
      <c r="BM253" s="31" t="str">
        <f t="shared" si="1050"/>
        <v>BypassOpenStudio_all,0,</v>
      </c>
      <c r="BN253" s="31" t="str">
        <f t="shared" si="1051"/>
        <v>BypassOpenStudio_zp,0,</v>
      </c>
      <c r="BO253" s="31" t="str">
        <f t="shared" si="1052"/>
        <v>BypassOpenStudio_zb,0,</v>
      </c>
      <c r="BP253" s="31" t="str">
        <f t="shared" si="1053"/>
        <v>BypassOpenStudio_ap,0,</v>
      </c>
      <c r="BQ253" s="31" t="str">
        <f t="shared" si="1054"/>
        <v>BypassOpenStudio_ab,0,</v>
      </c>
      <c r="BR253" s="31" t="str">
        <f t="shared" si="1055"/>
        <v>BypassOpenStudio_zp,0,</v>
      </c>
      <c r="BS253" s="31" t="str">
        <f t="shared" si="1056"/>
        <v>BypassOpenStudio_zb,0,</v>
      </c>
      <c r="BT253" s="31" t="str">
        <f t="shared" si="1057"/>
        <v>BypassOpenStudio_ap,0,</v>
      </c>
      <c r="BU253" s="31" t="str">
        <f t="shared" si="1058"/>
        <v>BypassOpenStudio_ab,0,</v>
      </c>
    </row>
    <row r="254" spans="1:73" x14ac:dyDescent="0.25">
      <c r="A254" s="39">
        <f t="shared" si="1059"/>
        <v>0</v>
      </c>
      <c r="B254" s="27" t="str">
        <f t="shared" si="1060"/>
        <v>SoftwareSensitivityTests\StreamlinedApprovalSet\0506401-RetlMed-Daylighting SRR4.67.cibd</v>
      </c>
      <c r="C254" s="27" t="str">
        <f t="shared" si="1061"/>
        <v>BatchOut_160331_r3964_SSTs\0506401-RetlMed-Daylighting SRR4.67.cibd</v>
      </c>
      <c r="D254" s="27" t="str">
        <f t="shared" si="1062"/>
        <v>BatchOut_160331_r3964_SSTs\XML\</v>
      </c>
      <c r="E254" s="9" t="str">
        <f t="shared" si="1063"/>
        <v>0506401</v>
      </c>
      <c r="F254" s="22"/>
      <c r="G254" s="29"/>
      <c r="H254" s="23" t="str">
        <f t="shared" si="1064"/>
        <v/>
      </c>
      <c r="I254" s="9" t="s">
        <v>11</v>
      </c>
      <c r="J254"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4" s="15" t="s">
        <v>1</v>
      </c>
      <c r="L254" s="36">
        <f t="shared" si="1070"/>
        <v>0</v>
      </c>
      <c r="M254" s="32" t="str">
        <f t="shared" si="1065"/>
        <v>0506401</v>
      </c>
      <c r="N254" s="28" t="s">
        <v>333</v>
      </c>
      <c r="O254" s="28" t="str">
        <f t="shared" si="1071"/>
        <v>0506401-RetlMed-Daylighting SRR4.67</v>
      </c>
      <c r="P254" s="36">
        <f t="shared" si="1066"/>
        <v>1</v>
      </c>
      <c r="Q254" s="36">
        <f t="shared" si="1066"/>
        <v>1</v>
      </c>
      <c r="R254" s="36">
        <f t="shared" si="1066"/>
        <v>0</v>
      </c>
      <c r="S254" s="36">
        <f t="shared" si="1066"/>
        <v>1</v>
      </c>
      <c r="T254" s="36">
        <f t="shared" si="1066"/>
        <v>0</v>
      </c>
      <c r="U254" s="36">
        <f t="shared" si="1039"/>
        <v>8</v>
      </c>
      <c r="V254" s="36">
        <f t="shared" si="1039"/>
        <v>8</v>
      </c>
      <c r="W254" s="36">
        <f t="shared" si="1039"/>
        <v>1</v>
      </c>
      <c r="X254" s="36">
        <f t="shared" si="1039"/>
        <v>0</v>
      </c>
      <c r="Y254" s="36">
        <f t="shared" si="1039"/>
        <v>0</v>
      </c>
      <c r="Z254" s="36">
        <f t="shared" si="1039"/>
        <v>0</v>
      </c>
      <c r="AA254" s="36">
        <f t="shared" si="1039"/>
        <v>0</v>
      </c>
      <c r="AB254" s="36">
        <f t="shared" si="1039"/>
        <v>0</v>
      </c>
      <c r="AC254" s="36">
        <f t="shared" si="1039"/>
        <v>0</v>
      </c>
      <c r="AD254" s="36">
        <f t="shared" si="1039"/>
        <v>0</v>
      </c>
      <c r="AE254" s="36">
        <f t="shared" ref="AE254:AF254" si="1087">AE253</f>
        <v>0</v>
      </c>
      <c r="AF254" s="36">
        <f t="shared" si="1087"/>
        <v>0</v>
      </c>
      <c r="AG254" s="36">
        <f t="shared" ref="AG254:AH254" si="1088">AG253</f>
        <v>0</v>
      </c>
      <c r="AH254" s="36">
        <f t="shared" si="1088"/>
        <v>0</v>
      </c>
      <c r="AI254" s="36">
        <f t="shared" ref="AI254" si="1089">AI253</f>
        <v>0</v>
      </c>
      <c r="AJ254" s="36">
        <f t="shared" si="1039"/>
        <v>0</v>
      </c>
      <c r="AK254" s="36">
        <f t="shared" si="1019"/>
        <v>0</v>
      </c>
      <c r="AL254" s="36">
        <f t="shared" si="1019"/>
        <v>0</v>
      </c>
      <c r="AM254" s="36">
        <f t="shared" si="1019"/>
        <v>0</v>
      </c>
      <c r="AN254" s="36">
        <f t="shared" si="1019"/>
        <v>0</v>
      </c>
      <c r="AO254" s="36">
        <f t="shared" si="1019"/>
        <v>0</v>
      </c>
      <c r="AP254" s="36">
        <f t="shared" si="1019"/>
        <v>0</v>
      </c>
      <c r="AQ254" s="36">
        <f t="shared" si="992"/>
        <v>0</v>
      </c>
      <c r="AR254" s="36">
        <f t="shared" si="925"/>
        <v>0</v>
      </c>
      <c r="AS254" s="31" t="str">
        <f t="shared" si="1075"/>
        <v>SimulationStorage,1,</v>
      </c>
      <c r="AT254" s="31" t="str">
        <f t="shared" si="1076"/>
        <v>AnalysisStorage,1,</v>
      </c>
      <c r="AU254" s="31" t="str">
        <f t="shared" si="1077"/>
        <v>LogRuleEvaluation,0,</v>
      </c>
      <c r="AV254" s="31" t="str">
        <f t="shared" si="1078"/>
        <v>ParallelSimulations,1,</v>
      </c>
      <c r="AW254" s="31" t="str">
        <f t="shared" si="1079"/>
        <v>DurationStats,0,</v>
      </c>
      <c r="AX254" s="31" t="str">
        <f t="shared" si="1080"/>
        <v>AnalysisThruStep,8,</v>
      </c>
      <c r="AY254" s="31" t="str">
        <f t="shared" si="1081"/>
        <v>DontAbortOnErrorsThruStep,8,</v>
      </c>
      <c r="AZ254" s="31" t="str">
        <f t="shared" si="1082"/>
        <v>BypassValidFileChecks,1,</v>
      </c>
      <c r="BA254" s="31" t="str">
        <f t="shared" si="1083"/>
        <v>BypassInputChecks,0,</v>
      </c>
      <c r="BB254" s="31" t="str">
        <f t="shared" si="1084"/>
        <v>BypassUMLHChecks,0,</v>
      </c>
      <c r="BC254" s="31" t="str">
        <f t="shared" si="1085"/>
        <v>BypassCheckSimRules,0,</v>
      </c>
      <c r="BD254" s="31" t="str">
        <f t="shared" ref="BD254:BD260" si="1090">AA$13&amp;AA254&amp;","</f>
        <v>BypassCheckCodeRules,0,</v>
      </c>
      <c r="BE254" s="31" t="str">
        <f t="shared" ref="BE254:BE260" si="1091">AB$13&amp;AB254&amp;","</f>
        <v>StoreResultsToModelInput,0,</v>
      </c>
      <c r="BF254" s="31" t="str">
        <f t="shared" ref="BF254:BF260" si="1092">AC$13&amp;AC254&amp;","</f>
        <v>StoreBEMDetails,0,</v>
      </c>
      <c r="BG254" s="31" t="str">
        <f t="shared" ref="BG254:BG260" si="1093">AD$13&amp;AD254&amp;","</f>
        <v>ModelRpt_ALL,0,</v>
      </c>
      <c r="BH254" s="31" t="str">
        <f t="shared" ref="BH254:BH260" si="1094">AE$13&amp;AE254&amp;","</f>
        <v>ExportHourlyResults_All,0,</v>
      </c>
      <c r="BI254" s="31" t="str">
        <f t="shared" ref="BI254:BI260" si="1095">AF$13&amp;AF254&amp;","</f>
        <v>ComplianceReportPDF,0,</v>
      </c>
      <c r="BJ254" s="31" t="str">
        <f t="shared" ref="BJ254:BJ260" si="1096">AG$13&amp;AG254&amp;","</f>
        <v>ComplianceReportXML,0,</v>
      </c>
      <c r="BK254" s="31" t="str">
        <f t="shared" ref="BK254:BL260" si="1097">AH$13&amp;AH254&amp;","</f>
        <v>QuickAnalysis,0,</v>
      </c>
      <c r="BL254" s="31" t="str">
        <f t="shared" si="1097"/>
        <v>PromptUserUMLHWarning,0,</v>
      </c>
      <c r="BM254" s="31" t="str">
        <f t="shared" ref="BM254:BM260" si="1098">AJ$13&amp;AJ254&amp;","</f>
        <v>BypassOpenStudio_all,0,</v>
      </c>
      <c r="BN254" s="31" t="str">
        <f t="shared" ref="BN254:BN260" si="1099">AK$13&amp;AK254&amp;","</f>
        <v>BypassOpenStudio_zp,0,</v>
      </c>
      <c r="BO254" s="31" t="str">
        <f t="shared" ref="BO254:BO260" si="1100">AL$13&amp;AL254&amp;","</f>
        <v>BypassOpenStudio_zb,0,</v>
      </c>
      <c r="BP254" s="31" t="str">
        <f t="shared" ref="BP254:BP260" si="1101">AM$13&amp;AM254&amp;","</f>
        <v>BypassOpenStudio_ap,0,</v>
      </c>
      <c r="BQ254" s="31" t="str">
        <f t="shared" ref="BQ254:BQ260" si="1102">AN$13&amp;AN254&amp;","</f>
        <v>BypassOpenStudio_ab,0,</v>
      </c>
      <c r="BR254" s="31" t="str">
        <f t="shared" ref="BR254:BR260" si="1103">AO$13&amp;AO254&amp;","</f>
        <v>BypassOpenStudio_zp,0,</v>
      </c>
      <c r="BS254" s="31" t="str">
        <f t="shared" ref="BS254:BS260" si="1104">AP$13&amp;AP254&amp;","</f>
        <v>BypassOpenStudio_zb,0,</v>
      </c>
      <c r="BT254" s="31" t="str">
        <f t="shared" ref="BT254:BT260" si="1105">AQ$13&amp;AQ254&amp;","</f>
        <v>BypassOpenStudio_ap,0,</v>
      </c>
      <c r="BU254" s="31" t="str">
        <f t="shared" ref="BU254:BU260" si="1106">AR$13&amp;AR254&amp;","</f>
        <v>BypassOpenStudio_ab,0,</v>
      </c>
    </row>
    <row r="255" spans="1:73" x14ac:dyDescent="0.25">
      <c r="A255" s="39">
        <f t="shared" si="1059"/>
        <v>0</v>
      </c>
      <c r="B255" s="27" t="str">
        <f t="shared" si="1060"/>
        <v>SoftwareSensitivityTests\StreamlinedApprovalSet\0500516-RetlMed-EnvelopeWallInsulation.cibd</v>
      </c>
      <c r="C255" s="27" t="str">
        <f t="shared" si="1061"/>
        <v>BatchOut_160331_r3964_SSTs\0500516-RetlMed-EnvelopeWallInsulation.cibd</v>
      </c>
      <c r="D255" s="27" t="str">
        <f t="shared" si="1062"/>
        <v>BatchOut_160331_r3964_SSTs\XML\</v>
      </c>
      <c r="E255" s="9" t="str">
        <f t="shared" si="1063"/>
        <v>0500516</v>
      </c>
      <c r="F255" s="22"/>
      <c r="G255" s="29"/>
      <c r="H255" s="23" t="str">
        <f t="shared" si="1064"/>
        <v/>
      </c>
      <c r="I255" s="9" t="s">
        <v>11</v>
      </c>
      <c r="J255"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5" s="15" t="s">
        <v>1</v>
      </c>
      <c r="L255" s="36">
        <f t="shared" si="1070"/>
        <v>0</v>
      </c>
      <c r="M255" s="32" t="str">
        <f t="shared" si="1065"/>
        <v>0500516</v>
      </c>
      <c r="N255" s="28" t="s">
        <v>334</v>
      </c>
      <c r="O255" s="28" t="str">
        <f t="shared" si="1071"/>
        <v>0500516-RetlMed-EnvelopeWallInsulation</v>
      </c>
      <c r="P255" s="36">
        <f t="shared" si="1066"/>
        <v>1</v>
      </c>
      <c r="Q255" s="36">
        <f t="shared" si="1066"/>
        <v>1</v>
      </c>
      <c r="R255" s="36">
        <f t="shared" si="1066"/>
        <v>0</v>
      </c>
      <c r="S255" s="36">
        <f t="shared" si="1066"/>
        <v>1</v>
      </c>
      <c r="T255" s="36">
        <f t="shared" si="1066"/>
        <v>0</v>
      </c>
      <c r="U255" s="36">
        <f t="shared" si="1039"/>
        <v>8</v>
      </c>
      <c r="V255" s="36">
        <f t="shared" si="1039"/>
        <v>8</v>
      </c>
      <c r="W255" s="36">
        <f t="shared" si="1039"/>
        <v>1</v>
      </c>
      <c r="X255" s="36">
        <f t="shared" si="1039"/>
        <v>0</v>
      </c>
      <c r="Y255" s="36">
        <f t="shared" si="1039"/>
        <v>0</v>
      </c>
      <c r="Z255" s="36">
        <f t="shared" si="1039"/>
        <v>0</v>
      </c>
      <c r="AA255" s="36">
        <f t="shared" si="1039"/>
        <v>0</v>
      </c>
      <c r="AB255" s="36">
        <f t="shared" si="1039"/>
        <v>0</v>
      </c>
      <c r="AC255" s="36">
        <f t="shared" si="1039"/>
        <v>0</v>
      </c>
      <c r="AD255" s="36">
        <f t="shared" si="1039"/>
        <v>0</v>
      </c>
      <c r="AE255" s="36">
        <f t="shared" ref="AE255:AF255" si="1107">AE254</f>
        <v>0</v>
      </c>
      <c r="AF255" s="36">
        <f t="shared" si="1107"/>
        <v>0</v>
      </c>
      <c r="AG255" s="36">
        <f t="shared" ref="AG255:AH255" si="1108">AG254</f>
        <v>0</v>
      </c>
      <c r="AH255" s="36">
        <f t="shared" si="1108"/>
        <v>0</v>
      </c>
      <c r="AI255" s="36">
        <f t="shared" ref="AI255" si="1109">AI254</f>
        <v>0</v>
      </c>
      <c r="AJ255" s="36">
        <f t="shared" si="1039"/>
        <v>0</v>
      </c>
      <c r="AK255" s="36">
        <f t="shared" si="1019"/>
        <v>0</v>
      </c>
      <c r="AL255" s="36">
        <f t="shared" si="1019"/>
        <v>0</v>
      </c>
      <c r="AM255" s="36">
        <f t="shared" si="1019"/>
        <v>0</v>
      </c>
      <c r="AN255" s="36">
        <f t="shared" si="1019"/>
        <v>0</v>
      </c>
      <c r="AO255" s="36">
        <f t="shared" si="1019"/>
        <v>0</v>
      </c>
      <c r="AP255" s="36">
        <f t="shared" si="1019"/>
        <v>0</v>
      </c>
      <c r="AQ255" s="36">
        <f t="shared" si="992"/>
        <v>0</v>
      </c>
      <c r="AR255" s="36">
        <f t="shared" si="925"/>
        <v>0</v>
      </c>
      <c r="AS255" s="31" t="str">
        <f t="shared" si="1075"/>
        <v>SimulationStorage,1,</v>
      </c>
      <c r="AT255" s="31" t="str">
        <f t="shared" si="1076"/>
        <v>AnalysisStorage,1,</v>
      </c>
      <c r="AU255" s="31" t="str">
        <f t="shared" si="1077"/>
        <v>LogRuleEvaluation,0,</v>
      </c>
      <c r="AV255" s="31" t="str">
        <f t="shared" si="1078"/>
        <v>ParallelSimulations,1,</v>
      </c>
      <c r="AW255" s="31" t="str">
        <f t="shared" si="1079"/>
        <v>DurationStats,0,</v>
      </c>
      <c r="AX255" s="31" t="str">
        <f t="shared" si="1080"/>
        <v>AnalysisThruStep,8,</v>
      </c>
      <c r="AY255" s="31" t="str">
        <f t="shared" si="1081"/>
        <v>DontAbortOnErrorsThruStep,8,</v>
      </c>
      <c r="AZ255" s="31" t="str">
        <f t="shared" si="1082"/>
        <v>BypassValidFileChecks,1,</v>
      </c>
      <c r="BA255" s="31" t="str">
        <f t="shared" si="1083"/>
        <v>BypassInputChecks,0,</v>
      </c>
      <c r="BB255" s="31" t="str">
        <f t="shared" si="1084"/>
        <v>BypassUMLHChecks,0,</v>
      </c>
      <c r="BC255" s="31" t="str">
        <f t="shared" si="1085"/>
        <v>BypassCheckSimRules,0,</v>
      </c>
      <c r="BD255" s="31" t="str">
        <f t="shared" si="1090"/>
        <v>BypassCheckCodeRules,0,</v>
      </c>
      <c r="BE255" s="31" t="str">
        <f t="shared" si="1091"/>
        <v>StoreResultsToModelInput,0,</v>
      </c>
      <c r="BF255" s="31" t="str">
        <f t="shared" si="1092"/>
        <v>StoreBEMDetails,0,</v>
      </c>
      <c r="BG255" s="31" t="str">
        <f t="shared" si="1093"/>
        <v>ModelRpt_ALL,0,</v>
      </c>
      <c r="BH255" s="31" t="str">
        <f t="shared" si="1094"/>
        <v>ExportHourlyResults_All,0,</v>
      </c>
      <c r="BI255" s="31" t="str">
        <f t="shared" si="1095"/>
        <v>ComplianceReportPDF,0,</v>
      </c>
      <c r="BJ255" s="31" t="str">
        <f t="shared" si="1096"/>
        <v>ComplianceReportXML,0,</v>
      </c>
      <c r="BK255" s="31" t="str">
        <f t="shared" si="1097"/>
        <v>QuickAnalysis,0,</v>
      </c>
      <c r="BL255" s="31" t="str">
        <f t="shared" si="1097"/>
        <v>PromptUserUMLHWarning,0,</v>
      </c>
      <c r="BM255" s="31" t="str">
        <f t="shared" si="1098"/>
        <v>BypassOpenStudio_all,0,</v>
      </c>
      <c r="BN255" s="31" t="str">
        <f t="shared" si="1099"/>
        <v>BypassOpenStudio_zp,0,</v>
      </c>
      <c r="BO255" s="31" t="str">
        <f t="shared" si="1100"/>
        <v>BypassOpenStudio_zb,0,</v>
      </c>
      <c r="BP255" s="31" t="str">
        <f t="shared" si="1101"/>
        <v>BypassOpenStudio_ap,0,</v>
      </c>
      <c r="BQ255" s="31" t="str">
        <f t="shared" si="1102"/>
        <v>BypassOpenStudio_ab,0,</v>
      </c>
      <c r="BR255" s="31" t="str">
        <f t="shared" si="1103"/>
        <v>BypassOpenStudio_zp,0,</v>
      </c>
      <c r="BS255" s="31" t="str">
        <f t="shared" si="1104"/>
        <v>BypassOpenStudio_zb,0,</v>
      </c>
      <c r="BT255" s="31" t="str">
        <f t="shared" si="1105"/>
        <v>BypassOpenStudio_ap,0,</v>
      </c>
      <c r="BU255" s="31" t="str">
        <f t="shared" si="1106"/>
        <v>BypassOpenStudio_ab,0,</v>
      </c>
    </row>
    <row r="256" spans="1:73" x14ac:dyDescent="0.25">
      <c r="A256" s="39">
        <f t="shared" si="1059"/>
        <v>0</v>
      </c>
      <c r="B256" s="27" t="str">
        <f t="shared" si="1060"/>
        <v>SoftwareSensitivityTests\StreamlinedApprovalSet\0500706-RetlMed-EnvelopeRoofInsulation.cibd</v>
      </c>
      <c r="C256" s="27" t="str">
        <f t="shared" si="1061"/>
        <v>BatchOut_160331_r3964_SSTs\0500706-RetlMed-EnvelopeRoofInsulation.cibd</v>
      </c>
      <c r="D256" s="27" t="str">
        <f t="shared" si="1062"/>
        <v>BatchOut_160331_r3964_SSTs\XML\</v>
      </c>
      <c r="E256" s="9" t="str">
        <f t="shared" si="1063"/>
        <v>0500706</v>
      </c>
      <c r="F256" s="22"/>
      <c r="G256" s="29"/>
      <c r="H256" s="23" t="str">
        <f t="shared" si="1064"/>
        <v/>
      </c>
      <c r="I256" s="9" t="s">
        <v>11</v>
      </c>
      <c r="J256"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6" s="15" t="s">
        <v>1</v>
      </c>
      <c r="L256" s="36">
        <f t="shared" si="1070"/>
        <v>0</v>
      </c>
      <c r="M256" s="32" t="str">
        <f t="shared" si="1065"/>
        <v>0500706</v>
      </c>
      <c r="N256" s="28" t="s">
        <v>335</v>
      </c>
      <c r="O256" s="28" t="str">
        <f t="shared" si="1071"/>
        <v>0500706-RetlMed-EnvelopeRoofInsulation</v>
      </c>
      <c r="P256" s="36">
        <f t="shared" si="1066"/>
        <v>1</v>
      </c>
      <c r="Q256" s="36">
        <f t="shared" si="1066"/>
        <v>1</v>
      </c>
      <c r="R256" s="36">
        <f t="shared" si="1066"/>
        <v>0</v>
      </c>
      <c r="S256" s="36">
        <f t="shared" si="1066"/>
        <v>1</v>
      </c>
      <c r="T256" s="36">
        <f t="shared" si="1066"/>
        <v>0</v>
      </c>
      <c r="U256" s="36">
        <f t="shared" si="1039"/>
        <v>8</v>
      </c>
      <c r="V256" s="36">
        <f t="shared" si="1039"/>
        <v>8</v>
      </c>
      <c r="W256" s="36">
        <f t="shared" si="1039"/>
        <v>1</v>
      </c>
      <c r="X256" s="36">
        <f t="shared" si="1039"/>
        <v>0</v>
      </c>
      <c r="Y256" s="36">
        <f t="shared" si="1039"/>
        <v>0</v>
      </c>
      <c r="Z256" s="36">
        <f t="shared" si="1039"/>
        <v>0</v>
      </c>
      <c r="AA256" s="36">
        <f t="shared" si="1039"/>
        <v>0</v>
      </c>
      <c r="AB256" s="36">
        <f t="shared" si="1039"/>
        <v>0</v>
      </c>
      <c r="AC256" s="36">
        <f t="shared" si="1039"/>
        <v>0</v>
      </c>
      <c r="AD256" s="36">
        <f t="shared" si="1039"/>
        <v>0</v>
      </c>
      <c r="AE256" s="36">
        <f t="shared" ref="AE256:AF256" si="1110">AE255</f>
        <v>0</v>
      </c>
      <c r="AF256" s="36">
        <f t="shared" si="1110"/>
        <v>0</v>
      </c>
      <c r="AG256" s="36">
        <f t="shared" ref="AG256:AH256" si="1111">AG255</f>
        <v>0</v>
      </c>
      <c r="AH256" s="36">
        <f t="shared" si="1111"/>
        <v>0</v>
      </c>
      <c r="AI256" s="36">
        <f t="shared" ref="AI256" si="1112">AI255</f>
        <v>0</v>
      </c>
      <c r="AJ256" s="36">
        <f t="shared" si="1039"/>
        <v>0</v>
      </c>
      <c r="AK256" s="36">
        <f t="shared" si="1019"/>
        <v>0</v>
      </c>
      <c r="AL256" s="36">
        <f t="shared" si="1019"/>
        <v>0</v>
      </c>
      <c r="AM256" s="36">
        <f t="shared" si="1019"/>
        <v>0</v>
      </c>
      <c r="AN256" s="36">
        <f t="shared" si="1019"/>
        <v>0</v>
      </c>
      <c r="AO256" s="36">
        <f t="shared" si="1019"/>
        <v>0</v>
      </c>
      <c r="AP256" s="36">
        <f t="shared" si="1019"/>
        <v>0</v>
      </c>
      <c r="AQ256" s="36">
        <f t="shared" si="992"/>
        <v>0</v>
      </c>
      <c r="AR256" s="36">
        <f t="shared" si="925"/>
        <v>0</v>
      </c>
      <c r="AS256" s="31" t="str">
        <f t="shared" si="1075"/>
        <v>SimulationStorage,1,</v>
      </c>
      <c r="AT256" s="31" t="str">
        <f t="shared" si="1076"/>
        <v>AnalysisStorage,1,</v>
      </c>
      <c r="AU256" s="31" t="str">
        <f t="shared" si="1077"/>
        <v>LogRuleEvaluation,0,</v>
      </c>
      <c r="AV256" s="31" t="str">
        <f t="shared" si="1078"/>
        <v>ParallelSimulations,1,</v>
      </c>
      <c r="AW256" s="31" t="str">
        <f t="shared" si="1079"/>
        <v>DurationStats,0,</v>
      </c>
      <c r="AX256" s="31" t="str">
        <f t="shared" si="1080"/>
        <v>AnalysisThruStep,8,</v>
      </c>
      <c r="AY256" s="31" t="str">
        <f t="shared" si="1081"/>
        <v>DontAbortOnErrorsThruStep,8,</v>
      </c>
      <c r="AZ256" s="31" t="str">
        <f t="shared" si="1082"/>
        <v>BypassValidFileChecks,1,</v>
      </c>
      <c r="BA256" s="31" t="str">
        <f t="shared" si="1083"/>
        <v>BypassInputChecks,0,</v>
      </c>
      <c r="BB256" s="31" t="str">
        <f t="shared" si="1084"/>
        <v>BypassUMLHChecks,0,</v>
      </c>
      <c r="BC256" s="31" t="str">
        <f t="shared" si="1085"/>
        <v>BypassCheckSimRules,0,</v>
      </c>
      <c r="BD256" s="31" t="str">
        <f t="shared" si="1090"/>
        <v>BypassCheckCodeRules,0,</v>
      </c>
      <c r="BE256" s="31" t="str">
        <f t="shared" si="1091"/>
        <v>StoreResultsToModelInput,0,</v>
      </c>
      <c r="BF256" s="31" t="str">
        <f t="shared" si="1092"/>
        <v>StoreBEMDetails,0,</v>
      </c>
      <c r="BG256" s="31" t="str">
        <f t="shared" si="1093"/>
        <v>ModelRpt_ALL,0,</v>
      </c>
      <c r="BH256" s="31" t="str">
        <f t="shared" si="1094"/>
        <v>ExportHourlyResults_All,0,</v>
      </c>
      <c r="BI256" s="31" t="str">
        <f t="shared" si="1095"/>
        <v>ComplianceReportPDF,0,</v>
      </c>
      <c r="BJ256" s="31" t="str">
        <f t="shared" si="1096"/>
        <v>ComplianceReportXML,0,</v>
      </c>
      <c r="BK256" s="31" t="str">
        <f t="shared" si="1097"/>
        <v>QuickAnalysis,0,</v>
      </c>
      <c r="BL256" s="31" t="str">
        <f t="shared" si="1097"/>
        <v>PromptUserUMLHWarning,0,</v>
      </c>
      <c r="BM256" s="31" t="str">
        <f t="shared" si="1098"/>
        <v>BypassOpenStudio_all,0,</v>
      </c>
      <c r="BN256" s="31" t="str">
        <f t="shared" si="1099"/>
        <v>BypassOpenStudio_zp,0,</v>
      </c>
      <c r="BO256" s="31" t="str">
        <f t="shared" si="1100"/>
        <v>BypassOpenStudio_zb,0,</v>
      </c>
      <c r="BP256" s="31" t="str">
        <f t="shared" si="1101"/>
        <v>BypassOpenStudio_ap,0,</v>
      </c>
      <c r="BQ256" s="31" t="str">
        <f t="shared" si="1102"/>
        <v>BypassOpenStudio_ab,0,</v>
      </c>
      <c r="BR256" s="31" t="str">
        <f t="shared" si="1103"/>
        <v>BypassOpenStudio_zp,0,</v>
      </c>
      <c r="BS256" s="31" t="str">
        <f t="shared" si="1104"/>
        <v>BypassOpenStudio_zb,0,</v>
      </c>
      <c r="BT256" s="31" t="str">
        <f t="shared" si="1105"/>
        <v>BypassOpenStudio_ap,0,</v>
      </c>
      <c r="BU256" s="31" t="str">
        <f t="shared" si="1106"/>
        <v>BypassOpenStudio_ab,0,</v>
      </c>
    </row>
    <row r="257" spans="1:73" x14ac:dyDescent="0.25">
      <c r="A257" s="39">
        <f t="shared" si="1059"/>
        <v>0</v>
      </c>
      <c r="B257" s="27" t="str">
        <f t="shared" si="1060"/>
        <v>SoftwareSensitivityTests\StreamlinedApprovalSet\0500001-RetlMed-Baseline.cibd</v>
      </c>
      <c r="C257" s="27" t="str">
        <f t="shared" si="1061"/>
        <v>BatchOut_160331_r3964_SSTs\0500001-RetlMed-Baseline.cibd</v>
      </c>
      <c r="D257" s="27" t="str">
        <f t="shared" si="1062"/>
        <v>BatchOut_160331_r3964_SSTs\XML\</v>
      </c>
      <c r="E257" s="9" t="str">
        <f t="shared" si="1063"/>
        <v>0500001</v>
      </c>
      <c r="F257" s="22"/>
      <c r="G257" s="29"/>
      <c r="H257" s="23" t="str">
        <f t="shared" si="1064"/>
        <v/>
      </c>
      <c r="I257" s="9" t="s">
        <v>11</v>
      </c>
      <c r="J257"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7" s="15" t="s">
        <v>1</v>
      </c>
      <c r="L257" s="36">
        <f t="shared" si="1070"/>
        <v>0</v>
      </c>
      <c r="M257" s="32" t="str">
        <f t="shared" si="1065"/>
        <v>0500001</v>
      </c>
      <c r="N257" s="28" t="s">
        <v>330</v>
      </c>
      <c r="O257" s="28" t="str">
        <f t="shared" si="1071"/>
        <v>0500001-RetlMed-Baseline</v>
      </c>
      <c r="P257" s="36">
        <f t="shared" si="1066"/>
        <v>1</v>
      </c>
      <c r="Q257" s="36">
        <f t="shared" si="1066"/>
        <v>1</v>
      </c>
      <c r="R257" s="36">
        <f t="shared" si="1066"/>
        <v>0</v>
      </c>
      <c r="S257" s="36">
        <f t="shared" si="1066"/>
        <v>1</v>
      </c>
      <c r="T257" s="36">
        <f t="shared" si="1066"/>
        <v>0</v>
      </c>
      <c r="U257" s="36">
        <f t="shared" si="1039"/>
        <v>8</v>
      </c>
      <c r="V257" s="36">
        <f t="shared" si="1039"/>
        <v>8</v>
      </c>
      <c r="W257" s="36">
        <f t="shared" si="1039"/>
        <v>1</v>
      </c>
      <c r="X257" s="36">
        <f t="shared" si="1039"/>
        <v>0</v>
      </c>
      <c r="Y257" s="36">
        <f t="shared" si="1039"/>
        <v>0</v>
      </c>
      <c r="Z257" s="36">
        <f t="shared" si="1039"/>
        <v>0</v>
      </c>
      <c r="AA257" s="36">
        <f t="shared" si="1039"/>
        <v>0</v>
      </c>
      <c r="AB257" s="36">
        <f t="shared" si="1039"/>
        <v>0</v>
      </c>
      <c r="AC257" s="36">
        <f t="shared" si="1039"/>
        <v>0</v>
      </c>
      <c r="AD257" s="36">
        <f t="shared" si="1039"/>
        <v>0</v>
      </c>
      <c r="AE257" s="36">
        <f t="shared" ref="AE257:AF257" si="1113">AE256</f>
        <v>0</v>
      </c>
      <c r="AF257" s="36">
        <f t="shared" si="1113"/>
        <v>0</v>
      </c>
      <c r="AG257" s="36">
        <f t="shared" ref="AG257:AH257" si="1114">AG256</f>
        <v>0</v>
      </c>
      <c r="AH257" s="36">
        <f t="shared" si="1114"/>
        <v>0</v>
      </c>
      <c r="AI257" s="36">
        <f t="shared" ref="AI257" si="1115">AI256</f>
        <v>0</v>
      </c>
      <c r="AJ257" s="36">
        <f t="shared" si="1039"/>
        <v>0</v>
      </c>
      <c r="AK257" s="36">
        <f t="shared" si="1039"/>
        <v>0</v>
      </c>
      <c r="AL257" s="36">
        <f t="shared" si="1039"/>
        <v>0</v>
      </c>
      <c r="AM257" s="36">
        <f t="shared" si="1039"/>
        <v>0</v>
      </c>
      <c r="AN257" s="36">
        <f t="shared" si="1039"/>
        <v>0</v>
      </c>
      <c r="AO257" s="36">
        <f t="shared" si="1039"/>
        <v>0</v>
      </c>
      <c r="AP257" s="36">
        <f t="shared" ref="AP257:AP260" si="1116">AP256</f>
        <v>0</v>
      </c>
      <c r="AQ257" s="36">
        <f t="shared" si="992"/>
        <v>0</v>
      </c>
      <c r="AR257" s="36">
        <f t="shared" si="925"/>
        <v>0</v>
      </c>
      <c r="AS257" s="31" t="str">
        <f t="shared" si="1075"/>
        <v>SimulationStorage,1,</v>
      </c>
      <c r="AT257" s="31" t="str">
        <f t="shared" si="1076"/>
        <v>AnalysisStorage,1,</v>
      </c>
      <c r="AU257" s="31" t="str">
        <f t="shared" si="1077"/>
        <v>LogRuleEvaluation,0,</v>
      </c>
      <c r="AV257" s="31" t="str">
        <f t="shared" si="1078"/>
        <v>ParallelSimulations,1,</v>
      </c>
      <c r="AW257" s="31" t="str">
        <f t="shared" si="1079"/>
        <v>DurationStats,0,</v>
      </c>
      <c r="AX257" s="31" t="str">
        <f t="shared" si="1080"/>
        <v>AnalysisThruStep,8,</v>
      </c>
      <c r="AY257" s="31" t="str">
        <f t="shared" si="1081"/>
        <v>DontAbortOnErrorsThruStep,8,</v>
      </c>
      <c r="AZ257" s="31" t="str">
        <f t="shared" si="1082"/>
        <v>BypassValidFileChecks,1,</v>
      </c>
      <c r="BA257" s="31" t="str">
        <f t="shared" si="1083"/>
        <v>BypassInputChecks,0,</v>
      </c>
      <c r="BB257" s="31" t="str">
        <f t="shared" si="1084"/>
        <v>BypassUMLHChecks,0,</v>
      </c>
      <c r="BC257" s="31" t="str">
        <f t="shared" si="1085"/>
        <v>BypassCheckSimRules,0,</v>
      </c>
      <c r="BD257" s="31" t="str">
        <f t="shared" si="1090"/>
        <v>BypassCheckCodeRules,0,</v>
      </c>
      <c r="BE257" s="31" t="str">
        <f t="shared" si="1091"/>
        <v>StoreResultsToModelInput,0,</v>
      </c>
      <c r="BF257" s="31" t="str">
        <f t="shared" si="1092"/>
        <v>StoreBEMDetails,0,</v>
      </c>
      <c r="BG257" s="31" t="str">
        <f t="shared" si="1093"/>
        <v>ModelRpt_ALL,0,</v>
      </c>
      <c r="BH257" s="31" t="str">
        <f t="shared" si="1094"/>
        <v>ExportHourlyResults_All,0,</v>
      </c>
      <c r="BI257" s="31" t="str">
        <f t="shared" si="1095"/>
        <v>ComplianceReportPDF,0,</v>
      </c>
      <c r="BJ257" s="31" t="str">
        <f t="shared" si="1096"/>
        <v>ComplianceReportXML,0,</v>
      </c>
      <c r="BK257" s="31" t="str">
        <f t="shared" si="1097"/>
        <v>QuickAnalysis,0,</v>
      </c>
      <c r="BL257" s="31" t="str">
        <f t="shared" si="1097"/>
        <v>PromptUserUMLHWarning,0,</v>
      </c>
      <c r="BM257" s="31" t="str">
        <f t="shared" si="1098"/>
        <v>BypassOpenStudio_all,0,</v>
      </c>
      <c r="BN257" s="31" t="str">
        <f t="shared" si="1099"/>
        <v>BypassOpenStudio_zp,0,</v>
      </c>
      <c r="BO257" s="31" t="str">
        <f t="shared" si="1100"/>
        <v>BypassOpenStudio_zb,0,</v>
      </c>
      <c r="BP257" s="31" t="str">
        <f t="shared" si="1101"/>
        <v>BypassOpenStudio_ap,0,</v>
      </c>
      <c r="BQ257" s="31" t="str">
        <f t="shared" si="1102"/>
        <v>BypassOpenStudio_ab,0,</v>
      </c>
      <c r="BR257" s="31" t="str">
        <f t="shared" si="1103"/>
        <v>BypassOpenStudio_zp,0,</v>
      </c>
      <c r="BS257" s="31" t="str">
        <f t="shared" si="1104"/>
        <v>BypassOpenStudio_zb,0,</v>
      </c>
      <c r="BT257" s="31" t="str">
        <f t="shared" si="1105"/>
        <v>BypassOpenStudio_ap,0,</v>
      </c>
      <c r="BU257" s="31" t="str">
        <f t="shared" si="1106"/>
        <v>BypassOpenStudio_ab,0,</v>
      </c>
    </row>
    <row r="258" spans="1:73" x14ac:dyDescent="0.25">
      <c r="A258" s="39">
        <f t="shared" si="1059"/>
        <v>0</v>
      </c>
      <c r="B258" s="27" t="str">
        <f t="shared" si="1060"/>
        <v>SoftwareSensitivityTests\StreamlinedApprovalSet\x.cibd</v>
      </c>
      <c r="C258" s="27" t="str">
        <f t="shared" si="1061"/>
        <v>BatchOut_160331_r3964_SSTs\x.cibd</v>
      </c>
      <c r="D258" s="27" t="str">
        <f t="shared" si="1062"/>
        <v>BatchOut_160331_r3964_SSTs\XML\</v>
      </c>
      <c r="E258" s="9" t="str">
        <f t="shared" si="1063"/>
        <v>x</v>
      </c>
      <c r="F258" s="22"/>
      <c r="G258" s="29"/>
      <c r="H258" s="23" t="str">
        <f t="shared" si="1064"/>
        <v/>
      </c>
      <c r="I258" s="9" t="s">
        <v>11</v>
      </c>
      <c r="J258"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8" s="15" t="s">
        <v>1</v>
      </c>
      <c r="L258" s="36">
        <v>0</v>
      </c>
      <c r="M258" s="32" t="str">
        <f t="shared" si="1065"/>
        <v>x</v>
      </c>
      <c r="N258" s="28" t="s">
        <v>269</v>
      </c>
      <c r="O258" s="28" t="str">
        <f t="shared" si="1071"/>
        <v>x</v>
      </c>
      <c r="P258" s="36">
        <f t="shared" si="1066"/>
        <v>1</v>
      </c>
      <c r="Q258" s="36">
        <f t="shared" si="1066"/>
        <v>1</v>
      </c>
      <c r="R258" s="36">
        <f t="shared" si="1066"/>
        <v>0</v>
      </c>
      <c r="S258" s="36">
        <f t="shared" si="1066"/>
        <v>1</v>
      </c>
      <c r="T258" s="36">
        <f t="shared" si="1066"/>
        <v>0</v>
      </c>
      <c r="U258" s="36">
        <f t="shared" si="1039"/>
        <v>8</v>
      </c>
      <c r="V258" s="36">
        <f t="shared" si="1039"/>
        <v>8</v>
      </c>
      <c r="W258" s="36">
        <f t="shared" si="1039"/>
        <v>1</v>
      </c>
      <c r="X258" s="36">
        <f t="shared" si="1039"/>
        <v>0</v>
      </c>
      <c r="Y258" s="36">
        <f t="shared" si="1039"/>
        <v>0</v>
      </c>
      <c r="Z258" s="36">
        <f t="shared" si="1039"/>
        <v>0</v>
      </c>
      <c r="AA258" s="36">
        <f t="shared" si="1039"/>
        <v>0</v>
      </c>
      <c r="AB258" s="36">
        <f t="shared" si="1039"/>
        <v>0</v>
      </c>
      <c r="AC258" s="36">
        <f t="shared" si="1039"/>
        <v>0</v>
      </c>
      <c r="AD258" s="36">
        <f t="shared" si="1039"/>
        <v>0</v>
      </c>
      <c r="AE258" s="36">
        <f t="shared" ref="AE258:AF258" si="1117">AE257</f>
        <v>0</v>
      </c>
      <c r="AF258" s="36">
        <f t="shared" si="1117"/>
        <v>0</v>
      </c>
      <c r="AG258" s="36">
        <f t="shared" ref="AG258:AH258" si="1118">AG257</f>
        <v>0</v>
      </c>
      <c r="AH258" s="36">
        <f t="shared" si="1118"/>
        <v>0</v>
      </c>
      <c r="AI258" s="36">
        <f t="shared" ref="AI258" si="1119">AI257</f>
        <v>0</v>
      </c>
      <c r="AJ258" s="36">
        <f t="shared" si="1039"/>
        <v>0</v>
      </c>
      <c r="AK258" s="36">
        <f t="shared" si="1039"/>
        <v>0</v>
      </c>
      <c r="AL258" s="36">
        <f t="shared" si="1039"/>
        <v>0</v>
      </c>
      <c r="AM258" s="36">
        <f t="shared" si="1039"/>
        <v>0</v>
      </c>
      <c r="AN258" s="36">
        <f t="shared" si="1039"/>
        <v>0</v>
      </c>
      <c r="AO258" s="36">
        <f t="shared" si="1039"/>
        <v>0</v>
      </c>
      <c r="AP258" s="36">
        <f t="shared" si="1116"/>
        <v>0</v>
      </c>
      <c r="AQ258" s="36">
        <f t="shared" si="992"/>
        <v>0</v>
      </c>
      <c r="AR258" s="36">
        <f t="shared" si="925"/>
        <v>0</v>
      </c>
      <c r="AS258" s="31" t="str">
        <f t="shared" si="1075"/>
        <v>SimulationStorage,1,</v>
      </c>
      <c r="AT258" s="31" t="str">
        <f t="shared" si="1076"/>
        <v>AnalysisStorage,1,</v>
      </c>
      <c r="AU258" s="31" t="str">
        <f t="shared" si="1077"/>
        <v>LogRuleEvaluation,0,</v>
      </c>
      <c r="AV258" s="31" t="str">
        <f t="shared" si="1078"/>
        <v>ParallelSimulations,1,</v>
      </c>
      <c r="AW258" s="31" t="str">
        <f t="shared" si="1079"/>
        <v>DurationStats,0,</v>
      </c>
      <c r="AX258" s="31" t="str">
        <f t="shared" si="1080"/>
        <v>AnalysisThruStep,8,</v>
      </c>
      <c r="AY258" s="31" t="str">
        <f t="shared" si="1081"/>
        <v>DontAbortOnErrorsThruStep,8,</v>
      </c>
      <c r="AZ258" s="31" t="str">
        <f t="shared" si="1082"/>
        <v>BypassValidFileChecks,1,</v>
      </c>
      <c r="BA258" s="31" t="str">
        <f t="shared" si="1083"/>
        <v>BypassInputChecks,0,</v>
      </c>
      <c r="BB258" s="31" t="str">
        <f t="shared" si="1084"/>
        <v>BypassUMLHChecks,0,</v>
      </c>
      <c r="BC258" s="31" t="str">
        <f t="shared" si="1085"/>
        <v>BypassCheckSimRules,0,</v>
      </c>
      <c r="BD258" s="31" t="str">
        <f t="shared" si="1090"/>
        <v>BypassCheckCodeRules,0,</v>
      </c>
      <c r="BE258" s="31" t="str">
        <f t="shared" si="1091"/>
        <v>StoreResultsToModelInput,0,</v>
      </c>
      <c r="BF258" s="31" t="str">
        <f t="shared" si="1092"/>
        <v>StoreBEMDetails,0,</v>
      </c>
      <c r="BG258" s="31" t="str">
        <f t="shared" si="1093"/>
        <v>ModelRpt_ALL,0,</v>
      </c>
      <c r="BH258" s="31" t="str">
        <f t="shared" si="1094"/>
        <v>ExportHourlyResults_All,0,</v>
      </c>
      <c r="BI258" s="31" t="str">
        <f t="shared" si="1095"/>
        <v>ComplianceReportPDF,0,</v>
      </c>
      <c r="BJ258" s="31" t="str">
        <f t="shared" si="1096"/>
        <v>ComplianceReportXML,0,</v>
      </c>
      <c r="BK258" s="31" t="str">
        <f t="shared" si="1097"/>
        <v>QuickAnalysis,0,</v>
      </c>
      <c r="BL258" s="31" t="str">
        <f t="shared" si="1097"/>
        <v>PromptUserUMLHWarning,0,</v>
      </c>
      <c r="BM258" s="31" t="str">
        <f t="shared" si="1098"/>
        <v>BypassOpenStudio_all,0,</v>
      </c>
      <c r="BN258" s="31" t="str">
        <f t="shared" si="1099"/>
        <v>BypassOpenStudio_zp,0,</v>
      </c>
      <c r="BO258" s="31" t="str">
        <f t="shared" si="1100"/>
        <v>BypassOpenStudio_zb,0,</v>
      </c>
      <c r="BP258" s="31" t="str">
        <f t="shared" si="1101"/>
        <v>BypassOpenStudio_ap,0,</v>
      </c>
      <c r="BQ258" s="31" t="str">
        <f t="shared" si="1102"/>
        <v>BypassOpenStudio_ab,0,</v>
      </c>
      <c r="BR258" s="31" t="str">
        <f t="shared" si="1103"/>
        <v>BypassOpenStudio_zp,0,</v>
      </c>
      <c r="BS258" s="31" t="str">
        <f t="shared" si="1104"/>
        <v>BypassOpenStudio_zb,0,</v>
      </c>
      <c r="BT258" s="31" t="str">
        <f t="shared" si="1105"/>
        <v>BypassOpenStudio_ap,0,</v>
      </c>
      <c r="BU258" s="31" t="str">
        <f t="shared" si="1106"/>
        <v>BypassOpenStudio_ab,0,</v>
      </c>
    </row>
    <row r="259" spans="1:73" x14ac:dyDescent="0.25">
      <c r="A259" s="39">
        <f t="shared" si="1059"/>
        <v>0</v>
      </c>
      <c r="B259" s="27" t="str">
        <f t="shared" si="1060"/>
        <v>SoftwareSensitivityTests\StreamlinedApprovalSet\x.cibd</v>
      </c>
      <c r="C259" s="27" t="str">
        <f t="shared" si="1061"/>
        <v>BatchOut_160331_r3964_SSTs\x.cibd</v>
      </c>
      <c r="D259" s="27" t="str">
        <f t="shared" si="1062"/>
        <v>BatchOut_160331_r3964_SSTs\XML\</v>
      </c>
      <c r="E259" s="9" t="str">
        <f t="shared" si="1063"/>
        <v>x</v>
      </c>
      <c r="F259" s="22"/>
      <c r="G259" s="29"/>
      <c r="H259" s="23" t="str">
        <f t="shared" si="1064"/>
        <v/>
      </c>
      <c r="I259" s="9" t="s">
        <v>11</v>
      </c>
      <c r="J259"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9" s="15" t="s">
        <v>1</v>
      </c>
      <c r="L259" s="36">
        <f t="shared" si="1070"/>
        <v>0</v>
      </c>
      <c r="M259" s="32" t="str">
        <f t="shared" si="1065"/>
        <v>x</v>
      </c>
      <c r="N259" s="28" t="s">
        <v>269</v>
      </c>
      <c r="O259" s="28" t="str">
        <f t="shared" si="1071"/>
        <v>x</v>
      </c>
      <c r="P259" s="36">
        <f t="shared" si="1066"/>
        <v>1</v>
      </c>
      <c r="Q259" s="36">
        <f t="shared" si="1066"/>
        <v>1</v>
      </c>
      <c r="R259" s="36">
        <f t="shared" si="1066"/>
        <v>0</v>
      </c>
      <c r="S259" s="36">
        <f t="shared" si="1066"/>
        <v>1</v>
      </c>
      <c r="T259" s="36">
        <f t="shared" si="1066"/>
        <v>0</v>
      </c>
      <c r="U259" s="36">
        <f t="shared" si="1039"/>
        <v>8</v>
      </c>
      <c r="V259" s="36">
        <f t="shared" si="1039"/>
        <v>8</v>
      </c>
      <c r="W259" s="36">
        <f t="shared" si="1039"/>
        <v>1</v>
      </c>
      <c r="X259" s="36">
        <f t="shared" si="1039"/>
        <v>0</v>
      </c>
      <c r="Y259" s="36">
        <f t="shared" si="1039"/>
        <v>0</v>
      </c>
      <c r="Z259" s="36">
        <f t="shared" si="1039"/>
        <v>0</v>
      </c>
      <c r="AA259" s="36">
        <f t="shared" si="1039"/>
        <v>0</v>
      </c>
      <c r="AB259" s="36">
        <f t="shared" si="1039"/>
        <v>0</v>
      </c>
      <c r="AC259" s="36">
        <f t="shared" si="1039"/>
        <v>0</v>
      </c>
      <c r="AD259" s="36">
        <f t="shared" si="1039"/>
        <v>0</v>
      </c>
      <c r="AE259" s="36">
        <f t="shared" ref="AE259:AF259" si="1120">AE258</f>
        <v>0</v>
      </c>
      <c r="AF259" s="36">
        <f t="shared" si="1120"/>
        <v>0</v>
      </c>
      <c r="AG259" s="36">
        <f t="shared" ref="AG259:AH259" si="1121">AG258</f>
        <v>0</v>
      </c>
      <c r="AH259" s="36">
        <f t="shared" si="1121"/>
        <v>0</v>
      </c>
      <c r="AI259" s="36">
        <f t="shared" ref="AI259" si="1122">AI258</f>
        <v>0</v>
      </c>
      <c r="AJ259" s="36">
        <f t="shared" si="1039"/>
        <v>0</v>
      </c>
      <c r="AK259" s="36">
        <f t="shared" si="1039"/>
        <v>0</v>
      </c>
      <c r="AL259" s="36">
        <f t="shared" si="1039"/>
        <v>0</v>
      </c>
      <c r="AM259" s="36">
        <f t="shared" si="1039"/>
        <v>0</v>
      </c>
      <c r="AN259" s="36">
        <f t="shared" si="1039"/>
        <v>0</v>
      </c>
      <c r="AO259" s="36">
        <f t="shared" si="1039"/>
        <v>0</v>
      </c>
      <c r="AP259" s="36">
        <f t="shared" si="1116"/>
        <v>0</v>
      </c>
      <c r="AQ259" s="36">
        <f t="shared" si="992"/>
        <v>0</v>
      </c>
      <c r="AR259" s="36">
        <f t="shared" si="925"/>
        <v>0</v>
      </c>
      <c r="AS259" s="31" t="str">
        <f t="shared" si="1075"/>
        <v>SimulationStorage,1,</v>
      </c>
      <c r="AT259" s="31" t="str">
        <f t="shared" si="1076"/>
        <v>AnalysisStorage,1,</v>
      </c>
      <c r="AU259" s="31" t="str">
        <f t="shared" si="1077"/>
        <v>LogRuleEvaluation,0,</v>
      </c>
      <c r="AV259" s="31" t="str">
        <f t="shared" si="1078"/>
        <v>ParallelSimulations,1,</v>
      </c>
      <c r="AW259" s="31" t="str">
        <f t="shared" si="1079"/>
        <v>DurationStats,0,</v>
      </c>
      <c r="AX259" s="31" t="str">
        <f t="shared" si="1080"/>
        <v>AnalysisThruStep,8,</v>
      </c>
      <c r="AY259" s="31" t="str">
        <f t="shared" si="1081"/>
        <v>DontAbortOnErrorsThruStep,8,</v>
      </c>
      <c r="AZ259" s="31" t="str">
        <f t="shared" si="1082"/>
        <v>BypassValidFileChecks,1,</v>
      </c>
      <c r="BA259" s="31" t="str">
        <f t="shared" si="1083"/>
        <v>BypassInputChecks,0,</v>
      </c>
      <c r="BB259" s="31" t="str">
        <f t="shared" si="1084"/>
        <v>BypassUMLHChecks,0,</v>
      </c>
      <c r="BC259" s="31" t="str">
        <f t="shared" si="1085"/>
        <v>BypassCheckSimRules,0,</v>
      </c>
      <c r="BD259" s="31" t="str">
        <f t="shared" si="1090"/>
        <v>BypassCheckCodeRules,0,</v>
      </c>
      <c r="BE259" s="31" t="str">
        <f t="shared" si="1091"/>
        <v>StoreResultsToModelInput,0,</v>
      </c>
      <c r="BF259" s="31" t="str">
        <f t="shared" si="1092"/>
        <v>StoreBEMDetails,0,</v>
      </c>
      <c r="BG259" s="31" t="str">
        <f t="shared" si="1093"/>
        <v>ModelRpt_ALL,0,</v>
      </c>
      <c r="BH259" s="31" t="str">
        <f t="shared" si="1094"/>
        <v>ExportHourlyResults_All,0,</v>
      </c>
      <c r="BI259" s="31" t="str">
        <f t="shared" si="1095"/>
        <v>ComplianceReportPDF,0,</v>
      </c>
      <c r="BJ259" s="31" t="str">
        <f t="shared" si="1096"/>
        <v>ComplianceReportXML,0,</v>
      </c>
      <c r="BK259" s="31" t="str">
        <f t="shared" si="1097"/>
        <v>QuickAnalysis,0,</v>
      </c>
      <c r="BL259" s="31" t="str">
        <f t="shared" si="1097"/>
        <v>PromptUserUMLHWarning,0,</v>
      </c>
      <c r="BM259" s="31" t="str">
        <f t="shared" si="1098"/>
        <v>BypassOpenStudio_all,0,</v>
      </c>
      <c r="BN259" s="31" t="str">
        <f t="shared" si="1099"/>
        <v>BypassOpenStudio_zp,0,</v>
      </c>
      <c r="BO259" s="31" t="str">
        <f t="shared" si="1100"/>
        <v>BypassOpenStudio_zb,0,</v>
      </c>
      <c r="BP259" s="31" t="str">
        <f t="shared" si="1101"/>
        <v>BypassOpenStudio_ap,0,</v>
      </c>
      <c r="BQ259" s="31" t="str">
        <f t="shared" si="1102"/>
        <v>BypassOpenStudio_ab,0,</v>
      </c>
      <c r="BR259" s="31" t="str">
        <f t="shared" si="1103"/>
        <v>BypassOpenStudio_zp,0,</v>
      </c>
      <c r="BS259" s="31" t="str">
        <f t="shared" si="1104"/>
        <v>BypassOpenStudio_zb,0,</v>
      </c>
      <c r="BT259" s="31" t="str">
        <f t="shared" si="1105"/>
        <v>BypassOpenStudio_ap,0,</v>
      </c>
      <c r="BU259" s="31" t="str">
        <f t="shared" si="1106"/>
        <v>BypassOpenStudio_ab,0,</v>
      </c>
    </row>
    <row r="260" spans="1:73" x14ac:dyDescent="0.25">
      <c r="A260" s="39">
        <f t="shared" si="1059"/>
        <v>0</v>
      </c>
      <c r="B260" s="27" t="str">
        <f t="shared" si="1060"/>
        <v>SoftwareSensitivityTests\StreamlinedApprovalSet\x.cibd</v>
      </c>
      <c r="C260" s="27" t="str">
        <f t="shared" si="1061"/>
        <v>BatchOut_160331_r3964_SSTs\x.cibd</v>
      </c>
      <c r="D260" s="27" t="str">
        <f t="shared" si="1062"/>
        <v>BatchOut_160331_r3964_SSTs\XML\</v>
      </c>
      <c r="E260" s="9" t="str">
        <f t="shared" si="1063"/>
        <v>x</v>
      </c>
      <c r="F260" s="22"/>
      <c r="G260" s="29"/>
      <c r="H260" s="23" t="str">
        <f t="shared" si="1064"/>
        <v/>
      </c>
      <c r="I260" s="9" t="s">
        <v>11</v>
      </c>
      <c r="J260" s="94" t="str">
        <f t="shared" si="1038"/>
        <v>SimulationStorage,1,AnalysisStorage,1,LogRuleEvaluation,0,ParallelSimulations,1,DurationStats,0,AnalysisThruStep,8,DontAbortOnErrorsThruStep,8,BypassValidFileChecks,1,BypassInputChecks,0,BypassUMLHChecks,0,BypassCheckSimRules,0,BypassCheckCodeRules,0,StoreResultsToModelInput,0,StoreBEMDetails,0,ModelRpt_ALL,0,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0" s="15" t="s">
        <v>1</v>
      </c>
      <c r="L260" s="36">
        <f t="shared" si="1070"/>
        <v>0</v>
      </c>
      <c r="M260" s="32" t="str">
        <f t="shared" si="1065"/>
        <v>x</v>
      </c>
      <c r="N260" s="28" t="s">
        <v>269</v>
      </c>
      <c r="O260" s="28" t="str">
        <f t="shared" si="1071"/>
        <v>x</v>
      </c>
      <c r="P260" s="36">
        <f t="shared" si="1066"/>
        <v>1</v>
      </c>
      <c r="Q260" s="36">
        <f t="shared" si="1066"/>
        <v>1</v>
      </c>
      <c r="R260" s="36">
        <f t="shared" si="1066"/>
        <v>0</v>
      </c>
      <c r="S260" s="36">
        <f t="shared" si="1066"/>
        <v>1</v>
      </c>
      <c r="T260" s="36">
        <f t="shared" si="1066"/>
        <v>0</v>
      </c>
      <c r="U260" s="36">
        <f t="shared" si="1039"/>
        <v>8</v>
      </c>
      <c r="V260" s="36">
        <f t="shared" si="1039"/>
        <v>8</v>
      </c>
      <c r="W260" s="36">
        <f t="shared" si="1039"/>
        <v>1</v>
      </c>
      <c r="X260" s="36">
        <f t="shared" si="1039"/>
        <v>0</v>
      </c>
      <c r="Y260" s="36">
        <f t="shared" si="1039"/>
        <v>0</v>
      </c>
      <c r="Z260" s="36">
        <f t="shared" si="1039"/>
        <v>0</v>
      </c>
      <c r="AA260" s="36">
        <f t="shared" si="1039"/>
        <v>0</v>
      </c>
      <c r="AB260" s="36">
        <f t="shared" si="1039"/>
        <v>0</v>
      </c>
      <c r="AC260" s="36">
        <f t="shared" si="1039"/>
        <v>0</v>
      </c>
      <c r="AD260" s="36">
        <f t="shared" si="1039"/>
        <v>0</v>
      </c>
      <c r="AE260" s="36">
        <f t="shared" ref="AE260:AF260" si="1123">AE259</f>
        <v>0</v>
      </c>
      <c r="AF260" s="36">
        <f t="shared" si="1123"/>
        <v>0</v>
      </c>
      <c r="AG260" s="36">
        <f t="shared" ref="AG260:AH260" si="1124">AG259</f>
        <v>0</v>
      </c>
      <c r="AH260" s="36">
        <f t="shared" si="1124"/>
        <v>0</v>
      </c>
      <c r="AI260" s="36">
        <f t="shared" ref="AI260" si="1125">AI259</f>
        <v>0</v>
      </c>
      <c r="AJ260" s="36">
        <f t="shared" si="1039"/>
        <v>0</v>
      </c>
      <c r="AK260" s="36">
        <f t="shared" si="1039"/>
        <v>0</v>
      </c>
      <c r="AL260" s="36">
        <f t="shared" si="1039"/>
        <v>0</v>
      </c>
      <c r="AM260" s="36">
        <f t="shared" si="1039"/>
        <v>0</v>
      </c>
      <c r="AN260" s="36">
        <f t="shared" si="1039"/>
        <v>0</v>
      </c>
      <c r="AO260" s="36">
        <f t="shared" si="1039"/>
        <v>0</v>
      </c>
      <c r="AP260" s="36">
        <f t="shared" si="1116"/>
        <v>0</v>
      </c>
      <c r="AQ260" s="36">
        <f t="shared" si="992"/>
        <v>0</v>
      </c>
      <c r="AR260" s="36">
        <f t="shared" si="925"/>
        <v>0</v>
      </c>
      <c r="AS260" s="31" t="str">
        <f t="shared" si="1075"/>
        <v>SimulationStorage,1,</v>
      </c>
      <c r="AT260" s="31" t="str">
        <f t="shared" si="1076"/>
        <v>AnalysisStorage,1,</v>
      </c>
      <c r="AU260" s="31" t="str">
        <f t="shared" si="1077"/>
        <v>LogRuleEvaluation,0,</v>
      </c>
      <c r="AV260" s="31" t="str">
        <f t="shared" si="1078"/>
        <v>ParallelSimulations,1,</v>
      </c>
      <c r="AW260" s="31" t="str">
        <f t="shared" si="1079"/>
        <v>DurationStats,0,</v>
      </c>
      <c r="AX260" s="31" t="str">
        <f t="shared" si="1080"/>
        <v>AnalysisThruStep,8,</v>
      </c>
      <c r="AY260" s="31" t="str">
        <f t="shared" si="1081"/>
        <v>DontAbortOnErrorsThruStep,8,</v>
      </c>
      <c r="AZ260" s="31" t="str">
        <f t="shared" si="1082"/>
        <v>BypassValidFileChecks,1,</v>
      </c>
      <c r="BA260" s="31" t="str">
        <f t="shared" si="1083"/>
        <v>BypassInputChecks,0,</v>
      </c>
      <c r="BB260" s="31" t="str">
        <f t="shared" si="1084"/>
        <v>BypassUMLHChecks,0,</v>
      </c>
      <c r="BC260" s="31" t="str">
        <f t="shared" si="1085"/>
        <v>BypassCheckSimRules,0,</v>
      </c>
      <c r="BD260" s="31" t="str">
        <f t="shared" si="1090"/>
        <v>BypassCheckCodeRules,0,</v>
      </c>
      <c r="BE260" s="31" t="str">
        <f t="shared" si="1091"/>
        <v>StoreResultsToModelInput,0,</v>
      </c>
      <c r="BF260" s="31" t="str">
        <f t="shared" si="1092"/>
        <v>StoreBEMDetails,0,</v>
      </c>
      <c r="BG260" s="31" t="str">
        <f t="shared" si="1093"/>
        <v>ModelRpt_ALL,0,</v>
      </c>
      <c r="BH260" s="31" t="str">
        <f t="shared" si="1094"/>
        <v>ExportHourlyResults_All,0,</v>
      </c>
      <c r="BI260" s="31" t="str">
        <f t="shared" si="1095"/>
        <v>ComplianceReportPDF,0,</v>
      </c>
      <c r="BJ260" s="31" t="str">
        <f t="shared" si="1096"/>
        <v>ComplianceReportXML,0,</v>
      </c>
      <c r="BK260" s="31" t="str">
        <f t="shared" si="1097"/>
        <v>QuickAnalysis,0,</v>
      </c>
      <c r="BL260" s="31" t="str">
        <f t="shared" si="1097"/>
        <v>PromptUserUMLHWarning,0,</v>
      </c>
      <c r="BM260" s="31" t="str">
        <f t="shared" si="1098"/>
        <v>BypassOpenStudio_all,0,</v>
      </c>
      <c r="BN260" s="31" t="str">
        <f t="shared" si="1099"/>
        <v>BypassOpenStudio_zp,0,</v>
      </c>
      <c r="BO260" s="31" t="str">
        <f t="shared" si="1100"/>
        <v>BypassOpenStudio_zb,0,</v>
      </c>
      <c r="BP260" s="31" t="str">
        <f t="shared" si="1101"/>
        <v>BypassOpenStudio_ap,0,</v>
      </c>
      <c r="BQ260" s="31" t="str">
        <f t="shared" si="1102"/>
        <v>BypassOpenStudio_ab,0,</v>
      </c>
      <c r="BR260" s="31" t="str">
        <f t="shared" si="1103"/>
        <v>BypassOpenStudio_zp,0,</v>
      </c>
      <c r="BS260" s="31" t="str">
        <f t="shared" si="1104"/>
        <v>BypassOpenStudio_zb,0,</v>
      </c>
      <c r="BT260" s="31" t="str">
        <f t="shared" si="1105"/>
        <v>BypassOpenStudio_ap,0,</v>
      </c>
      <c r="BU260" s="31" t="str">
        <f t="shared" si="1106"/>
        <v>BypassOpenStudio_ab,0,</v>
      </c>
    </row>
    <row r="261" spans="1:73" x14ac:dyDescent="0.25">
      <c r="A261" s="10">
        <v>-1</v>
      </c>
      <c r="B261" s="6"/>
      <c r="C261" s="6"/>
      <c r="D261" s="6"/>
      <c r="E261" s="6"/>
      <c r="F261" s="6"/>
      <c r="G261" s="6"/>
      <c r="H261" s="6"/>
      <c r="I261" s="6"/>
      <c r="J261" s="95"/>
    </row>
  </sheetData>
  <mergeCells count="5">
    <mergeCell ref="AJ15:AN15"/>
    <mergeCell ref="AO15:AR15"/>
    <mergeCell ref="AJ74:AR74"/>
    <mergeCell ref="AJ119:AR119"/>
    <mergeCell ref="AJ37:AR37"/>
  </mergeCells>
  <conditionalFormatting sqref="P17:AE17 P34:AD40 P70:AD77 P116:AD122 P42:AD54 P124:AD260 AJ124:AR260 AJ42:AR54 AJ116:AR122 AJ70:AR77 P18:AD31 AJ17:AR31 AJ33:AR40 P79:AR109">
    <cfRule type="cellIs" dxfId="129" priority="109" operator="equal">
      <formula>P16</formula>
    </cfRule>
  </conditionalFormatting>
  <conditionalFormatting sqref="P69:AD69 AJ69:AR69">
    <cfRule type="cellIs" dxfId="128" priority="111" operator="equal">
      <formula>P31</formula>
    </cfRule>
  </conditionalFormatting>
  <conditionalFormatting sqref="P32:AD32 AJ32:AR32">
    <cfRule type="cellIs" dxfId="127" priority="107" operator="equal">
      <formula>P12</formula>
    </cfRule>
  </conditionalFormatting>
  <conditionalFormatting sqref="P57:AR57 P113:AR113">
    <cfRule type="cellIs" dxfId="126" priority="114" operator="equal">
      <formula>P53</formula>
    </cfRule>
  </conditionalFormatting>
  <conditionalFormatting sqref="P55:AD56 AJ55:AR56">
    <cfRule type="cellIs" dxfId="125" priority="100" operator="equal">
      <formula>P54</formula>
    </cfRule>
  </conditionalFormatting>
  <conditionalFormatting sqref="P114:AD114 AJ114:AR114">
    <cfRule type="cellIs" dxfId="124" priority="116" operator="equal">
      <formula>P106</formula>
    </cfRule>
  </conditionalFormatting>
  <conditionalFormatting sqref="P115:AD115 AJ115:AR115">
    <cfRule type="cellIs" dxfId="123" priority="117" operator="equal">
      <formula>#REF!</formula>
    </cfRule>
  </conditionalFormatting>
  <conditionalFormatting sqref="P33:AD33">
    <cfRule type="cellIs" dxfId="122" priority="118" operator="equal">
      <formula>P32</formula>
    </cfRule>
  </conditionalFormatting>
  <conditionalFormatting sqref="P41:AD41 AJ41:AR41">
    <cfRule type="cellIs" dxfId="121" priority="92" operator="equal">
      <formula>P40</formula>
    </cfRule>
  </conditionalFormatting>
  <conditionalFormatting sqref="P78:AD78 AJ78:AR78">
    <cfRule type="cellIs" dxfId="120" priority="91" operator="equal">
      <formula>P77</formula>
    </cfRule>
  </conditionalFormatting>
  <conditionalFormatting sqref="P123:AD123 AJ123:AR123">
    <cfRule type="cellIs" dxfId="119" priority="90" operator="equal">
      <formula>P122</formula>
    </cfRule>
  </conditionalFormatting>
  <conditionalFormatting sqref="AE34:AE40 AE70:AE77 AE116:AE122 AE42:AE54 AE124:AE260 AE18:AE31">
    <cfRule type="cellIs" dxfId="118" priority="84" operator="equal">
      <formula>AE17</formula>
    </cfRule>
  </conditionalFormatting>
  <conditionalFormatting sqref="AE69">
    <cfRule type="cellIs" dxfId="117" priority="85" operator="equal">
      <formula>AE31</formula>
    </cfRule>
  </conditionalFormatting>
  <conditionalFormatting sqref="AE32">
    <cfRule type="cellIs" dxfId="116" priority="83" operator="equal">
      <formula>AE12</formula>
    </cfRule>
  </conditionalFormatting>
  <conditionalFormatting sqref="AE55:AE56">
    <cfRule type="cellIs" dxfId="115" priority="82" operator="equal">
      <formula>AE54</formula>
    </cfRule>
  </conditionalFormatting>
  <conditionalFormatting sqref="AE114">
    <cfRule type="cellIs" dxfId="114" priority="87" operator="equal">
      <formula>AE106</formula>
    </cfRule>
  </conditionalFormatting>
  <conditionalFormatting sqref="AE115">
    <cfRule type="cellIs" dxfId="113" priority="88" operator="equal">
      <formula>#REF!</formula>
    </cfRule>
  </conditionalFormatting>
  <conditionalFormatting sqref="AE33">
    <cfRule type="cellIs" dxfId="112" priority="89" operator="equal">
      <formula>AE32</formula>
    </cfRule>
  </conditionalFormatting>
  <conditionalFormatting sqref="AE41">
    <cfRule type="cellIs" dxfId="111" priority="77" operator="equal">
      <formula>AE40</formula>
    </cfRule>
  </conditionalFormatting>
  <conditionalFormatting sqref="AE78">
    <cfRule type="cellIs" dxfId="110" priority="76" operator="equal">
      <formula>AE77</formula>
    </cfRule>
  </conditionalFormatting>
  <conditionalFormatting sqref="AE123">
    <cfRule type="cellIs" dxfId="109" priority="75" operator="equal">
      <formula>AE122</formula>
    </cfRule>
  </conditionalFormatting>
  <conditionalFormatting sqref="AF17">
    <cfRule type="cellIs" dxfId="108" priority="74" operator="equal">
      <formula>AF16</formula>
    </cfRule>
  </conditionalFormatting>
  <conditionalFormatting sqref="AF34:AF40 AF70:AF77 AF116:AF122 AF42:AF54 AF124:AF260 AF18:AF31">
    <cfRule type="cellIs" dxfId="107" priority="68" operator="equal">
      <formula>AF17</formula>
    </cfRule>
  </conditionalFormatting>
  <conditionalFormatting sqref="AF69">
    <cfRule type="cellIs" dxfId="106" priority="69" operator="equal">
      <formula>AF31</formula>
    </cfRule>
  </conditionalFormatting>
  <conditionalFormatting sqref="AF32">
    <cfRule type="cellIs" dxfId="105" priority="67" operator="equal">
      <formula>AF12</formula>
    </cfRule>
  </conditionalFormatting>
  <conditionalFormatting sqref="AF55:AF56">
    <cfRule type="cellIs" dxfId="104" priority="66" operator="equal">
      <formula>AF54</formula>
    </cfRule>
  </conditionalFormatting>
  <conditionalFormatting sqref="AF114">
    <cfRule type="cellIs" dxfId="103" priority="71" operator="equal">
      <formula>AF106</formula>
    </cfRule>
  </conditionalFormatting>
  <conditionalFormatting sqref="AF115">
    <cfRule type="cellIs" dxfId="102" priority="72" operator="equal">
      <formula>#REF!</formula>
    </cfRule>
  </conditionalFormatting>
  <conditionalFormatting sqref="AF33">
    <cfRule type="cellIs" dxfId="101" priority="73" operator="equal">
      <formula>AF32</formula>
    </cfRule>
  </conditionalFormatting>
  <conditionalFormatting sqref="AF41">
    <cfRule type="cellIs" dxfId="100" priority="61" operator="equal">
      <formula>AF40</formula>
    </cfRule>
  </conditionalFormatting>
  <conditionalFormatting sqref="AF78">
    <cfRule type="cellIs" dxfId="99" priority="60" operator="equal">
      <formula>AF77</formula>
    </cfRule>
  </conditionalFormatting>
  <conditionalFormatting sqref="AF123">
    <cfRule type="cellIs" dxfId="98" priority="59" operator="equal">
      <formula>AF122</formula>
    </cfRule>
  </conditionalFormatting>
  <conditionalFormatting sqref="AG17">
    <cfRule type="cellIs" dxfId="97" priority="58" operator="equal">
      <formula>AG16</formula>
    </cfRule>
  </conditionalFormatting>
  <conditionalFormatting sqref="AG34:AG40 AG70:AG77 AG116:AG122 AG42:AG54 AG124:AG260 AG18:AG31">
    <cfRule type="cellIs" dxfId="96" priority="52" operator="equal">
      <formula>AG17</formula>
    </cfRule>
  </conditionalFormatting>
  <conditionalFormatting sqref="AG69">
    <cfRule type="cellIs" dxfId="95" priority="53" operator="equal">
      <formula>AG31</formula>
    </cfRule>
  </conditionalFormatting>
  <conditionalFormatting sqref="AG32">
    <cfRule type="cellIs" dxfId="94" priority="51" operator="equal">
      <formula>AG12</formula>
    </cfRule>
  </conditionalFormatting>
  <conditionalFormatting sqref="AG55:AG56">
    <cfRule type="cellIs" dxfId="93" priority="50" operator="equal">
      <formula>AG54</formula>
    </cfRule>
  </conditionalFormatting>
  <conditionalFormatting sqref="AG114">
    <cfRule type="cellIs" dxfId="92" priority="55" operator="equal">
      <formula>AG106</formula>
    </cfRule>
  </conditionalFormatting>
  <conditionalFormatting sqref="AG115">
    <cfRule type="cellIs" dxfId="91" priority="56" operator="equal">
      <formula>#REF!</formula>
    </cfRule>
  </conditionalFormatting>
  <conditionalFormatting sqref="AG33">
    <cfRule type="cellIs" dxfId="90" priority="57" operator="equal">
      <formula>AG32</formula>
    </cfRule>
  </conditionalFormatting>
  <conditionalFormatting sqref="AG41">
    <cfRule type="cellIs" dxfId="89" priority="45" operator="equal">
      <formula>AG40</formula>
    </cfRule>
  </conditionalFormatting>
  <conditionalFormatting sqref="AG78">
    <cfRule type="cellIs" dxfId="88" priority="44" operator="equal">
      <formula>AG77</formula>
    </cfRule>
  </conditionalFormatting>
  <conditionalFormatting sqref="AG123">
    <cfRule type="cellIs" dxfId="87" priority="43" operator="equal">
      <formula>AG122</formula>
    </cfRule>
  </conditionalFormatting>
  <conditionalFormatting sqref="AH17:AI17">
    <cfRule type="cellIs" dxfId="86" priority="42" operator="equal">
      <formula>AH16</formula>
    </cfRule>
  </conditionalFormatting>
  <conditionalFormatting sqref="AH34:AH40 AH70:AH77 AH116:AH122 AH42:AH54 AH124:AH260 AH18:AH31">
    <cfRule type="cellIs" dxfId="85" priority="36" operator="equal">
      <formula>AH17</formula>
    </cfRule>
  </conditionalFormatting>
  <conditionalFormatting sqref="AH69">
    <cfRule type="cellIs" dxfId="84" priority="37" operator="equal">
      <formula>AH31</formula>
    </cfRule>
  </conditionalFormatting>
  <conditionalFormatting sqref="AH32">
    <cfRule type="cellIs" dxfId="83" priority="35" operator="equal">
      <formula>AH12</formula>
    </cfRule>
  </conditionalFormatting>
  <conditionalFormatting sqref="AH55:AH56">
    <cfRule type="cellIs" dxfId="82" priority="34" operator="equal">
      <formula>AH54</formula>
    </cfRule>
  </conditionalFormatting>
  <conditionalFormatting sqref="AH114">
    <cfRule type="cellIs" dxfId="81" priority="39" operator="equal">
      <formula>AH106</formula>
    </cfRule>
  </conditionalFormatting>
  <conditionalFormatting sqref="AH115">
    <cfRule type="cellIs" dxfId="80" priority="40" operator="equal">
      <formula>#REF!</formula>
    </cfRule>
  </conditionalFormatting>
  <conditionalFormatting sqref="AH33">
    <cfRule type="cellIs" dxfId="79" priority="41" operator="equal">
      <formula>AH32</formula>
    </cfRule>
  </conditionalFormatting>
  <conditionalFormatting sqref="AH41">
    <cfRule type="cellIs" dxfId="78" priority="29" operator="equal">
      <formula>AH40</formula>
    </cfRule>
  </conditionalFormatting>
  <conditionalFormatting sqref="AH78">
    <cfRule type="cellIs" dxfId="77" priority="28" operator="equal">
      <formula>AH77</formula>
    </cfRule>
  </conditionalFormatting>
  <conditionalFormatting sqref="AH123">
    <cfRule type="cellIs" dxfId="76" priority="27" operator="equal">
      <formula>AH122</formula>
    </cfRule>
  </conditionalFormatting>
  <conditionalFormatting sqref="AI34:AI40 AI70:AI77 AI116:AI122 AI42:AI54 AI124:AI260 AI18:AI31">
    <cfRule type="cellIs" dxfId="75" priority="21" operator="equal">
      <formula>AI17</formula>
    </cfRule>
  </conditionalFormatting>
  <conditionalFormatting sqref="AI69">
    <cfRule type="cellIs" dxfId="74" priority="22" operator="equal">
      <formula>AI31</formula>
    </cfRule>
  </conditionalFormatting>
  <conditionalFormatting sqref="AI32">
    <cfRule type="cellIs" dxfId="73" priority="20" operator="equal">
      <formula>AI12</formula>
    </cfRule>
  </conditionalFormatting>
  <conditionalFormatting sqref="AI55:AI56">
    <cfRule type="cellIs" dxfId="72" priority="19" operator="equal">
      <formula>AI54</formula>
    </cfRule>
  </conditionalFormatting>
  <conditionalFormatting sqref="AI114">
    <cfRule type="cellIs" dxfId="71" priority="24" operator="equal">
      <formula>AI106</formula>
    </cfRule>
  </conditionalFormatting>
  <conditionalFormatting sqref="AI115">
    <cfRule type="cellIs" dxfId="70" priority="25" operator="equal">
      <formula>#REF!</formula>
    </cfRule>
  </conditionalFormatting>
  <conditionalFormatting sqref="AI33">
    <cfRule type="cellIs" dxfId="69" priority="26" operator="equal">
      <formula>AI32</formula>
    </cfRule>
  </conditionalFormatting>
  <conditionalFormatting sqref="AI41">
    <cfRule type="cellIs" dxfId="68" priority="18" operator="equal">
      <formula>AI40</formula>
    </cfRule>
  </conditionalFormatting>
  <conditionalFormatting sqref="AI78">
    <cfRule type="cellIs" dxfId="67" priority="17" operator="equal">
      <formula>AI77</formula>
    </cfRule>
  </conditionalFormatting>
  <conditionalFormatting sqref="AI123">
    <cfRule type="cellIs" dxfId="66" priority="16" operator="equal">
      <formula>AI122</formula>
    </cfRule>
  </conditionalFormatting>
  <conditionalFormatting sqref="P68:AR68">
    <cfRule type="cellIs" dxfId="65" priority="121" operator="equal">
      <formula>P54</formula>
    </cfRule>
  </conditionalFormatting>
  <conditionalFormatting sqref="P58:AD63 AJ58:AR63">
    <cfRule type="cellIs" dxfId="64" priority="14" operator="equal">
      <formula>P57</formula>
    </cfRule>
  </conditionalFormatting>
  <conditionalFormatting sqref="P67:AR67">
    <cfRule type="cellIs" dxfId="63" priority="15" operator="equal">
      <formula>P62</formula>
    </cfRule>
  </conditionalFormatting>
  <conditionalFormatting sqref="P64:AD65 AJ64:AR65">
    <cfRule type="cellIs" dxfId="62" priority="13" operator="equal">
      <formula>P63</formula>
    </cfRule>
  </conditionalFormatting>
  <conditionalFormatting sqref="AE58:AE63">
    <cfRule type="cellIs" dxfId="61" priority="12" operator="equal">
      <formula>AE57</formula>
    </cfRule>
  </conditionalFormatting>
  <conditionalFormatting sqref="AE64:AE65">
    <cfRule type="cellIs" dxfId="60" priority="11" operator="equal">
      <formula>AE63</formula>
    </cfRule>
  </conditionalFormatting>
  <conditionalFormatting sqref="AF58:AF63">
    <cfRule type="cellIs" dxfId="59" priority="10" operator="equal">
      <formula>AF57</formula>
    </cfRule>
  </conditionalFormatting>
  <conditionalFormatting sqref="AF64:AF65">
    <cfRule type="cellIs" dxfId="58" priority="9" operator="equal">
      <formula>AF63</formula>
    </cfRule>
  </conditionalFormatting>
  <conditionalFormatting sqref="AG58:AG63">
    <cfRule type="cellIs" dxfId="57" priority="8" operator="equal">
      <formula>AG57</formula>
    </cfRule>
  </conditionalFormatting>
  <conditionalFormatting sqref="AG64:AG65">
    <cfRule type="cellIs" dxfId="56" priority="7" operator="equal">
      <formula>AG63</formula>
    </cfRule>
  </conditionalFormatting>
  <conditionalFormatting sqref="AH58:AH63">
    <cfRule type="cellIs" dxfId="55" priority="6" operator="equal">
      <formula>AH57</formula>
    </cfRule>
  </conditionalFormatting>
  <conditionalFormatting sqref="AH64:AH65">
    <cfRule type="cellIs" dxfId="54" priority="5" operator="equal">
      <formula>AH63</formula>
    </cfRule>
  </conditionalFormatting>
  <conditionalFormatting sqref="AI58:AI63">
    <cfRule type="cellIs" dxfId="53" priority="4" operator="equal">
      <formula>AI57</formula>
    </cfRule>
  </conditionalFormatting>
  <conditionalFormatting sqref="AI64:AI65">
    <cfRule type="cellIs" dxfId="52" priority="3" operator="equal">
      <formula>AI63</formula>
    </cfRule>
  </conditionalFormatting>
  <conditionalFormatting sqref="P66:AR66">
    <cfRule type="cellIs" dxfId="51" priority="2" operator="equal">
      <formula>P61</formula>
    </cfRule>
  </conditionalFormatting>
  <conditionalFormatting sqref="P110:AR112">
    <cfRule type="cellIs" dxfId="50" priority="1" operator="equal">
      <formula>P109</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8" r:id="rId4" name="Button 38">
              <controlPr defaultSize="0" print="0" autoFill="0" autoPict="0" macro="[0]!SaveBatchCsvCurrentSheet">
                <anchor moveWithCells="1" sizeWithCells="1">
                  <from>
                    <xdr:col>13</xdr:col>
                    <xdr:colOff>104775</xdr:colOff>
                    <xdr:row>2</xdr:row>
                    <xdr:rowOff>9525</xdr:rowOff>
                  </from>
                  <to>
                    <xdr:col>13</xdr:col>
                    <xdr:colOff>1704975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2"/>
  <sheetViews>
    <sheetView zoomScale="70" zoomScaleNormal="70" workbookViewId="0">
      <selection activeCell="M27" sqref="M27"/>
    </sheetView>
  </sheetViews>
  <sheetFormatPr defaultRowHeight="15" outlineLevelCol="1" x14ac:dyDescent="0.25"/>
  <cols>
    <col min="1" max="1" width="9.140625" style="1" customWidth="1"/>
    <col min="2" max="2" width="123.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20.7109375" style="1" hidden="1" customWidth="1" outlineLevel="1"/>
    <col min="11" max="11" width="5" style="13" customWidth="1" collapsed="1"/>
    <col min="12" max="12" width="13" style="38" customWidth="1"/>
    <col min="13" max="13" width="36" style="13"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L5" s="13"/>
      <c r="M5" s="36" t="s">
        <v>44</v>
      </c>
    </row>
    <row r="6" spans="1:30" x14ac:dyDescent="0.25">
      <c r="A6" s="2" t="s">
        <v>1</v>
      </c>
      <c r="B6" s="2"/>
      <c r="C6" s="30"/>
      <c r="D6" s="30"/>
      <c r="E6" s="16"/>
      <c r="F6" s="16"/>
      <c r="G6" s="16"/>
      <c r="H6" s="16"/>
      <c r="L6" s="13"/>
    </row>
    <row r="7" spans="1:30" x14ac:dyDescent="0.25">
      <c r="A7" s="1" t="s">
        <v>4</v>
      </c>
      <c r="B7" s="13" t="s">
        <v>18</v>
      </c>
      <c r="C7" s="30"/>
      <c r="D7" s="30"/>
      <c r="L7" s="37" t="s">
        <v>45</v>
      </c>
      <c r="M7" s="32">
        <v>140512</v>
      </c>
    </row>
    <row r="8" spans="1:30" x14ac:dyDescent="0.25">
      <c r="A8" s="1" t="s">
        <v>5</v>
      </c>
      <c r="B8" s="13" t="s">
        <v>19</v>
      </c>
      <c r="C8" s="30"/>
      <c r="D8" s="30"/>
      <c r="L8" s="14" t="s">
        <v>46</v>
      </c>
      <c r="M8" s="32" t="s">
        <v>125</v>
      </c>
    </row>
    <row r="9" spans="1:30" x14ac:dyDescent="0.25">
      <c r="A9" s="3">
        <v>2</v>
      </c>
      <c r="B9" s="4" t="str">
        <f>M9</f>
        <v>BatchResults_140512_r1953.csv</v>
      </c>
      <c r="C9" s="30" t="s">
        <v>1</v>
      </c>
      <c r="D9" s="30"/>
      <c r="E9" s="30"/>
      <c r="F9" s="30"/>
      <c r="G9" s="30"/>
      <c r="H9" s="30"/>
      <c r="I9" s="26"/>
      <c r="L9" s="35" t="s">
        <v>39</v>
      </c>
      <c r="M9" s="28" t="str">
        <f>"BatchResults_"&amp;M7&amp;"_"&amp;M8&amp;".csv"</f>
        <v>BatchResults_140512_r1953.csv</v>
      </c>
      <c r="N9" s="1" t="s">
        <v>48</v>
      </c>
    </row>
    <row r="10" spans="1:30" x14ac:dyDescent="0.25">
      <c r="A10" s="1" t="s">
        <v>1</v>
      </c>
      <c r="L10" s="14" t="s">
        <v>16</v>
      </c>
      <c r="M10" s="28"/>
      <c r="N10" s="1" t="s">
        <v>47</v>
      </c>
    </row>
    <row r="11" spans="1:30" x14ac:dyDescent="0.25">
      <c r="A11" s="1" t="s">
        <v>1</v>
      </c>
      <c r="L11" s="14" t="s">
        <v>17</v>
      </c>
      <c r="M11" s="28" t="str">
        <f>"BatchOut"&amp;"_"&amp;M7&amp;"_"&amp;M8&amp;"\"</f>
        <v>BatchOut_140512_r1953\</v>
      </c>
      <c r="N11" s="1" t="s">
        <v>47</v>
      </c>
    </row>
    <row r="12" spans="1:30" x14ac:dyDescent="0.25">
      <c r="A12" s="1" t="s">
        <v>1</v>
      </c>
      <c r="L12" s="14" t="s">
        <v>42</v>
      </c>
      <c r="M12" s="28" t="str">
        <f>M11&amp;"XML\"</f>
        <v>BatchOut_140512_r1953\XML\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13" t="s">
        <v>27</v>
      </c>
      <c r="O14" s="13" t="s">
        <v>26</v>
      </c>
      <c r="Y14" s="105" t="s">
        <v>33</v>
      </c>
      <c r="Z14" s="105"/>
      <c r="AA14" s="105"/>
      <c r="AB14" s="105" t="s">
        <v>34</v>
      </c>
      <c r="AC14" s="105"/>
      <c r="AD14" s="105"/>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t="shared" ref="B16:B30" si="1" xml:space="preserve"> M$10&amp;N16&amp;"\"&amp;N16&amp;".cibd"</f>
        <v>010012-SchSml-CECStd\010012-SchSml-CECStd.cibd</v>
      </c>
      <c r="C16" s="27" t="str">
        <f t="shared" ref="C16:C30" si="2" xml:space="preserve"> M$11 &amp; O16 &amp; ".cibd"</f>
        <v>BatchOut_140512_r1953\010012-SchSml-CECStd.cibd</v>
      </c>
      <c r="D16" s="27" t="str">
        <f>$M$12</f>
        <v>BatchOut_140512_r1953\XML\</v>
      </c>
      <c r="E16" s="9" t="str">
        <f>M16</f>
        <v>010012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LEFT(N16,6)&amp;IF(SUM(F16:H16)&gt;0,"_autosize","")</f>
        <v>010012</v>
      </c>
      <c r="N16" s="28" t="s">
        <v>84</v>
      </c>
      <c r="O16" s="28" t="str">
        <f>N16</f>
        <v>010012-SchSml-CECStd</v>
      </c>
      <c r="P16" s="28">
        <v>0</v>
      </c>
      <c r="Q16" s="28">
        <v>11</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1" si="4">L17</f>
        <v>1</v>
      </c>
      <c r="B17" s="27" t="str">
        <f t="shared" si="1"/>
        <v>020012-OffSml-CECStd\020012-OffSml-CECStd.cibd</v>
      </c>
      <c r="C17" s="27" t="str">
        <f t="shared" si="2"/>
        <v>BatchOut_140512_r1953\020012-OffSml-CECStd.cibd</v>
      </c>
      <c r="D17" s="27" t="str">
        <f t="shared" ref="D17:D30" si="5">$M$12</f>
        <v>BatchOut_140512_r1953\XML\</v>
      </c>
      <c r="E17" s="9" t="str">
        <f t="shared" ref="E17:E24" si="6">M17</f>
        <v>020012</v>
      </c>
      <c r="F17" s="22"/>
      <c r="G17" s="29"/>
      <c r="H17" s="23"/>
      <c r="I17" s="9" t="s">
        <v>11</v>
      </c>
      <c r="J17" s="9" t="str">
        <f t="shared" ref="J17:J30"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ref="M17:M30" si="8">LEFT(N17,6)&amp;IF(SUM(F17:H17)&gt;0,"_autosize","")</f>
        <v>020012</v>
      </c>
      <c r="N17" s="28" t="s">
        <v>85</v>
      </c>
      <c r="O17" s="28" t="str">
        <f t="shared" ref="O17:O27" si="9">N17</f>
        <v>020012-OffSml-CECStd</v>
      </c>
      <c r="P17" s="28">
        <f>P16</f>
        <v>0</v>
      </c>
      <c r="Q17" s="28">
        <f>Q16</f>
        <v>11</v>
      </c>
      <c r="R17" s="28">
        <f t="shared" ref="R17:S28" si="10">R16</f>
        <v>0</v>
      </c>
      <c r="S17" s="28">
        <f t="shared" si="10"/>
        <v>0</v>
      </c>
      <c r="T17" s="28">
        <f>T16</f>
        <v>0</v>
      </c>
      <c r="U17" s="28">
        <f t="shared" ref="U17:Y28" si="11">U16</f>
        <v>0</v>
      </c>
      <c r="V17" s="28">
        <f t="shared" si="11"/>
        <v>1</v>
      </c>
      <c r="W17" s="36">
        <v>11</v>
      </c>
      <c r="X17" s="36">
        <v>1</v>
      </c>
      <c r="Y17" s="28">
        <f>Y16</f>
        <v>0</v>
      </c>
      <c r="Z17" s="28">
        <f t="shared" ref="Z17:AA18" si="12">Z16</f>
        <v>0</v>
      </c>
      <c r="AA17" s="28">
        <f t="shared" si="12"/>
        <v>0</v>
      </c>
      <c r="AB17" s="28">
        <f>AB16</f>
        <v>0</v>
      </c>
      <c r="AC17" s="28">
        <f t="shared" ref="AC17:AC18" si="13">AC16</f>
        <v>0</v>
      </c>
      <c r="AD17" s="28">
        <f t="shared" ref="AD17:AD18" si="14">AD16</f>
        <v>0</v>
      </c>
    </row>
    <row r="18" spans="1:30" x14ac:dyDescent="0.25">
      <c r="A18" s="39">
        <f t="shared" ref="A18" si="15">L18</f>
        <v>1</v>
      </c>
      <c r="B18" s="27" t="str">
        <f t="shared" ref="B18" si="16" xml:space="preserve"> M$10&amp;N18&amp;"\"&amp;N18&amp;".cibd"</f>
        <v>020212-OffSml-SimpleGeometry\020212-OffSml-SimpleGeometry.cibd</v>
      </c>
      <c r="C18" s="27" t="str">
        <f t="shared" ref="C18" si="17" xml:space="preserve"> M$11 &amp; O18 &amp; ".cibd"</f>
        <v>BatchOut_140512_r1953\020212-OffSml-SimpleGeometry.cibd</v>
      </c>
      <c r="D18" s="27" t="str">
        <f t="shared" si="5"/>
        <v>BatchOut_140512_r1953\XML\</v>
      </c>
      <c r="E18" s="9" t="str">
        <f t="shared" ref="E18" si="18">M18</f>
        <v>020212</v>
      </c>
      <c r="F18" s="22"/>
      <c r="G18" s="29"/>
      <c r="H18" s="23"/>
      <c r="I18" s="9" t="s">
        <v>11</v>
      </c>
      <c r="J18" s="9" t="str">
        <f t="shared" ref="J18" si="19">$P$12&amp;","&amp;P18&amp;","&amp;$Q$12&amp;","&amp;Q18&amp;","&amp;$R$12&amp;","&amp;R18&amp;","&amp;$S$12&amp;","&amp;S18&amp;","&amp;$T$12&amp;","&amp;T18&amp;","&amp;$U$12&amp;","&amp;U18&amp;","&amp;$V$12&amp;","&amp;V18&amp;","&amp;$Y$12&amp;","&amp;Y18&amp;","&amp;$AB$12&amp;","&amp;AB18&amp;","&amp;$Z$12&amp;","&amp;Z18&amp;","&amp;$AC$12&amp;","&amp;AC18&amp;","&amp;$AA$12&amp;","&amp;AA18&amp;","&amp;$AD$12&amp;","&amp;AD18&amp;","&amp;$W$12&amp;","&amp;W18&amp;","&amp;$X$12&amp;","&amp;X18&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 si="20">LEFT(N18,6)&amp;IF(SUM(F18:H18)&gt;0,"_autosize","")</f>
        <v>020212</v>
      </c>
      <c r="N18" s="28" t="s">
        <v>123</v>
      </c>
      <c r="O18" s="28" t="str">
        <f t="shared" ref="O18" si="21">N18</f>
        <v>020212-OffSml-SimpleGeometry</v>
      </c>
      <c r="P18" s="28">
        <f>P17</f>
        <v>0</v>
      </c>
      <c r="Q18" s="28">
        <f>Q17</f>
        <v>11</v>
      </c>
      <c r="R18" s="28">
        <f t="shared" si="10"/>
        <v>0</v>
      </c>
      <c r="S18" s="28">
        <f t="shared" si="10"/>
        <v>0</v>
      </c>
      <c r="T18" s="28">
        <f>T17</f>
        <v>0</v>
      </c>
      <c r="U18" s="28">
        <f t="shared" si="11"/>
        <v>0</v>
      </c>
      <c r="V18" s="28">
        <f t="shared" si="11"/>
        <v>1</v>
      </c>
      <c r="W18" s="36">
        <v>11</v>
      </c>
      <c r="X18" s="36">
        <v>1</v>
      </c>
      <c r="Y18" s="28">
        <f>Y17</f>
        <v>0</v>
      </c>
      <c r="Z18" s="28">
        <f t="shared" si="12"/>
        <v>0</v>
      </c>
      <c r="AA18" s="28">
        <f t="shared" si="12"/>
        <v>0</v>
      </c>
      <c r="AB18" s="28">
        <f>AB17</f>
        <v>0</v>
      </c>
      <c r="AC18" s="28">
        <f t="shared" si="13"/>
        <v>0</v>
      </c>
      <c r="AD18" s="28">
        <f t="shared" si="14"/>
        <v>0</v>
      </c>
    </row>
    <row r="19" spans="1:30" x14ac:dyDescent="0.25">
      <c r="A19" s="39">
        <f t="shared" si="4"/>
        <v>1</v>
      </c>
      <c r="B19" s="27" t="str">
        <f t="shared" si="1"/>
        <v>030012-OffMed-CECStd\030012-OffMed-CECStd.cibd</v>
      </c>
      <c r="C19" s="27" t="str">
        <f t="shared" si="2"/>
        <v>BatchOut_140512_r1953\030012-OffMed-CECStd.cibd</v>
      </c>
      <c r="D19" s="27" t="str">
        <f t="shared" si="5"/>
        <v>BatchOut_140512_r1953\XML\</v>
      </c>
      <c r="E19" s="9" t="str">
        <f t="shared" si="6"/>
        <v>030012</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8"/>
        <v>030012</v>
      </c>
      <c r="N19" s="28" t="s">
        <v>86</v>
      </c>
      <c r="O19" s="28" t="str">
        <f t="shared" si="9"/>
        <v>030012-OffMed-CECStd</v>
      </c>
      <c r="P19" s="28">
        <f t="shared" ref="P19:V21" si="22">P17</f>
        <v>0</v>
      </c>
      <c r="Q19" s="28">
        <f t="shared" si="22"/>
        <v>11</v>
      </c>
      <c r="R19" s="28">
        <f t="shared" si="22"/>
        <v>0</v>
      </c>
      <c r="S19" s="28">
        <f t="shared" si="22"/>
        <v>0</v>
      </c>
      <c r="T19" s="28">
        <f t="shared" si="22"/>
        <v>0</v>
      </c>
      <c r="U19" s="28">
        <f t="shared" si="22"/>
        <v>0</v>
      </c>
      <c r="V19" s="28">
        <f t="shared" si="22"/>
        <v>1</v>
      </c>
      <c r="W19" s="36">
        <v>11</v>
      </c>
      <c r="X19" s="36">
        <v>1</v>
      </c>
      <c r="Y19" s="28">
        <f t="shared" ref="Y19:AD21" si="23">Y17</f>
        <v>0</v>
      </c>
      <c r="Z19" s="28">
        <f t="shared" si="23"/>
        <v>0</v>
      </c>
      <c r="AA19" s="28">
        <f t="shared" si="23"/>
        <v>0</v>
      </c>
      <c r="AB19" s="28">
        <f t="shared" si="23"/>
        <v>0</v>
      </c>
      <c r="AC19" s="28">
        <f t="shared" si="23"/>
        <v>0</v>
      </c>
      <c r="AD19" s="28">
        <f t="shared" si="23"/>
        <v>0</v>
      </c>
    </row>
    <row r="20" spans="1:30" x14ac:dyDescent="0.25">
      <c r="A20" s="39">
        <f t="shared" ref="A20" si="24">L20</f>
        <v>1</v>
      </c>
      <c r="B20" s="27" t="str">
        <f t="shared" ref="B20" si="25" xml:space="preserve"> M$10&amp;N20&amp;"\"&amp;N20&amp;".cibd"</f>
        <v>030212-OffMed-SimpleGeometry\030212-OffMed-SimpleGeometry.cibd</v>
      </c>
      <c r="C20" s="27" t="str">
        <f t="shared" ref="C20" si="26" xml:space="preserve"> M$11 &amp; O20 &amp; ".cibd"</f>
        <v>BatchOut_140512_r1953\030212-OffMed-SimpleGeometry.cibd</v>
      </c>
      <c r="D20" s="27" t="str">
        <f t="shared" si="5"/>
        <v>BatchOut_140512_r1953\XML\</v>
      </c>
      <c r="E20" s="9" t="str">
        <f t="shared" ref="E20" si="27">M20</f>
        <v>030212</v>
      </c>
      <c r="F20" s="22"/>
      <c r="G20" s="29"/>
      <c r="H20" s="23"/>
      <c r="I20" s="9" t="s">
        <v>11</v>
      </c>
      <c r="J20" s="9" t="str">
        <f t="shared" ref="J20" si="28">$P$12&amp;","&amp;P20&amp;","&amp;$Q$12&amp;","&amp;Q20&amp;","&amp;$R$12&amp;","&amp;R20&amp;","&amp;$S$12&amp;","&amp;S20&amp;","&amp;$T$12&amp;","&amp;T20&amp;","&amp;$U$12&amp;","&amp;U20&amp;","&amp;$V$12&amp;","&amp;V20&amp;","&amp;$Y$12&amp;","&amp;Y20&amp;","&amp;$AB$12&amp;","&amp;AB20&amp;","&amp;$Z$12&amp;","&amp;Z20&amp;","&amp;$AC$12&amp;","&amp;AC20&amp;","&amp;$AA$12&amp;","&amp;AA20&amp;","&amp;$AD$12&amp;","&amp;AD20&amp;","&amp;$W$12&amp;","&amp;W20&amp;","&amp;$X$12&amp;","&amp;X20&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ref="M20" si="29">LEFT(N20,6)&amp;IF(SUM(F20:H20)&gt;0,"_autosize","")</f>
        <v>030212</v>
      </c>
      <c r="N20" s="28" t="s">
        <v>124</v>
      </c>
      <c r="O20" s="28" t="str">
        <f t="shared" ref="O20" si="30">N20</f>
        <v>030212-OffMed-SimpleGeometry</v>
      </c>
      <c r="P20" s="28">
        <f t="shared" si="22"/>
        <v>0</v>
      </c>
      <c r="Q20" s="28">
        <f t="shared" si="22"/>
        <v>11</v>
      </c>
      <c r="R20" s="28">
        <f t="shared" si="22"/>
        <v>0</v>
      </c>
      <c r="S20" s="28">
        <f t="shared" si="22"/>
        <v>0</v>
      </c>
      <c r="T20" s="28">
        <f t="shared" si="22"/>
        <v>0</v>
      </c>
      <c r="U20" s="28">
        <f t="shared" si="22"/>
        <v>0</v>
      </c>
      <c r="V20" s="28">
        <f t="shared" si="22"/>
        <v>1</v>
      </c>
      <c r="W20" s="36">
        <v>11</v>
      </c>
      <c r="X20" s="36">
        <v>1</v>
      </c>
      <c r="Y20" s="28">
        <f t="shared" si="23"/>
        <v>0</v>
      </c>
      <c r="Z20" s="28">
        <f t="shared" si="23"/>
        <v>0</v>
      </c>
      <c r="AA20" s="28">
        <f t="shared" si="23"/>
        <v>0</v>
      </c>
      <c r="AB20" s="28">
        <f t="shared" si="23"/>
        <v>0</v>
      </c>
      <c r="AC20" s="28">
        <f t="shared" si="23"/>
        <v>0</v>
      </c>
      <c r="AD20" s="28">
        <f t="shared" si="23"/>
        <v>0</v>
      </c>
    </row>
    <row r="21" spans="1:30" x14ac:dyDescent="0.25">
      <c r="A21" s="39">
        <f t="shared" si="4"/>
        <v>1</v>
      </c>
      <c r="B21" s="27" t="str">
        <f t="shared" si="1"/>
        <v>040012-OffLrg-CECStd\040012-OffLrg-CECStd.cibd</v>
      </c>
      <c r="C21" s="27" t="str">
        <f t="shared" si="2"/>
        <v>BatchOut_140512_r1953\040012-OffLrg-CECStd.cibd</v>
      </c>
      <c r="D21" s="27" t="str">
        <f t="shared" si="5"/>
        <v>BatchOut_140512_r1953\XML\</v>
      </c>
      <c r="E21" s="9" t="str">
        <f t="shared" si="6"/>
        <v>040012</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8"/>
        <v>040012</v>
      </c>
      <c r="N21" s="28" t="s">
        <v>87</v>
      </c>
      <c r="O21" s="28" t="str">
        <f t="shared" si="9"/>
        <v>040012-OffLrg-CECStd</v>
      </c>
      <c r="P21" s="28">
        <f t="shared" si="22"/>
        <v>0</v>
      </c>
      <c r="Q21" s="28">
        <f t="shared" si="22"/>
        <v>11</v>
      </c>
      <c r="R21" s="28">
        <f t="shared" si="22"/>
        <v>0</v>
      </c>
      <c r="S21" s="28">
        <f t="shared" si="22"/>
        <v>0</v>
      </c>
      <c r="T21" s="28">
        <f t="shared" si="22"/>
        <v>0</v>
      </c>
      <c r="U21" s="28">
        <f t="shared" si="22"/>
        <v>0</v>
      </c>
      <c r="V21" s="28">
        <f t="shared" si="22"/>
        <v>1</v>
      </c>
      <c r="W21" s="36">
        <v>11</v>
      </c>
      <c r="X21" s="36">
        <v>1</v>
      </c>
      <c r="Y21" s="28">
        <f t="shared" si="23"/>
        <v>0</v>
      </c>
      <c r="Z21" s="28">
        <f t="shared" si="23"/>
        <v>0</v>
      </c>
      <c r="AA21" s="28">
        <f t="shared" si="23"/>
        <v>0</v>
      </c>
      <c r="AB21" s="28">
        <f t="shared" si="23"/>
        <v>0</v>
      </c>
      <c r="AC21" s="28">
        <f t="shared" si="23"/>
        <v>0</v>
      </c>
      <c r="AD21" s="28">
        <f t="shared" si="23"/>
        <v>0</v>
      </c>
    </row>
    <row r="22" spans="1:30" x14ac:dyDescent="0.25">
      <c r="A22" s="39">
        <f t="shared" si="4"/>
        <v>1</v>
      </c>
      <c r="B22" s="27" t="str">
        <f t="shared" si="1"/>
        <v>050012-RetlMed-CECStd\050012-RetlMed-CECStd.cibd</v>
      </c>
      <c r="C22" s="27" t="str">
        <f t="shared" si="2"/>
        <v>BatchOut_140512_r1953\050012-RetlMed-CECStd.cibd</v>
      </c>
      <c r="D22" s="27" t="str">
        <f t="shared" si="5"/>
        <v>BatchOut_140512_r1953\XML\</v>
      </c>
      <c r="E22" s="9" t="str">
        <f t="shared" si="6"/>
        <v>050012</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8"/>
        <v>050012</v>
      </c>
      <c r="N22" s="28" t="s">
        <v>88</v>
      </c>
      <c r="O22" s="28" t="str">
        <f t="shared" si="9"/>
        <v>050012-RetlMed-CECStd</v>
      </c>
      <c r="P22" s="28">
        <f t="shared" ref="P22:P30" si="31">P21</f>
        <v>0</v>
      </c>
      <c r="Q22" s="28">
        <f t="shared" ref="Q22:S30" si="32">Q21</f>
        <v>11</v>
      </c>
      <c r="R22" s="28">
        <f t="shared" si="10"/>
        <v>0</v>
      </c>
      <c r="S22" s="28">
        <f t="shared" si="10"/>
        <v>0</v>
      </c>
      <c r="T22" s="28">
        <f t="shared" ref="T22:V30" si="33">T21</f>
        <v>0</v>
      </c>
      <c r="U22" s="28">
        <f t="shared" si="11"/>
        <v>0</v>
      </c>
      <c r="V22" s="28">
        <f t="shared" si="11"/>
        <v>1</v>
      </c>
      <c r="W22" s="36">
        <v>11</v>
      </c>
      <c r="X22" s="36">
        <v>1</v>
      </c>
      <c r="Y22" s="28">
        <f t="shared" si="11"/>
        <v>0</v>
      </c>
      <c r="Z22" s="28">
        <f t="shared" ref="Z22:Z30" si="34">Z21</f>
        <v>0</v>
      </c>
      <c r="AA22" s="28">
        <f t="shared" ref="AA22:AA30" si="35">AA21</f>
        <v>0</v>
      </c>
      <c r="AB22" s="28">
        <f t="shared" ref="AB22:AB30" si="36">AB21</f>
        <v>0</v>
      </c>
      <c r="AC22" s="28">
        <f t="shared" ref="AC22:AC30" si="37">AC21</f>
        <v>0</v>
      </c>
      <c r="AD22" s="28">
        <f t="shared" ref="AD22:AD30" si="38">AD21</f>
        <v>0</v>
      </c>
    </row>
    <row r="23" spans="1:30" x14ac:dyDescent="0.25">
      <c r="A23" s="39">
        <f t="shared" si="4"/>
        <v>0</v>
      </c>
      <c r="B23" s="27" t="str">
        <f t="shared" si="1"/>
        <v>060012-RstntSml-CECStd\060012-RstntSml-CECStd.cibd</v>
      </c>
      <c r="C23" s="27" t="str">
        <f t="shared" si="2"/>
        <v>BatchOut_140512_r1953\060012-RstntSml-CECStd.cibd</v>
      </c>
      <c r="D23" s="27" t="str">
        <f t="shared" si="5"/>
        <v>BatchOut_140512_r1953\XML\</v>
      </c>
      <c r="E23" s="9" t="str">
        <f t="shared" si="6"/>
        <v>060012</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0</v>
      </c>
      <c r="M23" s="32" t="str">
        <f t="shared" si="8"/>
        <v>060012</v>
      </c>
      <c r="N23" s="28" t="s">
        <v>89</v>
      </c>
      <c r="O23" s="28" t="str">
        <f t="shared" si="9"/>
        <v>060012-RstntSml-CECStd</v>
      </c>
      <c r="P23" s="28">
        <f t="shared" si="31"/>
        <v>0</v>
      </c>
      <c r="Q23" s="28">
        <f t="shared" si="32"/>
        <v>11</v>
      </c>
      <c r="R23" s="28">
        <f t="shared" si="10"/>
        <v>0</v>
      </c>
      <c r="S23" s="28">
        <f t="shared" si="10"/>
        <v>0</v>
      </c>
      <c r="T23" s="28">
        <f t="shared" si="33"/>
        <v>0</v>
      </c>
      <c r="U23" s="28">
        <f t="shared" si="11"/>
        <v>0</v>
      </c>
      <c r="V23" s="28">
        <f t="shared" si="11"/>
        <v>1</v>
      </c>
      <c r="W23" s="36">
        <v>11</v>
      </c>
      <c r="X23" s="36">
        <v>1</v>
      </c>
      <c r="Y23" s="28">
        <f t="shared" si="11"/>
        <v>0</v>
      </c>
      <c r="Z23" s="28">
        <f t="shared" si="34"/>
        <v>0</v>
      </c>
      <c r="AA23" s="28">
        <f t="shared" si="35"/>
        <v>0</v>
      </c>
      <c r="AB23" s="28">
        <f t="shared" si="36"/>
        <v>0</v>
      </c>
      <c r="AC23" s="28">
        <f t="shared" si="37"/>
        <v>0</v>
      </c>
      <c r="AD23" s="28">
        <f t="shared" si="38"/>
        <v>0</v>
      </c>
    </row>
    <row r="24" spans="1:30" x14ac:dyDescent="0.25">
      <c r="A24" s="39">
        <f t="shared" si="4"/>
        <v>1</v>
      </c>
      <c r="B24" s="27" t="str">
        <f t="shared" si="1"/>
        <v>070012-HotSml-CECStd\070012-HotSml-CECStd.cibd</v>
      </c>
      <c r="C24" s="27" t="str">
        <f t="shared" si="2"/>
        <v>BatchOut_140512_r1953\070012-HotSml-CECStd.cibd</v>
      </c>
      <c r="D24" s="27" t="str">
        <f t="shared" si="5"/>
        <v>BatchOut_140512_r1953\XML\</v>
      </c>
      <c r="E24" s="9" t="str">
        <f t="shared" si="6"/>
        <v>070012</v>
      </c>
      <c r="F24" s="22"/>
      <c r="G24" s="29"/>
      <c r="H24" s="23"/>
      <c r="I24" s="9" t="s">
        <v>11</v>
      </c>
      <c r="J24"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8"/>
        <v>070012</v>
      </c>
      <c r="N24" s="28" t="s">
        <v>90</v>
      </c>
      <c r="O24" s="28" t="str">
        <f t="shared" si="9"/>
        <v>070012-HotSml-CECStd</v>
      </c>
      <c r="P24" s="28">
        <f t="shared" si="31"/>
        <v>0</v>
      </c>
      <c r="Q24" s="28">
        <f t="shared" si="32"/>
        <v>11</v>
      </c>
      <c r="R24" s="28">
        <f t="shared" si="10"/>
        <v>0</v>
      </c>
      <c r="S24" s="28">
        <f t="shared" si="10"/>
        <v>0</v>
      </c>
      <c r="T24" s="28">
        <f t="shared" si="33"/>
        <v>0</v>
      </c>
      <c r="U24" s="28">
        <f t="shared" si="11"/>
        <v>0</v>
      </c>
      <c r="V24" s="28">
        <f t="shared" si="11"/>
        <v>1</v>
      </c>
      <c r="W24" s="36">
        <v>11</v>
      </c>
      <c r="X24" s="36">
        <v>1</v>
      </c>
      <c r="Y24" s="28">
        <f t="shared" si="11"/>
        <v>0</v>
      </c>
      <c r="Z24" s="28">
        <f t="shared" si="34"/>
        <v>0</v>
      </c>
      <c r="AA24" s="28">
        <f t="shared" si="35"/>
        <v>0</v>
      </c>
      <c r="AB24" s="28">
        <f t="shared" si="36"/>
        <v>0</v>
      </c>
      <c r="AC24" s="28">
        <f t="shared" si="37"/>
        <v>0</v>
      </c>
      <c r="AD24" s="28">
        <f t="shared" si="38"/>
        <v>0</v>
      </c>
    </row>
    <row r="25" spans="1:30" x14ac:dyDescent="0.25">
      <c r="A25" s="39">
        <f t="shared" si="4"/>
        <v>1</v>
      </c>
      <c r="B25" s="27" t="str">
        <f t="shared" si="1"/>
        <v>080012-Whse-CECStd\080012-Whse-CECStd.cibd</v>
      </c>
      <c r="C25" s="27" t="str">
        <f t="shared" si="2"/>
        <v>BatchOut_140512_r1953\080012-Whse-CECStd.cibd</v>
      </c>
      <c r="D25" s="27" t="str">
        <f t="shared" si="5"/>
        <v>BatchOut_140512_r1953\XML\</v>
      </c>
      <c r="E25" s="9" t="str">
        <f t="shared" ref="E25:E27" si="39">M25</f>
        <v>080012</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8"/>
        <v>080012</v>
      </c>
      <c r="N25" s="28" t="s">
        <v>91</v>
      </c>
      <c r="O25" s="28" t="str">
        <f t="shared" si="9"/>
        <v>080012-Whse-CECStd</v>
      </c>
      <c r="P25" s="28">
        <f t="shared" si="31"/>
        <v>0</v>
      </c>
      <c r="Q25" s="28">
        <f t="shared" si="32"/>
        <v>11</v>
      </c>
      <c r="R25" s="28">
        <f t="shared" si="10"/>
        <v>0</v>
      </c>
      <c r="S25" s="28">
        <f t="shared" si="10"/>
        <v>0</v>
      </c>
      <c r="T25" s="28">
        <f t="shared" si="33"/>
        <v>0</v>
      </c>
      <c r="U25" s="28">
        <f t="shared" si="11"/>
        <v>0</v>
      </c>
      <c r="V25" s="28">
        <f t="shared" si="11"/>
        <v>1</v>
      </c>
      <c r="W25" s="36">
        <v>11</v>
      </c>
      <c r="X25" s="36">
        <v>1</v>
      </c>
      <c r="Y25" s="28">
        <f t="shared" si="11"/>
        <v>0</v>
      </c>
      <c r="Z25" s="28">
        <f t="shared" si="34"/>
        <v>0</v>
      </c>
      <c r="AA25" s="28">
        <f t="shared" si="35"/>
        <v>0</v>
      </c>
      <c r="AB25" s="28">
        <f t="shared" si="36"/>
        <v>0</v>
      </c>
      <c r="AC25" s="28">
        <f t="shared" si="37"/>
        <v>0</v>
      </c>
      <c r="AD25" s="28">
        <f t="shared" si="38"/>
        <v>0</v>
      </c>
    </row>
    <row r="26" spans="1:30" x14ac:dyDescent="0.25">
      <c r="A26" s="39">
        <f t="shared" si="4"/>
        <v>1</v>
      </c>
      <c r="B26" s="27" t="str">
        <f t="shared" si="1"/>
        <v>090012-RetlLrg-CECStd\090012-RetlLrg-CECStd.cibd</v>
      </c>
      <c r="C26" s="27" t="str">
        <f t="shared" si="2"/>
        <v>BatchOut_140512_r1953\090012-RetlLrg-CECStd.cibd</v>
      </c>
      <c r="D26" s="27" t="str">
        <f t="shared" si="5"/>
        <v>BatchOut_140512_r1953\XML\</v>
      </c>
      <c r="E26" s="9" t="str">
        <f t="shared" si="39"/>
        <v>090012</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8"/>
        <v>090012</v>
      </c>
      <c r="N26" s="28" t="s">
        <v>92</v>
      </c>
      <c r="O26" s="28" t="str">
        <f t="shared" si="9"/>
        <v>090012-RetlLrg-CECStd</v>
      </c>
      <c r="P26" s="28">
        <f t="shared" si="31"/>
        <v>0</v>
      </c>
      <c r="Q26" s="28">
        <f t="shared" si="32"/>
        <v>11</v>
      </c>
      <c r="R26" s="28">
        <f t="shared" si="10"/>
        <v>0</v>
      </c>
      <c r="S26" s="28">
        <f t="shared" si="10"/>
        <v>0</v>
      </c>
      <c r="T26" s="28">
        <f t="shared" si="33"/>
        <v>0</v>
      </c>
      <c r="U26" s="28">
        <f t="shared" si="11"/>
        <v>0</v>
      </c>
      <c r="V26" s="28">
        <f t="shared" si="11"/>
        <v>1</v>
      </c>
      <c r="W26" s="36">
        <v>11</v>
      </c>
      <c r="X26" s="36">
        <v>1</v>
      </c>
      <c r="Y26" s="28">
        <f t="shared" si="11"/>
        <v>0</v>
      </c>
      <c r="Z26" s="28">
        <f t="shared" si="34"/>
        <v>0</v>
      </c>
      <c r="AA26" s="28">
        <f t="shared" si="35"/>
        <v>0</v>
      </c>
      <c r="AB26" s="28">
        <f t="shared" si="36"/>
        <v>0</v>
      </c>
      <c r="AC26" s="28">
        <f t="shared" si="37"/>
        <v>0</v>
      </c>
      <c r="AD26" s="28">
        <f t="shared" si="38"/>
        <v>0</v>
      </c>
    </row>
    <row r="27" spans="1:30" x14ac:dyDescent="0.25">
      <c r="A27" s="39">
        <f t="shared" si="4"/>
        <v>1</v>
      </c>
      <c r="B27" s="27" t="str">
        <f t="shared" si="1"/>
        <v>010112-SchSml-PSZ\010112-SchSml-PSZ.cibd</v>
      </c>
      <c r="C27" s="27" t="str">
        <f t="shared" si="2"/>
        <v>BatchOut_140512_r1953\010112-SchSml-PSZ.cibd</v>
      </c>
      <c r="D27" s="27" t="str">
        <f t="shared" si="5"/>
        <v>BatchOut_140512_r1953\XML\</v>
      </c>
      <c r="E27" s="9" t="str">
        <f t="shared" si="39"/>
        <v>010112</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8"/>
        <v>010112</v>
      </c>
      <c r="N27" s="28" t="s">
        <v>93</v>
      </c>
      <c r="O27" s="28" t="str">
        <f t="shared" si="9"/>
        <v>010112-SchSml-PSZ</v>
      </c>
      <c r="P27" s="28">
        <f t="shared" si="31"/>
        <v>0</v>
      </c>
      <c r="Q27" s="28">
        <f t="shared" si="32"/>
        <v>11</v>
      </c>
      <c r="R27" s="28">
        <f t="shared" si="10"/>
        <v>0</v>
      </c>
      <c r="S27" s="28">
        <f t="shared" si="10"/>
        <v>0</v>
      </c>
      <c r="T27" s="28">
        <f t="shared" si="33"/>
        <v>0</v>
      </c>
      <c r="U27" s="28">
        <f t="shared" si="11"/>
        <v>0</v>
      </c>
      <c r="V27" s="28">
        <f t="shared" si="11"/>
        <v>1</v>
      </c>
      <c r="W27" s="36">
        <v>11</v>
      </c>
      <c r="X27" s="36">
        <v>1</v>
      </c>
      <c r="Y27" s="28">
        <f t="shared" si="11"/>
        <v>0</v>
      </c>
      <c r="Z27" s="28">
        <f t="shared" si="34"/>
        <v>0</v>
      </c>
      <c r="AA27" s="28">
        <f t="shared" si="35"/>
        <v>0</v>
      </c>
      <c r="AB27" s="28">
        <f t="shared" si="36"/>
        <v>0</v>
      </c>
      <c r="AC27" s="28">
        <f t="shared" si="37"/>
        <v>0</v>
      </c>
      <c r="AD27" s="28">
        <f t="shared" si="38"/>
        <v>0</v>
      </c>
    </row>
    <row r="28" spans="1:30" x14ac:dyDescent="0.25">
      <c r="A28" s="39">
        <f t="shared" si="4"/>
        <v>1</v>
      </c>
      <c r="B28" s="27" t="str">
        <f t="shared" si="1"/>
        <v>010212-SchSml-PVAVAirZnSys\010212-SchSml-PVAVAirZnSys.cibd</v>
      </c>
      <c r="C28" s="27" t="str">
        <f t="shared" ref="C28" si="40" xml:space="preserve"> M$11 &amp; O28 &amp; ".cibd"</f>
        <v>BatchOut_140512_r1953\010212-SchSml-PVAVAirZnSys.cibd</v>
      </c>
      <c r="D28" s="27" t="str">
        <f t="shared" si="5"/>
        <v>BatchOut_140512_r1953\XML\</v>
      </c>
      <c r="E28" s="9" t="str">
        <f t="shared" ref="E28" si="41">M28</f>
        <v>010212</v>
      </c>
      <c r="F28" s="22"/>
      <c r="G28" s="29"/>
      <c r="H28" s="23"/>
      <c r="I28" s="9" t="s">
        <v>11</v>
      </c>
      <c r="J2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8"/>
        <v>010212</v>
      </c>
      <c r="N28" s="28" t="s">
        <v>94</v>
      </c>
      <c r="O28" s="28" t="str">
        <f t="shared" ref="O28" si="42">N28</f>
        <v>010212-SchSml-PVAVAirZnSys</v>
      </c>
      <c r="P28" s="28">
        <f t="shared" si="31"/>
        <v>0</v>
      </c>
      <c r="Q28" s="28">
        <f t="shared" si="32"/>
        <v>11</v>
      </c>
      <c r="R28" s="28">
        <f t="shared" si="10"/>
        <v>0</v>
      </c>
      <c r="S28" s="28">
        <f t="shared" si="10"/>
        <v>0</v>
      </c>
      <c r="T28" s="28">
        <f t="shared" si="33"/>
        <v>0</v>
      </c>
      <c r="U28" s="28">
        <f t="shared" si="11"/>
        <v>0</v>
      </c>
      <c r="V28" s="28">
        <f t="shared" si="11"/>
        <v>1</v>
      </c>
      <c r="W28" s="36">
        <v>11</v>
      </c>
      <c r="X28" s="36">
        <v>1</v>
      </c>
      <c r="Y28" s="28">
        <f t="shared" si="11"/>
        <v>0</v>
      </c>
      <c r="Z28" s="28">
        <f t="shared" si="34"/>
        <v>0</v>
      </c>
      <c r="AA28" s="28">
        <f t="shared" si="35"/>
        <v>0</v>
      </c>
      <c r="AB28" s="28">
        <f t="shared" si="36"/>
        <v>0</v>
      </c>
      <c r="AC28" s="28">
        <f t="shared" si="37"/>
        <v>0</v>
      </c>
      <c r="AD28" s="28">
        <f t="shared" si="38"/>
        <v>0</v>
      </c>
    </row>
    <row r="29" spans="1:30" x14ac:dyDescent="0.25">
      <c r="A29" s="39">
        <f t="shared" ref="A29" si="43">L29</f>
        <v>1</v>
      </c>
      <c r="B29" s="27" t="str">
        <f t="shared" ref="B29" si="44" xml:space="preserve"> M$10&amp;N29&amp;"\"&amp;N29&amp;".cibd"</f>
        <v>010312-SchSml-VAVFluidZnSys\010312-SchSml-VAVFluidZnSys.cibd</v>
      </c>
      <c r="C29" s="27" t="str">
        <f t="shared" ref="C29" si="45" xml:space="preserve"> M$11 &amp; O29 &amp; ".cibd"</f>
        <v>BatchOut_140512_r1953\010312-SchSml-VAVFluidZnSys.cibd</v>
      </c>
      <c r="D29" s="27" t="str">
        <f t="shared" si="5"/>
        <v>BatchOut_140512_r1953\XML\</v>
      </c>
      <c r="E29" s="9" t="str">
        <f t="shared" ref="E29" si="46">M29</f>
        <v>010312</v>
      </c>
      <c r="F29" s="22"/>
      <c r="G29" s="29"/>
      <c r="H29" s="23"/>
      <c r="I29" s="9" t="s">
        <v>11</v>
      </c>
      <c r="J29" s="9" t="str">
        <f t="shared" ref="J29" si="47">$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si="8"/>
        <v>010312</v>
      </c>
      <c r="N29" s="28" t="s">
        <v>95</v>
      </c>
      <c r="O29" s="28" t="str">
        <f t="shared" ref="O29:O30" si="48">N29</f>
        <v>010312-SchSml-VAVFluidZnSys</v>
      </c>
      <c r="P29" s="28">
        <f t="shared" si="31"/>
        <v>0</v>
      </c>
      <c r="Q29" s="28">
        <f t="shared" si="32"/>
        <v>11</v>
      </c>
      <c r="R29" s="28">
        <f t="shared" si="32"/>
        <v>0</v>
      </c>
      <c r="S29" s="28">
        <f t="shared" si="32"/>
        <v>0</v>
      </c>
      <c r="T29" s="28">
        <f t="shared" si="33"/>
        <v>0</v>
      </c>
      <c r="U29" s="28">
        <f t="shared" si="33"/>
        <v>0</v>
      </c>
      <c r="V29" s="28">
        <f t="shared" si="33"/>
        <v>1</v>
      </c>
      <c r="W29" s="36">
        <v>11</v>
      </c>
      <c r="X29" s="36">
        <v>1</v>
      </c>
      <c r="Y29" s="28">
        <f t="shared" ref="Y29" si="49">Y28</f>
        <v>0</v>
      </c>
      <c r="Z29" s="28">
        <f t="shared" si="34"/>
        <v>0</v>
      </c>
      <c r="AA29" s="28">
        <f t="shared" si="35"/>
        <v>0</v>
      </c>
      <c r="AB29" s="28">
        <f t="shared" si="36"/>
        <v>0</v>
      </c>
      <c r="AC29" s="28">
        <f t="shared" si="37"/>
        <v>0</v>
      </c>
      <c r="AD29" s="28">
        <f t="shared" si="38"/>
        <v>0</v>
      </c>
    </row>
    <row r="30" spans="1:30" x14ac:dyDescent="0.25">
      <c r="A30" s="39">
        <f t="shared" si="4"/>
        <v>1</v>
      </c>
      <c r="B30" s="27" t="str">
        <f t="shared" si="1"/>
        <v>040112-OffLrg-VAVPriSec\040112-OffLrg-VAVPriSec.cibd</v>
      </c>
      <c r="C30" s="27" t="str">
        <f t="shared" si="2"/>
        <v>BatchOut_140512_r1953\040112-OffLrg-VAVPriSec.cibd</v>
      </c>
      <c r="D30" s="27" t="str">
        <f t="shared" si="5"/>
        <v>BatchOut_140512_r1953\XML\</v>
      </c>
      <c r="E30" s="9" t="str">
        <f>M30</f>
        <v>040112</v>
      </c>
      <c r="F30" s="22"/>
      <c r="G30" s="29"/>
      <c r="H30" s="23"/>
      <c r="I30" s="9" t="s">
        <v>11</v>
      </c>
      <c r="J3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8"/>
        <v>040112</v>
      </c>
      <c r="N30" s="28" t="s">
        <v>96</v>
      </c>
      <c r="O30" s="28" t="str">
        <f t="shared" si="48"/>
        <v>040112-OffLrg-VAVPriSec</v>
      </c>
      <c r="P30" s="28">
        <f t="shared" si="31"/>
        <v>0</v>
      </c>
      <c r="Q30" s="28">
        <f t="shared" si="32"/>
        <v>11</v>
      </c>
      <c r="R30" s="28">
        <f t="shared" si="32"/>
        <v>0</v>
      </c>
      <c r="S30" s="28">
        <f t="shared" si="32"/>
        <v>0</v>
      </c>
      <c r="T30" s="28">
        <f t="shared" si="33"/>
        <v>0</v>
      </c>
      <c r="U30" s="28">
        <f t="shared" si="33"/>
        <v>0</v>
      </c>
      <c r="V30" s="28">
        <f t="shared" si="33"/>
        <v>1</v>
      </c>
      <c r="W30" s="36">
        <v>11</v>
      </c>
      <c r="X30" s="36">
        <v>1</v>
      </c>
      <c r="Y30" s="28">
        <f t="shared" ref="Y30" si="50">Y29</f>
        <v>0</v>
      </c>
      <c r="Z30" s="28">
        <f t="shared" si="34"/>
        <v>0</v>
      </c>
      <c r="AA30" s="28">
        <f t="shared" si="35"/>
        <v>0</v>
      </c>
      <c r="AB30" s="28">
        <f t="shared" si="36"/>
        <v>0</v>
      </c>
      <c r="AC30" s="28">
        <f t="shared" si="37"/>
        <v>0</v>
      </c>
      <c r="AD30" s="28">
        <f t="shared" si="38"/>
        <v>0</v>
      </c>
    </row>
    <row r="31" spans="1:30" x14ac:dyDescent="0.25">
      <c r="A31" s="39">
        <f t="shared" si="4"/>
        <v>0</v>
      </c>
      <c r="B31" s="27"/>
      <c r="C31" s="27"/>
      <c r="D31" s="27"/>
      <c r="E31" s="9"/>
      <c r="F31" s="22"/>
      <c r="G31" s="29"/>
      <c r="H31" s="23"/>
      <c r="I31" s="9"/>
      <c r="J31" s="9"/>
      <c r="K31" s="15" t="s">
        <v>1</v>
      </c>
      <c r="L31" s="36">
        <v>0</v>
      </c>
      <c r="M31" s="32"/>
      <c r="N31" s="28"/>
      <c r="O31" s="28"/>
      <c r="P31" s="28"/>
      <c r="Q31" s="28"/>
      <c r="R31" s="28"/>
      <c r="S31" s="28"/>
      <c r="T31" s="28"/>
      <c r="U31" s="28"/>
      <c r="V31" s="28"/>
      <c r="W31" s="36"/>
      <c r="X31" s="36"/>
      <c r="Y31" s="28"/>
      <c r="Z31" s="28"/>
      <c r="AA31" s="28"/>
      <c r="AB31" s="28"/>
      <c r="AC31" s="28"/>
      <c r="AD31" s="28"/>
    </row>
    <row r="32" spans="1:30" x14ac:dyDescent="0.25">
      <c r="A32" s="10">
        <v>-1</v>
      </c>
      <c r="B32" s="6"/>
      <c r="C32" s="6"/>
      <c r="D32" s="6"/>
      <c r="E32" s="6"/>
      <c r="F32" s="6"/>
      <c r="G32" s="6"/>
      <c r="H32" s="6"/>
      <c r="I32" s="6"/>
      <c r="J32" s="6"/>
    </row>
  </sheetData>
  <mergeCells count="2">
    <mergeCell ref="Y14:AA14"/>
    <mergeCell ref="AB14:AD14"/>
  </mergeCell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F32"/>
  <sheetViews>
    <sheetView topLeftCell="M1" zoomScale="70" zoomScaleNormal="70" workbookViewId="0">
      <selection activeCell="M7" sqref="M7:M8"/>
    </sheetView>
  </sheetViews>
  <sheetFormatPr defaultRowHeight="15" outlineLevelCol="1" x14ac:dyDescent="0.25"/>
  <cols>
    <col min="1" max="1" width="9.140625" style="1" customWidth="1"/>
    <col min="2" max="2" width="140.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55.5703125" style="1" hidden="1" customWidth="1" outlineLevel="1"/>
    <col min="11" max="11" width="5" style="47" customWidth="1" collapsed="1"/>
    <col min="12" max="12" width="13" style="47" customWidth="1"/>
    <col min="13" max="13" width="30.7109375" style="47" customWidth="1"/>
    <col min="14" max="14" width="35.7109375" style="1" customWidth="1"/>
    <col min="15" max="15" width="37.28515625" style="1" customWidth="1"/>
    <col min="16" max="21" width="20.28515625" style="1" customWidth="1"/>
    <col min="22" max="22" width="19.42578125" style="1" customWidth="1"/>
    <col min="23" max="23" width="15.85546875" style="1" customWidth="1"/>
    <col min="24" max="24" width="15" style="1" bestFit="1" customWidth="1"/>
    <col min="25" max="30" width="6" style="1" customWidth="1"/>
    <col min="31" max="16384" width="9.140625" style="1"/>
  </cols>
  <sheetData>
    <row r="1" spans="1:32" x14ac:dyDescent="0.25">
      <c r="A1" s="5" t="s">
        <v>0</v>
      </c>
    </row>
    <row r="2" spans="1:32" x14ac:dyDescent="0.25">
      <c r="A2" s="1" t="s">
        <v>1</v>
      </c>
    </row>
    <row r="3" spans="1:32" x14ac:dyDescent="0.25">
      <c r="A3" s="1" t="s">
        <v>1</v>
      </c>
      <c r="B3" s="5" t="s">
        <v>2</v>
      </c>
      <c r="C3" s="1" t="s">
        <v>3</v>
      </c>
    </row>
    <row r="4" spans="1:32" x14ac:dyDescent="0.25">
      <c r="A4" s="1" t="s">
        <v>1</v>
      </c>
    </row>
    <row r="5" spans="1:32" x14ac:dyDescent="0.25">
      <c r="A5" s="1" t="s">
        <v>1</v>
      </c>
      <c r="M5" s="36" t="s">
        <v>44</v>
      </c>
    </row>
    <row r="6" spans="1:32" x14ac:dyDescent="0.25">
      <c r="A6" s="2" t="s">
        <v>1</v>
      </c>
      <c r="B6" s="2"/>
      <c r="C6" s="30"/>
      <c r="D6" s="30"/>
      <c r="E6" s="16"/>
      <c r="F6" s="16"/>
      <c r="G6" s="16"/>
      <c r="H6" s="16"/>
    </row>
    <row r="7" spans="1:32" x14ac:dyDescent="0.25">
      <c r="A7" s="1" t="s">
        <v>4</v>
      </c>
      <c r="B7" s="47" t="s">
        <v>18</v>
      </c>
      <c r="C7" s="30"/>
      <c r="D7" s="30"/>
      <c r="L7" s="37" t="s">
        <v>45</v>
      </c>
      <c r="M7" s="32">
        <v>131003</v>
      </c>
    </row>
    <row r="8" spans="1:32" x14ac:dyDescent="0.25">
      <c r="A8" s="1" t="s">
        <v>5</v>
      </c>
      <c r="B8" s="47" t="s">
        <v>19</v>
      </c>
      <c r="C8" s="30"/>
      <c r="D8" s="30"/>
      <c r="L8" s="14" t="s">
        <v>46</v>
      </c>
      <c r="M8" s="32" t="s">
        <v>70</v>
      </c>
    </row>
    <row r="9" spans="1:32" x14ac:dyDescent="0.25">
      <c r="A9" s="3">
        <v>2</v>
      </c>
      <c r="B9" s="4" t="str">
        <f>M9</f>
        <v>BatchResults_131003_r1009.csv</v>
      </c>
      <c r="C9" s="30" t="s">
        <v>1</v>
      </c>
      <c r="D9" s="30"/>
      <c r="E9" s="30"/>
      <c r="F9" s="30"/>
      <c r="G9" s="30"/>
      <c r="H9" s="30"/>
      <c r="I9" s="26"/>
      <c r="L9" s="35" t="s">
        <v>39</v>
      </c>
      <c r="M9" s="28" t="str">
        <f>"BatchResults_"&amp;M7&amp;"_"&amp;M8&amp;".csv"</f>
        <v>BatchResults_131003_r1009.csv</v>
      </c>
      <c r="N9" s="1" t="s">
        <v>48</v>
      </c>
    </row>
    <row r="10" spans="1:32" x14ac:dyDescent="0.25">
      <c r="A10" s="1" t="s">
        <v>1</v>
      </c>
      <c r="L10" s="14" t="s">
        <v>16</v>
      </c>
      <c r="M10" s="28" t="s">
        <v>53</v>
      </c>
      <c r="N10" s="1" t="s">
        <v>47</v>
      </c>
    </row>
    <row r="11" spans="1:32" x14ac:dyDescent="0.25">
      <c r="A11" s="1" t="s">
        <v>1</v>
      </c>
      <c r="L11" s="14" t="s">
        <v>17</v>
      </c>
      <c r="M11" s="28" t="str">
        <f>M10&amp;"BatchOut"&amp;"_"&amp;M7&amp;"_"&amp;M8&amp;"\"</f>
        <v>RulesetImplementationTests\BatchOut_131003_r1009\</v>
      </c>
      <c r="N11" s="1" t="s">
        <v>47</v>
      </c>
    </row>
    <row r="12" spans="1:32" x14ac:dyDescent="0.25">
      <c r="A12" s="1" t="s">
        <v>1</v>
      </c>
      <c r="L12" s="14" t="s">
        <v>42</v>
      </c>
      <c r="M12" s="28" t="str">
        <f>M11&amp;"XML\"</f>
        <v>RulesetImplementationTests\BatchOut_131003_r1009\XML\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2"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2" x14ac:dyDescent="0.25">
      <c r="A14" s="11" t="s">
        <v>14</v>
      </c>
      <c r="B14" s="7" t="s">
        <v>6</v>
      </c>
      <c r="C14" s="7" t="s">
        <v>7</v>
      </c>
      <c r="D14" s="7" t="s">
        <v>40</v>
      </c>
      <c r="E14" s="7"/>
      <c r="F14" s="17" t="s">
        <v>21</v>
      </c>
      <c r="G14" s="7"/>
      <c r="H14" s="18"/>
      <c r="I14" s="7" t="s">
        <v>9</v>
      </c>
      <c r="J14" s="7" t="s">
        <v>12</v>
      </c>
      <c r="K14" s="14"/>
      <c r="L14" s="14"/>
      <c r="N14" s="47" t="s">
        <v>27</v>
      </c>
      <c r="O14" s="47" t="s">
        <v>26</v>
      </c>
      <c r="Y14" s="105" t="s">
        <v>33</v>
      </c>
      <c r="Z14" s="105"/>
      <c r="AA14" s="105"/>
      <c r="AB14" s="105" t="s">
        <v>34</v>
      </c>
      <c r="AC14" s="105"/>
      <c r="AD14" s="105"/>
    </row>
    <row r="15" spans="1:32"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2" x14ac:dyDescent="0.25">
      <c r="A16" s="39">
        <f t="shared" ref="A16:A31" si="1">L16</f>
        <v>1</v>
      </c>
      <c r="B16" s="27" t="str">
        <f>M$10&amp;LEFT(N16,SEARCH("_",N16)-1)&amp;"-CECRef\"&amp;N16&amp;"\"&amp;N16&amp;".cibd"</f>
        <v>RulesetImplementationTests\00200-OfficeSmall-CECRef\00200-OfficeSmall_CZ6_Run01\00200-OfficeSmall_CZ6_Run01.cibd</v>
      </c>
      <c r="C16" s="27" t="str">
        <f t="shared" ref="C16:C31" si="2" xml:space="preserve"> M$11 &amp; O16 &amp; ".cibd"</f>
        <v>RulesetImplementationTests\BatchOut_131003_r1009\00200-OfficeSmall_CZ6_Run01.cibd</v>
      </c>
      <c r="D16" s="27" t="str">
        <f t="shared" ref="D16:D31" si="3">$M$12</f>
        <v>RulesetImplementationTests\BatchOut_131003_r1009\XML\</v>
      </c>
      <c r="E16" s="9" t="str">
        <f t="shared" ref="E16:E31" si="4">M16</f>
        <v>00200-CZ6_Run01</v>
      </c>
      <c r="F16" s="22"/>
      <c r="G16" s="29"/>
      <c r="H16" s="23" t="str">
        <f>IF(F16&gt;1,1,"")</f>
        <v/>
      </c>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6" s="15" t="s">
        <v>1</v>
      </c>
      <c r="L16" s="36">
        <v>1</v>
      </c>
      <c r="M16" s="32" t="str">
        <f t="shared" ref="M16:M31" si="5">LEFT(N16,5)&amp;"-"&amp;MID(N16,SEARCH("_",N16)+1,100)</f>
        <v>00200-CZ6_Run01</v>
      </c>
      <c r="N16" s="28" t="s">
        <v>54</v>
      </c>
      <c r="O16" s="28" t="str">
        <f t="shared" ref="O16:O31" si="6">N16</f>
        <v>00200-OfficeSmall_CZ6_Run01</v>
      </c>
      <c r="P16" s="28">
        <v>1</v>
      </c>
      <c r="Q16" s="28">
        <v>11</v>
      </c>
      <c r="R16" s="28">
        <v>1</v>
      </c>
      <c r="S16" s="28">
        <v>1</v>
      </c>
      <c r="T16" s="28">
        <v>0</v>
      </c>
      <c r="U16" s="28">
        <v>0</v>
      </c>
      <c r="V16" s="28">
        <v>1</v>
      </c>
      <c r="W16" s="36">
        <f t="shared" ref="W16:W31" si="7">Q16</f>
        <v>11</v>
      </c>
      <c r="X16" s="36">
        <v>1</v>
      </c>
      <c r="Y16" s="28">
        <v>0</v>
      </c>
      <c r="Z16" s="28">
        <v>1</v>
      </c>
      <c r="AA16" s="28">
        <v>1</v>
      </c>
      <c r="AB16" s="28">
        <v>1</v>
      </c>
      <c r="AC16" s="28">
        <v>1</v>
      </c>
      <c r="AD16" s="28">
        <v>1</v>
      </c>
      <c r="AF16" s="1">
        <f t="shared" ref="AF16:AF31" si="8">VALUE(RIGHT(N16,2))</f>
        <v>1</v>
      </c>
    </row>
    <row r="17" spans="1:32" x14ac:dyDescent="0.25">
      <c r="A17" s="39">
        <f t="shared" si="1"/>
        <v>1</v>
      </c>
      <c r="B17" s="27" t="str">
        <f t="shared" ref="B17:B31" si="9">M$10&amp;LEFT(N17,SEARCH("_",N17)-1)&amp;"-CECRef\"&amp;N17&amp;"\"&amp;N17&amp;".cibd"</f>
        <v>RulesetImplementationTests\00200-OfficeSmall-CECRef\00200-OfficeSmall_CZ15_Run02\00200-OfficeSmall_CZ15_Run02.cibd</v>
      </c>
      <c r="C17" s="27" t="str">
        <f t="shared" si="2"/>
        <v>RulesetImplementationTests\BatchOut_131003_r1009\00200-OfficeSmall_CZ15_Run02.cibd</v>
      </c>
      <c r="D17" s="27" t="str">
        <f t="shared" si="3"/>
        <v>RulesetImplementationTests\BatchOut_131003_r1009\XML\</v>
      </c>
      <c r="E17" s="9" t="str">
        <f t="shared" si="4"/>
        <v>00200-CZ15_Run02</v>
      </c>
      <c r="F17" s="22"/>
      <c r="G17" s="29"/>
      <c r="H17" s="23" t="str">
        <f>IF(F17&gt;1,1,"")</f>
        <v/>
      </c>
      <c r="I17" s="9" t="s">
        <v>11</v>
      </c>
      <c r="J17" s="9" t="str">
        <f t="shared" ref="J17:J31" si="10">$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7" s="15" t="s">
        <v>1</v>
      </c>
      <c r="L17" s="36">
        <v>1</v>
      </c>
      <c r="M17" s="32" t="str">
        <f t="shared" si="5"/>
        <v>00200-CZ15_Run02</v>
      </c>
      <c r="N17" s="28" t="s">
        <v>55</v>
      </c>
      <c r="O17" s="28" t="str">
        <f t="shared" si="6"/>
        <v>00200-OfficeSmall_CZ15_Run02</v>
      </c>
      <c r="P17" s="28">
        <f>P16</f>
        <v>1</v>
      </c>
      <c r="Q17" s="28">
        <v>11</v>
      </c>
      <c r="R17" s="28">
        <v>1</v>
      </c>
      <c r="S17" s="28">
        <v>1</v>
      </c>
      <c r="T17" s="28">
        <v>0</v>
      </c>
      <c r="U17" s="28">
        <v>0</v>
      </c>
      <c r="V17" s="28">
        <v>1</v>
      </c>
      <c r="W17" s="36">
        <f t="shared" si="7"/>
        <v>11</v>
      </c>
      <c r="X17" s="36">
        <v>1</v>
      </c>
      <c r="Y17" s="28">
        <f>Y16</f>
        <v>0</v>
      </c>
      <c r="Z17" s="28">
        <f t="shared" ref="Z17:Z31" si="11">Z16</f>
        <v>1</v>
      </c>
      <c r="AA17" s="28">
        <f t="shared" ref="AA17:AA31" si="12">AA16</f>
        <v>1</v>
      </c>
      <c r="AB17" s="28">
        <f t="shared" ref="AB17:AB31" si="13">AB16</f>
        <v>1</v>
      </c>
      <c r="AC17" s="28">
        <f t="shared" ref="AC17:AC31" si="14">AC16</f>
        <v>1</v>
      </c>
      <c r="AD17" s="28">
        <f t="shared" ref="AD17:AD31" si="15">AD16</f>
        <v>1</v>
      </c>
      <c r="AF17" s="1">
        <f t="shared" si="8"/>
        <v>2</v>
      </c>
    </row>
    <row r="18" spans="1:32" x14ac:dyDescent="0.25">
      <c r="A18" s="39">
        <f t="shared" si="1"/>
        <v>1</v>
      </c>
      <c r="B18" s="27" t="str">
        <f t="shared" si="9"/>
        <v>RulesetImplementationTests\00700-HotelSmall-CECRef\00700-HotelSmall_CZ15_Run03\00700-HotelSmall_CZ15_Run03.cibd</v>
      </c>
      <c r="C18" s="27" t="str">
        <f t="shared" si="2"/>
        <v>RulesetImplementationTests\BatchOut_131003_r1009\00700-HotelSmall_CZ15_Run03.cibd</v>
      </c>
      <c r="D18" s="27" t="str">
        <f t="shared" si="3"/>
        <v>RulesetImplementationTests\BatchOut_131003_r1009\XML\</v>
      </c>
      <c r="E18" s="9" t="str">
        <f t="shared" si="4"/>
        <v>00700-CZ15_Run03</v>
      </c>
      <c r="F18" s="22"/>
      <c r="G18" s="29"/>
      <c r="H18" s="23" t="str">
        <f>IF(F18&gt;1,1,"")</f>
        <v/>
      </c>
      <c r="I18" s="9" t="s">
        <v>11</v>
      </c>
      <c r="J1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8" s="15" t="s">
        <v>1</v>
      </c>
      <c r="L18" s="36">
        <v>1</v>
      </c>
      <c r="M18" s="32" t="str">
        <f t="shared" si="5"/>
        <v>00700-CZ15_Run03</v>
      </c>
      <c r="N18" s="28" t="s">
        <v>67</v>
      </c>
      <c r="O18" s="28" t="str">
        <f t="shared" si="6"/>
        <v>00700-HotelSmall_CZ15_Run03</v>
      </c>
      <c r="P18" s="28">
        <f t="shared" ref="P18:P31" si="16">P17</f>
        <v>1</v>
      </c>
      <c r="Q18" s="28">
        <v>11</v>
      </c>
      <c r="R18" s="28">
        <v>1</v>
      </c>
      <c r="S18" s="28">
        <v>1</v>
      </c>
      <c r="T18" s="28">
        <v>0</v>
      </c>
      <c r="U18" s="28">
        <v>0</v>
      </c>
      <c r="V18" s="28">
        <v>1</v>
      </c>
      <c r="W18" s="36">
        <f t="shared" si="7"/>
        <v>11</v>
      </c>
      <c r="X18" s="36">
        <v>1</v>
      </c>
      <c r="Y18" s="28">
        <f t="shared" ref="Y18:Y31" si="17">Y17</f>
        <v>0</v>
      </c>
      <c r="Z18" s="28">
        <f t="shared" si="11"/>
        <v>1</v>
      </c>
      <c r="AA18" s="28">
        <f t="shared" si="12"/>
        <v>1</v>
      </c>
      <c r="AB18" s="28">
        <f t="shared" si="13"/>
        <v>1</v>
      </c>
      <c r="AC18" s="28">
        <f t="shared" si="14"/>
        <v>1</v>
      </c>
      <c r="AD18" s="28">
        <f t="shared" si="15"/>
        <v>1</v>
      </c>
      <c r="AF18" s="1">
        <f t="shared" si="8"/>
        <v>3</v>
      </c>
    </row>
    <row r="19" spans="1:32" x14ac:dyDescent="0.25">
      <c r="A19" s="39">
        <f t="shared" si="1"/>
        <v>1</v>
      </c>
      <c r="B19" s="27" t="str">
        <f t="shared" si="9"/>
        <v>RulesetImplementationTests\00300-OfficeMedium-CECRef\00300-OfficeMedium_CZ6_Run04\00300-OfficeMedium_CZ6_Run04.cibd</v>
      </c>
      <c r="C19" s="27" t="str">
        <f t="shared" si="2"/>
        <v>RulesetImplementationTests\BatchOut_131003_r1009\00300-OfficeMedium_CZ6_Run04.cibd</v>
      </c>
      <c r="D19" s="27" t="str">
        <f t="shared" si="3"/>
        <v>RulesetImplementationTests\BatchOut_131003_r1009\XML\</v>
      </c>
      <c r="E19" s="9" t="str">
        <f t="shared" si="4"/>
        <v>00300-CZ6_Run04</v>
      </c>
      <c r="F19" s="22"/>
      <c r="G19" s="29"/>
      <c r="H19" s="23"/>
      <c r="I19" s="9" t="s">
        <v>11</v>
      </c>
      <c r="J1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9" s="15" t="s">
        <v>1</v>
      </c>
      <c r="L19" s="36">
        <v>1</v>
      </c>
      <c r="M19" s="32" t="str">
        <f t="shared" si="5"/>
        <v>00300-CZ6_Run04</v>
      </c>
      <c r="N19" s="28" t="s">
        <v>52</v>
      </c>
      <c r="O19" s="28" t="str">
        <f t="shared" si="6"/>
        <v>00300-OfficeMedium_CZ6_Run04</v>
      </c>
      <c r="P19" s="28">
        <f t="shared" si="16"/>
        <v>1</v>
      </c>
      <c r="Q19" s="28">
        <v>11</v>
      </c>
      <c r="R19" s="28">
        <v>1</v>
      </c>
      <c r="S19" s="28">
        <v>1</v>
      </c>
      <c r="T19" s="28">
        <v>0</v>
      </c>
      <c r="U19" s="28">
        <v>0</v>
      </c>
      <c r="V19" s="28">
        <v>1</v>
      </c>
      <c r="W19" s="36">
        <f t="shared" si="7"/>
        <v>11</v>
      </c>
      <c r="X19" s="36">
        <v>1</v>
      </c>
      <c r="Y19" s="28">
        <f t="shared" si="17"/>
        <v>0</v>
      </c>
      <c r="Z19" s="28">
        <f t="shared" si="11"/>
        <v>1</v>
      </c>
      <c r="AA19" s="28">
        <f t="shared" si="12"/>
        <v>1</v>
      </c>
      <c r="AB19" s="28">
        <f t="shared" si="13"/>
        <v>1</v>
      </c>
      <c r="AC19" s="28">
        <f t="shared" si="14"/>
        <v>1</v>
      </c>
      <c r="AD19" s="28">
        <f t="shared" si="15"/>
        <v>1</v>
      </c>
      <c r="AF19" s="1">
        <f t="shared" si="8"/>
        <v>4</v>
      </c>
    </row>
    <row r="20" spans="1:32" x14ac:dyDescent="0.25">
      <c r="A20" s="39">
        <f t="shared" si="1"/>
        <v>1</v>
      </c>
      <c r="B20" s="27" t="str">
        <f t="shared" si="9"/>
        <v>RulesetImplementationTests\00400-OfficeLarge-CECRef\00400-OfficeLarge_CZ6_Run05\00400-OfficeLarge_CZ6_Run05.cibd</v>
      </c>
      <c r="C20" s="27" t="str">
        <f t="shared" si="2"/>
        <v>RulesetImplementationTests\BatchOut_131003_r1009\00400-OfficeLarge_CZ6_Run05.cibd</v>
      </c>
      <c r="D20" s="27" t="str">
        <f t="shared" si="3"/>
        <v>RulesetImplementationTests\BatchOut_131003_r1009\XML\</v>
      </c>
      <c r="E20" s="9" t="str">
        <f t="shared" si="4"/>
        <v>00400-CZ6_Run05</v>
      </c>
      <c r="F20" s="22"/>
      <c r="G20" s="29"/>
      <c r="H20" s="23"/>
      <c r="I20" s="9" t="s">
        <v>11</v>
      </c>
      <c r="J2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0" s="15" t="s">
        <v>1</v>
      </c>
      <c r="L20" s="36">
        <v>1</v>
      </c>
      <c r="M20" s="32" t="str">
        <f t="shared" si="5"/>
        <v>00400-CZ6_Run05</v>
      </c>
      <c r="N20" s="28" t="s">
        <v>63</v>
      </c>
      <c r="O20" s="28" t="str">
        <f t="shared" si="6"/>
        <v>00400-OfficeLarge_CZ6_Run05</v>
      </c>
      <c r="P20" s="28">
        <f t="shared" si="16"/>
        <v>1</v>
      </c>
      <c r="Q20" s="28">
        <v>11</v>
      </c>
      <c r="R20" s="28">
        <v>1</v>
      </c>
      <c r="S20" s="28">
        <v>1</v>
      </c>
      <c r="T20" s="28">
        <v>0</v>
      </c>
      <c r="U20" s="28">
        <v>0</v>
      </c>
      <c r="V20" s="28">
        <v>1</v>
      </c>
      <c r="W20" s="36">
        <f t="shared" si="7"/>
        <v>11</v>
      </c>
      <c r="X20" s="36">
        <v>1</v>
      </c>
      <c r="Y20" s="28">
        <f t="shared" si="17"/>
        <v>0</v>
      </c>
      <c r="Z20" s="28">
        <f t="shared" si="11"/>
        <v>1</v>
      </c>
      <c r="AA20" s="28">
        <f t="shared" si="12"/>
        <v>1</v>
      </c>
      <c r="AB20" s="28">
        <f t="shared" si="13"/>
        <v>1</v>
      </c>
      <c r="AC20" s="28">
        <f t="shared" si="14"/>
        <v>1</v>
      </c>
      <c r="AD20" s="28">
        <f t="shared" si="15"/>
        <v>1</v>
      </c>
      <c r="AF20" s="1">
        <f t="shared" si="8"/>
        <v>5</v>
      </c>
    </row>
    <row r="21" spans="1:32" x14ac:dyDescent="0.25">
      <c r="A21" s="39">
        <f t="shared" si="1"/>
        <v>1</v>
      </c>
      <c r="B21" s="27" t="str">
        <f t="shared" si="9"/>
        <v>RulesetImplementationTests\00400-OfficeLarge-CECRef\00400-OfficeLarge_CZ6_Run06\00400-OfficeLarge_CZ6_Run06.cibd</v>
      </c>
      <c r="C21" s="27" t="str">
        <f t="shared" si="2"/>
        <v>RulesetImplementationTests\BatchOut_131003_r1009\00400-OfficeLarge_CZ6_Run06.cibd</v>
      </c>
      <c r="D21" s="27" t="str">
        <f t="shared" si="3"/>
        <v>RulesetImplementationTests\BatchOut_131003_r1009\XML\</v>
      </c>
      <c r="E21" s="9" t="str">
        <f t="shared" si="4"/>
        <v>00400-CZ6_Run06</v>
      </c>
      <c r="F21" s="22"/>
      <c r="G21" s="29"/>
      <c r="H21" s="23" t="str">
        <f>IF(F21&gt;1,1,"")</f>
        <v/>
      </c>
      <c r="I21" s="9" t="s">
        <v>11</v>
      </c>
      <c r="J2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1" s="15" t="s">
        <v>1</v>
      </c>
      <c r="L21" s="36">
        <v>1</v>
      </c>
      <c r="M21" s="32" t="str">
        <f t="shared" si="5"/>
        <v>00400-CZ6_Run06</v>
      </c>
      <c r="N21" s="28" t="s">
        <v>64</v>
      </c>
      <c r="O21" s="28" t="str">
        <f t="shared" si="6"/>
        <v>00400-OfficeLarge_CZ6_Run06</v>
      </c>
      <c r="P21" s="28">
        <f t="shared" si="16"/>
        <v>1</v>
      </c>
      <c r="Q21" s="28">
        <v>11</v>
      </c>
      <c r="R21" s="28">
        <v>1</v>
      </c>
      <c r="S21" s="28">
        <v>1</v>
      </c>
      <c r="T21" s="28">
        <v>0</v>
      </c>
      <c r="U21" s="28">
        <v>0</v>
      </c>
      <c r="V21" s="28">
        <v>1</v>
      </c>
      <c r="W21" s="36">
        <f t="shared" si="7"/>
        <v>11</v>
      </c>
      <c r="X21" s="36">
        <v>1</v>
      </c>
      <c r="Y21" s="28">
        <f t="shared" si="17"/>
        <v>0</v>
      </c>
      <c r="Z21" s="28">
        <f t="shared" si="11"/>
        <v>1</v>
      </c>
      <c r="AA21" s="28">
        <f t="shared" si="12"/>
        <v>1</v>
      </c>
      <c r="AB21" s="28">
        <f t="shared" si="13"/>
        <v>1</v>
      </c>
      <c r="AC21" s="28">
        <f t="shared" si="14"/>
        <v>1</v>
      </c>
      <c r="AD21" s="28">
        <f t="shared" si="15"/>
        <v>1</v>
      </c>
      <c r="AF21" s="1">
        <f t="shared" si="8"/>
        <v>6</v>
      </c>
    </row>
    <row r="22" spans="1:32" x14ac:dyDescent="0.25">
      <c r="A22" s="39">
        <f t="shared" si="1"/>
        <v>0</v>
      </c>
      <c r="B22" s="27" t="str">
        <f t="shared" si="9"/>
        <v>RulesetImplementationTests\00300-OfficeMedium-CECRef\00300-OfficeMedium_CZ6_Run10\00300-OfficeMedium_CZ6_Run10.cibd</v>
      </c>
      <c r="C22" s="27" t="str">
        <f t="shared" si="2"/>
        <v>RulesetImplementationTests\BatchOut_131003_r1009\00300-OfficeMedium_CZ6_Run10.cibd</v>
      </c>
      <c r="D22" s="27" t="str">
        <f t="shared" si="3"/>
        <v>RulesetImplementationTests\BatchOut_131003_r1009\XML\</v>
      </c>
      <c r="E22" s="9" t="str">
        <f t="shared" si="4"/>
        <v>00300-CZ6_Run10</v>
      </c>
      <c r="F22" s="22"/>
      <c r="G22" s="29"/>
      <c r="H22" s="23"/>
      <c r="I22" s="9" t="s">
        <v>11</v>
      </c>
      <c r="J22"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2" s="15" t="s">
        <v>1</v>
      </c>
      <c r="L22" s="36">
        <v>0</v>
      </c>
      <c r="M22" s="32" t="str">
        <f t="shared" si="5"/>
        <v>00300-CZ6_Run10</v>
      </c>
      <c r="N22" s="28" t="s">
        <v>58</v>
      </c>
      <c r="O22" s="28" t="str">
        <f t="shared" si="6"/>
        <v>00300-OfficeMedium_CZ6_Run10</v>
      </c>
      <c r="P22" s="28">
        <f t="shared" si="16"/>
        <v>1</v>
      </c>
      <c r="Q22" s="28">
        <v>11</v>
      </c>
      <c r="R22" s="28">
        <v>1</v>
      </c>
      <c r="S22" s="28">
        <v>1</v>
      </c>
      <c r="T22" s="28">
        <v>0</v>
      </c>
      <c r="U22" s="28">
        <v>0</v>
      </c>
      <c r="V22" s="28">
        <v>1</v>
      </c>
      <c r="W22" s="36">
        <f t="shared" si="7"/>
        <v>11</v>
      </c>
      <c r="X22" s="36">
        <v>1</v>
      </c>
      <c r="Y22" s="28">
        <f t="shared" si="17"/>
        <v>0</v>
      </c>
      <c r="Z22" s="28">
        <f t="shared" si="11"/>
        <v>1</v>
      </c>
      <c r="AA22" s="28">
        <f t="shared" si="12"/>
        <v>1</v>
      </c>
      <c r="AB22" s="28">
        <f t="shared" si="13"/>
        <v>1</v>
      </c>
      <c r="AC22" s="28">
        <f t="shared" si="14"/>
        <v>1</v>
      </c>
      <c r="AD22" s="28">
        <f t="shared" si="15"/>
        <v>1</v>
      </c>
      <c r="AF22" s="1">
        <f t="shared" si="8"/>
        <v>10</v>
      </c>
    </row>
    <row r="23" spans="1:32" x14ac:dyDescent="0.25">
      <c r="A23" s="39">
        <f t="shared" si="1"/>
        <v>1</v>
      </c>
      <c r="B23" s="27" t="str">
        <f t="shared" si="9"/>
        <v>RulesetImplementationTests\00400-OfficeLarge-CECRef\00400-OfficeLarge_CZ6_Run11\00400-OfficeLarge_CZ6_Run11.cibd</v>
      </c>
      <c r="C23" s="27" t="str">
        <f t="shared" si="2"/>
        <v>RulesetImplementationTests\BatchOut_131003_r1009\00400-OfficeLarge_CZ6_Run11.cibd</v>
      </c>
      <c r="D23" s="27" t="str">
        <f t="shared" si="3"/>
        <v>RulesetImplementationTests\BatchOut_131003_r1009\XML\</v>
      </c>
      <c r="E23" s="9" t="str">
        <f t="shared" si="4"/>
        <v>00400-CZ6_Run11</v>
      </c>
      <c r="F23" s="22"/>
      <c r="G23" s="29"/>
      <c r="H23" s="23" t="str">
        <f>IF(F23&gt;1,1,"")</f>
        <v/>
      </c>
      <c r="I23" s="9" t="s">
        <v>11</v>
      </c>
      <c r="J23"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3" s="15" t="s">
        <v>1</v>
      </c>
      <c r="L23" s="36">
        <v>1</v>
      </c>
      <c r="M23" s="32" t="str">
        <f t="shared" si="5"/>
        <v>00400-CZ6_Run11</v>
      </c>
      <c r="N23" s="28" t="s">
        <v>65</v>
      </c>
      <c r="O23" s="28" t="str">
        <f t="shared" si="6"/>
        <v>00400-OfficeLarge_CZ6_Run11</v>
      </c>
      <c r="P23" s="28">
        <f t="shared" si="16"/>
        <v>1</v>
      </c>
      <c r="Q23" s="28">
        <v>11</v>
      </c>
      <c r="R23" s="28">
        <v>1</v>
      </c>
      <c r="S23" s="28">
        <v>1</v>
      </c>
      <c r="T23" s="28">
        <v>0</v>
      </c>
      <c r="U23" s="28">
        <v>0</v>
      </c>
      <c r="V23" s="28">
        <v>1</v>
      </c>
      <c r="W23" s="36">
        <f t="shared" si="7"/>
        <v>11</v>
      </c>
      <c r="X23" s="36">
        <v>1</v>
      </c>
      <c r="Y23" s="28">
        <f t="shared" si="17"/>
        <v>0</v>
      </c>
      <c r="Z23" s="28">
        <f t="shared" si="11"/>
        <v>1</v>
      </c>
      <c r="AA23" s="28">
        <f t="shared" si="12"/>
        <v>1</v>
      </c>
      <c r="AB23" s="28">
        <f t="shared" si="13"/>
        <v>1</v>
      </c>
      <c r="AC23" s="28">
        <f t="shared" si="14"/>
        <v>1</v>
      </c>
      <c r="AD23" s="28">
        <f t="shared" si="15"/>
        <v>1</v>
      </c>
      <c r="AF23" s="1">
        <f t="shared" si="8"/>
        <v>11</v>
      </c>
    </row>
    <row r="24" spans="1:32" x14ac:dyDescent="0.25">
      <c r="A24" s="39">
        <f t="shared" si="1"/>
        <v>1</v>
      </c>
      <c r="B24" s="27" t="str">
        <f t="shared" si="9"/>
        <v>RulesetImplementationTests\00300-OfficeMedium-CECRef\00300-OfficeMedium_CZ6_Run12\00300-OfficeMedium_CZ6_Run12.cibd</v>
      </c>
      <c r="C24" s="27" t="str">
        <f t="shared" si="2"/>
        <v>RulesetImplementationTests\BatchOut_131003_r1009\00300-OfficeMedium_CZ6_Run12.cibd</v>
      </c>
      <c r="D24" s="27" t="str">
        <f t="shared" si="3"/>
        <v>RulesetImplementationTests\BatchOut_131003_r1009\XML\</v>
      </c>
      <c r="E24" s="9" t="str">
        <f t="shared" si="4"/>
        <v>00300-CZ6_Run12</v>
      </c>
      <c r="F24" s="22"/>
      <c r="G24" s="29"/>
      <c r="H24" s="23"/>
      <c r="I24" s="9" t="s">
        <v>11</v>
      </c>
      <c r="J24"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4" s="15" t="s">
        <v>1</v>
      </c>
      <c r="L24" s="36">
        <v>1</v>
      </c>
      <c r="M24" s="32" t="str">
        <f t="shared" si="5"/>
        <v>00300-CZ6_Run12</v>
      </c>
      <c r="N24" s="28" t="s">
        <v>59</v>
      </c>
      <c r="O24" s="28" t="str">
        <f t="shared" si="6"/>
        <v>00300-OfficeMedium_CZ6_Run12</v>
      </c>
      <c r="P24" s="28">
        <f t="shared" si="16"/>
        <v>1</v>
      </c>
      <c r="Q24" s="28">
        <v>11</v>
      </c>
      <c r="R24" s="28">
        <v>1</v>
      </c>
      <c r="S24" s="28">
        <v>1</v>
      </c>
      <c r="T24" s="28">
        <v>0</v>
      </c>
      <c r="U24" s="28">
        <v>0</v>
      </c>
      <c r="V24" s="28">
        <v>1</v>
      </c>
      <c r="W24" s="36">
        <f t="shared" si="7"/>
        <v>11</v>
      </c>
      <c r="X24" s="36">
        <v>1</v>
      </c>
      <c r="Y24" s="28">
        <f t="shared" si="17"/>
        <v>0</v>
      </c>
      <c r="Z24" s="28">
        <f t="shared" si="11"/>
        <v>1</v>
      </c>
      <c r="AA24" s="28">
        <f t="shared" si="12"/>
        <v>1</v>
      </c>
      <c r="AB24" s="28">
        <f t="shared" si="13"/>
        <v>1</v>
      </c>
      <c r="AC24" s="28">
        <f t="shared" si="14"/>
        <v>1</v>
      </c>
      <c r="AD24" s="28">
        <f t="shared" si="15"/>
        <v>1</v>
      </c>
      <c r="AF24" s="1">
        <f t="shared" si="8"/>
        <v>12</v>
      </c>
    </row>
    <row r="25" spans="1:32" x14ac:dyDescent="0.25">
      <c r="A25" s="39">
        <f t="shared" si="1"/>
        <v>1</v>
      </c>
      <c r="B25" s="27" t="str">
        <f t="shared" si="9"/>
        <v>RulesetImplementationTests\00300-OfficeMedium-CECRef\00300-OfficeMedium_CZ6_Run13\00300-OfficeMedium_CZ6_Run13.cibd</v>
      </c>
      <c r="C25" s="27" t="str">
        <f t="shared" si="2"/>
        <v>RulesetImplementationTests\BatchOut_131003_r1009\00300-OfficeMedium_CZ6_Run13.cibd</v>
      </c>
      <c r="D25" s="27" t="str">
        <f t="shared" si="3"/>
        <v>RulesetImplementationTests\BatchOut_131003_r1009\XML\</v>
      </c>
      <c r="E25" s="9" t="str">
        <f t="shared" si="4"/>
        <v>00300-CZ6_Run13</v>
      </c>
      <c r="F25" s="22"/>
      <c r="G25" s="29"/>
      <c r="H25" s="23"/>
      <c r="I25" s="9" t="s">
        <v>11</v>
      </c>
      <c r="J25"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5" s="15" t="s">
        <v>1</v>
      </c>
      <c r="L25" s="36">
        <v>1</v>
      </c>
      <c r="M25" s="32" t="str">
        <f t="shared" si="5"/>
        <v>00300-CZ6_Run13</v>
      </c>
      <c r="N25" s="28" t="s">
        <v>60</v>
      </c>
      <c r="O25" s="28" t="str">
        <f t="shared" si="6"/>
        <v>00300-OfficeMedium_CZ6_Run13</v>
      </c>
      <c r="P25" s="28">
        <f t="shared" si="16"/>
        <v>1</v>
      </c>
      <c r="Q25" s="28">
        <v>11</v>
      </c>
      <c r="R25" s="28">
        <v>1</v>
      </c>
      <c r="S25" s="28">
        <v>1</v>
      </c>
      <c r="T25" s="28">
        <v>0</v>
      </c>
      <c r="U25" s="28">
        <v>0</v>
      </c>
      <c r="V25" s="28">
        <v>1</v>
      </c>
      <c r="W25" s="36">
        <f t="shared" si="7"/>
        <v>11</v>
      </c>
      <c r="X25" s="36">
        <v>1</v>
      </c>
      <c r="Y25" s="28">
        <f t="shared" si="17"/>
        <v>0</v>
      </c>
      <c r="Z25" s="28">
        <f t="shared" si="11"/>
        <v>1</v>
      </c>
      <c r="AA25" s="28">
        <f t="shared" si="12"/>
        <v>1</v>
      </c>
      <c r="AB25" s="28">
        <f t="shared" si="13"/>
        <v>1</v>
      </c>
      <c r="AC25" s="28">
        <f t="shared" si="14"/>
        <v>1</v>
      </c>
      <c r="AD25" s="28">
        <f t="shared" si="15"/>
        <v>1</v>
      </c>
      <c r="AF25" s="1">
        <f t="shared" si="8"/>
        <v>13</v>
      </c>
    </row>
    <row r="26" spans="1:32" x14ac:dyDescent="0.25">
      <c r="A26" s="39">
        <f t="shared" si="1"/>
        <v>1</v>
      </c>
      <c r="B26" s="27" t="str">
        <f t="shared" si="9"/>
        <v>RulesetImplementationTests\00200-OfficeSmall-CECRef\00200-OfficeSmall_CZ6_Run14\00200-OfficeSmall_CZ6_Run14.cibd</v>
      </c>
      <c r="C26" s="27" t="str">
        <f t="shared" si="2"/>
        <v>RulesetImplementationTests\BatchOut_131003_r1009\00200-OfficeSmall_CZ6_Run14.cibd</v>
      </c>
      <c r="D26" s="27" t="str">
        <f t="shared" si="3"/>
        <v>RulesetImplementationTests\BatchOut_131003_r1009\XML\</v>
      </c>
      <c r="E26" s="9" t="str">
        <f t="shared" si="4"/>
        <v>00200-CZ6_Run14</v>
      </c>
      <c r="F26" s="22"/>
      <c r="G26" s="29"/>
      <c r="H26" s="23" t="str">
        <f>IF(F26&gt;1,1,"")</f>
        <v/>
      </c>
      <c r="I26" s="9" t="s">
        <v>11</v>
      </c>
      <c r="J26"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6" s="15" t="s">
        <v>1</v>
      </c>
      <c r="L26" s="36">
        <v>1</v>
      </c>
      <c r="M26" s="32" t="str">
        <f t="shared" si="5"/>
        <v>00200-CZ6_Run14</v>
      </c>
      <c r="N26" s="28" t="s">
        <v>56</v>
      </c>
      <c r="O26" s="28" t="str">
        <f t="shared" si="6"/>
        <v>00200-OfficeSmall_CZ6_Run14</v>
      </c>
      <c r="P26" s="28">
        <f t="shared" si="16"/>
        <v>1</v>
      </c>
      <c r="Q26" s="28">
        <v>11</v>
      </c>
      <c r="R26" s="28">
        <v>1</v>
      </c>
      <c r="S26" s="28">
        <v>1</v>
      </c>
      <c r="T26" s="28">
        <v>0</v>
      </c>
      <c r="U26" s="28">
        <v>0</v>
      </c>
      <c r="V26" s="28">
        <v>1</v>
      </c>
      <c r="W26" s="36">
        <f t="shared" si="7"/>
        <v>11</v>
      </c>
      <c r="X26" s="36">
        <v>1</v>
      </c>
      <c r="Y26" s="28">
        <f t="shared" si="17"/>
        <v>0</v>
      </c>
      <c r="Z26" s="28">
        <f t="shared" si="11"/>
        <v>1</v>
      </c>
      <c r="AA26" s="28">
        <f t="shared" si="12"/>
        <v>1</v>
      </c>
      <c r="AB26" s="28">
        <f t="shared" si="13"/>
        <v>1</v>
      </c>
      <c r="AC26" s="28">
        <f t="shared" si="14"/>
        <v>1</v>
      </c>
      <c r="AD26" s="28">
        <f t="shared" si="15"/>
        <v>1</v>
      </c>
      <c r="AF26" s="1">
        <f t="shared" si="8"/>
        <v>14</v>
      </c>
    </row>
    <row r="27" spans="1:32" x14ac:dyDescent="0.25">
      <c r="A27" s="39">
        <f t="shared" si="1"/>
        <v>0</v>
      </c>
      <c r="B27" s="27" t="str">
        <f t="shared" si="9"/>
        <v>RulesetImplementationTests\00400-OfficeLarge-CECRef\00400-OfficeLarge_CZ6_Run17\00400-OfficeLarge_CZ6_Run17.cibd</v>
      </c>
      <c r="C27" s="27" t="str">
        <f t="shared" si="2"/>
        <v>RulesetImplementationTests\BatchOut_131003_r1009\00400-OfficeLarge_CZ6_Run17.cibd</v>
      </c>
      <c r="D27" s="27" t="str">
        <f t="shared" si="3"/>
        <v>RulesetImplementationTests\BatchOut_131003_r1009\XML\</v>
      </c>
      <c r="E27" s="9" t="str">
        <f t="shared" si="4"/>
        <v>00400-CZ6_Run17</v>
      </c>
      <c r="F27" s="22"/>
      <c r="G27" s="29"/>
      <c r="H27" s="23" t="str">
        <f>IF(F27&gt;1,1,"")</f>
        <v/>
      </c>
      <c r="I27" s="9" t="s">
        <v>11</v>
      </c>
      <c r="J27"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7" s="15" t="s">
        <v>1</v>
      </c>
      <c r="L27" s="36">
        <v>0</v>
      </c>
      <c r="M27" s="32" t="str">
        <f t="shared" si="5"/>
        <v>00400-CZ6_Run17</v>
      </c>
      <c r="N27" s="28" t="s">
        <v>66</v>
      </c>
      <c r="O27" s="28" t="str">
        <f t="shared" si="6"/>
        <v>00400-OfficeLarge_CZ6_Run17</v>
      </c>
      <c r="P27" s="28">
        <f t="shared" si="16"/>
        <v>1</v>
      </c>
      <c r="Q27" s="28">
        <v>11</v>
      </c>
      <c r="R27" s="28">
        <v>1</v>
      </c>
      <c r="S27" s="28">
        <v>1</v>
      </c>
      <c r="T27" s="28">
        <v>0</v>
      </c>
      <c r="U27" s="28">
        <v>0</v>
      </c>
      <c r="V27" s="28">
        <v>1</v>
      </c>
      <c r="W27" s="36">
        <f t="shared" si="7"/>
        <v>11</v>
      </c>
      <c r="X27" s="36">
        <v>1</v>
      </c>
      <c r="Y27" s="28">
        <f t="shared" si="17"/>
        <v>0</v>
      </c>
      <c r="Z27" s="28">
        <f t="shared" si="11"/>
        <v>1</v>
      </c>
      <c r="AA27" s="28">
        <f t="shared" si="12"/>
        <v>1</v>
      </c>
      <c r="AB27" s="28">
        <f t="shared" si="13"/>
        <v>1</v>
      </c>
      <c r="AC27" s="28">
        <f t="shared" si="14"/>
        <v>1</v>
      </c>
      <c r="AD27" s="28">
        <f t="shared" si="15"/>
        <v>1</v>
      </c>
      <c r="AF27" s="1">
        <f t="shared" si="8"/>
        <v>17</v>
      </c>
    </row>
    <row r="28" spans="1:32" x14ac:dyDescent="0.25">
      <c r="A28" s="39">
        <f t="shared" si="1"/>
        <v>0</v>
      </c>
      <c r="B28" s="27" t="str">
        <f t="shared" si="9"/>
        <v>RulesetImplementationTests\00200-OfficeSmall-CECRef\00200-OfficeSmall_CZ6_Run18\00200-OfficeSmall_CZ6_Run18.cibd</v>
      </c>
      <c r="C28" s="27" t="str">
        <f t="shared" si="2"/>
        <v>RulesetImplementationTests\BatchOut_131003_r1009\00200-OfficeSmall_CZ6_Run18.cibd</v>
      </c>
      <c r="D28" s="27" t="str">
        <f t="shared" si="3"/>
        <v>RulesetImplementationTests\BatchOut_131003_r1009\XML\</v>
      </c>
      <c r="E28" s="9" t="str">
        <f t="shared" si="4"/>
        <v>00200-CZ6_Run18</v>
      </c>
      <c r="F28" s="22"/>
      <c r="G28" s="29"/>
      <c r="H28" s="23" t="str">
        <f>IF(F28&gt;1,1,"")</f>
        <v/>
      </c>
      <c r="I28" s="9" t="s">
        <v>11</v>
      </c>
      <c r="J2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8" s="15" t="s">
        <v>1</v>
      </c>
      <c r="L28" s="36">
        <v>0</v>
      </c>
      <c r="M28" s="32" t="str">
        <f t="shared" si="5"/>
        <v>00200-CZ6_Run18</v>
      </c>
      <c r="N28" s="28" t="s">
        <v>57</v>
      </c>
      <c r="O28" s="28" t="str">
        <f t="shared" si="6"/>
        <v>00200-OfficeSmall_CZ6_Run18</v>
      </c>
      <c r="P28" s="28">
        <f t="shared" si="16"/>
        <v>1</v>
      </c>
      <c r="Q28" s="28">
        <v>11</v>
      </c>
      <c r="R28" s="28">
        <v>1</v>
      </c>
      <c r="S28" s="28">
        <v>1</v>
      </c>
      <c r="T28" s="28">
        <v>0</v>
      </c>
      <c r="U28" s="28">
        <v>0</v>
      </c>
      <c r="V28" s="28">
        <v>1</v>
      </c>
      <c r="W28" s="36">
        <f t="shared" si="7"/>
        <v>11</v>
      </c>
      <c r="X28" s="36">
        <v>1</v>
      </c>
      <c r="Y28" s="28">
        <f t="shared" si="17"/>
        <v>0</v>
      </c>
      <c r="Z28" s="28">
        <f t="shared" si="11"/>
        <v>1</v>
      </c>
      <c r="AA28" s="28">
        <f t="shared" si="12"/>
        <v>1</v>
      </c>
      <c r="AB28" s="28">
        <f t="shared" si="13"/>
        <v>1</v>
      </c>
      <c r="AC28" s="28">
        <f t="shared" si="14"/>
        <v>1</v>
      </c>
      <c r="AD28" s="28">
        <f t="shared" si="15"/>
        <v>1</v>
      </c>
      <c r="AF28" s="1">
        <f t="shared" si="8"/>
        <v>18</v>
      </c>
    </row>
    <row r="29" spans="1:32" x14ac:dyDescent="0.25">
      <c r="A29" s="39">
        <f t="shared" si="1"/>
        <v>0</v>
      </c>
      <c r="B29" s="27" t="str">
        <f t="shared" si="9"/>
        <v>RulesetImplementationTests\00300-OfficeMedium-CECRef\00300-OfficeMedium_CZ6_Run19\00300-OfficeMedium_CZ6_Run19.cibd</v>
      </c>
      <c r="C29" s="27" t="str">
        <f t="shared" si="2"/>
        <v>RulesetImplementationTests\BatchOut_131003_r1009\00300-OfficeMedium_CZ6_Run19.cibd</v>
      </c>
      <c r="D29" s="27" t="str">
        <f t="shared" si="3"/>
        <v>RulesetImplementationTests\BatchOut_131003_r1009\XML\</v>
      </c>
      <c r="E29" s="9" t="str">
        <f t="shared" si="4"/>
        <v>00300-CZ6_Run19</v>
      </c>
      <c r="F29" s="22"/>
      <c r="G29" s="29"/>
      <c r="H29" s="23"/>
      <c r="I29" s="9" t="s">
        <v>11</v>
      </c>
      <c r="J2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9" s="15" t="s">
        <v>1</v>
      </c>
      <c r="L29" s="36">
        <v>0</v>
      </c>
      <c r="M29" s="32" t="str">
        <f t="shared" si="5"/>
        <v>00300-CZ6_Run19</v>
      </c>
      <c r="N29" s="28" t="s">
        <v>61</v>
      </c>
      <c r="O29" s="28" t="str">
        <f t="shared" si="6"/>
        <v>00300-OfficeMedium_CZ6_Run19</v>
      </c>
      <c r="P29" s="28">
        <f t="shared" si="16"/>
        <v>1</v>
      </c>
      <c r="Q29" s="28">
        <v>11</v>
      </c>
      <c r="R29" s="28">
        <v>1</v>
      </c>
      <c r="S29" s="28">
        <v>1</v>
      </c>
      <c r="T29" s="28">
        <v>0</v>
      </c>
      <c r="U29" s="28">
        <v>0</v>
      </c>
      <c r="V29" s="28">
        <v>1</v>
      </c>
      <c r="W29" s="36">
        <f t="shared" si="7"/>
        <v>11</v>
      </c>
      <c r="X29" s="36">
        <v>1</v>
      </c>
      <c r="Y29" s="28">
        <f t="shared" si="17"/>
        <v>0</v>
      </c>
      <c r="Z29" s="28">
        <f t="shared" si="11"/>
        <v>1</v>
      </c>
      <c r="AA29" s="28">
        <f t="shared" si="12"/>
        <v>1</v>
      </c>
      <c r="AB29" s="28">
        <f t="shared" si="13"/>
        <v>1</v>
      </c>
      <c r="AC29" s="28">
        <f t="shared" si="14"/>
        <v>1</v>
      </c>
      <c r="AD29" s="28">
        <f t="shared" si="15"/>
        <v>1</v>
      </c>
      <c r="AF29" s="1">
        <f t="shared" si="8"/>
        <v>19</v>
      </c>
    </row>
    <row r="30" spans="1:32" x14ac:dyDescent="0.25">
      <c r="A30" s="39">
        <f t="shared" si="1"/>
        <v>0</v>
      </c>
      <c r="B30" s="27" t="str">
        <f t="shared" si="9"/>
        <v>RulesetImplementationTests\00700-HotelSmall-CECRef\00700-HotelSmall_CZ12_Run22\00700-HotelSmall_CZ12_Run22.cibd</v>
      </c>
      <c r="C30" s="27" t="str">
        <f t="shared" si="2"/>
        <v>RulesetImplementationTests\BatchOut_131003_r1009\00700-HotelSmall_CZ12_Run22.cibd</v>
      </c>
      <c r="D30" s="27" t="str">
        <f t="shared" si="3"/>
        <v>RulesetImplementationTests\BatchOut_131003_r1009\XML\</v>
      </c>
      <c r="E30" s="9" t="str">
        <f t="shared" si="4"/>
        <v>00700-CZ12_Run22</v>
      </c>
      <c r="F30" s="22"/>
      <c r="G30" s="29"/>
      <c r="H30" s="23"/>
      <c r="I30" s="9" t="s">
        <v>11</v>
      </c>
      <c r="J3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0" s="15" t="s">
        <v>1</v>
      </c>
      <c r="L30" s="36">
        <v>0</v>
      </c>
      <c r="M30" s="32" t="str">
        <f t="shared" si="5"/>
        <v>00700-CZ12_Run22</v>
      </c>
      <c r="N30" s="28" t="s">
        <v>68</v>
      </c>
      <c r="O30" s="28" t="str">
        <f t="shared" si="6"/>
        <v>00700-HotelSmall_CZ12_Run22</v>
      </c>
      <c r="P30" s="28">
        <f t="shared" si="16"/>
        <v>1</v>
      </c>
      <c r="Q30" s="28">
        <v>11</v>
      </c>
      <c r="R30" s="28">
        <v>1</v>
      </c>
      <c r="S30" s="28">
        <v>1</v>
      </c>
      <c r="T30" s="28">
        <v>0</v>
      </c>
      <c r="U30" s="28">
        <v>0</v>
      </c>
      <c r="V30" s="28">
        <v>1</v>
      </c>
      <c r="W30" s="36">
        <f t="shared" si="7"/>
        <v>11</v>
      </c>
      <c r="X30" s="36">
        <v>1</v>
      </c>
      <c r="Y30" s="28">
        <f t="shared" si="17"/>
        <v>0</v>
      </c>
      <c r="Z30" s="28">
        <f t="shared" si="11"/>
        <v>1</v>
      </c>
      <c r="AA30" s="28">
        <f t="shared" si="12"/>
        <v>1</v>
      </c>
      <c r="AB30" s="28">
        <f t="shared" si="13"/>
        <v>1</v>
      </c>
      <c r="AC30" s="28">
        <f t="shared" si="14"/>
        <v>1</v>
      </c>
      <c r="AD30" s="28">
        <f t="shared" si="15"/>
        <v>1</v>
      </c>
      <c r="AF30" s="1">
        <f t="shared" si="8"/>
        <v>22</v>
      </c>
    </row>
    <row r="31" spans="1:32" x14ac:dyDescent="0.25">
      <c r="A31" s="39">
        <f t="shared" si="1"/>
        <v>0</v>
      </c>
      <c r="B31" s="27" t="str">
        <f t="shared" si="9"/>
        <v>RulesetImplementationTests\00300-OfficeMedium-CECRef\00300-OfficeMedium_CZ6_Run23\00300-OfficeMedium_CZ6_Run23.cibd</v>
      </c>
      <c r="C31" s="27" t="str">
        <f t="shared" si="2"/>
        <v>RulesetImplementationTests\BatchOut_131003_r1009\00300-OfficeMedium_CZ6_Run23.cibd</v>
      </c>
      <c r="D31" s="27" t="str">
        <f t="shared" si="3"/>
        <v>RulesetImplementationTests\BatchOut_131003_r1009\XML\</v>
      </c>
      <c r="E31" s="9" t="str">
        <f t="shared" si="4"/>
        <v>00300-CZ6_Run23</v>
      </c>
      <c r="F31" s="22"/>
      <c r="G31" s="29"/>
      <c r="H31" s="23"/>
      <c r="I31" s="9" t="s">
        <v>11</v>
      </c>
      <c r="J3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1" s="15" t="s">
        <v>1</v>
      </c>
      <c r="L31" s="36">
        <v>0</v>
      </c>
      <c r="M31" s="32" t="str">
        <f t="shared" si="5"/>
        <v>00300-CZ6_Run23</v>
      </c>
      <c r="N31" s="28" t="s">
        <v>62</v>
      </c>
      <c r="O31" s="28" t="str">
        <f t="shared" si="6"/>
        <v>00300-OfficeMedium_CZ6_Run23</v>
      </c>
      <c r="P31" s="28">
        <f t="shared" si="16"/>
        <v>1</v>
      </c>
      <c r="Q31" s="28">
        <v>11</v>
      </c>
      <c r="R31" s="28">
        <v>1</v>
      </c>
      <c r="S31" s="28">
        <v>1</v>
      </c>
      <c r="T31" s="28">
        <v>0</v>
      </c>
      <c r="U31" s="28">
        <v>0</v>
      </c>
      <c r="V31" s="28">
        <v>1</v>
      </c>
      <c r="W31" s="36">
        <f t="shared" si="7"/>
        <v>11</v>
      </c>
      <c r="X31" s="36">
        <v>1</v>
      </c>
      <c r="Y31" s="28">
        <f t="shared" si="17"/>
        <v>0</v>
      </c>
      <c r="Z31" s="28">
        <f t="shared" si="11"/>
        <v>1</v>
      </c>
      <c r="AA31" s="28">
        <f t="shared" si="12"/>
        <v>1</v>
      </c>
      <c r="AB31" s="28">
        <f t="shared" si="13"/>
        <v>1</v>
      </c>
      <c r="AC31" s="28">
        <f t="shared" si="14"/>
        <v>1</v>
      </c>
      <c r="AD31" s="28">
        <f t="shared" si="15"/>
        <v>1</v>
      </c>
      <c r="AF31" s="1">
        <f t="shared" si="8"/>
        <v>23</v>
      </c>
    </row>
    <row r="32" spans="1:32" x14ac:dyDescent="0.25">
      <c r="A32" s="10">
        <v>-1</v>
      </c>
      <c r="B32" s="6"/>
      <c r="C32" s="6"/>
      <c r="D32" s="6"/>
      <c r="E32" s="6"/>
      <c r="F32" s="6"/>
      <c r="G32" s="6"/>
      <c r="H32" s="6"/>
      <c r="I32" s="6"/>
      <c r="J32" s="6"/>
    </row>
  </sheetData>
  <sortState ref="A16:AF31">
    <sortCondition ref="AF16:AF31"/>
  </sortState>
  <mergeCells count="2">
    <mergeCell ref="Y14:AA14"/>
    <mergeCell ref="AB14:AD14"/>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D28"/>
  <sheetViews>
    <sheetView topLeftCell="L1" zoomScale="70" zoomScaleNormal="70" workbookViewId="0">
      <selection activeCell="M10" sqref="M10"/>
    </sheetView>
  </sheetViews>
  <sheetFormatPr defaultRowHeight="15" outlineLevelCol="1" x14ac:dyDescent="0.25"/>
  <cols>
    <col min="1" max="1" width="9.140625" style="1" customWidth="1"/>
    <col min="2" max="2" width="123.140625" style="1" customWidth="1" outlineLevel="1"/>
    <col min="3" max="3" width="83.140625" style="1" customWidth="1" outlineLevel="1"/>
    <col min="4" max="4" width="74" style="1" customWidth="1" outlineLevel="1"/>
    <col min="5" max="5" width="23.7109375" style="1" customWidth="1" outlineLevel="1"/>
    <col min="6" max="8" width="8.7109375" style="1" customWidth="1" outlineLevel="1"/>
    <col min="9" max="9" width="11.42578125" style="1" customWidth="1" outlineLevel="1"/>
    <col min="10" max="10" width="220.7109375" style="1" customWidth="1" outlineLevel="1"/>
    <col min="11" max="11" width="5" style="48" customWidth="1"/>
    <col min="12" max="12" width="13" style="48" customWidth="1"/>
    <col min="13" max="13" width="36" style="48"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8" t="s">
        <v>18</v>
      </c>
      <c r="C7" s="30"/>
      <c r="D7" s="30"/>
      <c r="L7" s="37" t="s">
        <v>45</v>
      </c>
      <c r="M7" s="32">
        <v>131106</v>
      </c>
    </row>
    <row r="8" spans="1:30" x14ac:dyDescent="0.25">
      <c r="A8" s="1" t="s">
        <v>5</v>
      </c>
      <c r="B8" s="48" t="s">
        <v>19</v>
      </c>
      <c r="C8" s="30"/>
      <c r="D8" s="30"/>
      <c r="L8" s="14" t="s">
        <v>46</v>
      </c>
      <c r="M8" s="32" t="s">
        <v>83</v>
      </c>
    </row>
    <row r="9" spans="1:30" x14ac:dyDescent="0.25">
      <c r="A9" s="3">
        <v>2</v>
      </c>
      <c r="B9" s="4" t="str">
        <f>M9</f>
        <v>HydroPipingResults_131106_r1089.csv</v>
      </c>
      <c r="C9" s="30" t="s">
        <v>1</v>
      </c>
      <c r="D9" s="30"/>
      <c r="E9" s="30"/>
      <c r="F9" s="30"/>
      <c r="G9" s="30"/>
      <c r="H9" s="30"/>
      <c r="I9" s="26"/>
      <c r="L9" s="35" t="s">
        <v>39</v>
      </c>
      <c r="M9" s="28" t="str">
        <f>"HydroPipingResults_"&amp;M7&amp;"_"&amp;M8&amp;".csv"</f>
        <v>HydroPipingResults_131106_r1089.csv</v>
      </c>
      <c r="N9" s="1" t="s">
        <v>48</v>
      </c>
    </row>
    <row r="10" spans="1:30" x14ac:dyDescent="0.25">
      <c r="A10" s="1" t="s">
        <v>1</v>
      </c>
      <c r="L10" s="14" t="s">
        <v>16</v>
      </c>
      <c r="M10" s="28" t="s">
        <v>79</v>
      </c>
      <c r="N10" s="1" t="s">
        <v>47</v>
      </c>
    </row>
    <row r="11" spans="1:30" x14ac:dyDescent="0.25">
      <c r="A11" s="1" t="s">
        <v>1</v>
      </c>
      <c r="L11" s="14" t="s">
        <v>17</v>
      </c>
      <c r="M11" s="28" t="str">
        <f>"HydroPipingOut"&amp;"_"&amp;M7&amp;"_"&amp;M8&amp;"\"</f>
        <v>HydroPipingOut_131106_r1089\</v>
      </c>
      <c r="N11" s="1" t="s">
        <v>47</v>
      </c>
    </row>
    <row r="12" spans="1:30" x14ac:dyDescent="0.25">
      <c r="A12" s="1" t="s">
        <v>1</v>
      </c>
      <c r="L12" s="14" t="s">
        <v>42</v>
      </c>
      <c r="M12" s="28" t="str">
        <f>M11&amp;"XML\"</f>
        <v>HydroPipingOut_131106_r1089\XML\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8" t="s">
        <v>27</v>
      </c>
      <c r="O14" s="48" t="s">
        <v>26</v>
      </c>
      <c r="Y14" s="105" t="s">
        <v>33</v>
      </c>
      <c r="Z14" s="105"/>
      <c r="AA14" s="105"/>
      <c r="AB14" s="105" t="s">
        <v>34</v>
      </c>
      <c r="AC14" s="105"/>
      <c r="AD14" s="105"/>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M$10&amp;"\"&amp;N16&amp;".cibd"</f>
        <v>Hydronic Piping Examples\1a1-PrimOnly_SnglChlr_ConstSpdPump01.cibd</v>
      </c>
      <c r="C16" s="27" t="str">
        <f t="shared" ref="C16:C27" si="1" xml:space="preserve"> M$11 &amp; O16 &amp; ".cibd"</f>
        <v>HydroPipingOut_131106_r1089\1a1-PrimOnly_SnglChlr_ConstSpdPump01.cibd</v>
      </c>
      <c r="D16" s="27" t="str">
        <f>$M$12</f>
        <v>HydroPipingOut_131106_r1089\XML\</v>
      </c>
      <c r="E16" s="9" t="str">
        <f>M16</f>
        <v>1a1</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LEFT(N16,3)&amp;IF(SUM(F16:H16)&gt;0,"_autosize","")</f>
        <v>1a1</v>
      </c>
      <c r="N16" s="28" t="s">
        <v>80</v>
      </c>
      <c r="O16" s="28" t="str">
        <f>N16</f>
        <v>1a1-PrimOnly_SnglChlr_ConstSpdPump01</v>
      </c>
      <c r="P16" s="28">
        <v>0</v>
      </c>
      <c r="Q16" s="28">
        <v>11</v>
      </c>
      <c r="R16" s="28">
        <v>0</v>
      </c>
      <c r="S16" s="28">
        <v>0</v>
      </c>
      <c r="T16" s="28">
        <v>0</v>
      </c>
      <c r="U16" s="28">
        <v>0</v>
      </c>
      <c r="V16" s="28">
        <v>1</v>
      </c>
      <c r="W16" s="36">
        <v>11</v>
      </c>
      <c r="X16" s="36">
        <v>1</v>
      </c>
      <c r="Y16" s="28">
        <v>0</v>
      </c>
      <c r="Z16" s="28">
        <v>0</v>
      </c>
      <c r="AA16" s="28">
        <v>0</v>
      </c>
      <c r="AB16" s="28">
        <f>IF(Y16&gt;1,1,0)</f>
        <v>0</v>
      </c>
      <c r="AC16" s="28">
        <f t="shared" ref="AC16:AD16" si="2">IF(Z16&gt;1,1,0)</f>
        <v>0</v>
      </c>
      <c r="AD16" s="28">
        <f t="shared" si="2"/>
        <v>0</v>
      </c>
    </row>
    <row r="17" spans="1:30" x14ac:dyDescent="0.25">
      <c r="A17" s="39">
        <f t="shared" ref="A17:A27" si="3">L17</f>
        <v>1</v>
      </c>
      <c r="B17" s="27" t="str">
        <f t="shared" ref="B17:B27" si="4" xml:space="preserve"> M$10&amp;"\"&amp;N17&amp;".cibd"</f>
        <v>Hydronic Piping Examples\1a2-PrimOnly_SnglChlr_ConstSpdPump02.cibd</v>
      </c>
      <c r="C17" s="27" t="str">
        <f t="shared" si="1"/>
        <v>HydroPipingOut_131106_r1089\1a2-PrimOnly_SnglChlr_ConstSpdPump02.cibd</v>
      </c>
      <c r="D17" s="27" t="str">
        <f t="shared" ref="D17:D27" si="5">$M$12</f>
        <v>HydroPipingOut_131106_r1089\XML\</v>
      </c>
      <c r="E17" s="9" t="str">
        <f t="shared" ref="E17:E27" si="6">M17</f>
        <v>1a2</v>
      </c>
      <c r="F17" s="22"/>
      <c r="G17" s="29"/>
      <c r="H17" s="23"/>
      <c r="I17" s="9" t="s">
        <v>11</v>
      </c>
      <c r="J17" s="9" t="str">
        <f t="shared" ref="J17:J27"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LEFT(N17,3)&amp;IF(SUM(F17:H17)&gt;0,"_autosize","")</f>
        <v>1a2</v>
      </c>
      <c r="N17" s="28" t="s">
        <v>81</v>
      </c>
      <c r="O17" s="28" t="str">
        <f t="shared" ref="O17:O27" si="8">N17</f>
        <v>1a2-PrimOnly_SnglChlr_ConstSpdPump02</v>
      </c>
      <c r="P17" s="28">
        <f>P16</f>
        <v>0</v>
      </c>
      <c r="Q17" s="28">
        <f>Q16</f>
        <v>11</v>
      </c>
      <c r="R17" s="28">
        <f t="shared" ref="R17:T27" si="9">R16</f>
        <v>0</v>
      </c>
      <c r="S17" s="28">
        <f t="shared" si="9"/>
        <v>0</v>
      </c>
      <c r="T17" s="28">
        <f>T16</f>
        <v>0</v>
      </c>
      <c r="U17" s="28">
        <f t="shared" ref="U17:V27" si="10">U16</f>
        <v>0</v>
      </c>
      <c r="V17" s="28">
        <f t="shared" si="10"/>
        <v>1</v>
      </c>
      <c r="W17" s="36">
        <v>11</v>
      </c>
      <c r="X17" s="36">
        <v>1</v>
      </c>
      <c r="Y17" s="28">
        <f>Y16</f>
        <v>0</v>
      </c>
      <c r="Z17" s="28">
        <f t="shared" ref="Z17:AA17" si="11">Z16</f>
        <v>0</v>
      </c>
      <c r="AA17" s="28">
        <f t="shared" si="11"/>
        <v>0</v>
      </c>
      <c r="AB17" s="28">
        <f>AB16</f>
        <v>0</v>
      </c>
      <c r="AC17" s="28">
        <f t="shared" ref="AC17:AD17" si="12">AC16</f>
        <v>0</v>
      </c>
      <c r="AD17" s="28">
        <f t="shared" si="12"/>
        <v>0</v>
      </c>
    </row>
    <row r="18" spans="1:30" x14ac:dyDescent="0.25">
      <c r="A18" s="39">
        <f t="shared" si="3"/>
        <v>1</v>
      </c>
      <c r="B18" s="27" t="str">
        <f t="shared" si="4"/>
        <v>Hydronic Piping Examples\1b-PrimOnly_SnglChlr_VarSpdPump.cibd</v>
      </c>
      <c r="C18" s="27" t="str">
        <f t="shared" si="1"/>
        <v>HydroPipingOut_131106_r1089\1b-PrimOnly_SnglChlr_VarSpdPump.cibd</v>
      </c>
      <c r="D18" s="27" t="str">
        <f t="shared" si="5"/>
        <v>HydroPipingOut_131106_r1089\XML\</v>
      </c>
      <c r="E18" s="9" t="str">
        <f t="shared" si="6"/>
        <v>1b</v>
      </c>
      <c r="F18" s="22"/>
      <c r="G18" s="29"/>
      <c r="H18" s="23"/>
      <c r="I18" s="9" t="s">
        <v>11</v>
      </c>
      <c r="J1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M27" si="13">LEFT(N18,2)&amp;IF(SUM(F18:H18)&gt;0,"_autosize","")</f>
        <v>1b</v>
      </c>
      <c r="N18" s="28" t="s">
        <v>71</v>
      </c>
      <c r="O18" s="28" t="str">
        <f t="shared" si="8"/>
        <v>1b-PrimOnly_SnglChlr_VarSpdPump</v>
      </c>
      <c r="P18" s="28">
        <f t="shared" ref="P18:Q27" si="14">P17</f>
        <v>0</v>
      </c>
      <c r="Q18" s="28">
        <f t="shared" si="14"/>
        <v>11</v>
      </c>
      <c r="R18" s="28">
        <f t="shared" si="9"/>
        <v>0</v>
      </c>
      <c r="S18" s="28">
        <f t="shared" si="9"/>
        <v>0</v>
      </c>
      <c r="T18" s="28">
        <f t="shared" si="9"/>
        <v>0</v>
      </c>
      <c r="U18" s="28">
        <f t="shared" si="10"/>
        <v>0</v>
      </c>
      <c r="V18" s="28">
        <f t="shared" si="10"/>
        <v>1</v>
      </c>
      <c r="W18" s="36">
        <v>11</v>
      </c>
      <c r="X18" s="36">
        <v>1</v>
      </c>
      <c r="Y18" s="28">
        <f t="shared" ref="Y18:AA27" si="15">Y17</f>
        <v>0</v>
      </c>
      <c r="Z18" s="28">
        <f t="shared" si="15"/>
        <v>0</v>
      </c>
      <c r="AA18" s="28">
        <f t="shared" si="15"/>
        <v>0</v>
      </c>
      <c r="AB18" s="28">
        <f t="shared" ref="AB18:AD27" si="16">AB17</f>
        <v>0</v>
      </c>
      <c r="AC18" s="28">
        <f t="shared" si="16"/>
        <v>0</v>
      </c>
      <c r="AD18" s="28">
        <f t="shared" si="16"/>
        <v>0</v>
      </c>
    </row>
    <row r="19" spans="1:30" x14ac:dyDescent="0.25">
      <c r="A19" s="39">
        <f t="shared" si="3"/>
        <v>1</v>
      </c>
      <c r="B19" s="27" t="str">
        <f t="shared" si="4"/>
        <v>Hydronic Piping Examples\2a-PrimOnly_MultChlr_ConstSpdPump.cibd</v>
      </c>
      <c r="C19" s="27" t="str">
        <f t="shared" si="1"/>
        <v>HydroPipingOut_131106_r1089\2a-PrimOnly_MultChlr_ConstSpdPump.cibd</v>
      </c>
      <c r="D19" s="27" t="str">
        <f t="shared" si="5"/>
        <v>HydroPipingOut_131106_r1089\XML\</v>
      </c>
      <c r="E19" s="9" t="str">
        <f t="shared" si="6"/>
        <v>2a</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13"/>
        <v>2a</v>
      </c>
      <c r="N19" s="28" t="s">
        <v>72</v>
      </c>
      <c r="O19" s="28" t="str">
        <f t="shared" si="8"/>
        <v>2a-PrimOnly_MultChlr_ConstSpdPump</v>
      </c>
      <c r="P19" s="28">
        <f t="shared" si="14"/>
        <v>0</v>
      </c>
      <c r="Q19" s="28">
        <f t="shared" si="14"/>
        <v>11</v>
      </c>
      <c r="R19" s="28">
        <f t="shared" si="9"/>
        <v>0</v>
      </c>
      <c r="S19" s="28">
        <f t="shared" si="9"/>
        <v>0</v>
      </c>
      <c r="T19" s="28">
        <f t="shared" si="9"/>
        <v>0</v>
      </c>
      <c r="U19" s="28">
        <f t="shared" si="10"/>
        <v>0</v>
      </c>
      <c r="V19" s="28">
        <f t="shared" si="10"/>
        <v>1</v>
      </c>
      <c r="W19" s="36">
        <v>11</v>
      </c>
      <c r="X19" s="36">
        <v>1</v>
      </c>
      <c r="Y19" s="28">
        <f t="shared" si="15"/>
        <v>0</v>
      </c>
      <c r="Z19" s="28">
        <f t="shared" si="15"/>
        <v>0</v>
      </c>
      <c r="AA19" s="28">
        <f t="shared" si="15"/>
        <v>0</v>
      </c>
      <c r="AB19" s="28">
        <f t="shared" si="16"/>
        <v>0</v>
      </c>
      <c r="AC19" s="28">
        <f t="shared" si="16"/>
        <v>0</v>
      </c>
      <c r="AD19" s="28">
        <f t="shared" si="16"/>
        <v>0</v>
      </c>
    </row>
    <row r="20" spans="1:30" x14ac:dyDescent="0.25">
      <c r="A20" s="39">
        <f t="shared" si="3"/>
        <v>1</v>
      </c>
      <c r="B20" s="27" t="str">
        <f t="shared" si="4"/>
        <v>Hydronic Piping Examples\2b-PrimOnly_MultChlr_ConstSpdPumps.cibd</v>
      </c>
      <c r="C20" s="27" t="str">
        <f t="shared" si="1"/>
        <v>HydroPipingOut_131106_r1089\2b-PrimOnly_MultChlr_ConstSpdPumps.cibd</v>
      </c>
      <c r="D20" s="27" t="str">
        <f t="shared" si="5"/>
        <v>HydroPipingOut_131106_r1089\XML\</v>
      </c>
      <c r="E20" s="9" t="str">
        <f t="shared" si="6"/>
        <v>2b</v>
      </c>
      <c r="F20" s="22"/>
      <c r="G20" s="29"/>
      <c r="H20" s="23"/>
      <c r="I20" s="9" t="s">
        <v>11</v>
      </c>
      <c r="J2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13"/>
        <v>2b</v>
      </c>
      <c r="N20" s="28" t="s">
        <v>73</v>
      </c>
      <c r="O20" s="28" t="str">
        <f t="shared" si="8"/>
        <v>2b-PrimOnly_MultChlr_ConstSpdPumps</v>
      </c>
      <c r="P20" s="28">
        <f t="shared" si="14"/>
        <v>0</v>
      </c>
      <c r="Q20" s="28">
        <f t="shared" si="14"/>
        <v>11</v>
      </c>
      <c r="R20" s="28">
        <f t="shared" si="9"/>
        <v>0</v>
      </c>
      <c r="S20" s="28">
        <f t="shared" si="9"/>
        <v>0</v>
      </c>
      <c r="T20" s="28">
        <f t="shared" si="9"/>
        <v>0</v>
      </c>
      <c r="U20" s="28">
        <f t="shared" si="10"/>
        <v>0</v>
      </c>
      <c r="V20" s="28">
        <f t="shared" si="10"/>
        <v>1</v>
      </c>
      <c r="W20" s="36">
        <v>11</v>
      </c>
      <c r="X20" s="36">
        <v>1</v>
      </c>
      <c r="Y20" s="28">
        <f t="shared" si="15"/>
        <v>0</v>
      </c>
      <c r="Z20" s="28">
        <f t="shared" si="15"/>
        <v>0</v>
      </c>
      <c r="AA20" s="28">
        <f t="shared" si="15"/>
        <v>0</v>
      </c>
      <c r="AB20" s="28">
        <f t="shared" si="16"/>
        <v>0</v>
      </c>
      <c r="AC20" s="28">
        <f t="shared" si="16"/>
        <v>0</v>
      </c>
      <c r="AD20" s="28">
        <f t="shared" si="16"/>
        <v>0</v>
      </c>
    </row>
    <row r="21" spans="1:30" x14ac:dyDescent="0.25">
      <c r="A21" s="39">
        <f t="shared" si="3"/>
        <v>1</v>
      </c>
      <c r="B21" s="27" t="str">
        <f t="shared" si="4"/>
        <v>Hydronic Piping Examples\2c-PrimOnly_MultChlr_VarSpdPump.cibd</v>
      </c>
      <c r="C21" s="27" t="str">
        <f t="shared" si="1"/>
        <v>HydroPipingOut_131106_r1089\2c-PrimOnly_MultChlr_VarSpdPump.cibd</v>
      </c>
      <c r="D21" s="27" t="str">
        <f t="shared" si="5"/>
        <v>HydroPipingOut_131106_r1089\XML\</v>
      </c>
      <c r="E21" s="9" t="str">
        <f t="shared" si="6"/>
        <v>2c</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13"/>
        <v>2c</v>
      </c>
      <c r="N21" s="28" t="s">
        <v>74</v>
      </c>
      <c r="O21" s="28" t="str">
        <f t="shared" si="8"/>
        <v>2c-PrimOnly_MultChlr_VarSpdPump</v>
      </c>
      <c r="P21" s="28">
        <f t="shared" si="14"/>
        <v>0</v>
      </c>
      <c r="Q21" s="28">
        <f t="shared" si="14"/>
        <v>11</v>
      </c>
      <c r="R21" s="28">
        <f t="shared" si="9"/>
        <v>0</v>
      </c>
      <c r="S21" s="28">
        <f t="shared" si="9"/>
        <v>0</v>
      </c>
      <c r="T21" s="28">
        <f t="shared" si="9"/>
        <v>0</v>
      </c>
      <c r="U21" s="28">
        <f t="shared" si="10"/>
        <v>0</v>
      </c>
      <c r="V21" s="28">
        <f t="shared" si="10"/>
        <v>1</v>
      </c>
      <c r="W21" s="36">
        <v>11</v>
      </c>
      <c r="X21" s="36">
        <v>1</v>
      </c>
      <c r="Y21" s="28">
        <f t="shared" si="15"/>
        <v>0</v>
      </c>
      <c r="Z21" s="28">
        <f t="shared" si="15"/>
        <v>0</v>
      </c>
      <c r="AA21" s="28">
        <f t="shared" si="15"/>
        <v>0</v>
      </c>
      <c r="AB21" s="28">
        <f t="shared" si="16"/>
        <v>0</v>
      </c>
      <c r="AC21" s="28">
        <f t="shared" si="16"/>
        <v>0</v>
      </c>
      <c r="AD21" s="28">
        <f t="shared" si="16"/>
        <v>0</v>
      </c>
    </row>
    <row r="22" spans="1:30" x14ac:dyDescent="0.25">
      <c r="A22" s="39">
        <f t="shared" si="3"/>
        <v>1</v>
      </c>
      <c r="B22" s="27" t="str">
        <f t="shared" si="4"/>
        <v>Hydronic Piping Examples\2d-PrimOnly_MultChlr_VarSpdPumps.cibd</v>
      </c>
      <c r="C22" s="27" t="str">
        <f t="shared" si="1"/>
        <v>HydroPipingOut_131106_r1089\2d-PrimOnly_MultChlr_VarSpdPumps.cibd</v>
      </c>
      <c r="D22" s="27" t="str">
        <f t="shared" si="5"/>
        <v>HydroPipingOut_131106_r1089\XML\</v>
      </c>
      <c r="E22" s="9" t="str">
        <f t="shared" si="6"/>
        <v>2d</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13"/>
        <v>2d</v>
      </c>
      <c r="N22" s="28" t="s">
        <v>75</v>
      </c>
      <c r="O22" s="28" t="str">
        <f t="shared" si="8"/>
        <v>2d-PrimOnly_MultChlr_VarSpdPumps</v>
      </c>
      <c r="P22" s="28">
        <f t="shared" si="14"/>
        <v>0</v>
      </c>
      <c r="Q22" s="28">
        <f t="shared" si="14"/>
        <v>11</v>
      </c>
      <c r="R22" s="28">
        <f t="shared" si="9"/>
        <v>0</v>
      </c>
      <c r="S22" s="28">
        <f t="shared" si="9"/>
        <v>0</v>
      </c>
      <c r="T22" s="28">
        <f t="shared" si="9"/>
        <v>0</v>
      </c>
      <c r="U22" s="28">
        <f t="shared" si="10"/>
        <v>0</v>
      </c>
      <c r="V22" s="28">
        <f t="shared" si="10"/>
        <v>1</v>
      </c>
      <c r="W22" s="36">
        <v>11</v>
      </c>
      <c r="X22" s="36">
        <v>1</v>
      </c>
      <c r="Y22" s="28">
        <f t="shared" si="15"/>
        <v>0</v>
      </c>
      <c r="Z22" s="28">
        <f t="shared" si="15"/>
        <v>0</v>
      </c>
      <c r="AA22" s="28">
        <f t="shared" si="15"/>
        <v>0</v>
      </c>
      <c r="AB22" s="28">
        <f t="shared" si="16"/>
        <v>0</v>
      </c>
      <c r="AC22" s="28">
        <f t="shared" si="16"/>
        <v>0</v>
      </c>
      <c r="AD22" s="28">
        <f t="shared" si="16"/>
        <v>0</v>
      </c>
    </row>
    <row r="23" spans="1:30" x14ac:dyDescent="0.25">
      <c r="A23" s="39">
        <f t="shared" si="3"/>
        <v>1</v>
      </c>
      <c r="B23" s="27" t="str">
        <f t="shared" si="4"/>
        <v>Hydronic Piping Examples\2b-PrimOnly_MultChlr_ConstSpdPumps.cibd</v>
      </c>
      <c r="C23" s="27" t="str">
        <f t="shared" si="1"/>
        <v>HydroPipingOut_131106_r1089\2b-PrimOnly_MultChlr_ConstSpdPumps.cibd</v>
      </c>
      <c r="D23" s="27" t="str">
        <f t="shared" si="5"/>
        <v>HydroPipingOut_131106_r1089\XML\</v>
      </c>
      <c r="E23" s="9" t="str">
        <f t="shared" si="6"/>
        <v>2b</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13"/>
        <v>2b</v>
      </c>
      <c r="N23" s="28" t="s">
        <v>73</v>
      </c>
      <c r="O23" s="28" t="str">
        <f t="shared" si="8"/>
        <v>2b-PrimOnly_MultChlr_ConstSpdPumps</v>
      </c>
      <c r="P23" s="28">
        <f t="shared" si="14"/>
        <v>0</v>
      </c>
      <c r="Q23" s="28">
        <f t="shared" si="14"/>
        <v>11</v>
      </c>
      <c r="R23" s="28">
        <f t="shared" si="9"/>
        <v>0</v>
      </c>
      <c r="S23" s="28">
        <f t="shared" si="9"/>
        <v>0</v>
      </c>
      <c r="T23" s="28">
        <f t="shared" si="9"/>
        <v>0</v>
      </c>
      <c r="U23" s="28">
        <f t="shared" si="10"/>
        <v>0</v>
      </c>
      <c r="V23" s="28">
        <f t="shared" si="10"/>
        <v>1</v>
      </c>
      <c r="W23" s="36">
        <v>11</v>
      </c>
      <c r="X23" s="36">
        <v>1</v>
      </c>
      <c r="Y23" s="28">
        <f t="shared" si="15"/>
        <v>0</v>
      </c>
      <c r="Z23" s="28">
        <f t="shared" si="15"/>
        <v>0</v>
      </c>
      <c r="AA23" s="28">
        <f t="shared" si="15"/>
        <v>0</v>
      </c>
      <c r="AB23" s="28">
        <f t="shared" si="16"/>
        <v>0</v>
      </c>
      <c r="AC23" s="28">
        <f t="shared" si="16"/>
        <v>0</v>
      </c>
      <c r="AD23" s="28">
        <f t="shared" si="16"/>
        <v>0</v>
      </c>
    </row>
    <row r="24" spans="1:30" x14ac:dyDescent="0.25">
      <c r="A24" s="39">
        <f t="shared" ref="A24" si="17">L24</f>
        <v>1</v>
      </c>
      <c r="B24" s="27" t="str">
        <f t="shared" ref="B24" si="18" xml:space="preserve"> M$10&amp;"\"&amp;N24&amp;".cibd"</f>
        <v>Hydronic Piping Examples\3a-PrimSec_MultChlr_PrimPump.cibd</v>
      </c>
      <c r="C24" s="27" t="str">
        <f t="shared" ref="C24" si="19" xml:space="preserve"> M$11 &amp; O24 &amp; ".cibd"</f>
        <v>HydroPipingOut_131106_r1089\3a-PrimSec_MultChlr_PrimPump.cibd</v>
      </c>
      <c r="D24" s="27" t="str">
        <f t="shared" si="5"/>
        <v>HydroPipingOut_131106_r1089\XML\</v>
      </c>
      <c r="E24" s="9" t="str">
        <f t="shared" ref="E24" si="20">M24</f>
        <v>3a</v>
      </c>
      <c r="F24" s="22"/>
      <c r="G24" s="29"/>
      <c r="H24" s="23"/>
      <c r="I24" s="9" t="s">
        <v>11</v>
      </c>
      <c r="J24" s="9" t="str">
        <f t="shared" ref="J24" si="21">$P$12&amp;","&amp;P24&amp;","&amp;$Q$12&amp;","&amp;Q24&amp;","&amp;$R$12&amp;","&amp;R24&amp;","&amp;$S$12&amp;","&amp;S24&amp;","&amp;$T$12&amp;","&amp;T24&amp;","&amp;$U$12&amp;","&amp;U24&amp;","&amp;$V$12&amp;","&amp;V24&amp;","&amp;$Y$12&amp;","&amp;Y24&amp;","&amp;$AB$12&amp;","&amp;AB24&amp;","&amp;$Z$12&amp;","&amp;Z24&amp;","&amp;$AC$12&amp;","&amp;AC24&amp;","&amp;$AA$12&amp;","&amp;AA24&amp;","&amp;$AD$12&amp;","&amp;AD24&amp;","&amp;$W$12&amp;","&amp;W24&amp;","&amp;$X$12&amp;","&amp;X24&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ref="M24" si="22">LEFT(N24,2)&amp;IF(SUM(F24:H24)&gt;0,"_autosize","")</f>
        <v>3a</v>
      </c>
      <c r="N24" s="28" t="s">
        <v>82</v>
      </c>
      <c r="O24" s="28" t="str">
        <f t="shared" ref="O24" si="23">N24</f>
        <v>3a-PrimSec_MultChlr_PrimPump</v>
      </c>
      <c r="P24" s="28">
        <f t="shared" ref="P24:V25" si="24">P22</f>
        <v>0</v>
      </c>
      <c r="Q24" s="28">
        <f t="shared" si="24"/>
        <v>11</v>
      </c>
      <c r="R24" s="28">
        <f t="shared" si="24"/>
        <v>0</v>
      </c>
      <c r="S24" s="28">
        <f t="shared" si="24"/>
        <v>0</v>
      </c>
      <c r="T24" s="28">
        <f t="shared" si="24"/>
        <v>0</v>
      </c>
      <c r="U24" s="28">
        <f t="shared" si="24"/>
        <v>0</v>
      </c>
      <c r="V24" s="28">
        <f t="shared" si="24"/>
        <v>1</v>
      </c>
      <c r="W24" s="36">
        <v>11</v>
      </c>
      <c r="X24" s="36">
        <v>1</v>
      </c>
      <c r="Y24" s="28">
        <f t="shared" si="15"/>
        <v>0</v>
      </c>
      <c r="Z24" s="28">
        <f t="shared" si="15"/>
        <v>0</v>
      </c>
      <c r="AA24" s="28">
        <f t="shared" si="15"/>
        <v>0</v>
      </c>
      <c r="AB24" s="28">
        <f t="shared" si="16"/>
        <v>0</v>
      </c>
      <c r="AC24" s="28">
        <f t="shared" si="16"/>
        <v>0</v>
      </c>
      <c r="AD24" s="28">
        <f t="shared" si="16"/>
        <v>0</v>
      </c>
    </row>
    <row r="25" spans="1:30" x14ac:dyDescent="0.25">
      <c r="A25" s="39">
        <f t="shared" si="3"/>
        <v>1</v>
      </c>
      <c r="B25" s="27" t="str">
        <f t="shared" si="4"/>
        <v>Hydronic Piping Examples\3b-PrimSec_MultChlr_ChlrPumps.cibd</v>
      </c>
      <c r="C25" s="27" t="str">
        <f t="shared" si="1"/>
        <v>HydroPipingOut_131106_r1089\3b-PrimSec_MultChlr_ChlrPumps.cibd</v>
      </c>
      <c r="D25" s="27" t="str">
        <f t="shared" si="5"/>
        <v>HydroPipingOut_131106_r1089\XML\</v>
      </c>
      <c r="E25" s="9" t="str">
        <f t="shared" si="6"/>
        <v>3b</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13"/>
        <v>3b</v>
      </c>
      <c r="N25" s="28" t="s">
        <v>76</v>
      </c>
      <c r="O25" s="28" t="str">
        <f t="shared" si="8"/>
        <v>3b-PrimSec_MultChlr_ChlrPumps</v>
      </c>
      <c r="P25" s="28">
        <f t="shared" si="24"/>
        <v>0</v>
      </c>
      <c r="Q25" s="28">
        <f t="shared" si="24"/>
        <v>11</v>
      </c>
      <c r="R25" s="28">
        <f t="shared" si="24"/>
        <v>0</v>
      </c>
      <c r="S25" s="28">
        <f t="shared" si="24"/>
        <v>0</v>
      </c>
      <c r="T25" s="28">
        <f t="shared" si="24"/>
        <v>0</v>
      </c>
      <c r="U25" s="28">
        <f t="shared" si="24"/>
        <v>0</v>
      </c>
      <c r="V25" s="28">
        <f t="shared" si="24"/>
        <v>1</v>
      </c>
      <c r="W25" s="36">
        <v>11</v>
      </c>
      <c r="X25" s="36">
        <v>1</v>
      </c>
      <c r="Y25" s="28">
        <f t="shared" si="15"/>
        <v>0</v>
      </c>
      <c r="Z25" s="28">
        <f t="shared" si="15"/>
        <v>0</v>
      </c>
      <c r="AA25" s="28">
        <f t="shared" si="15"/>
        <v>0</v>
      </c>
      <c r="AB25" s="28">
        <f t="shared" si="16"/>
        <v>0</v>
      </c>
      <c r="AC25" s="28">
        <f t="shared" si="16"/>
        <v>0</v>
      </c>
      <c r="AD25" s="28">
        <f t="shared" si="16"/>
        <v>0</v>
      </c>
    </row>
    <row r="26" spans="1:30" x14ac:dyDescent="0.25">
      <c r="A26" s="39">
        <f t="shared" si="3"/>
        <v>1</v>
      </c>
      <c r="B26" s="27" t="str">
        <f t="shared" si="4"/>
        <v>Hydronic Piping Examples\4a-PrimOnly_MultChlrSeries_PrimPump.cibd</v>
      </c>
      <c r="C26" s="27" t="str">
        <f t="shared" si="1"/>
        <v>HydroPipingOut_131106_r1089\4a-PrimOnly_MultChlrSeries_PrimPump.cibd</v>
      </c>
      <c r="D26" s="27" t="str">
        <f t="shared" si="5"/>
        <v>HydroPipingOut_131106_r1089\XML\</v>
      </c>
      <c r="E26" s="9" t="str">
        <f t="shared" si="6"/>
        <v>4a</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13"/>
        <v>4a</v>
      </c>
      <c r="N26" s="28" t="s">
        <v>77</v>
      </c>
      <c r="O26" s="28" t="str">
        <f t="shared" si="8"/>
        <v>4a-PrimOnly_MultChlrSeries_PrimPump</v>
      </c>
      <c r="P26" s="28">
        <f t="shared" si="14"/>
        <v>0</v>
      </c>
      <c r="Q26" s="28">
        <f t="shared" si="14"/>
        <v>11</v>
      </c>
      <c r="R26" s="28">
        <f t="shared" si="9"/>
        <v>0</v>
      </c>
      <c r="S26" s="28">
        <f t="shared" si="9"/>
        <v>0</v>
      </c>
      <c r="T26" s="28">
        <f t="shared" si="9"/>
        <v>0</v>
      </c>
      <c r="U26" s="28">
        <f t="shared" si="10"/>
        <v>0</v>
      </c>
      <c r="V26" s="28">
        <f t="shared" si="10"/>
        <v>1</v>
      </c>
      <c r="W26" s="36">
        <v>11</v>
      </c>
      <c r="X26" s="36">
        <v>1</v>
      </c>
      <c r="Y26" s="28">
        <f t="shared" si="15"/>
        <v>0</v>
      </c>
      <c r="Z26" s="28">
        <f t="shared" si="15"/>
        <v>0</v>
      </c>
      <c r="AA26" s="28">
        <f t="shared" si="15"/>
        <v>0</v>
      </c>
      <c r="AB26" s="28">
        <f t="shared" si="16"/>
        <v>0</v>
      </c>
      <c r="AC26" s="28">
        <f t="shared" si="16"/>
        <v>0</v>
      </c>
      <c r="AD26" s="28">
        <f t="shared" si="16"/>
        <v>0</v>
      </c>
    </row>
    <row r="27" spans="1:30" x14ac:dyDescent="0.25">
      <c r="A27" s="39">
        <f t="shared" si="3"/>
        <v>1</v>
      </c>
      <c r="B27" s="27" t="str">
        <f t="shared" si="4"/>
        <v>Hydronic Piping Examples\4b-PrimOnly_MultChlrSeries_ChlrPumps.cibd</v>
      </c>
      <c r="C27" s="27" t="str">
        <f t="shared" si="1"/>
        <v>HydroPipingOut_131106_r1089\4b-PrimOnly_MultChlrSeries_ChlrPumps.cibd</v>
      </c>
      <c r="D27" s="27" t="str">
        <f t="shared" si="5"/>
        <v>HydroPipingOut_131106_r1089\XML\</v>
      </c>
      <c r="E27" s="9" t="str">
        <f t="shared" si="6"/>
        <v>4b</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13"/>
        <v>4b</v>
      </c>
      <c r="N27" s="28" t="s">
        <v>78</v>
      </c>
      <c r="O27" s="28" t="str">
        <f t="shared" si="8"/>
        <v>4b-PrimOnly_MultChlrSeries_ChlrPumps</v>
      </c>
      <c r="P27" s="28">
        <f t="shared" si="14"/>
        <v>0</v>
      </c>
      <c r="Q27" s="28">
        <f t="shared" si="14"/>
        <v>11</v>
      </c>
      <c r="R27" s="28">
        <f t="shared" si="9"/>
        <v>0</v>
      </c>
      <c r="S27" s="28">
        <f t="shared" si="9"/>
        <v>0</v>
      </c>
      <c r="T27" s="28">
        <f t="shared" si="9"/>
        <v>0</v>
      </c>
      <c r="U27" s="28">
        <f t="shared" si="10"/>
        <v>0</v>
      </c>
      <c r="V27" s="28">
        <f t="shared" si="10"/>
        <v>1</v>
      </c>
      <c r="W27" s="36">
        <v>11</v>
      </c>
      <c r="X27" s="36">
        <v>1</v>
      </c>
      <c r="Y27" s="28">
        <f t="shared" si="15"/>
        <v>0</v>
      </c>
      <c r="Z27" s="28">
        <f t="shared" si="15"/>
        <v>0</v>
      </c>
      <c r="AA27" s="28">
        <f t="shared" si="15"/>
        <v>0</v>
      </c>
      <c r="AB27" s="28">
        <f t="shared" si="16"/>
        <v>0</v>
      </c>
      <c r="AC27" s="28">
        <f t="shared" si="16"/>
        <v>0</v>
      </c>
      <c r="AD27" s="28">
        <f t="shared" si="16"/>
        <v>0</v>
      </c>
    </row>
    <row r="28" spans="1:30" x14ac:dyDescent="0.25">
      <c r="A28" s="10">
        <v>-1</v>
      </c>
      <c r="B28" s="6"/>
      <c r="C28" s="6"/>
      <c r="D28" s="6"/>
      <c r="E28" s="6"/>
      <c r="F28" s="6"/>
      <c r="G28" s="6"/>
      <c r="H28" s="6"/>
      <c r="I28" s="6"/>
      <c r="J28" s="6"/>
    </row>
  </sheetData>
  <mergeCells count="2">
    <mergeCell ref="Y14:AA14"/>
    <mergeCell ref="AB14:AD14"/>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9"/>
  <sheetViews>
    <sheetView topLeftCell="K1" zoomScale="70" zoomScaleNormal="70" workbookViewId="0">
      <selection activeCell="N5" sqref="N5"/>
    </sheetView>
  </sheetViews>
  <sheetFormatPr defaultRowHeight="15" outlineLevelCol="1" x14ac:dyDescent="0.25"/>
  <cols>
    <col min="1" max="1" width="9.140625" style="1" customWidth="1"/>
    <col min="2" max="2" width="123.140625" style="1" customWidth="1" outlineLevel="1"/>
    <col min="3" max="3" width="126.5703125" style="1" customWidth="1" outlineLevel="1"/>
    <col min="4" max="4" width="83" style="1" customWidth="1" outlineLevel="1"/>
    <col min="5" max="5" width="10.28515625" style="1" customWidth="1" outlineLevel="1"/>
    <col min="6" max="8" width="8.7109375" style="1" customWidth="1" outlineLevel="1"/>
    <col min="9" max="9" width="11.42578125" style="1" customWidth="1" outlineLevel="1"/>
    <col min="10" max="10" width="220.7109375" style="1" customWidth="1" outlineLevel="1"/>
    <col min="11" max="11" width="5" style="49" customWidth="1"/>
    <col min="12" max="12" width="13" style="49" customWidth="1"/>
    <col min="13" max="13" width="31.28515625" style="49"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9" t="s">
        <v>18</v>
      </c>
      <c r="C7" s="30"/>
      <c r="D7" s="30"/>
      <c r="L7" s="37" t="s">
        <v>45</v>
      </c>
      <c r="M7" s="50" t="s">
        <v>121</v>
      </c>
    </row>
    <row r="8" spans="1:30" x14ac:dyDescent="0.25">
      <c r="A8" s="1" t="s">
        <v>5</v>
      </c>
      <c r="B8" s="49" t="s">
        <v>19</v>
      </c>
      <c r="C8" s="30"/>
      <c r="D8" s="30"/>
      <c r="L8" s="14" t="s">
        <v>46</v>
      </c>
      <c r="M8" s="32" t="s">
        <v>122</v>
      </c>
    </row>
    <row r="9" spans="1:30" x14ac:dyDescent="0.25">
      <c r="A9" s="3">
        <v>2</v>
      </c>
      <c r="B9" s="4" t="str">
        <f>M9</f>
        <v>BatchResults_010112_r1450_IDF.csv</v>
      </c>
      <c r="C9" s="30" t="s">
        <v>1</v>
      </c>
      <c r="D9" s="30"/>
      <c r="E9" s="30"/>
      <c r="F9" s="30"/>
      <c r="G9" s="30"/>
      <c r="H9" s="30"/>
      <c r="I9" s="26"/>
      <c r="L9" s="35" t="s">
        <v>39</v>
      </c>
      <c r="M9" s="28" t="str">
        <f>"BatchResults_"&amp;M7&amp;"_"&amp;M8&amp;".csv"</f>
        <v>BatchResults_010112_r1450_IDF.csv</v>
      </c>
      <c r="N9" s="1" t="s">
        <v>48</v>
      </c>
    </row>
    <row r="10" spans="1:30" x14ac:dyDescent="0.25">
      <c r="A10" s="1" t="s">
        <v>1</v>
      </c>
      <c r="L10" s="14" t="s">
        <v>16</v>
      </c>
      <c r="M10" s="28" t="s">
        <v>119</v>
      </c>
      <c r="N10" s="1" t="s">
        <v>47</v>
      </c>
    </row>
    <row r="11" spans="1:30" x14ac:dyDescent="0.25">
      <c r="A11" s="1" t="s">
        <v>1</v>
      </c>
      <c r="L11" s="14" t="s">
        <v>17</v>
      </c>
      <c r="M11" s="28" t="s">
        <v>120</v>
      </c>
      <c r="N11" s="1" t="s">
        <v>47</v>
      </c>
    </row>
    <row r="12" spans="1:30" x14ac:dyDescent="0.25">
      <c r="A12" s="1" t="s">
        <v>1</v>
      </c>
      <c r="L12" s="14" t="s">
        <v>42</v>
      </c>
      <c r="M12" s="28" t="str">
        <f>M11&amp;"XML\"</f>
        <v>Issue 383\010112-SchSml-PSZ-p_r1450\010112-SchSml-PSZ-p_r1450 - batch\XML\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9" t="s">
        <v>27</v>
      </c>
      <c r="O14" s="49" t="s">
        <v>26</v>
      </c>
      <c r="Y14" s="105" t="s">
        <v>33</v>
      </c>
      <c r="Z14" s="105"/>
      <c r="AA14" s="105"/>
      <c r="AB14" s="105" t="s">
        <v>34</v>
      </c>
      <c r="AC14" s="105"/>
      <c r="AD14" s="105"/>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M$10&amp;N16&amp;".cibd"</f>
        <v>Issue 383\Input CIBD\010112-SchSml-PSZ-p-01.cibd</v>
      </c>
      <c r="C16" s="27" t="str">
        <f t="shared" ref="C16:C28" si="1" xml:space="preserve"> M$11 &amp; O16 &amp; ".cibd"</f>
        <v>Issue 383\010112-SchSml-PSZ-p_r1450\010112-SchSml-PSZ-p_r1450 - batch\010112-SchSml-PSZ-p-01.cibd</v>
      </c>
      <c r="D16" s="27" t="str">
        <f>$M$12</f>
        <v>Issue 383\010112-SchSml-PSZ-p_r1450\010112-SchSml-PSZ-p_r1450 - batch\XML\</v>
      </c>
      <c r="E16" s="9" t="str">
        <f>M16</f>
        <v>010112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 t="shared" ref="M16:M28" si="2">LEFT(N16,6)&amp;IF(SUM(F16:H16)&gt;0,"_autosize","")</f>
        <v>010112</v>
      </c>
      <c r="N16" s="28" t="s">
        <v>97</v>
      </c>
      <c r="O16" s="28" t="str">
        <f>N16</f>
        <v>010112-SchSml-PSZ-p-01</v>
      </c>
      <c r="P16" s="28">
        <v>0</v>
      </c>
      <c r="Q16" s="28">
        <v>4</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8" si="4">L17</f>
        <v>1</v>
      </c>
      <c r="B17" s="27" t="str">
        <f t="shared" ref="B17:B28" si="5" xml:space="preserve"> M$10&amp;N17&amp;".cibd"</f>
        <v>Issue 383\Input CIBD\010112-SchSml-PSZ-p-02.cibd</v>
      </c>
      <c r="C17" s="27" t="str">
        <f t="shared" si="1"/>
        <v>Issue 383\010112-SchSml-PSZ-p_r1450\010112-SchSml-PSZ-p_r1450 - batch\010112-SchSml-PSZ-p-02.cibd</v>
      </c>
      <c r="D17" s="27" t="str">
        <f t="shared" ref="D17:D37" si="6">$M$12</f>
        <v>Issue 383\010112-SchSml-PSZ-p_r1450\010112-SchSml-PSZ-p_r1450 - batch\XML\</v>
      </c>
      <c r="E17" s="9" t="str">
        <f t="shared" ref="E17:E27" si="7">M17</f>
        <v>010112</v>
      </c>
      <c r="F17" s="22"/>
      <c r="G17" s="29"/>
      <c r="H17" s="23"/>
      <c r="I17" s="9" t="s">
        <v>11</v>
      </c>
      <c r="J17" s="9" t="str">
        <f t="shared" ref="J17:J28" si="8">$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si="2"/>
        <v>010112</v>
      </c>
      <c r="N17" s="28" t="s">
        <v>98</v>
      </c>
      <c r="O17" s="28" t="str">
        <f t="shared" ref="O17:O28" si="9">N17</f>
        <v>010112-SchSml-PSZ-p-02</v>
      </c>
      <c r="P17" s="28">
        <f>P16</f>
        <v>0</v>
      </c>
      <c r="Q17" s="28">
        <f>Q16</f>
        <v>4</v>
      </c>
      <c r="R17" s="28">
        <f t="shared" ref="R17:V28" si="10">R16</f>
        <v>0</v>
      </c>
      <c r="S17" s="28">
        <f t="shared" si="10"/>
        <v>0</v>
      </c>
      <c r="T17" s="28">
        <f>T16</f>
        <v>0</v>
      </c>
      <c r="U17" s="28">
        <f t="shared" ref="U17:Y28" si="11">U16</f>
        <v>0</v>
      </c>
      <c r="V17" s="28">
        <f t="shared" si="11"/>
        <v>1</v>
      </c>
      <c r="W17" s="36">
        <v>11</v>
      </c>
      <c r="X17" s="36">
        <v>1</v>
      </c>
      <c r="Y17" s="28">
        <f>Y16</f>
        <v>0</v>
      </c>
      <c r="Z17" s="28">
        <f t="shared" ref="Z17:AB28" si="12">Z16</f>
        <v>0</v>
      </c>
      <c r="AA17" s="28">
        <f t="shared" si="12"/>
        <v>0</v>
      </c>
      <c r="AB17" s="28">
        <f>AB16</f>
        <v>0</v>
      </c>
      <c r="AC17" s="28">
        <f t="shared" ref="AC17:AD28" si="13">AC16</f>
        <v>0</v>
      </c>
      <c r="AD17" s="28">
        <f t="shared" si="13"/>
        <v>0</v>
      </c>
    </row>
    <row r="18" spans="1:30" x14ac:dyDescent="0.25">
      <c r="A18" s="39">
        <f t="shared" si="4"/>
        <v>1</v>
      </c>
      <c r="B18" s="27" t="str">
        <f t="shared" si="5"/>
        <v>Issue 383\Input CIBD\010112-SchSml-PSZ-p-03.cibd</v>
      </c>
      <c r="C18" s="27" t="str">
        <f t="shared" si="1"/>
        <v>Issue 383\010112-SchSml-PSZ-p_r1450\010112-SchSml-PSZ-p_r1450 - batch\010112-SchSml-PSZ-p-03.cibd</v>
      </c>
      <c r="D18" s="27" t="str">
        <f t="shared" si="6"/>
        <v>Issue 383\010112-SchSml-PSZ-p_r1450\010112-SchSml-PSZ-p_r1450 - batch\XML\</v>
      </c>
      <c r="E18" s="9" t="str">
        <f t="shared" si="7"/>
        <v>010112</v>
      </c>
      <c r="F18" s="22"/>
      <c r="G18" s="29"/>
      <c r="H18" s="23"/>
      <c r="I18" s="9" t="s">
        <v>11</v>
      </c>
      <c r="J1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si="2"/>
        <v>010112</v>
      </c>
      <c r="N18" s="28" t="s">
        <v>99</v>
      </c>
      <c r="O18" s="28" t="str">
        <f t="shared" si="9"/>
        <v>010112-SchSml-PSZ-p-03</v>
      </c>
      <c r="P18" s="28">
        <f t="shared" ref="P18:S28" si="14">P17</f>
        <v>0</v>
      </c>
      <c r="Q18" s="28">
        <f t="shared" si="14"/>
        <v>4</v>
      </c>
      <c r="R18" s="28">
        <f t="shared" si="10"/>
        <v>0</v>
      </c>
      <c r="S18" s="28">
        <f t="shared" si="10"/>
        <v>0</v>
      </c>
      <c r="T18" s="28">
        <f t="shared" si="10"/>
        <v>0</v>
      </c>
      <c r="U18" s="28">
        <f t="shared" si="11"/>
        <v>0</v>
      </c>
      <c r="V18" s="28">
        <f t="shared" si="11"/>
        <v>1</v>
      </c>
      <c r="W18" s="36">
        <v>11</v>
      </c>
      <c r="X18" s="36">
        <v>1</v>
      </c>
      <c r="Y18" s="28">
        <f t="shared" si="11"/>
        <v>0</v>
      </c>
      <c r="Z18" s="28">
        <f t="shared" si="12"/>
        <v>0</v>
      </c>
      <c r="AA18" s="28">
        <f t="shared" si="12"/>
        <v>0</v>
      </c>
      <c r="AB18" s="28">
        <f t="shared" si="12"/>
        <v>0</v>
      </c>
      <c r="AC18" s="28">
        <f t="shared" si="13"/>
        <v>0</v>
      </c>
      <c r="AD18" s="28">
        <f t="shared" si="13"/>
        <v>0</v>
      </c>
    </row>
    <row r="19" spans="1:30" x14ac:dyDescent="0.25">
      <c r="A19" s="39">
        <f t="shared" si="4"/>
        <v>1</v>
      </c>
      <c r="B19" s="27" t="str">
        <f t="shared" si="5"/>
        <v>Issue 383\Input CIBD\010112-SchSml-PSZ-p-04.cibd</v>
      </c>
      <c r="C19" s="27" t="str">
        <f t="shared" si="1"/>
        <v>Issue 383\010112-SchSml-PSZ-p_r1450\010112-SchSml-PSZ-p_r1450 - batch\010112-SchSml-PSZ-p-04.cibd</v>
      </c>
      <c r="D19" s="27" t="str">
        <f t="shared" si="6"/>
        <v>Issue 383\010112-SchSml-PSZ-p_r1450\010112-SchSml-PSZ-p_r1450 - batch\XML\</v>
      </c>
      <c r="E19" s="9" t="str">
        <f t="shared" si="7"/>
        <v>010112</v>
      </c>
      <c r="F19" s="22"/>
      <c r="G19" s="29"/>
      <c r="H19" s="23"/>
      <c r="I19" s="9" t="s">
        <v>11</v>
      </c>
      <c r="J19"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2"/>
        <v>010112</v>
      </c>
      <c r="N19" s="28" t="s">
        <v>100</v>
      </c>
      <c r="O19" s="28" t="str">
        <f t="shared" si="9"/>
        <v>010112-SchSml-PSZ-p-04</v>
      </c>
      <c r="P19" s="28">
        <f t="shared" si="14"/>
        <v>0</v>
      </c>
      <c r="Q19" s="28">
        <f t="shared" si="14"/>
        <v>4</v>
      </c>
      <c r="R19" s="28">
        <f t="shared" si="10"/>
        <v>0</v>
      </c>
      <c r="S19" s="28">
        <f t="shared" si="10"/>
        <v>0</v>
      </c>
      <c r="T19" s="28">
        <f t="shared" si="10"/>
        <v>0</v>
      </c>
      <c r="U19" s="28">
        <f t="shared" si="11"/>
        <v>0</v>
      </c>
      <c r="V19" s="28">
        <f t="shared" si="11"/>
        <v>1</v>
      </c>
      <c r="W19" s="36">
        <v>11</v>
      </c>
      <c r="X19" s="36">
        <v>1</v>
      </c>
      <c r="Y19" s="28">
        <f t="shared" si="11"/>
        <v>0</v>
      </c>
      <c r="Z19" s="28">
        <f t="shared" si="12"/>
        <v>0</v>
      </c>
      <c r="AA19" s="28">
        <f t="shared" si="12"/>
        <v>0</v>
      </c>
      <c r="AB19" s="28">
        <f t="shared" si="12"/>
        <v>0</v>
      </c>
      <c r="AC19" s="28">
        <f t="shared" si="13"/>
        <v>0</v>
      </c>
      <c r="AD19" s="28">
        <f t="shared" si="13"/>
        <v>0</v>
      </c>
    </row>
    <row r="20" spans="1:30" x14ac:dyDescent="0.25">
      <c r="A20" s="39">
        <f t="shared" si="4"/>
        <v>1</v>
      </c>
      <c r="B20" s="27" t="str">
        <f t="shared" si="5"/>
        <v>Issue 383\Input CIBD\010112-SchSml-PSZ-p-05.cibd</v>
      </c>
      <c r="C20" s="27" t="str">
        <f t="shared" si="1"/>
        <v>Issue 383\010112-SchSml-PSZ-p_r1450\010112-SchSml-PSZ-p_r1450 - batch\010112-SchSml-PSZ-p-05.cibd</v>
      </c>
      <c r="D20" s="27" t="str">
        <f t="shared" si="6"/>
        <v>Issue 383\010112-SchSml-PSZ-p_r1450\010112-SchSml-PSZ-p_r1450 - batch\XML\</v>
      </c>
      <c r="E20" s="9" t="str">
        <f t="shared" si="7"/>
        <v>010112</v>
      </c>
      <c r="F20" s="22"/>
      <c r="G20" s="29"/>
      <c r="H20" s="23"/>
      <c r="I20" s="9" t="s">
        <v>11</v>
      </c>
      <c r="J20"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2"/>
        <v>010112</v>
      </c>
      <c r="N20" s="28" t="s">
        <v>101</v>
      </c>
      <c r="O20" s="28" t="str">
        <f t="shared" si="9"/>
        <v>010112-SchSml-PSZ-p-05</v>
      </c>
      <c r="P20" s="28">
        <f t="shared" si="14"/>
        <v>0</v>
      </c>
      <c r="Q20" s="28">
        <f t="shared" si="14"/>
        <v>4</v>
      </c>
      <c r="R20" s="28">
        <f t="shared" si="10"/>
        <v>0</v>
      </c>
      <c r="S20" s="28">
        <f t="shared" si="10"/>
        <v>0</v>
      </c>
      <c r="T20" s="28">
        <f t="shared" si="10"/>
        <v>0</v>
      </c>
      <c r="U20" s="28">
        <f t="shared" si="11"/>
        <v>0</v>
      </c>
      <c r="V20" s="28">
        <f t="shared" si="11"/>
        <v>1</v>
      </c>
      <c r="W20" s="36">
        <v>11</v>
      </c>
      <c r="X20" s="36">
        <v>1</v>
      </c>
      <c r="Y20" s="28">
        <f t="shared" si="11"/>
        <v>0</v>
      </c>
      <c r="Z20" s="28">
        <f t="shared" si="12"/>
        <v>0</v>
      </c>
      <c r="AA20" s="28">
        <f t="shared" si="12"/>
        <v>0</v>
      </c>
      <c r="AB20" s="28">
        <f t="shared" si="12"/>
        <v>0</v>
      </c>
      <c r="AC20" s="28">
        <f t="shared" si="13"/>
        <v>0</v>
      </c>
      <c r="AD20" s="28">
        <f t="shared" si="13"/>
        <v>0</v>
      </c>
    </row>
    <row r="21" spans="1:30" x14ac:dyDescent="0.25">
      <c r="A21" s="39">
        <f t="shared" si="4"/>
        <v>1</v>
      </c>
      <c r="B21" s="27" t="str">
        <f t="shared" si="5"/>
        <v>Issue 383\Input CIBD\010112-SchSml-PSZ-p-06.cibd</v>
      </c>
      <c r="C21" s="27" t="str">
        <f t="shared" si="1"/>
        <v>Issue 383\010112-SchSml-PSZ-p_r1450\010112-SchSml-PSZ-p_r1450 - batch\010112-SchSml-PSZ-p-06.cibd</v>
      </c>
      <c r="D21" s="27" t="str">
        <f t="shared" si="6"/>
        <v>Issue 383\010112-SchSml-PSZ-p_r1450\010112-SchSml-PSZ-p_r1450 - batch\XML\</v>
      </c>
      <c r="E21" s="9" t="str">
        <f t="shared" si="7"/>
        <v>010112</v>
      </c>
      <c r="F21" s="22"/>
      <c r="G21" s="29"/>
      <c r="H21" s="23"/>
      <c r="I21" s="9" t="s">
        <v>11</v>
      </c>
      <c r="J21"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2"/>
        <v>010112</v>
      </c>
      <c r="N21" s="28" t="s">
        <v>102</v>
      </c>
      <c r="O21" s="28" t="str">
        <f t="shared" si="9"/>
        <v>010112-SchSml-PSZ-p-06</v>
      </c>
      <c r="P21" s="28">
        <f t="shared" si="14"/>
        <v>0</v>
      </c>
      <c r="Q21" s="28">
        <f t="shared" si="14"/>
        <v>4</v>
      </c>
      <c r="R21" s="28">
        <f t="shared" si="10"/>
        <v>0</v>
      </c>
      <c r="S21" s="28">
        <f t="shared" si="10"/>
        <v>0</v>
      </c>
      <c r="T21" s="28">
        <f t="shared" si="10"/>
        <v>0</v>
      </c>
      <c r="U21" s="28">
        <f t="shared" si="11"/>
        <v>0</v>
      </c>
      <c r="V21" s="28">
        <f t="shared" si="11"/>
        <v>1</v>
      </c>
      <c r="W21" s="36">
        <v>11</v>
      </c>
      <c r="X21" s="36">
        <v>1</v>
      </c>
      <c r="Y21" s="28">
        <f t="shared" si="11"/>
        <v>0</v>
      </c>
      <c r="Z21" s="28">
        <f t="shared" si="12"/>
        <v>0</v>
      </c>
      <c r="AA21" s="28">
        <f t="shared" si="12"/>
        <v>0</v>
      </c>
      <c r="AB21" s="28">
        <f t="shared" si="12"/>
        <v>0</v>
      </c>
      <c r="AC21" s="28">
        <f t="shared" si="13"/>
        <v>0</v>
      </c>
      <c r="AD21" s="28">
        <f t="shared" si="13"/>
        <v>0</v>
      </c>
    </row>
    <row r="22" spans="1:30" x14ac:dyDescent="0.25">
      <c r="A22" s="39">
        <f t="shared" si="4"/>
        <v>1</v>
      </c>
      <c r="B22" s="27" t="str">
        <f t="shared" si="5"/>
        <v>Issue 383\Input CIBD\010112-SchSml-PSZ-p-07.cibd</v>
      </c>
      <c r="C22" s="27" t="str">
        <f t="shared" si="1"/>
        <v>Issue 383\010112-SchSml-PSZ-p_r1450\010112-SchSml-PSZ-p_r1450 - batch\010112-SchSml-PSZ-p-07.cibd</v>
      </c>
      <c r="D22" s="27" t="str">
        <f t="shared" si="6"/>
        <v>Issue 383\010112-SchSml-PSZ-p_r1450\010112-SchSml-PSZ-p_r1450 - batch\XML\</v>
      </c>
      <c r="E22" s="9" t="str">
        <f t="shared" si="7"/>
        <v>010112</v>
      </c>
      <c r="F22" s="22"/>
      <c r="G22" s="29"/>
      <c r="H22" s="23"/>
      <c r="I22" s="9" t="s">
        <v>11</v>
      </c>
      <c r="J22"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2"/>
        <v>010112</v>
      </c>
      <c r="N22" s="28" t="s">
        <v>103</v>
      </c>
      <c r="O22" s="28" t="str">
        <f t="shared" si="9"/>
        <v>010112-SchSml-PSZ-p-07</v>
      </c>
      <c r="P22" s="28">
        <f t="shared" si="14"/>
        <v>0</v>
      </c>
      <c r="Q22" s="28">
        <f t="shared" si="14"/>
        <v>4</v>
      </c>
      <c r="R22" s="28">
        <f t="shared" si="10"/>
        <v>0</v>
      </c>
      <c r="S22" s="28">
        <f t="shared" si="10"/>
        <v>0</v>
      </c>
      <c r="T22" s="28">
        <f t="shared" si="10"/>
        <v>0</v>
      </c>
      <c r="U22" s="28">
        <f t="shared" si="11"/>
        <v>0</v>
      </c>
      <c r="V22" s="28">
        <f t="shared" si="11"/>
        <v>1</v>
      </c>
      <c r="W22" s="36">
        <v>11</v>
      </c>
      <c r="X22" s="36">
        <v>1</v>
      </c>
      <c r="Y22" s="28">
        <f t="shared" si="11"/>
        <v>0</v>
      </c>
      <c r="Z22" s="28">
        <f t="shared" si="12"/>
        <v>0</v>
      </c>
      <c r="AA22" s="28">
        <f t="shared" si="12"/>
        <v>0</v>
      </c>
      <c r="AB22" s="28">
        <f t="shared" si="12"/>
        <v>0</v>
      </c>
      <c r="AC22" s="28">
        <f t="shared" si="13"/>
        <v>0</v>
      </c>
      <c r="AD22" s="28">
        <f t="shared" si="13"/>
        <v>0</v>
      </c>
    </row>
    <row r="23" spans="1:30" x14ac:dyDescent="0.25">
      <c r="A23" s="39">
        <f t="shared" si="4"/>
        <v>1</v>
      </c>
      <c r="B23" s="27" t="str">
        <f t="shared" si="5"/>
        <v>Issue 383\Input CIBD\010112-SchSml-PSZ-p-08.cibd</v>
      </c>
      <c r="C23" s="27" t="str">
        <f t="shared" si="1"/>
        <v>Issue 383\010112-SchSml-PSZ-p_r1450\010112-SchSml-PSZ-p_r1450 - batch\010112-SchSml-PSZ-p-08.cibd</v>
      </c>
      <c r="D23" s="27" t="str">
        <f t="shared" si="6"/>
        <v>Issue 383\010112-SchSml-PSZ-p_r1450\010112-SchSml-PSZ-p_r1450 - batch\XML\</v>
      </c>
      <c r="E23" s="9" t="str">
        <f t="shared" si="7"/>
        <v>010112</v>
      </c>
      <c r="F23" s="22"/>
      <c r="G23" s="29"/>
      <c r="H23" s="23"/>
      <c r="I23" s="9" t="s">
        <v>11</v>
      </c>
      <c r="J23"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2"/>
        <v>010112</v>
      </c>
      <c r="N23" s="28" t="s">
        <v>104</v>
      </c>
      <c r="O23" s="28" t="str">
        <f t="shared" si="9"/>
        <v>010112-SchSml-PSZ-p-08</v>
      </c>
      <c r="P23" s="28">
        <f t="shared" si="14"/>
        <v>0</v>
      </c>
      <c r="Q23" s="28">
        <f t="shared" si="14"/>
        <v>4</v>
      </c>
      <c r="R23" s="28">
        <f t="shared" si="10"/>
        <v>0</v>
      </c>
      <c r="S23" s="28">
        <f t="shared" si="10"/>
        <v>0</v>
      </c>
      <c r="T23" s="28">
        <f t="shared" si="10"/>
        <v>0</v>
      </c>
      <c r="U23" s="28">
        <f t="shared" si="11"/>
        <v>0</v>
      </c>
      <c r="V23" s="28">
        <f t="shared" si="11"/>
        <v>1</v>
      </c>
      <c r="W23" s="36">
        <v>11</v>
      </c>
      <c r="X23" s="36">
        <v>1</v>
      </c>
      <c r="Y23" s="28">
        <f t="shared" si="11"/>
        <v>0</v>
      </c>
      <c r="Z23" s="28">
        <f t="shared" si="12"/>
        <v>0</v>
      </c>
      <c r="AA23" s="28">
        <f t="shared" si="12"/>
        <v>0</v>
      </c>
      <c r="AB23" s="28">
        <f t="shared" si="12"/>
        <v>0</v>
      </c>
      <c r="AC23" s="28">
        <f t="shared" si="13"/>
        <v>0</v>
      </c>
      <c r="AD23" s="28">
        <f t="shared" si="13"/>
        <v>0</v>
      </c>
    </row>
    <row r="24" spans="1:30" x14ac:dyDescent="0.25">
      <c r="A24" s="39">
        <f t="shared" si="4"/>
        <v>1</v>
      </c>
      <c r="B24" s="27" t="str">
        <f t="shared" si="5"/>
        <v>Issue 383\Input CIBD\010112-SchSml-PSZ-p-09.cibd</v>
      </c>
      <c r="C24" s="27" t="str">
        <f t="shared" si="1"/>
        <v>Issue 383\010112-SchSml-PSZ-p_r1450\010112-SchSml-PSZ-p_r1450 - batch\010112-SchSml-PSZ-p-09.cibd</v>
      </c>
      <c r="D24" s="27" t="str">
        <f t="shared" si="6"/>
        <v>Issue 383\010112-SchSml-PSZ-p_r1450\010112-SchSml-PSZ-p_r1450 - batch\XML\</v>
      </c>
      <c r="E24" s="9" t="str">
        <f t="shared" si="7"/>
        <v>010112</v>
      </c>
      <c r="F24" s="22"/>
      <c r="G24" s="29"/>
      <c r="H24" s="23"/>
      <c r="I24" s="9" t="s">
        <v>11</v>
      </c>
      <c r="J24"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2"/>
        <v>010112</v>
      </c>
      <c r="N24" s="28" t="s">
        <v>105</v>
      </c>
      <c r="O24" s="28" t="str">
        <f t="shared" si="9"/>
        <v>010112-SchSml-PSZ-p-09</v>
      </c>
      <c r="P24" s="28">
        <f t="shared" si="14"/>
        <v>0</v>
      </c>
      <c r="Q24" s="28">
        <f t="shared" si="14"/>
        <v>4</v>
      </c>
      <c r="R24" s="28">
        <f t="shared" si="10"/>
        <v>0</v>
      </c>
      <c r="S24" s="28">
        <f t="shared" si="10"/>
        <v>0</v>
      </c>
      <c r="T24" s="28">
        <f t="shared" si="10"/>
        <v>0</v>
      </c>
      <c r="U24" s="28">
        <f t="shared" si="11"/>
        <v>0</v>
      </c>
      <c r="V24" s="28">
        <f t="shared" si="11"/>
        <v>1</v>
      </c>
      <c r="W24" s="36">
        <v>11</v>
      </c>
      <c r="X24" s="36">
        <v>1</v>
      </c>
      <c r="Y24" s="28">
        <f t="shared" si="11"/>
        <v>0</v>
      </c>
      <c r="Z24" s="28">
        <f t="shared" si="12"/>
        <v>0</v>
      </c>
      <c r="AA24" s="28">
        <f t="shared" si="12"/>
        <v>0</v>
      </c>
      <c r="AB24" s="28">
        <f t="shared" si="12"/>
        <v>0</v>
      </c>
      <c r="AC24" s="28">
        <f t="shared" si="13"/>
        <v>0</v>
      </c>
      <c r="AD24" s="28">
        <f t="shared" si="13"/>
        <v>0</v>
      </c>
    </row>
    <row r="25" spans="1:30" x14ac:dyDescent="0.25">
      <c r="A25" s="39">
        <f t="shared" si="4"/>
        <v>1</v>
      </c>
      <c r="B25" s="27" t="str">
        <f t="shared" si="5"/>
        <v>Issue 383\Input CIBD\010112-SchSml-PSZ-p-10.cibd</v>
      </c>
      <c r="C25" s="27" t="str">
        <f t="shared" si="1"/>
        <v>Issue 383\010112-SchSml-PSZ-p_r1450\010112-SchSml-PSZ-p_r1450 - batch\010112-SchSml-PSZ-p-10.cibd</v>
      </c>
      <c r="D25" s="27" t="str">
        <f t="shared" si="6"/>
        <v>Issue 383\010112-SchSml-PSZ-p_r1450\010112-SchSml-PSZ-p_r1450 - batch\XML\</v>
      </c>
      <c r="E25" s="9" t="str">
        <f t="shared" si="7"/>
        <v>010112</v>
      </c>
      <c r="F25" s="22"/>
      <c r="G25" s="29"/>
      <c r="H25" s="23"/>
      <c r="I25" s="9" t="s">
        <v>11</v>
      </c>
      <c r="J25"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2"/>
        <v>010112</v>
      </c>
      <c r="N25" s="28" t="s">
        <v>106</v>
      </c>
      <c r="O25" s="28" t="str">
        <f t="shared" si="9"/>
        <v>010112-SchSml-PSZ-p-10</v>
      </c>
      <c r="P25" s="28">
        <f t="shared" si="14"/>
        <v>0</v>
      </c>
      <c r="Q25" s="28">
        <f t="shared" si="14"/>
        <v>4</v>
      </c>
      <c r="R25" s="28">
        <f t="shared" si="10"/>
        <v>0</v>
      </c>
      <c r="S25" s="28">
        <f t="shared" si="10"/>
        <v>0</v>
      </c>
      <c r="T25" s="28">
        <f t="shared" si="10"/>
        <v>0</v>
      </c>
      <c r="U25" s="28">
        <f t="shared" si="11"/>
        <v>0</v>
      </c>
      <c r="V25" s="28">
        <f t="shared" si="11"/>
        <v>1</v>
      </c>
      <c r="W25" s="36">
        <v>11</v>
      </c>
      <c r="X25" s="36">
        <v>1</v>
      </c>
      <c r="Y25" s="28">
        <f t="shared" si="11"/>
        <v>0</v>
      </c>
      <c r="Z25" s="28">
        <f t="shared" si="12"/>
        <v>0</v>
      </c>
      <c r="AA25" s="28">
        <f t="shared" si="12"/>
        <v>0</v>
      </c>
      <c r="AB25" s="28">
        <f t="shared" si="12"/>
        <v>0</v>
      </c>
      <c r="AC25" s="28">
        <f t="shared" si="13"/>
        <v>0</v>
      </c>
      <c r="AD25" s="28">
        <f t="shared" si="13"/>
        <v>0</v>
      </c>
    </row>
    <row r="26" spans="1:30" x14ac:dyDescent="0.25">
      <c r="A26" s="39">
        <f t="shared" si="4"/>
        <v>1</v>
      </c>
      <c r="B26" s="27" t="str">
        <f t="shared" si="5"/>
        <v>Issue 383\Input CIBD\010112-SchSml-PSZ-p-11.cibd</v>
      </c>
      <c r="C26" s="27" t="str">
        <f t="shared" si="1"/>
        <v>Issue 383\010112-SchSml-PSZ-p_r1450\010112-SchSml-PSZ-p_r1450 - batch\010112-SchSml-PSZ-p-11.cibd</v>
      </c>
      <c r="D26" s="27" t="str">
        <f t="shared" si="6"/>
        <v>Issue 383\010112-SchSml-PSZ-p_r1450\010112-SchSml-PSZ-p_r1450 - batch\XML\</v>
      </c>
      <c r="E26" s="9" t="str">
        <f t="shared" si="7"/>
        <v>010112</v>
      </c>
      <c r="F26" s="22"/>
      <c r="G26" s="29"/>
      <c r="H26" s="23"/>
      <c r="I26" s="9" t="s">
        <v>11</v>
      </c>
      <c r="J26"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2"/>
        <v>010112</v>
      </c>
      <c r="N26" s="28" t="s">
        <v>107</v>
      </c>
      <c r="O26" s="28" t="str">
        <f t="shared" si="9"/>
        <v>010112-SchSml-PSZ-p-11</v>
      </c>
      <c r="P26" s="28">
        <f t="shared" si="14"/>
        <v>0</v>
      </c>
      <c r="Q26" s="28">
        <f t="shared" si="14"/>
        <v>4</v>
      </c>
      <c r="R26" s="28">
        <f t="shared" si="10"/>
        <v>0</v>
      </c>
      <c r="S26" s="28">
        <f t="shared" si="10"/>
        <v>0</v>
      </c>
      <c r="T26" s="28">
        <f t="shared" si="10"/>
        <v>0</v>
      </c>
      <c r="U26" s="28">
        <f t="shared" si="11"/>
        <v>0</v>
      </c>
      <c r="V26" s="28">
        <f t="shared" si="11"/>
        <v>1</v>
      </c>
      <c r="W26" s="36">
        <v>11</v>
      </c>
      <c r="X26" s="36">
        <v>1</v>
      </c>
      <c r="Y26" s="28">
        <f t="shared" si="11"/>
        <v>0</v>
      </c>
      <c r="Z26" s="28">
        <f t="shared" si="12"/>
        <v>0</v>
      </c>
      <c r="AA26" s="28">
        <f t="shared" si="12"/>
        <v>0</v>
      </c>
      <c r="AB26" s="28">
        <f t="shared" si="12"/>
        <v>0</v>
      </c>
      <c r="AC26" s="28">
        <f t="shared" si="13"/>
        <v>0</v>
      </c>
      <c r="AD26" s="28">
        <f t="shared" si="13"/>
        <v>0</v>
      </c>
    </row>
    <row r="27" spans="1:30" x14ac:dyDescent="0.25">
      <c r="A27" s="39">
        <f t="shared" si="4"/>
        <v>1</v>
      </c>
      <c r="B27" s="27" t="str">
        <f t="shared" si="5"/>
        <v>Issue 383\Input CIBD\010112-SchSml-PSZ-p-12.cibd</v>
      </c>
      <c r="C27" s="27" t="str">
        <f t="shared" si="1"/>
        <v>Issue 383\010112-SchSml-PSZ-p_r1450\010112-SchSml-PSZ-p_r1450 - batch\010112-SchSml-PSZ-p-12.cibd</v>
      </c>
      <c r="D27" s="27" t="str">
        <f t="shared" si="6"/>
        <v>Issue 383\010112-SchSml-PSZ-p_r1450\010112-SchSml-PSZ-p_r1450 - batch\XML\</v>
      </c>
      <c r="E27" s="9" t="str">
        <f t="shared" si="7"/>
        <v>010112</v>
      </c>
      <c r="F27" s="22"/>
      <c r="G27" s="29"/>
      <c r="H27" s="23"/>
      <c r="I27" s="9" t="s">
        <v>11</v>
      </c>
      <c r="J27"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2"/>
        <v>010112</v>
      </c>
      <c r="N27" s="28" t="s">
        <v>108</v>
      </c>
      <c r="O27" s="28" t="str">
        <f t="shared" si="9"/>
        <v>010112-SchSml-PSZ-p-12</v>
      </c>
      <c r="P27" s="28">
        <f t="shared" si="14"/>
        <v>0</v>
      </c>
      <c r="Q27" s="28">
        <f t="shared" si="14"/>
        <v>4</v>
      </c>
      <c r="R27" s="28">
        <f t="shared" si="14"/>
        <v>0</v>
      </c>
      <c r="S27" s="28">
        <f t="shared" si="14"/>
        <v>0</v>
      </c>
      <c r="T27" s="28">
        <f t="shared" si="10"/>
        <v>0</v>
      </c>
      <c r="U27" s="28">
        <f t="shared" si="10"/>
        <v>0</v>
      </c>
      <c r="V27" s="28">
        <f t="shared" si="10"/>
        <v>1</v>
      </c>
      <c r="W27" s="36">
        <v>11</v>
      </c>
      <c r="X27" s="36">
        <v>1</v>
      </c>
      <c r="Y27" s="28">
        <f t="shared" si="11"/>
        <v>0</v>
      </c>
      <c r="Z27" s="28">
        <f t="shared" si="12"/>
        <v>0</v>
      </c>
      <c r="AA27" s="28">
        <f t="shared" si="12"/>
        <v>0</v>
      </c>
      <c r="AB27" s="28">
        <f t="shared" si="12"/>
        <v>0</v>
      </c>
      <c r="AC27" s="28">
        <f t="shared" si="13"/>
        <v>0</v>
      </c>
      <c r="AD27" s="28">
        <f t="shared" si="13"/>
        <v>0</v>
      </c>
    </row>
    <row r="28" spans="1:30" x14ac:dyDescent="0.25">
      <c r="A28" s="39">
        <f t="shared" si="4"/>
        <v>1</v>
      </c>
      <c r="B28" s="27" t="str">
        <f t="shared" si="5"/>
        <v>Issue 383\Input CIBD\010112-SchSml-PSZ-p-13.cibd</v>
      </c>
      <c r="C28" s="27" t="str">
        <f t="shared" si="1"/>
        <v>Issue 383\010112-SchSml-PSZ-p_r1450\010112-SchSml-PSZ-p_r1450 - batch\010112-SchSml-PSZ-p-13.cibd</v>
      </c>
      <c r="D28" s="27" t="str">
        <f t="shared" si="6"/>
        <v>Issue 383\010112-SchSml-PSZ-p_r1450\010112-SchSml-PSZ-p_r1450 - batch\XML\</v>
      </c>
      <c r="E28" s="9" t="str">
        <f>M28</f>
        <v>010112</v>
      </c>
      <c r="F28" s="22"/>
      <c r="G28" s="29"/>
      <c r="H28" s="23"/>
      <c r="I28" s="9" t="s">
        <v>11</v>
      </c>
      <c r="J2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2"/>
        <v>010112</v>
      </c>
      <c r="N28" s="28" t="s">
        <v>109</v>
      </c>
      <c r="O28" s="28" t="str">
        <f t="shared" si="9"/>
        <v>010112-SchSml-PSZ-p-13</v>
      </c>
      <c r="P28" s="28">
        <f t="shared" si="14"/>
        <v>0</v>
      </c>
      <c r="Q28" s="28">
        <f t="shared" si="14"/>
        <v>4</v>
      </c>
      <c r="R28" s="28">
        <f t="shared" si="14"/>
        <v>0</v>
      </c>
      <c r="S28" s="28">
        <f t="shared" si="14"/>
        <v>0</v>
      </c>
      <c r="T28" s="28">
        <f t="shared" si="10"/>
        <v>0</v>
      </c>
      <c r="U28" s="28">
        <f t="shared" si="10"/>
        <v>0</v>
      </c>
      <c r="V28" s="28">
        <f t="shared" si="10"/>
        <v>1</v>
      </c>
      <c r="W28" s="36">
        <v>11</v>
      </c>
      <c r="X28" s="36">
        <v>1</v>
      </c>
      <c r="Y28" s="28">
        <f t="shared" si="11"/>
        <v>0</v>
      </c>
      <c r="Z28" s="28">
        <f t="shared" si="12"/>
        <v>0</v>
      </c>
      <c r="AA28" s="28">
        <f t="shared" si="12"/>
        <v>0</v>
      </c>
      <c r="AB28" s="28">
        <f t="shared" si="12"/>
        <v>0</v>
      </c>
      <c r="AC28" s="28">
        <f t="shared" si="13"/>
        <v>0</v>
      </c>
      <c r="AD28" s="28">
        <f t="shared" si="13"/>
        <v>0</v>
      </c>
    </row>
    <row r="29" spans="1:30" x14ac:dyDescent="0.25">
      <c r="A29" s="39">
        <f t="shared" ref="A29:A37" si="15">L29</f>
        <v>1</v>
      </c>
      <c r="B29" s="27" t="str">
        <f t="shared" ref="B29:B37" si="16" xml:space="preserve"> M$10&amp;N29&amp;".cibd"</f>
        <v>Issue 383\Input CIBD\010112-SchSml-PSZ-p-14.cibd</v>
      </c>
      <c r="C29" s="27" t="str">
        <f t="shared" ref="C29:C37" si="17" xml:space="preserve"> M$11 &amp; O29 &amp; ".cibd"</f>
        <v>Issue 383\010112-SchSml-PSZ-p_r1450\010112-SchSml-PSZ-p_r1450 - batch\010112-SchSml-PSZ-p-14.cibd</v>
      </c>
      <c r="D29" s="27" t="str">
        <f t="shared" si="6"/>
        <v>Issue 383\010112-SchSml-PSZ-p_r1450\010112-SchSml-PSZ-p_r1450 - batch\XML\</v>
      </c>
      <c r="E29" s="9" t="str">
        <f t="shared" ref="E29:E37" si="18">M29</f>
        <v>010112</v>
      </c>
      <c r="F29" s="22"/>
      <c r="G29" s="29"/>
      <c r="H29" s="23"/>
      <c r="I29" s="9" t="s">
        <v>11</v>
      </c>
      <c r="J29" s="9" t="str">
        <f t="shared" ref="J29:J37" si="19">$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ref="M29:M37" si="20">LEFT(N29,6)&amp;IF(SUM(F29:H29)&gt;0,"_autosize","")</f>
        <v>010112</v>
      </c>
      <c r="N29" s="28" t="s">
        <v>110</v>
      </c>
      <c r="O29" s="28" t="str">
        <f t="shared" ref="O29:O37" si="21">N29</f>
        <v>010112-SchSml-PSZ-p-14</v>
      </c>
      <c r="P29" s="28">
        <f t="shared" ref="P29:V29" si="22">P28</f>
        <v>0</v>
      </c>
      <c r="Q29" s="28">
        <f t="shared" si="22"/>
        <v>4</v>
      </c>
      <c r="R29" s="28">
        <f t="shared" si="22"/>
        <v>0</v>
      </c>
      <c r="S29" s="28">
        <f t="shared" si="22"/>
        <v>0</v>
      </c>
      <c r="T29" s="28">
        <f t="shared" si="22"/>
        <v>0</v>
      </c>
      <c r="U29" s="28">
        <f t="shared" si="22"/>
        <v>0</v>
      </c>
      <c r="V29" s="28">
        <f t="shared" si="22"/>
        <v>1</v>
      </c>
      <c r="W29" s="36">
        <v>11</v>
      </c>
      <c r="X29" s="36">
        <v>1</v>
      </c>
      <c r="Y29" s="28">
        <f t="shared" ref="Y29:AD29" si="23">Y28</f>
        <v>0</v>
      </c>
      <c r="Z29" s="28">
        <f t="shared" si="23"/>
        <v>0</v>
      </c>
      <c r="AA29" s="28">
        <f t="shared" si="23"/>
        <v>0</v>
      </c>
      <c r="AB29" s="28">
        <f t="shared" si="23"/>
        <v>0</v>
      </c>
      <c r="AC29" s="28">
        <f t="shared" si="23"/>
        <v>0</v>
      </c>
      <c r="AD29" s="28">
        <f t="shared" si="23"/>
        <v>0</v>
      </c>
    </row>
    <row r="30" spans="1:30" x14ac:dyDescent="0.25">
      <c r="A30" s="39">
        <f t="shared" si="15"/>
        <v>1</v>
      </c>
      <c r="B30" s="27" t="str">
        <f t="shared" si="16"/>
        <v>Issue 383\Input CIBD\010112-SchSml-PSZ-p-15.cibd</v>
      </c>
      <c r="C30" s="27" t="str">
        <f t="shared" si="17"/>
        <v>Issue 383\010112-SchSml-PSZ-p_r1450\010112-SchSml-PSZ-p_r1450 - batch\010112-SchSml-PSZ-p-15.cibd</v>
      </c>
      <c r="D30" s="27" t="str">
        <f t="shared" si="6"/>
        <v>Issue 383\010112-SchSml-PSZ-p_r1450\010112-SchSml-PSZ-p_r1450 - batch\XML\</v>
      </c>
      <c r="E30" s="9" t="str">
        <f t="shared" si="18"/>
        <v>010112</v>
      </c>
      <c r="F30" s="22"/>
      <c r="G30" s="29"/>
      <c r="H30" s="23"/>
      <c r="I30" s="9" t="s">
        <v>11</v>
      </c>
      <c r="J30"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20"/>
        <v>010112</v>
      </c>
      <c r="N30" s="28" t="s">
        <v>111</v>
      </c>
      <c r="O30" s="28" t="str">
        <f t="shared" si="21"/>
        <v>010112-SchSml-PSZ-p-15</v>
      </c>
      <c r="P30" s="28">
        <f t="shared" ref="P30:V30" si="24">P29</f>
        <v>0</v>
      </c>
      <c r="Q30" s="28">
        <f t="shared" si="24"/>
        <v>4</v>
      </c>
      <c r="R30" s="28">
        <f t="shared" si="24"/>
        <v>0</v>
      </c>
      <c r="S30" s="28">
        <f t="shared" si="24"/>
        <v>0</v>
      </c>
      <c r="T30" s="28">
        <f t="shared" si="24"/>
        <v>0</v>
      </c>
      <c r="U30" s="28">
        <f t="shared" si="24"/>
        <v>0</v>
      </c>
      <c r="V30" s="28">
        <f t="shared" si="24"/>
        <v>1</v>
      </c>
      <c r="W30" s="36">
        <v>11</v>
      </c>
      <c r="X30" s="36">
        <v>1</v>
      </c>
      <c r="Y30" s="28">
        <f t="shared" ref="Y30:AD30" si="25">Y29</f>
        <v>0</v>
      </c>
      <c r="Z30" s="28">
        <f t="shared" si="25"/>
        <v>0</v>
      </c>
      <c r="AA30" s="28">
        <f t="shared" si="25"/>
        <v>0</v>
      </c>
      <c r="AB30" s="28">
        <f t="shared" si="25"/>
        <v>0</v>
      </c>
      <c r="AC30" s="28">
        <f t="shared" si="25"/>
        <v>0</v>
      </c>
      <c r="AD30" s="28">
        <f t="shared" si="25"/>
        <v>0</v>
      </c>
    </row>
    <row r="31" spans="1:30" x14ac:dyDescent="0.25">
      <c r="A31" s="39">
        <f t="shared" si="15"/>
        <v>1</v>
      </c>
      <c r="B31" s="27" t="str">
        <f t="shared" si="16"/>
        <v>Issue 383\Input CIBD\010112-SchSml-PSZ-p-16.cibd</v>
      </c>
      <c r="C31" s="27" t="str">
        <f t="shared" si="17"/>
        <v>Issue 383\010112-SchSml-PSZ-p_r1450\010112-SchSml-PSZ-p_r1450 - batch\010112-SchSml-PSZ-p-16.cibd</v>
      </c>
      <c r="D31" s="27" t="str">
        <f t="shared" si="6"/>
        <v>Issue 383\010112-SchSml-PSZ-p_r1450\010112-SchSml-PSZ-p_r1450 - batch\XML\</v>
      </c>
      <c r="E31" s="9" t="str">
        <f t="shared" si="18"/>
        <v>010112</v>
      </c>
      <c r="F31" s="22"/>
      <c r="G31" s="29"/>
      <c r="H31" s="23"/>
      <c r="I31" s="9" t="s">
        <v>11</v>
      </c>
      <c r="J31"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1" s="15" t="s">
        <v>1</v>
      </c>
      <c r="L31" s="36">
        <v>1</v>
      </c>
      <c r="M31" s="32" t="str">
        <f t="shared" si="20"/>
        <v>010112</v>
      </c>
      <c r="N31" s="28" t="s">
        <v>112</v>
      </c>
      <c r="O31" s="28" t="str">
        <f t="shared" si="21"/>
        <v>010112-SchSml-PSZ-p-16</v>
      </c>
      <c r="P31" s="28">
        <f t="shared" ref="P31:V31" si="26">P30</f>
        <v>0</v>
      </c>
      <c r="Q31" s="28">
        <f t="shared" si="26"/>
        <v>4</v>
      </c>
      <c r="R31" s="28">
        <f t="shared" si="26"/>
        <v>0</v>
      </c>
      <c r="S31" s="28">
        <f t="shared" si="26"/>
        <v>0</v>
      </c>
      <c r="T31" s="28">
        <f t="shared" si="26"/>
        <v>0</v>
      </c>
      <c r="U31" s="28">
        <f t="shared" si="26"/>
        <v>0</v>
      </c>
      <c r="V31" s="28">
        <f t="shared" si="26"/>
        <v>1</v>
      </c>
      <c r="W31" s="36">
        <v>11</v>
      </c>
      <c r="X31" s="36">
        <v>1</v>
      </c>
      <c r="Y31" s="28">
        <f t="shared" ref="Y31:AD31" si="27">Y30</f>
        <v>0</v>
      </c>
      <c r="Z31" s="28">
        <f t="shared" si="27"/>
        <v>0</v>
      </c>
      <c r="AA31" s="28">
        <f t="shared" si="27"/>
        <v>0</v>
      </c>
      <c r="AB31" s="28">
        <f t="shared" si="27"/>
        <v>0</v>
      </c>
      <c r="AC31" s="28">
        <f t="shared" si="27"/>
        <v>0</v>
      </c>
      <c r="AD31" s="28">
        <f t="shared" si="27"/>
        <v>0</v>
      </c>
    </row>
    <row r="32" spans="1:30" x14ac:dyDescent="0.25">
      <c r="A32" s="39">
        <f t="shared" si="15"/>
        <v>1</v>
      </c>
      <c r="B32" s="27" t="str">
        <f t="shared" si="16"/>
        <v>Issue 383\Input CIBD\010112-SchSml-PSZ-p-17.cibd</v>
      </c>
      <c r="C32" s="27" t="str">
        <f t="shared" si="17"/>
        <v>Issue 383\010112-SchSml-PSZ-p_r1450\010112-SchSml-PSZ-p_r1450 - batch\010112-SchSml-PSZ-p-17.cibd</v>
      </c>
      <c r="D32" s="27" t="str">
        <f t="shared" si="6"/>
        <v>Issue 383\010112-SchSml-PSZ-p_r1450\010112-SchSml-PSZ-p_r1450 - batch\XML\</v>
      </c>
      <c r="E32" s="9" t="str">
        <f t="shared" si="18"/>
        <v>010112</v>
      </c>
      <c r="F32" s="22"/>
      <c r="G32" s="29"/>
      <c r="H32" s="23"/>
      <c r="I32" s="9" t="s">
        <v>11</v>
      </c>
      <c r="J32"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2" s="15" t="s">
        <v>1</v>
      </c>
      <c r="L32" s="36">
        <v>1</v>
      </c>
      <c r="M32" s="32" t="str">
        <f t="shared" si="20"/>
        <v>010112</v>
      </c>
      <c r="N32" s="28" t="s">
        <v>113</v>
      </c>
      <c r="O32" s="28" t="str">
        <f t="shared" si="21"/>
        <v>010112-SchSml-PSZ-p-17</v>
      </c>
      <c r="P32" s="28">
        <f t="shared" ref="P32:V32" si="28">P31</f>
        <v>0</v>
      </c>
      <c r="Q32" s="28">
        <f t="shared" si="28"/>
        <v>4</v>
      </c>
      <c r="R32" s="28">
        <f t="shared" si="28"/>
        <v>0</v>
      </c>
      <c r="S32" s="28">
        <f t="shared" si="28"/>
        <v>0</v>
      </c>
      <c r="T32" s="28">
        <f t="shared" si="28"/>
        <v>0</v>
      </c>
      <c r="U32" s="28">
        <f t="shared" si="28"/>
        <v>0</v>
      </c>
      <c r="V32" s="28">
        <f t="shared" si="28"/>
        <v>1</v>
      </c>
      <c r="W32" s="36">
        <v>11</v>
      </c>
      <c r="X32" s="36">
        <v>1</v>
      </c>
      <c r="Y32" s="28">
        <f t="shared" ref="Y32:AD32" si="29">Y31</f>
        <v>0</v>
      </c>
      <c r="Z32" s="28">
        <f t="shared" si="29"/>
        <v>0</v>
      </c>
      <c r="AA32" s="28">
        <f t="shared" si="29"/>
        <v>0</v>
      </c>
      <c r="AB32" s="28">
        <f t="shared" si="29"/>
        <v>0</v>
      </c>
      <c r="AC32" s="28">
        <f t="shared" si="29"/>
        <v>0</v>
      </c>
      <c r="AD32" s="28">
        <f t="shared" si="29"/>
        <v>0</v>
      </c>
    </row>
    <row r="33" spans="1:30" x14ac:dyDescent="0.25">
      <c r="A33" s="39">
        <f t="shared" si="15"/>
        <v>1</v>
      </c>
      <c r="B33" s="27" t="str">
        <f t="shared" si="16"/>
        <v>Issue 383\Input CIBD\010112-SchSml-PSZ-p-18.cibd</v>
      </c>
      <c r="C33" s="27" t="str">
        <f t="shared" si="17"/>
        <v>Issue 383\010112-SchSml-PSZ-p_r1450\010112-SchSml-PSZ-p_r1450 - batch\010112-SchSml-PSZ-p-18.cibd</v>
      </c>
      <c r="D33" s="27" t="str">
        <f t="shared" si="6"/>
        <v>Issue 383\010112-SchSml-PSZ-p_r1450\010112-SchSml-PSZ-p_r1450 - batch\XML\</v>
      </c>
      <c r="E33" s="9" t="str">
        <f t="shared" si="18"/>
        <v>010112</v>
      </c>
      <c r="F33" s="22"/>
      <c r="G33" s="29"/>
      <c r="H33" s="23"/>
      <c r="I33" s="9" t="s">
        <v>11</v>
      </c>
      <c r="J33"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3" s="15" t="s">
        <v>1</v>
      </c>
      <c r="L33" s="36">
        <v>1</v>
      </c>
      <c r="M33" s="32" t="str">
        <f t="shared" si="20"/>
        <v>010112</v>
      </c>
      <c r="N33" s="28" t="s">
        <v>114</v>
      </c>
      <c r="O33" s="28" t="str">
        <f t="shared" si="21"/>
        <v>010112-SchSml-PSZ-p-18</v>
      </c>
      <c r="P33" s="28">
        <f t="shared" ref="P33:V33" si="30">P32</f>
        <v>0</v>
      </c>
      <c r="Q33" s="28">
        <f t="shared" si="30"/>
        <v>4</v>
      </c>
      <c r="R33" s="28">
        <f t="shared" si="30"/>
        <v>0</v>
      </c>
      <c r="S33" s="28">
        <f t="shared" si="30"/>
        <v>0</v>
      </c>
      <c r="T33" s="28">
        <f t="shared" si="30"/>
        <v>0</v>
      </c>
      <c r="U33" s="28">
        <f t="shared" si="30"/>
        <v>0</v>
      </c>
      <c r="V33" s="28">
        <f t="shared" si="30"/>
        <v>1</v>
      </c>
      <c r="W33" s="36">
        <v>11</v>
      </c>
      <c r="X33" s="36">
        <v>1</v>
      </c>
      <c r="Y33" s="28">
        <f t="shared" ref="Y33:AD33" si="31">Y32</f>
        <v>0</v>
      </c>
      <c r="Z33" s="28">
        <f t="shared" si="31"/>
        <v>0</v>
      </c>
      <c r="AA33" s="28">
        <f t="shared" si="31"/>
        <v>0</v>
      </c>
      <c r="AB33" s="28">
        <f t="shared" si="31"/>
        <v>0</v>
      </c>
      <c r="AC33" s="28">
        <f t="shared" si="31"/>
        <v>0</v>
      </c>
      <c r="AD33" s="28">
        <f t="shared" si="31"/>
        <v>0</v>
      </c>
    </row>
    <row r="34" spans="1:30" x14ac:dyDescent="0.25">
      <c r="A34" s="39">
        <f t="shared" si="15"/>
        <v>1</v>
      </c>
      <c r="B34" s="27" t="str">
        <f t="shared" si="16"/>
        <v>Issue 383\Input CIBD\010112-SchSml-PSZ-p-19.cibd</v>
      </c>
      <c r="C34" s="27" t="str">
        <f t="shared" si="17"/>
        <v>Issue 383\010112-SchSml-PSZ-p_r1450\010112-SchSml-PSZ-p_r1450 - batch\010112-SchSml-PSZ-p-19.cibd</v>
      </c>
      <c r="D34" s="27" t="str">
        <f t="shared" si="6"/>
        <v>Issue 383\010112-SchSml-PSZ-p_r1450\010112-SchSml-PSZ-p_r1450 - batch\XML\</v>
      </c>
      <c r="E34" s="9" t="str">
        <f t="shared" si="18"/>
        <v>010112</v>
      </c>
      <c r="F34" s="22"/>
      <c r="G34" s="29"/>
      <c r="H34" s="23"/>
      <c r="I34" s="9" t="s">
        <v>11</v>
      </c>
      <c r="J34"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4" s="15" t="s">
        <v>1</v>
      </c>
      <c r="L34" s="36">
        <v>1</v>
      </c>
      <c r="M34" s="32" t="str">
        <f t="shared" si="20"/>
        <v>010112</v>
      </c>
      <c r="N34" s="28" t="s">
        <v>115</v>
      </c>
      <c r="O34" s="28" t="str">
        <f t="shared" si="21"/>
        <v>010112-SchSml-PSZ-p-19</v>
      </c>
      <c r="P34" s="28">
        <f t="shared" ref="P34:V34" si="32">P33</f>
        <v>0</v>
      </c>
      <c r="Q34" s="28">
        <f t="shared" si="32"/>
        <v>4</v>
      </c>
      <c r="R34" s="28">
        <f t="shared" si="32"/>
        <v>0</v>
      </c>
      <c r="S34" s="28">
        <f t="shared" si="32"/>
        <v>0</v>
      </c>
      <c r="T34" s="28">
        <f t="shared" si="32"/>
        <v>0</v>
      </c>
      <c r="U34" s="28">
        <f t="shared" si="32"/>
        <v>0</v>
      </c>
      <c r="V34" s="28">
        <f t="shared" si="32"/>
        <v>1</v>
      </c>
      <c r="W34" s="36">
        <v>11</v>
      </c>
      <c r="X34" s="36">
        <v>1</v>
      </c>
      <c r="Y34" s="28">
        <f t="shared" ref="Y34:AD34" si="33">Y33</f>
        <v>0</v>
      </c>
      <c r="Z34" s="28">
        <f t="shared" si="33"/>
        <v>0</v>
      </c>
      <c r="AA34" s="28">
        <f t="shared" si="33"/>
        <v>0</v>
      </c>
      <c r="AB34" s="28">
        <f t="shared" si="33"/>
        <v>0</v>
      </c>
      <c r="AC34" s="28">
        <f t="shared" si="33"/>
        <v>0</v>
      </c>
      <c r="AD34" s="28">
        <f t="shared" si="33"/>
        <v>0</v>
      </c>
    </row>
    <row r="35" spans="1:30" x14ac:dyDescent="0.25">
      <c r="A35" s="39">
        <f t="shared" si="15"/>
        <v>1</v>
      </c>
      <c r="B35" s="27" t="str">
        <f t="shared" si="16"/>
        <v>Issue 383\Input CIBD\010112-SchSml-PSZ-p-20.cibd</v>
      </c>
      <c r="C35" s="27" t="str">
        <f t="shared" si="17"/>
        <v>Issue 383\010112-SchSml-PSZ-p_r1450\010112-SchSml-PSZ-p_r1450 - batch\010112-SchSml-PSZ-p-20.cibd</v>
      </c>
      <c r="D35" s="27" t="str">
        <f t="shared" si="6"/>
        <v>Issue 383\010112-SchSml-PSZ-p_r1450\010112-SchSml-PSZ-p_r1450 - batch\XML\</v>
      </c>
      <c r="E35" s="9" t="str">
        <f t="shared" si="18"/>
        <v>010112</v>
      </c>
      <c r="F35" s="22"/>
      <c r="G35" s="29"/>
      <c r="H35" s="23"/>
      <c r="I35" s="9" t="s">
        <v>11</v>
      </c>
      <c r="J35"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5" s="15" t="s">
        <v>1</v>
      </c>
      <c r="L35" s="36">
        <v>1</v>
      </c>
      <c r="M35" s="32" t="str">
        <f t="shared" si="20"/>
        <v>010112</v>
      </c>
      <c r="N35" s="28" t="s">
        <v>116</v>
      </c>
      <c r="O35" s="28" t="str">
        <f t="shared" si="21"/>
        <v>010112-SchSml-PSZ-p-20</v>
      </c>
      <c r="P35" s="28">
        <f t="shared" ref="P35:V35" si="34">P34</f>
        <v>0</v>
      </c>
      <c r="Q35" s="28">
        <f t="shared" si="34"/>
        <v>4</v>
      </c>
      <c r="R35" s="28">
        <f t="shared" si="34"/>
        <v>0</v>
      </c>
      <c r="S35" s="28">
        <f t="shared" si="34"/>
        <v>0</v>
      </c>
      <c r="T35" s="28">
        <f t="shared" si="34"/>
        <v>0</v>
      </c>
      <c r="U35" s="28">
        <f t="shared" si="34"/>
        <v>0</v>
      </c>
      <c r="V35" s="28">
        <f t="shared" si="34"/>
        <v>1</v>
      </c>
      <c r="W35" s="36">
        <v>11</v>
      </c>
      <c r="X35" s="36">
        <v>1</v>
      </c>
      <c r="Y35" s="28">
        <f t="shared" ref="Y35:AD35" si="35">Y34</f>
        <v>0</v>
      </c>
      <c r="Z35" s="28">
        <f t="shared" si="35"/>
        <v>0</v>
      </c>
      <c r="AA35" s="28">
        <f t="shared" si="35"/>
        <v>0</v>
      </c>
      <c r="AB35" s="28">
        <f t="shared" si="35"/>
        <v>0</v>
      </c>
      <c r="AC35" s="28">
        <f t="shared" si="35"/>
        <v>0</v>
      </c>
      <c r="AD35" s="28">
        <f t="shared" si="35"/>
        <v>0</v>
      </c>
    </row>
    <row r="36" spans="1:30" x14ac:dyDescent="0.25">
      <c r="A36" s="39">
        <f t="shared" si="15"/>
        <v>0</v>
      </c>
      <c r="B36" s="27" t="str">
        <f t="shared" si="16"/>
        <v>Issue 383\Input CIBD\010112-SchSml-PSZ-p-21.cibd</v>
      </c>
      <c r="C36" s="27" t="str">
        <f t="shared" si="17"/>
        <v>Issue 383\010112-SchSml-PSZ-p_r1450\010112-SchSml-PSZ-p_r1450 - batch\010112-SchSml-PSZ-p-21.cibd</v>
      </c>
      <c r="D36" s="27" t="str">
        <f t="shared" si="6"/>
        <v>Issue 383\010112-SchSml-PSZ-p_r1450\010112-SchSml-PSZ-p_r1450 - batch\XML\</v>
      </c>
      <c r="E36" s="9" t="str">
        <f t="shared" si="18"/>
        <v>010112</v>
      </c>
      <c r="F36" s="22"/>
      <c r="G36" s="29"/>
      <c r="H36" s="23"/>
      <c r="I36" s="9" t="s">
        <v>11</v>
      </c>
      <c r="J36"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6" s="15" t="s">
        <v>1</v>
      </c>
      <c r="L36" s="36">
        <v>0</v>
      </c>
      <c r="M36" s="32" t="str">
        <f t="shared" si="20"/>
        <v>010112</v>
      </c>
      <c r="N36" s="28" t="s">
        <v>117</v>
      </c>
      <c r="O36" s="28" t="str">
        <f t="shared" si="21"/>
        <v>010112-SchSml-PSZ-p-21</v>
      </c>
      <c r="P36" s="28">
        <f t="shared" ref="P36:V36" si="36">P35</f>
        <v>0</v>
      </c>
      <c r="Q36" s="28">
        <f t="shared" si="36"/>
        <v>4</v>
      </c>
      <c r="R36" s="28">
        <f t="shared" si="36"/>
        <v>0</v>
      </c>
      <c r="S36" s="28">
        <f t="shared" si="36"/>
        <v>0</v>
      </c>
      <c r="T36" s="28">
        <f t="shared" si="36"/>
        <v>0</v>
      </c>
      <c r="U36" s="28">
        <f t="shared" si="36"/>
        <v>0</v>
      </c>
      <c r="V36" s="28">
        <f t="shared" si="36"/>
        <v>1</v>
      </c>
      <c r="W36" s="36">
        <v>11</v>
      </c>
      <c r="X36" s="36">
        <v>1</v>
      </c>
      <c r="Y36" s="28">
        <f t="shared" ref="Y36:AD36" si="37">Y35</f>
        <v>0</v>
      </c>
      <c r="Z36" s="28">
        <f t="shared" si="37"/>
        <v>0</v>
      </c>
      <c r="AA36" s="28">
        <f t="shared" si="37"/>
        <v>0</v>
      </c>
      <c r="AB36" s="28">
        <f t="shared" si="37"/>
        <v>0</v>
      </c>
      <c r="AC36" s="28">
        <f t="shared" si="37"/>
        <v>0</v>
      </c>
      <c r="AD36" s="28">
        <f t="shared" si="37"/>
        <v>0</v>
      </c>
    </row>
    <row r="37" spans="1:30" x14ac:dyDescent="0.25">
      <c r="A37" s="39">
        <f t="shared" si="15"/>
        <v>0</v>
      </c>
      <c r="B37" s="27" t="str">
        <f t="shared" si="16"/>
        <v>Issue 383\Input CIBD\010112-SchSml-PSZ-p-22.cibd</v>
      </c>
      <c r="C37" s="27" t="str">
        <f t="shared" si="17"/>
        <v>Issue 383\010112-SchSml-PSZ-p_r1450\010112-SchSml-PSZ-p_r1450 - batch\010112-SchSml-PSZ-p-22.cibd</v>
      </c>
      <c r="D37" s="27" t="str">
        <f t="shared" si="6"/>
        <v>Issue 383\010112-SchSml-PSZ-p_r1450\010112-SchSml-PSZ-p_r1450 - batch\XML\</v>
      </c>
      <c r="E37" s="9" t="str">
        <f t="shared" si="18"/>
        <v>010112</v>
      </c>
      <c r="F37" s="22"/>
      <c r="G37" s="29"/>
      <c r="H37" s="23"/>
      <c r="I37" s="9" t="s">
        <v>11</v>
      </c>
      <c r="J37"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7" s="15" t="s">
        <v>1</v>
      </c>
      <c r="L37" s="36">
        <v>0</v>
      </c>
      <c r="M37" s="32" t="str">
        <f t="shared" si="20"/>
        <v>010112</v>
      </c>
      <c r="N37" s="28" t="s">
        <v>118</v>
      </c>
      <c r="O37" s="28" t="str">
        <f t="shared" si="21"/>
        <v>010112-SchSml-PSZ-p-22</v>
      </c>
      <c r="P37" s="28">
        <f t="shared" ref="P37:V37" si="38">P36</f>
        <v>0</v>
      </c>
      <c r="Q37" s="28">
        <f t="shared" si="38"/>
        <v>4</v>
      </c>
      <c r="R37" s="28">
        <f t="shared" si="38"/>
        <v>0</v>
      </c>
      <c r="S37" s="28">
        <f t="shared" si="38"/>
        <v>0</v>
      </c>
      <c r="T37" s="28">
        <f t="shared" si="38"/>
        <v>0</v>
      </c>
      <c r="U37" s="28">
        <f t="shared" si="38"/>
        <v>0</v>
      </c>
      <c r="V37" s="28">
        <f t="shared" si="38"/>
        <v>1</v>
      </c>
      <c r="W37" s="36">
        <v>11</v>
      </c>
      <c r="X37" s="36">
        <v>1</v>
      </c>
      <c r="Y37" s="28">
        <f t="shared" ref="Y37:AD37" si="39">Y36</f>
        <v>0</v>
      </c>
      <c r="Z37" s="28">
        <f t="shared" si="39"/>
        <v>0</v>
      </c>
      <c r="AA37" s="28">
        <f t="shared" si="39"/>
        <v>0</v>
      </c>
      <c r="AB37" s="28">
        <f t="shared" si="39"/>
        <v>0</v>
      </c>
      <c r="AC37" s="28">
        <f t="shared" si="39"/>
        <v>0</v>
      </c>
      <c r="AD37" s="28">
        <f t="shared" si="39"/>
        <v>0</v>
      </c>
    </row>
    <row r="38" spans="1:30" x14ac:dyDescent="0.25">
      <c r="A38" s="39">
        <f t="shared" si="4"/>
        <v>0</v>
      </c>
      <c r="B38" s="27"/>
      <c r="C38" s="27"/>
      <c r="D38" s="27"/>
      <c r="E38" s="9"/>
      <c r="F38" s="22"/>
      <c r="G38" s="29"/>
      <c r="H38" s="23"/>
      <c r="I38" s="9"/>
      <c r="J38" s="9"/>
      <c r="K38" s="15" t="s">
        <v>1</v>
      </c>
      <c r="L38" s="36">
        <v>0</v>
      </c>
      <c r="M38" s="32"/>
      <c r="N38" s="28"/>
      <c r="O38" s="28"/>
      <c r="P38" s="28"/>
      <c r="Q38" s="28"/>
      <c r="R38" s="28"/>
      <c r="S38" s="28"/>
      <c r="T38" s="28"/>
      <c r="U38" s="28"/>
      <c r="V38" s="28"/>
      <c r="W38" s="36"/>
      <c r="X38" s="36"/>
      <c r="Y38" s="28"/>
      <c r="Z38" s="28"/>
      <c r="AA38" s="28"/>
      <c r="AB38" s="28"/>
      <c r="AC38" s="28"/>
      <c r="AD38" s="28"/>
    </row>
    <row r="39" spans="1:30" x14ac:dyDescent="0.25">
      <c r="A39" s="10">
        <v>-1</v>
      </c>
      <c r="B39" s="6"/>
      <c r="C39" s="6"/>
      <c r="D39" s="6"/>
      <c r="E39" s="6"/>
      <c r="F39" s="6"/>
      <c r="G39" s="6"/>
      <c r="H39" s="6"/>
      <c r="I39" s="6"/>
      <c r="J39" s="6"/>
    </row>
  </sheetData>
  <mergeCells count="2">
    <mergeCell ref="Y14:AA14"/>
    <mergeCell ref="AB14:AD14"/>
  </mergeCells>
  <pageMargins left="0.7" right="0.7" top="0.75" bottom="0.75" header="0.3" footer="0.3"/>
  <pageSetup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W57"/>
  <sheetViews>
    <sheetView zoomScale="70" zoomScaleNormal="70" workbookViewId="0">
      <pane ySplit="16" topLeftCell="A17" activePane="bottomLeft" state="frozen"/>
      <selection activeCell="M1" sqref="M1"/>
      <selection pane="bottomLeft" activeCell="M9" sqref="M9"/>
    </sheetView>
  </sheetViews>
  <sheetFormatPr defaultRowHeight="15" outlineLevelCol="1" x14ac:dyDescent="0.25"/>
  <cols>
    <col min="1" max="1" width="9.140625" style="1" customWidth="1"/>
    <col min="2" max="2" width="123.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55.5703125" style="90" hidden="1" customWidth="1" outlineLevel="1"/>
    <col min="11" max="11" width="6.140625" style="96" customWidth="1" collapsed="1"/>
    <col min="12" max="12" width="19.5703125" style="96" customWidth="1"/>
    <col min="13" max="13" width="43" style="96" customWidth="1"/>
    <col min="14" max="14" width="34.7109375" style="1" customWidth="1"/>
    <col min="15" max="15" width="35" style="1" customWidth="1"/>
    <col min="16" max="34" width="7.28515625" style="1" customWidth="1"/>
    <col min="35" max="39" width="5.85546875" style="1" customWidth="1"/>
    <col min="40" max="40" width="5.7109375" style="1" customWidth="1"/>
    <col min="41" max="43" width="5.85546875" style="1" customWidth="1"/>
    <col min="44" max="73" width="9.140625" style="31"/>
    <col min="74" max="16384" width="9.140625" style="1"/>
  </cols>
  <sheetData>
    <row r="1" spans="1:73" x14ac:dyDescent="0.25">
      <c r="A1" s="5" t="s">
        <v>0</v>
      </c>
    </row>
    <row r="2" spans="1:73" x14ac:dyDescent="0.25">
      <c r="A2" s="1" t="s">
        <v>1</v>
      </c>
    </row>
    <row r="3" spans="1:73" x14ac:dyDescent="0.25">
      <c r="A3" s="1" t="s">
        <v>1</v>
      </c>
      <c r="B3" s="5" t="s">
        <v>2</v>
      </c>
      <c r="C3" s="1" t="s">
        <v>3</v>
      </c>
      <c r="L3" s="82" t="s">
        <v>188</v>
      </c>
      <c r="M3" s="64" t="s">
        <v>44</v>
      </c>
    </row>
    <row r="4" spans="1:73" x14ac:dyDescent="0.25">
      <c r="A4" s="1" t="s">
        <v>1</v>
      </c>
      <c r="L4" s="83">
        <f>SUM(L17:L56)</f>
        <v>19</v>
      </c>
      <c r="M4" s="81" t="s">
        <v>189</v>
      </c>
    </row>
    <row r="5" spans="1:73" x14ac:dyDescent="0.25">
      <c r="A5" s="1" t="s">
        <v>1</v>
      </c>
    </row>
    <row r="6" spans="1:73" x14ac:dyDescent="0.25">
      <c r="A6" s="2" t="s">
        <v>1</v>
      </c>
      <c r="B6" s="2"/>
      <c r="C6" s="30"/>
      <c r="D6" s="30"/>
      <c r="E6" s="16"/>
      <c r="F6" s="16"/>
      <c r="G6" s="16"/>
      <c r="H6" s="16"/>
      <c r="L6" s="36" t="s">
        <v>200</v>
      </c>
      <c r="M6" s="96" t="s">
        <v>175</v>
      </c>
    </row>
    <row r="7" spans="1:73" x14ac:dyDescent="0.25">
      <c r="A7" s="1" t="s">
        <v>4</v>
      </c>
      <c r="B7" s="96" t="s">
        <v>18</v>
      </c>
      <c r="C7" s="30"/>
      <c r="D7" s="30"/>
      <c r="L7" s="37" t="s">
        <v>45</v>
      </c>
      <c r="M7" s="32">
        <v>141219</v>
      </c>
    </row>
    <row r="8" spans="1:73" x14ac:dyDescent="0.25">
      <c r="A8" s="1" t="s">
        <v>5</v>
      </c>
      <c r="B8" s="96" t="s">
        <v>19</v>
      </c>
      <c r="C8" s="30"/>
      <c r="D8" s="30"/>
      <c r="L8" s="14" t="s">
        <v>46</v>
      </c>
      <c r="M8" s="32" t="s">
        <v>354</v>
      </c>
    </row>
    <row r="9" spans="1:73" x14ac:dyDescent="0.25">
      <c r="A9" s="3">
        <v>2</v>
      </c>
      <c r="B9" s="4" t="str">
        <f>M10</f>
        <v>BatchResults_141219_r2896_trunk.csv</v>
      </c>
      <c r="C9" s="30" t="s">
        <v>1</v>
      </c>
      <c r="D9" s="30"/>
      <c r="L9" s="14" t="s">
        <v>208</v>
      </c>
      <c r="M9" s="54" t="str">
        <f>"BatchInput_"&amp;M7&amp;"_"&amp;M8&amp;".csv"</f>
        <v>BatchInput_141219_r2896_trunk.csv</v>
      </c>
    </row>
    <row r="10" spans="1:73" x14ac:dyDescent="0.25">
      <c r="A10" s="1" t="s">
        <v>1</v>
      </c>
      <c r="D10" s="30"/>
      <c r="E10" s="30"/>
      <c r="F10" s="30"/>
      <c r="G10" s="30"/>
      <c r="H10" s="30"/>
      <c r="I10" s="26"/>
      <c r="L10" s="35" t="s">
        <v>39</v>
      </c>
      <c r="M10" s="54" t="str">
        <f>"BatchResults_"&amp;M7&amp;"_"&amp;M8&amp;".csv"</f>
        <v>BatchResults_141219_r2896_trunk.csv</v>
      </c>
      <c r="N10" s="1" t="s">
        <v>48</v>
      </c>
    </row>
    <row r="11" spans="1:73" x14ac:dyDescent="0.25">
      <c r="A11" s="1" t="s">
        <v>1</v>
      </c>
      <c r="L11" s="14" t="s">
        <v>16</v>
      </c>
      <c r="M11" s="28" t="s">
        <v>193</v>
      </c>
      <c r="N11" s="1" t="s">
        <v>47</v>
      </c>
    </row>
    <row r="12" spans="1:73" x14ac:dyDescent="0.25">
      <c r="A12" s="1" t="s">
        <v>1</v>
      </c>
      <c r="L12" s="14" t="s">
        <v>17</v>
      </c>
      <c r="M12" s="54" t="str">
        <f>"BatchOut"&amp;"_"&amp;M7&amp;"_"&amp;M8&amp;"_"&amp;L6&amp;"\"</f>
        <v>BatchOut_141219_r2896_trunk_901Std\</v>
      </c>
      <c r="N12" s="1" t="s">
        <v>47</v>
      </c>
      <c r="P12" s="1">
        <v>1</v>
      </c>
      <c r="Q12" s="1">
        <f>P12+1</f>
        <v>2</v>
      </c>
      <c r="R12" s="1">
        <f t="shared" ref="R12:AQ12" si="0">Q12+1</f>
        <v>3</v>
      </c>
      <c r="S12" s="1">
        <f t="shared" si="0"/>
        <v>4</v>
      </c>
      <c r="T12" s="1">
        <f t="shared" si="0"/>
        <v>5</v>
      </c>
      <c r="U12" s="1">
        <f t="shared" si="0"/>
        <v>6</v>
      </c>
      <c r="V12" s="1">
        <f t="shared" si="0"/>
        <v>7</v>
      </c>
      <c r="W12" s="1">
        <f t="shared" si="0"/>
        <v>8</v>
      </c>
      <c r="X12" s="1">
        <f t="shared" si="0"/>
        <v>9</v>
      </c>
      <c r="Y12" s="1">
        <f t="shared" si="0"/>
        <v>10</v>
      </c>
      <c r="Z12" s="1">
        <f t="shared" si="0"/>
        <v>11</v>
      </c>
      <c r="AA12" s="1">
        <f t="shared" si="0"/>
        <v>12</v>
      </c>
      <c r="AB12" s="1">
        <f t="shared" si="0"/>
        <v>13</v>
      </c>
      <c r="AC12" s="1">
        <f t="shared" si="0"/>
        <v>14</v>
      </c>
      <c r="AD12" s="1">
        <f t="shared" si="0"/>
        <v>15</v>
      </c>
      <c r="AE12" s="1">
        <f t="shared" si="0"/>
        <v>16</v>
      </c>
      <c r="AF12" s="1">
        <f t="shared" si="0"/>
        <v>17</v>
      </c>
      <c r="AG12" s="1">
        <f t="shared" si="0"/>
        <v>18</v>
      </c>
      <c r="AH12" s="1">
        <f t="shared" si="0"/>
        <v>19</v>
      </c>
      <c r="AI12" s="1">
        <f t="shared" si="0"/>
        <v>20</v>
      </c>
      <c r="AJ12" s="1">
        <f t="shared" si="0"/>
        <v>21</v>
      </c>
      <c r="AK12" s="1">
        <f t="shared" si="0"/>
        <v>22</v>
      </c>
      <c r="AL12" s="1">
        <f t="shared" si="0"/>
        <v>23</v>
      </c>
      <c r="AM12" s="1">
        <f t="shared" si="0"/>
        <v>24</v>
      </c>
      <c r="AN12" s="1">
        <f t="shared" si="0"/>
        <v>25</v>
      </c>
      <c r="AO12" s="1">
        <f t="shared" si="0"/>
        <v>26</v>
      </c>
      <c r="AP12" s="1">
        <f t="shared" si="0"/>
        <v>27</v>
      </c>
      <c r="AQ12" s="1">
        <f t="shared" si="0"/>
        <v>28</v>
      </c>
    </row>
    <row r="13" spans="1:73" x14ac:dyDescent="0.25">
      <c r="A13" s="1" t="s">
        <v>1</v>
      </c>
      <c r="L13" s="14" t="s">
        <v>42</v>
      </c>
      <c r="M13" s="54" t="str">
        <f>M12&amp;"XML\"</f>
        <v>BatchOut_141219_r2896_trunk_901Std\XML\</v>
      </c>
      <c r="N13" s="1" t="s">
        <v>47</v>
      </c>
      <c r="P13" s="31" t="str">
        <f>P16&amp;","</f>
        <v>SimulationStorage,</v>
      </c>
      <c r="Q13" s="31" t="str">
        <f t="shared" ref="Q13:AH13" si="1">Q16&amp;","</f>
        <v>AnalysisStorage,</v>
      </c>
      <c r="R13" s="31" t="str">
        <f t="shared" si="1"/>
        <v>LogRuleEvaluation,</v>
      </c>
      <c r="S13" s="31" t="str">
        <f t="shared" si="1"/>
        <v>ParallelSimulations,</v>
      </c>
      <c r="T13" s="31" t="str">
        <f t="shared" si="1"/>
        <v>DurationStats,</v>
      </c>
      <c r="U13" s="31" t="str">
        <f t="shared" si="1"/>
        <v>AnalysisThruStep,</v>
      </c>
      <c r="V13" s="31" t="str">
        <f t="shared" si="1"/>
        <v>DontAbortOnErrorsThruStep,</v>
      </c>
      <c r="W13" s="31" t="str">
        <f t="shared" si="1"/>
        <v>BypassValidFileChecks,</v>
      </c>
      <c r="X13" s="31" t="str">
        <f t="shared" si="1"/>
        <v>BypassInputChecks,</v>
      </c>
      <c r="Y13" s="31" t="str">
        <f t="shared" si="1"/>
        <v>BypassUMLHChecks,</v>
      </c>
      <c r="Z13" s="31" t="str">
        <f t="shared" si="1"/>
        <v>BypassCheckSimRules,</v>
      </c>
      <c r="AA13" s="31" t="str">
        <f t="shared" si="1"/>
        <v>BypassCheckCodeRules,</v>
      </c>
      <c r="AB13" s="31" t="str">
        <f t="shared" si="1"/>
        <v>StoreResultsToModelInput,</v>
      </c>
      <c r="AC13" s="31" t="str">
        <f t="shared" si="1"/>
        <v>StoreBEMDetails,</v>
      </c>
      <c r="AD13" s="31" t="str">
        <f t="shared" si="1"/>
        <v>ModelRpt_ALL,</v>
      </c>
      <c r="AE13" s="31" t="str">
        <f t="shared" si="1"/>
        <v>ExportHourlyResults_All,</v>
      </c>
      <c r="AF13" s="31" t="str">
        <f t="shared" si="1"/>
        <v>ComplianceReportPDF,</v>
      </c>
      <c r="AG13" s="31" t="str">
        <f t="shared" si="1"/>
        <v>ComplianceReportXML,</v>
      </c>
      <c r="AH13" s="31" t="str">
        <f t="shared" si="1"/>
        <v>Quick Analyis,</v>
      </c>
      <c r="AI13" s="31" t="str">
        <f>$AI$15&amp;"_"&amp;AI16&amp;","</f>
        <v>BypassOpenStudio_all,</v>
      </c>
      <c r="AJ13" s="31" t="str">
        <f t="shared" ref="AJ13:AQ13" si="2">$AI$15&amp;"_"&amp;AJ16&amp;","</f>
        <v>BypassOpenStudio_zp,</v>
      </c>
      <c r="AK13" s="31" t="str">
        <f t="shared" si="2"/>
        <v>BypassOpenStudio_zb,</v>
      </c>
      <c r="AL13" s="31" t="str">
        <f t="shared" si="2"/>
        <v>BypassOpenStudio_ap,</v>
      </c>
      <c r="AM13" s="31" t="str">
        <f t="shared" si="2"/>
        <v>BypassOpenStudio_ab,</v>
      </c>
      <c r="AN13" s="31" t="str">
        <f t="shared" si="2"/>
        <v>BypassOpenStudio_zp,</v>
      </c>
      <c r="AO13" s="31" t="str">
        <f t="shared" si="2"/>
        <v>BypassOpenStudio_zb,</v>
      </c>
      <c r="AP13" s="31" t="str">
        <f t="shared" si="2"/>
        <v>BypassOpenStudio_ap,</v>
      </c>
      <c r="AQ13" s="31" t="str">
        <f t="shared" si="2"/>
        <v>BypassOpenStudio_ab,</v>
      </c>
    </row>
    <row r="14" spans="1:73" x14ac:dyDescent="0.25">
      <c r="A14" s="24" t="s">
        <v>25</v>
      </c>
      <c r="B14" s="25">
        <f>COLUMN()</f>
        <v>2</v>
      </c>
      <c r="C14" s="25">
        <f>COLUMN()</f>
        <v>3</v>
      </c>
      <c r="D14" s="25">
        <f>COLUMN()</f>
        <v>4</v>
      </c>
      <c r="E14" s="25">
        <f>COLUMN()</f>
        <v>5</v>
      </c>
      <c r="F14" s="25">
        <f>COLUMN()</f>
        <v>6</v>
      </c>
      <c r="G14" s="25">
        <f>COLUMN()</f>
        <v>7</v>
      </c>
      <c r="H14" s="25">
        <f>COLUMN()</f>
        <v>8</v>
      </c>
      <c r="I14" s="25">
        <f>COLUMN()</f>
        <v>9</v>
      </c>
      <c r="J14" s="91">
        <f>COLUMN()</f>
        <v>10</v>
      </c>
      <c r="L14" s="14"/>
      <c r="M14" s="14"/>
      <c r="N14" s="26"/>
      <c r="P14" s="67" t="s">
        <v>35</v>
      </c>
      <c r="Q14" s="33"/>
      <c r="R14" s="33"/>
      <c r="S14" s="33"/>
      <c r="T14" s="33"/>
      <c r="U14" s="34"/>
      <c r="V14" s="34"/>
      <c r="W14" s="34"/>
      <c r="X14" s="34"/>
      <c r="Y14" s="34"/>
      <c r="Z14" s="34"/>
      <c r="AA14" s="34"/>
      <c r="AB14" s="34"/>
      <c r="AC14" s="34"/>
      <c r="AD14" s="34"/>
      <c r="AE14" s="34"/>
      <c r="AF14" s="34"/>
      <c r="AG14" s="34"/>
      <c r="AH14" s="34"/>
      <c r="AI14" s="34"/>
      <c r="AJ14" s="34"/>
      <c r="AK14" s="34"/>
      <c r="AL14" s="34"/>
      <c r="AM14" s="34"/>
      <c r="AN14" s="34"/>
      <c r="AO14" s="34"/>
      <c r="AP14" s="34"/>
      <c r="AQ14" s="34"/>
    </row>
    <row r="15" spans="1:73" x14ac:dyDescent="0.25">
      <c r="A15" s="11" t="s">
        <v>14</v>
      </c>
      <c r="B15" s="7" t="s">
        <v>6</v>
      </c>
      <c r="C15" s="7" t="s">
        <v>7</v>
      </c>
      <c r="D15" s="7" t="s">
        <v>40</v>
      </c>
      <c r="E15" s="7"/>
      <c r="F15" s="17" t="s">
        <v>21</v>
      </c>
      <c r="G15" s="7"/>
      <c r="H15" s="18"/>
      <c r="I15" s="7" t="s">
        <v>9</v>
      </c>
      <c r="J15" s="92" t="s">
        <v>12</v>
      </c>
      <c r="K15" s="14"/>
      <c r="L15" s="14"/>
      <c r="N15" s="80"/>
      <c r="O15" s="80"/>
      <c r="P15" s="96"/>
      <c r="Q15" s="96"/>
      <c r="AI15" s="101" t="s">
        <v>33</v>
      </c>
      <c r="AJ15" s="102"/>
      <c r="AK15" s="102"/>
      <c r="AL15" s="102"/>
      <c r="AM15" s="103"/>
      <c r="AN15" s="101" t="s">
        <v>161</v>
      </c>
      <c r="AO15" s="102"/>
      <c r="AP15" s="102"/>
      <c r="AQ15" s="103"/>
    </row>
    <row r="16" spans="1:73" s="46" customFormat="1" ht="148.5" customHeight="1" x14ac:dyDescent="0.25">
      <c r="A16" s="12" t="s">
        <v>15</v>
      </c>
      <c r="B16" s="8" t="s">
        <v>43</v>
      </c>
      <c r="C16" s="8" t="s">
        <v>8</v>
      </c>
      <c r="D16" s="8" t="s">
        <v>41</v>
      </c>
      <c r="E16" s="8" t="s">
        <v>20</v>
      </c>
      <c r="F16" s="19" t="s">
        <v>22</v>
      </c>
      <c r="G16" s="21" t="s">
        <v>23</v>
      </c>
      <c r="H16" s="20" t="s">
        <v>24</v>
      </c>
      <c r="I16" s="8" t="s">
        <v>10</v>
      </c>
      <c r="J16" s="93" t="s">
        <v>13</v>
      </c>
      <c r="K16" s="41"/>
      <c r="L16" s="43" t="s">
        <v>50</v>
      </c>
      <c r="M16" s="43" t="s">
        <v>190</v>
      </c>
      <c r="N16" s="84" t="s">
        <v>191</v>
      </c>
      <c r="O16" s="84" t="s">
        <v>192</v>
      </c>
      <c r="P16" s="68" t="s">
        <v>153</v>
      </c>
      <c r="Q16" s="69" t="s">
        <v>154</v>
      </c>
      <c r="R16" s="69" t="s">
        <v>28</v>
      </c>
      <c r="S16" s="69" t="s">
        <v>151</v>
      </c>
      <c r="T16" s="69" t="s">
        <v>152</v>
      </c>
      <c r="U16" s="69" t="s">
        <v>30</v>
      </c>
      <c r="V16" s="70" t="s">
        <v>49</v>
      </c>
      <c r="W16" s="69" t="s">
        <v>155</v>
      </c>
      <c r="X16" s="69" t="s">
        <v>31</v>
      </c>
      <c r="Y16" s="69" t="s">
        <v>32</v>
      </c>
      <c r="Z16" s="69" t="s">
        <v>36</v>
      </c>
      <c r="AA16" s="69" t="s">
        <v>37</v>
      </c>
      <c r="AB16" s="69" t="s">
        <v>162</v>
      </c>
      <c r="AC16" s="69" t="s">
        <v>38</v>
      </c>
      <c r="AD16" s="88" t="s">
        <v>69</v>
      </c>
      <c r="AE16" s="89" t="s">
        <v>339</v>
      </c>
      <c r="AF16" s="89" t="s">
        <v>340</v>
      </c>
      <c r="AG16" s="89" t="s">
        <v>341</v>
      </c>
      <c r="AH16" s="89" t="s">
        <v>342</v>
      </c>
      <c r="AI16" s="58" t="s">
        <v>156</v>
      </c>
      <c r="AJ16" s="59" t="s">
        <v>157</v>
      </c>
      <c r="AK16" s="59" t="s">
        <v>158</v>
      </c>
      <c r="AL16" s="59" t="s">
        <v>159</v>
      </c>
      <c r="AM16" s="60" t="s">
        <v>160</v>
      </c>
      <c r="AN16" s="59" t="s">
        <v>157</v>
      </c>
      <c r="AO16" s="59" t="s">
        <v>158</v>
      </c>
      <c r="AP16" s="59" t="s">
        <v>159</v>
      </c>
      <c r="AQ16" s="60" t="s">
        <v>160</v>
      </c>
      <c r="AR16" s="62">
        <v>1</v>
      </c>
      <c r="AS16" s="62">
        <f>AR16+1</f>
        <v>2</v>
      </c>
      <c r="AT16" s="62">
        <f t="shared" ref="AT16:BS16" si="3">AS16+1</f>
        <v>3</v>
      </c>
      <c r="AU16" s="62">
        <f t="shared" si="3"/>
        <v>4</v>
      </c>
      <c r="AV16" s="62">
        <f t="shared" si="3"/>
        <v>5</v>
      </c>
      <c r="AW16" s="62">
        <f t="shared" si="3"/>
        <v>6</v>
      </c>
      <c r="AX16" s="62">
        <f t="shared" si="3"/>
        <v>7</v>
      </c>
      <c r="AY16" s="62">
        <f t="shared" si="3"/>
        <v>8</v>
      </c>
      <c r="AZ16" s="62">
        <f t="shared" si="3"/>
        <v>9</v>
      </c>
      <c r="BA16" s="62">
        <f t="shared" si="3"/>
        <v>10</v>
      </c>
      <c r="BB16" s="62">
        <f t="shared" si="3"/>
        <v>11</v>
      </c>
      <c r="BC16" s="62">
        <f t="shared" si="3"/>
        <v>12</v>
      </c>
      <c r="BD16" s="62">
        <f t="shared" si="3"/>
        <v>13</v>
      </c>
      <c r="BE16" s="62">
        <f t="shared" si="3"/>
        <v>14</v>
      </c>
      <c r="BF16" s="62">
        <f t="shared" si="3"/>
        <v>15</v>
      </c>
      <c r="BG16" s="62">
        <f t="shared" si="3"/>
        <v>16</v>
      </c>
      <c r="BH16" s="62">
        <f t="shared" si="3"/>
        <v>17</v>
      </c>
      <c r="BI16" s="62">
        <f t="shared" si="3"/>
        <v>18</v>
      </c>
      <c r="BJ16" s="62">
        <f t="shared" si="3"/>
        <v>19</v>
      </c>
      <c r="BK16" s="62">
        <f t="shared" si="3"/>
        <v>20</v>
      </c>
      <c r="BL16" s="62">
        <f t="shared" si="3"/>
        <v>21</v>
      </c>
      <c r="BM16" s="62">
        <f t="shared" si="3"/>
        <v>22</v>
      </c>
      <c r="BN16" s="62">
        <f t="shared" si="3"/>
        <v>23</v>
      </c>
      <c r="BO16" s="62">
        <f t="shared" si="3"/>
        <v>24</v>
      </c>
      <c r="BP16" s="62">
        <f t="shared" si="3"/>
        <v>25</v>
      </c>
      <c r="BQ16" s="62">
        <f t="shared" si="3"/>
        <v>26</v>
      </c>
      <c r="BR16" s="62">
        <f t="shared" si="3"/>
        <v>27</v>
      </c>
      <c r="BS16" s="62">
        <f t="shared" si="3"/>
        <v>28</v>
      </c>
      <c r="BT16" s="62"/>
      <c r="BU16" s="62"/>
    </row>
    <row r="17" spans="1:75" x14ac:dyDescent="0.25">
      <c r="A17" s="39">
        <f>L17</f>
        <v>1</v>
      </c>
      <c r="B17" s="27" t="str">
        <f xml:space="preserve"> M$11&amp;N17&amp;".cibd"</f>
        <v>Standard901Tests\020032-OffSml-S901GElectric.cibd</v>
      </c>
      <c r="C17" s="27" t="str">
        <f t="shared" ref="C17:C31" si="4" xml:space="preserve"> M$12 &amp; O17 &amp; ".cibd"</f>
        <v>BatchOut_141219_r2896_trunk_901Std\020032-OffSml-S901GElectric.cibd</v>
      </c>
      <c r="D17" s="27" t="str">
        <f>$M$13</f>
        <v>BatchOut_141219_r2896_trunk_901Std\XML\</v>
      </c>
      <c r="E17" s="9" t="str">
        <f>M17</f>
        <v>901_020032</v>
      </c>
      <c r="F17" s="22"/>
      <c r="G17" s="29"/>
      <c r="H17" s="23"/>
      <c r="I17" s="9" t="s">
        <v>11</v>
      </c>
      <c r="J17" s="94" t="str">
        <f>CONCATENATE(AR17,AS17,AT17,AU17,AV17,AW17,AX17,AY17,AZ17,BA17,BB17,BC17,BD17,BE17,BF17,BG17,BH17,BI17,BJ17,BK17,BL17,BM17,BN17,BO17,BP17,BQ17,BR17,BS17)</f>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17" s="15" t="s">
        <v>1</v>
      </c>
      <c r="L17" s="36">
        <v>1</v>
      </c>
      <c r="M17" s="32" t="str">
        <f>"901_"&amp;LEFT(N17,6)&amp;IF(SUM(F17:H17)&gt;0,"_autosize","")</f>
        <v>901_020032</v>
      </c>
      <c r="N17" s="28" t="s">
        <v>194</v>
      </c>
      <c r="O17" s="57" t="str">
        <f>N17</f>
        <v>020032-OffSml-S901GElectric</v>
      </c>
      <c r="P17" s="63">
        <v>1</v>
      </c>
      <c r="Q17" s="65">
        <v>1</v>
      </c>
      <c r="R17" s="65">
        <v>0</v>
      </c>
      <c r="S17" s="65">
        <v>1</v>
      </c>
      <c r="T17" s="65">
        <v>0</v>
      </c>
      <c r="U17" s="65">
        <v>8</v>
      </c>
      <c r="V17" s="65">
        <v>8</v>
      </c>
      <c r="W17" s="65">
        <v>1</v>
      </c>
      <c r="X17" s="65">
        <v>0</v>
      </c>
      <c r="Y17" s="65">
        <v>0</v>
      </c>
      <c r="Z17" s="65">
        <v>0</v>
      </c>
      <c r="AA17" s="65">
        <v>0</v>
      </c>
      <c r="AB17" s="65">
        <v>1</v>
      </c>
      <c r="AC17" s="86">
        <v>1</v>
      </c>
      <c r="AD17" s="87">
        <v>1</v>
      </c>
      <c r="AE17" s="87">
        <v>0</v>
      </c>
      <c r="AF17" s="87">
        <v>0</v>
      </c>
      <c r="AG17" s="87">
        <v>0</v>
      </c>
      <c r="AH17" s="87">
        <v>0</v>
      </c>
      <c r="AI17" s="63">
        <v>0</v>
      </c>
      <c r="AJ17" s="64">
        <v>0</v>
      </c>
      <c r="AK17" s="64">
        <v>0</v>
      </c>
      <c r="AL17" s="65">
        <v>0</v>
      </c>
      <c r="AM17" s="66">
        <v>0</v>
      </c>
      <c r="AN17" s="63">
        <f>IF(AI17&gt;1,1,0)</f>
        <v>0</v>
      </c>
      <c r="AO17" s="64">
        <v>0</v>
      </c>
      <c r="AP17" s="65">
        <f>IF(AL17&gt;1,1,0)</f>
        <v>0</v>
      </c>
      <c r="AQ17" s="66">
        <f>IF(AM17&gt;1,1,0)</f>
        <v>0</v>
      </c>
      <c r="AR17" s="31" t="str">
        <f t="shared" ref="AR17:BG31" si="5">P$13&amp;P17&amp;","</f>
        <v>SimulationStorage,1,</v>
      </c>
      <c r="AS17" s="31" t="str">
        <f t="shared" si="5"/>
        <v>AnalysisStorage,1,</v>
      </c>
      <c r="AT17" s="31" t="str">
        <f t="shared" si="5"/>
        <v>LogRuleEvaluation,0,</v>
      </c>
      <c r="AU17" s="31" t="str">
        <f t="shared" si="5"/>
        <v>ParallelSimulations,1,</v>
      </c>
      <c r="AV17" s="31" t="str">
        <f t="shared" si="5"/>
        <v>DurationStats,0,</v>
      </c>
      <c r="AW17" s="31" t="str">
        <f t="shared" si="5"/>
        <v>AnalysisThruStep,8,</v>
      </c>
      <c r="AX17" s="31" t="str">
        <f t="shared" si="5"/>
        <v>DontAbortOnErrorsThruStep,8,</v>
      </c>
      <c r="AY17" s="31" t="str">
        <f t="shared" si="5"/>
        <v>BypassValidFileChecks,1,</v>
      </c>
      <c r="AZ17" s="31" t="str">
        <f t="shared" si="5"/>
        <v>BypassInputChecks,0,</v>
      </c>
      <c r="BA17" s="31" t="str">
        <f t="shared" si="5"/>
        <v>BypassUMLHChecks,0,</v>
      </c>
      <c r="BB17" s="31" t="str">
        <f t="shared" si="5"/>
        <v>BypassCheckSimRules,0,</v>
      </c>
      <c r="BC17" s="31" t="str">
        <f t="shared" si="5"/>
        <v>BypassCheckCodeRules,0,</v>
      </c>
      <c r="BD17" s="31" t="str">
        <f t="shared" si="5"/>
        <v>StoreResultsToModelInput,1,</v>
      </c>
      <c r="BE17" s="31" t="str">
        <f t="shared" si="5"/>
        <v>StoreBEMDetails,1,</v>
      </c>
      <c r="BF17" s="31" t="str">
        <f t="shared" si="5"/>
        <v>ModelRpt_ALL,1,</v>
      </c>
      <c r="BG17" s="31" t="str">
        <f t="shared" si="5"/>
        <v>ExportHourlyResults_All,0,</v>
      </c>
      <c r="BH17" s="31" t="str">
        <f t="shared" ref="BD17:BS31" si="6">AF$13&amp;AF17&amp;","</f>
        <v>ComplianceReportPDF,0,</v>
      </c>
      <c r="BI17" s="31" t="str">
        <f t="shared" si="6"/>
        <v>ComplianceReportXML,0,</v>
      </c>
      <c r="BJ17" s="31" t="str">
        <f t="shared" si="6"/>
        <v>Quick Analyis,0,</v>
      </c>
      <c r="BK17" s="31" t="str">
        <f t="shared" si="6"/>
        <v>BypassOpenStudio_all,0,</v>
      </c>
      <c r="BL17" s="31" t="str">
        <f t="shared" si="6"/>
        <v>BypassOpenStudio_zp,0,</v>
      </c>
      <c r="BM17" s="31" t="str">
        <f t="shared" si="6"/>
        <v>BypassOpenStudio_zb,0,</v>
      </c>
      <c r="BN17" s="31" t="str">
        <f t="shared" si="6"/>
        <v>BypassOpenStudio_ap,0,</v>
      </c>
      <c r="BO17" s="31" t="str">
        <f t="shared" si="6"/>
        <v>BypassOpenStudio_ab,0,</v>
      </c>
      <c r="BP17" s="31" t="str">
        <f t="shared" si="6"/>
        <v>BypassOpenStudio_zp,0,</v>
      </c>
      <c r="BQ17" s="31" t="str">
        <f t="shared" si="6"/>
        <v>BypassOpenStudio_zb,0,</v>
      </c>
      <c r="BR17" s="31" t="str">
        <f t="shared" si="6"/>
        <v>BypassOpenStudio_ap,0,</v>
      </c>
      <c r="BS17" s="31" t="str">
        <f t="shared" si="6"/>
        <v>BypassOpenStudio_ab,0,</v>
      </c>
    </row>
    <row r="18" spans="1:75" x14ac:dyDescent="0.25">
      <c r="A18" s="39">
        <f t="shared" ref="A18:A31" si="7">L18</f>
        <v>1</v>
      </c>
      <c r="B18" s="27" t="str">
        <f t="shared" ref="B18:B31" si="8" xml:space="preserve"> M$11&amp;N18&amp;".cibd"</f>
        <v>Standard901Tests\020032-OffSml-S901GFossil.cibd</v>
      </c>
      <c r="C18" s="27" t="str">
        <f t="shared" si="4"/>
        <v>BatchOut_141219_r2896_trunk_901Std\020032-OffSml-S901GFossil.cibd</v>
      </c>
      <c r="D18" s="27" t="str">
        <f t="shared" ref="D18:D31" si="9">$M$13</f>
        <v>BatchOut_141219_r2896_trunk_901Std\XML\</v>
      </c>
      <c r="E18" s="9" t="str">
        <f t="shared" ref="E18:E28" si="10">M18</f>
        <v>901_020032</v>
      </c>
      <c r="F18" s="22"/>
      <c r="G18" s="29"/>
      <c r="H18" s="23"/>
      <c r="I18" s="9" t="s">
        <v>11</v>
      </c>
      <c r="J18" s="94" t="str">
        <f t="shared" ref="J18:J31" si="11">CONCATENATE(AR18,AS18,AT18,AU18,AV18,AW18,AX18,AY18,AZ18,BA18,BB18,BC18,BD18,BE18,BF18,BG18,BH18,BI18,BJ18,BK18,BL18,BM18,BN18,BO18,BP18,BQ18,BR18,BS18)</f>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18" s="15" t="s">
        <v>1</v>
      </c>
      <c r="L18" s="36">
        <f>L17</f>
        <v>1</v>
      </c>
      <c r="M18" s="32" t="str">
        <f t="shared" ref="M18:M21" si="12">"901_"&amp;LEFT(N18,6)&amp;IF(SUM(F18:H18)&gt;0,"_autosize","")</f>
        <v>901_020032</v>
      </c>
      <c r="N18" s="28" t="s">
        <v>195</v>
      </c>
      <c r="O18" s="57" t="str">
        <f t="shared" ref="O18:O21" si="13">N18</f>
        <v>020032-OffSml-S901GFossil</v>
      </c>
      <c r="P18" s="63">
        <f>P17</f>
        <v>1</v>
      </c>
      <c r="Q18" s="65">
        <f t="shared" ref="Q18:T18" si="14">Q17</f>
        <v>1</v>
      </c>
      <c r="R18" s="65">
        <f t="shared" si="14"/>
        <v>0</v>
      </c>
      <c r="S18" s="65">
        <f t="shared" si="14"/>
        <v>1</v>
      </c>
      <c r="T18" s="65">
        <f t="shared" si="14"/>
        <v>0</v>
      </c>
      <c r="U18" s="65">
        <f>U17</f>
        <v>8</v>
      </c>
      <c r="V18" s="65">
        <f>V17</f>
        <v>8</v>
      </c>
      <c r="W18" s="65">
        <f>W17</f>
        <v>1</v>
      </c>
      <c r="X18" s="65">
        <f t="shared" ref="X18:AM31" si="15">X17</f>
        <v>0</v>
      </c>
      <c r="Y18" s="65">
        <f t="shared" si="15"/>
        <v>0</v>
      </c>
      <c r="Z18" s="65">
        <f t="shared" si="15"/>
        <v>0</v>
      </c>
      <c r="AA18" s="65">
        <f t="shared" si="15"/>
        <v>0</v>
      </c>
      <c r="AB18" s="65">
        <f t="shared" si="15"/>
        <v>1</v>
      </c>
      <c r="AC18" s="65">
        <f t="shared" si="15"/>
        <v>1</v>
      </c>
      <c r="AD18" s="65">
        <f t="shared" si="15"/>
        <v>1</v>
      </c>
      <c r="AE18" s="65">
        <f t="shared" si="15"/>
        <v>0</v>
      </c>
      <c r="AF18" s="65">
        <f t="shared" si="15"/>
        <v>0</v>
      </c>
      <c r="AG18" s="65">
        <f t="shared" si="15"/>
        <v>0</v>
      </c>
      <c r="AH18" s="65">
        <f t="shared" si="15"/>
        <v>0</v>
      </c>
      <c r="AI18" s="63">
        <f t="shared" si="15"/>
        <v>0</v>
      </c>
      <c r="AJ18" s="64">
        <f t="shared" si="15"/>
        <v>0</v>
      </c>
      <c r="AK18" s="64">
        <f t="shared" si="15"/>
        <v>0</v>
      </c>
      <c r="AL18" s="64">
        <f t="shared" si="15"/>
        <v>0</v>
      </c>
      <c r="AM18" s="66">
        <f t="shared" si="15"/>
        <v>0</v>
      </c>
      <c r="AN18" s="63">
        <f>AN17</f>
        <v>0</v>
      </c>
      <c r="AO18" s="64">
        <f>AO17</f>
        <v>0</v>
      </c>
      <c r="AP18" s="65">
        <f t="shared" ref="AP18:AQ18" si="16">AP17</f>
        <v>0</v>
      </c>
      <c r="AQ18" s="66">
        <f t="shared" si="16"/>
        <v>0</v>
      </c>
      <c r="AR18" s="31" t="str">
        <f t="shared" si="5"/>
        <v>SimulationStorage,1,</v>
      </c>
      <c r="AS18" s="31" t="str">
        <f t="shared" si="5"/>
        <v>AnalysisStorage,1,</v>
      </c>
      <c r="AT18" s="31" t="str">
        <f t="shared" si="5"/>
        <v>LogRuleEvaluation,0,</v>
      </c>
      <c r="AU18" s="31" t="str">
        <f t="shared" si="5"/>
        <v>ParallelSimulations,1,</v>
      </c>
      <c r="AV18" s="31" t="str">
        <f t="shared" si="5"/>
        <v>DurationStats,0,</v>
      </c>
      <c r="AW18" s="31" t="str">
        <f t="shared" si="5"/>
        <v>AnalysisThruStep,8,</v>
      </c>
      <c r="AX18" s="31" t="str">
        <f t="shared" si="5"/>
        <v>DontAbortOnErrorsThruStep,8,</v>
      </c>
      <c r="AY18" s="31" t="str">
        <f t="shared" si="5"/>
        <v>BypassValidFileChecks,1,</v>
      </c>
      <c r="AZ18" s="31" t="str">
        <f t="shared" si="5"/>
        <v>BypassInputChecks,0,</v>
      </c>
      <c r="BA18" s="31" t="str">
        <f t="shared" si="5"/>
        <v>BypassUMLHChecks,0,</v>
      </c>
      <c r="BB18" s="31" t="str">
        <f t="shared" si="5"/>
        <v>BypassCheckSimRules,0,</v>
      </c>
      <c r="BC18" s="31" t="str">
        <f t="shared" si="5"/>
        <v>BypassCheckCodeRules,0,</v>
      </c>
      <c r="BD18" s="31" t="str">
        <f t="shared" si="6"/>
        <v>StoreResultsToModelInput,1,</v>
      </c>
      <c r="BE18" s="31" t="str">
        <f t="shared" si="6"/>
        <v>StoreBEMDetails,1,</v>
      </c>
      <c r="BF18" s="31" t="str">
        <f t="shared" si="6"/>
        <v>ModelRpt_ALL,1,</v>
      </c>
      <c r="BG18" s="31" t="str">
        <f t="shared" si="6"/>
        <v>ExportHourlyResults_All,0,</v>
      </c>
      <c r="BH18" s="31" t="str">
        <f t="shared" si="6"/>
        <v>ComplianceReportPDF,0,</v>
      </c>
      <c r="BI18" s="31" t="str">
        <f t="shared" si="6"/>
        <v>ComplianceReportXML,0,</v>
      </c>
      <c r="BJ18" s="31" t="str">
        <f t="shared" si="6"/>
        <v>Quick Analyis,0,</v>
      </c>
      <c r="BK18" s="31" t="str">
        <f t="shared" si="6"/>
        <v>BypassOpenStudio_all,0,</v>
      </c>
      <c r="BL18" s="31" t="str">
        <f t="shared" si="6"/>
        <v>BypassOpenStudio_zp,0,</v>
      </c>
      <c r="BM18" s="31" t="str">
        <f t="shared" si="6"/>
        <v>BypassOpenStudio_zb,0,</v>
      </c>
      <c r="BN18" s="31" t="str">
        <f t="shared" si="6"/>
        <v>BypassOpenStudio_ap,0,</v>
      </c>
      <c r="BO18" s="31" t="str">
        <f t="shared" si="6"/>
        <v>BypassOpenStudio_ab,0,</v>
      </c>
      <c r="BP18" s="31" t="str">
        <f t="shared" si="6"/>
        <v>BypassOpenStudio_zp,0,</v>
      </c>
      <c r="BQ18" s="31" t="str">
        <f t="shared" si="6"/>
        <v>BypassOpenStudio_zb,0,</v>
      </c>
      <c r="BR18" s="31" t="str">
        <f t="shared" si="6"/>
        <v>BypassOpenStudio_ap,0,</v>
      </c>
      <c r="BS18" s="31" t="str">
        <f t="shared" si="6"/>
        <v>BypassOpenStudio_ab,0,</v>
      </c>
      <c r="BV18"/>
      <c r="BW18"/>
    </row>
    <row r="19" spans="1:75" x14ac:dyDescent="0.25">
      <c r="A19" s="39">
        <f t="shared" si="7"/>
        <v>1</v>
      </c>
      <c r="B19" s="27" t="str">
        <f t="shared" si="8"/>
        <v>Standard901Tests\030032-OffMed-S901GElectric.cibd</v>
      </c>
      <c r="C19" s="27" t="str">
        <f t="shared" si="4"/>
        <v>BatchOut_141219_r2896_trunk_901Std\030032-OffMed-S901GElectric.cibd</v>
      </c>
      <c r="D19" s="27" t="str">
        <f t="shared" si="9"/>
        <v>BatchOut_141219_r2896_trunk_901Std\XML\</v>
      </c>
      <c r="E19" s="9" t="str">
        <f t="shared" si="10"/>
        <v>901_030032</v>
      </c>
      <c r="F19" s="22"/>
      <c r="G19" s="29"/>
      <c r="H19" s="23"/>
      <c r="I19" s="9" t="s">
        <v>11</v>
      </c>
      <c r="J19"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19" s="15" t="s">
        <v>1</v>
      </c>
      <c r="L19" s="36">
        <f t="shared" ref="L19:L31" si="17">L18</f>
        <v>1</v>
      </c>
      <c r="M19" s="32" t="str">
        <f t="shared" si="12"/>
        <v>901_030032</v>
      </c>
      <c r="N19" s="28" t="s">
        <v>196</v>
      </c>
      <c r="O19" s="57" t="str">
        <f t="shared" si="13"/>
        <v>030032-OffMed-S901GElectric</v>
      </c>
      <c r="P19" s="63">
        <f t="shared" ref="P19:AB31" si="18">P18</f>
        <v>1</v>
      </c>
      <c r="Q19" s="65">
        <f t="shared" si="18"/>
        <v>1</v>
      </c>
      <c r="R19" s="65">
        <f t="shared" si="18"/>
        <v>0</v>
      </c>
      <c r="S19" s="65">
        <f t="shared" si="18"/>
        <v>1</v>
      </c>
      <c r="T19" s="65">
        <f t="shared" si="18"/>
        <v>0</v>
      </c>
      <c r="U19" s="65">
        <f t="shared" si="18"/>
        <v>8</v>
      </c>
      <c r="V19" s="65">
        <f t="shared" si="18"/>
        <v>8</v>
      </c>
      <c r="W19" s="65">
        <f t="shared" si="18"/>
        <v>1</v>
      </c>
      <c r="X19" s="65">
        <f t="shared" si="18"/>
        <v>0</v>
      </c>
      <c r="Y19" s="65">
        <f t="shared" si="18"/>
        <v>0</v>
      </c>
      <c r="Z19" s="65">
        <f t="shared" si="18"/>
        <v>0</v>
      </c>
      <c r="AA19" s="65">
        <f t="shared" si="18"/>
        <v>0</v>
      </c>
      <c r="AB19" s="65">
        <f t="shared" si="18"/>
        <v>1</v>
      </c>
      <c r="AC19" s="65">
        <f t="shared" si="15"/>
        <v>1</v>
      </c>
      <c r="AD19" s="65">
        <f t="shared" si="15"/>
        <v>1</v>
      </c>
      <c r="AE19" s="65">
        <f t="shared" si="15"/>
        <v>0</v>
      </c>
      <c r="AF19" s="65">
        <f t="shared" si="15"/>
        <v>0</v>
      </c>
      <c r="AG19" s="65">
        <f t="shared" si="15"/>
        <v>0</v>
      </c>
      <c r="AH19" s="65">
        <f t="shared" si="15"/>
        <v>0</v>
      </c>
      <c r="AI19" s="63">
        <f t="shared" si="15"/>
        <v>0</v>
      </c>
      <c r="AJ19" s="64">
        <f t="shared" si="15"/>
        <v>0</v>
      </c>
      <c r="AK19" s="64">
        <f t="shared" si="15"/>
        <v>0</v>
      </c>
      <c r="AL19" s="64">
        <f t="shared" si="15"/>
        <v>0</v>
      </c>
      <c r="AM19" s="66">
        <f t="shared" si="15"/>
        <v>0</v>
      </c>
      <c r="AN19" s="63">
        <f t="shared" ref="AM19:AQ31" si="19">AN18</f>
        <v>0</v>
      </c>
      <c r="AO19" s="64">
        <f t="shared" si="19"/>
        <v>0</v>
      </c>
      <c r="AP19" s="65">
        <f t="shared" si="19"/>
        <v>0</v>
      </c>
      <c r="AQ19" s="66">
        <f t="shared" si="19"/>
        <v>0</v>
      </c>
      <c r="AR19" s="31" t="str">
        <f t="shared" si="5"/>
        <v>SimulationStorage,1,</v>
      </c>
      <c r="AS19" s="31" t="str">
        <f t="shared" si="5"/>
        <v>AnalysisStorage,1,</v>
      </c>
      <c r="AT19" s="31" t="str">
        <f t="shared" si="5"/>
        <v>LogRuleEvaluation,0,</v>
      </c>
      <c r="AU19" s="31" t="str">
        <f t="shared" si="5"/>
        <v>ParallelSimulations,1,</v>
      </c>
      <c r="AV19" s="31" t="str">
        <f t="shared" si="5"/>
        <v>DurationStats,0,</v>
      </c>
      <c r="AW19" s="31" t="str">
        <f t="shared" si="5"/>
        <v>AnalysisThruStep,8,</v>
      </c>
      <c r="AX19" s="31" t="str">
        <f t="shared" si="5"/>
        <v>DontAbortOnErrorsThruStep,8,</v>
      </c>
      <c r="AY19" s="31" t="str">
        <f t="shared" si="5"/>
        <v>BypassValidFileChecks,1,</v>
      </c>
      <c r="AZ19" s="31" t="str">
        <f t="shared" si="5"/>
        <v>BypassInputChecks,0,</v>
      </c>
      <c r="BA19" s="31" t="str">
        <f t="shared" si="5"/>
        <v>BypassUMLHChecks,0,</v>
      </c>
      <c r="BB19" s="31" t="str">
        <f t="shared" si="5"/>
        <v>BypassCheckSimRules,0,</v>
      </c>
      <c r="BC19" s="31" t="str">
        <f t="shared" si="5"/>
        <v>BypassCheckCodeRules,0,</v>
      </c>
      <c r="BD19" s="31" t="str">
        <f t="shared" si="6"/>
        <v>StoreResultsToModelInput,1,</v>
      </c>
      <c r="BE19" s="31" t="str">
        <f t="shared" si="6"/>
        <v>StoreBEMDetails,1,</v>
      </c>
      <c r="BF19" s="31" t="str">
        <f t="shared" si="6"/>
        <v>ModelRpt_ALL,1,</v>
      </c>
      <c r="BG19" s="31" t="str">
        <f t="shared" si="6"/>
        <v>ExportHourlyResults_All,0,</v>
      </c>
      <c r="BH19" s="31" t="str">
        <f t="shared" si="6"/>
        <v>ComplianceReportPDF,0,</v>
      </c>
      <c r="BI19" s="31" t="str">
        <f t="shared" si="6"/>
        <v>ComplianceReportXML,0,</v>
      </c>
      <c r="BJ19" s="31" t="str">
        <f t="shared" si="6"/>
        <v>Quick Analyis,0,</v>
      </c>
      <c r="BK19" s="31" t="str">
        <f t="shared" si="6"/>
        <v>BypassOpenStudio_all,0,</v>
      </c>
      <c r="BL19" s="31" t="str">
        <f t="shared" si="6"/>
        <v>BypassOpenStudio_zp,0,</v>
      </c>
      <c r="BM19" s="31" t="str">
        <f t="shared" si="6"/>
        <v>BypassOpenStudio_zb,0,</v>
      </c>
      <c r="BN19" s="31" t="str">
        <f t="shared" si="6"/>
        <v>BypassOpenStudio_ap,0,</v>
      </c>
      <c r="BO19" s="31" t="str">
        <f t="shared" si="6"/>
        <v>BypassOpenStudio_ab,0,</v>
      </c>
      <c r="BP19" s="31" t="str">
        <f t="shared" si="6"/>
        <v>BypassOpenStudio_zp,0,</v>
      </c>
      <c r="BQ19" s="31" t="str">
        <f t="shared" si="6"/>
        <v>BypassOpenStudio_zb,0,</v>
      </c>
      <c r="BR19" s="31" t="str">
        <f t="shared" si="6"/>
        <v>BypassOpenStudio_ap,0,</v>
      </c>
      <c r="BS19" s="31" t="str">
        <f t="shared" si="6"/>
        <v>BypassOpenStudio_ab,0,</v>
      </c>
    </row>
    <row r="20" spans="1:75" x14ac:dyDescent="0.25">
      <c r="A20" s="39">
        <f t="shared" si="7"/>
        <v>1</v>
      </c>
      <c r="B20" s="27" t="str">
        <f t="shared" si="8"/>
        <v>Standard901Tests\070032-HotSml-S901GElectric.cibd</v>
      </c>
      <c r="C20" s="27" t="str">
        <f t="shared" si="4"/>
        <v>BatchOut_141219_r2896_trunk_901Std\070032-HotSml-S901GElectric.cibd</v>
      </c>
      <c r="D20" s="27" t="str">
        <f t="shared" si="9"/>
        <v>BatchOut_141219_r2896_trunk_901Std\XML\</v>
      </c>
      <c r="E20" s="9" t="str">
        <f t="shared" si="10"/>
        <v>901_070032</v>
      </c>
      <c r="F20" s="22"/>
      <c r="G20" s="29"/>
      <c r="H20" s="23"/>
      <c r="I20" s="9" t="s">
        <v>11</v>
      </c>
      <c r="J20"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0" s="15" t="s">
        <v>1</v>
      </c>
      <c r="L20" s="36">
        <f t="shared" si="17"/>
        <v>1</v>
      </c>
      <c r="M20" s="32" t="str">
        <f t="shared" si="12"/>
        <v>901_070032</v>
      </c>
      <c r="N20" s="28" t="s">
        <v>197</v>
      </c>
      <c r="O20" s="57" t="str">
        <f t="shared" si="13"/>
        <v>070032-HotSml-S901GElectric</v>
      </c>
      <c r="P20" s="63">
        <f t="shared" si="18"/>
        <v>1</v>
      </c>
      <c r="Q20" s="65">
        <f t="shared" si="18"/>
        <v>1</v>
      </c>
      <c r="R20" s="65">
        <f t="shared" si="18"/>
        <v>0</v>
      </c>
      <c r="S20" s="65">
        <f t="shared" si="18"/>
        <v>1</v>
      </c>
      <c r="T20" s="65">
        <f t="shared" si="18"/>
        <v>0</v>
      </c>
      <c r="U20" s="65">
        <f t="shared" si="18"/>
        <v>8</v>
      </c>
      <c r="V20" s="65">
        <f t="shared" si="18"/>
        <v>8</v>
      </c>
      <c r="W20" s="65">
        <f t="shared" si="18"/>
        <v>1</v>
      </c>
      <c r="X20" s="65">
        <f t="shared" si="18"/>
        <v>0</v>
      </c>
      <c r="Y20" s="65">
        <f t="shared" si="18"/>
        <v>0</v>
      </c>
      <c r="Z20" s="65">
        <f t="shared" si="18"/>
        <v>0</v>
      </c>
      <c r="AA20" s="65">
        <f t="shared" si="18"/>
        <v>0</v>
      </c>
      <c r="AB20" s="65">
        <f t="shared" si="18"/>
        <v>1</v>
      </c>
      <c r="AC20" s="65">
        <f t="shared" si="15"/>
        <v>1</v>
      </c>
      <c r="AD20" s="65">
        <f t="shared" si="15"/>
        <v>1</v>
      </c>
      <c r="AE20" s="65">
        <f t="shared" si="15"/>
        <v>0</v>
      </c>
      <c r="AF20" s="65">
        <f t="shared" si="15"/>
        <v>0</v>
      </c>
      <c r="AG20" s="65">
        <f t="shared" si="15"/>
        <v>0</v>
      </c>
      <c r="AH20" s="65">
        <f t="shared" si="15"/>
        <v>0</v>
      </c>
      <c r="AI20" s="63">
        <f t="shared" si="15"/>
        <v>0</v>
      </c>
      <c r="AJ20" s="64">
        <f t="shared" si="15"/>
        <v>0</v>
      </c>
      <c r="AK20" s="64">
        <f t="shared" si="15"/>
        <v>0</v>
      </c>
      <c r="AL20" s="64">
        <f t="shared" si="15"/>
        <v>0</v>
      </c>
      <c r="AM20" s="66">
        <f t="shared" si="19"/>
        <v>0</v>
      </c>
      <c r="AN20" s="63">
        <f t="shared" si="19"/>
        <v>0</v>
      </c>
      <c r="AO20" s="64">
        <f t="shared" si="19"/>
        <v>0</v>
      </c>
      <c r="AP20" s="65">
        <f t="shared" si="19"/>
        <v>0</v>
      </c>
      <c r="AQ20" s="66">
        <f t="shared" si="19"/>
        <v>0</v>
      </c>
      <c r="AR20" s="31" t="str">
        <f t="shared" si="5"/>
        <v>SimulationStorage,1,</v>
      </c>
      <c r="AS20" s="31" t="str">
        <f t="shared" si="5"/>
        <v>AnalysisStorage,1,</v>
      </c>
      <c r="AT20" s="31" t="str">
        <f t="shared" si="5"/>
        <v>LogRuleEvaluation,0,</v>
      </c>
      <c r="AU20" s="31" t="str">
        <f t="shared" si="5"/>
        <v>ParallelSimulations,1,</v>
      </c>
      <c r="AV20" s="31" t="str">
        <f t="shared" si="5"/>
        <v>DurationStats,0,</v>
      </c>
      <c r="AW20" s="31" t="str">
        <f t="shared" si="5"/>
        <v>AnalysisThruStep,8,</v>
      </c>
      <c r="AX20" s="31" t="str">
        <f t="shared" si="5"/>
        <v>DontAbortOnErrorsThruStep,8,</v>
      </c>
      <c r="AY20" s="31" t="str">
        <f t="shared" si="5"/>
        <v>BypassValidFileChecks,1,</v>
      </c>
      <c r="AZ20" s="31" t="str">
        <f t="shared" si="5"/>
        <v>BypassInputChecks,0,</v>
      </c>
      <c r="BA20" s="31" t="str">
        <f t="shared" si="5"/>
        <v>BypassUMLHChecks,0,</v>
      </c>
      <c r="BB20" s="31" t="str">
        <f t="shared" si="5"/>
        <v>BypassCheckSimRules,0,</v>
      </c>
      <c r="BC20" s="31" t="str">
        <f t="shared" si="5"/>
        <v>BypassCheckCodeRules,0,</v>
      </c>
      <c r="BD20" s="31" t="str">
        <f t="shared" si="6"/>
        <v>StoreResultsToModelInput,1,</v>
      </c>
      <c r="BE20" s="31" t="str">
        <f t="shared" si="6"/>
        <v>StoreBEMDetails,1,</v>
      </c>
      <c r="BF20" s="31" t="str">
        <f t="shared" si="6"/>
        <v>ModelRpt_ALL,1,</v>
      </c>
      <c r="BG20" s="31" t="str">
        <f t="shared" si="6"/>
        <v>ExportHourlyResults_All,0,</v>
      </c>
      <c r="BH20" s="31" t="str">
        <f t="shared" si="6"/>
        <v>ComplianceReportPDF,0,</v>
      </c>
      <c r="BI20" s="31" t="str">
        <f t="shared" si="6"/>
        <v>ComplianceReportXML,0,</v>
      </c>
      <c r="BJ20" s="31" t="str">
        <f t="shared" si="6"/>
        <v>Quick Analyis,0,</v>
      </c>
      <c r="BK20" s="31" t="str">
        <f t="shared" si="6"/>
        <v>BypassOpenStudio_all,0,</v>
      </c>
      <c r="BL20" s="31" t="str">
        <f t="shared" si="6"/>
        <v>BypassOpenStudio_zp,0,</v>
      </c>
      <c r="BM20" s="31" t="str">
        <f t="shared" si="6"/>
        <v>BypassOpenStudio_zb,0,</v>
      </c>
      <c r="BN20" s="31" t="str">
        <f t="shared" si="6"/>
        <v>BypassOpenStudio_ap,0,</v>
      </c>
      <c r="BO20" s="31" t="str">
        <f t="shared" si="6"/>
        <v>BypassOpenStudio_ab,0,</v>
      </c>
      <c r="BP20" s="31" t="str">
        <f t="shared" si="6"/>
        <v>BypassOpenStudio_zp,0,</v>
      </c>
      <c r="BQ20" s="31" t="str">
        <f t="shared" si="6"/>
        <v>BypassOpenStudio_zb,0,</v>
      </c>
      <c r="BR20" s="31" t="str">
        <f t="shared" si="6"/>
        <v>BypassOpenStudio_ap,0,</v>
      </c>
      <c r="BS20" s="31" t="str">
        <f t="shared" si="6"/>
        <v>BypassOpenStudio_ab,0,</v>
      </c>
    </row>
    <row r="21" spans="1:75" x14ac:dyDescent="0.25">
      <c r="A21" s="39">
        <f t="shared" si="7"/>
        <v>1</v>
      </c>
      <c r="B21" s="27" t="str">
        <f t="shared" si="8"/>
        <v>Standard901Tests\080032-Whse-S901GFossil.cibd</v>
      </c>
      <c r="C21" s="27" t="str">
        <f t="shared" si="4"/>
        <v>BatchOut_141219_r2896_trunk_901Std\080032-Whse-S901GFossil.cibd</v>
      </c>
      <c r="D21" s="27" t="str">
        <f t="shared" si="9"/>
        <v>BatchOut_141219_r2896_trunk_901Std\XML\</v>
      </c>
      <c r="E21" s="9" t="str">
        <f t="shared" si="10"/>
        <v>901_080032</v>
      </c>
      <c r="F21" s="22"/>
      <c r="G21" s="29"/>
      <c r="H21" s="23"/>
      <c r="I21" s="9" t="s">
        <v>11</v>
      </c>
      <c r="J21"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1" s="15" t="s">
        <v>1</v>
      </c>
      <c r="L21" s="36">
        <f t="shared" si="17"/>
        <v>1</v>
      </c>
      <c r="M21" s="32" t="str">
        <f t="shared" si="12"/>
        <v>901_080032</v>
      </c>
      <c r="N21" s="28" t="s">
        <v>198</v>
      </c>
      <c r="O21" s="57" t="str">
        <f t="shared" si="13"/>
        <v>080032-Whse-S901GFossil</v>
      </c>
      <c r="P21" s="63">
        <f t="shared" si="18"/>
        <v>1</v>
      </c>
      <c r="Q21" s="65">
        <f t="shared" si="18"/>
        <v>1</v>
      </c>
      <c r="R21" s="65">
        <f t="shared" si="18"/>
        <v>0</v>
      </c>
      <c r="S21" s="65">
        <f t="shared" si="18"/>
        <v>1</v>
      </c>
      <c r="T21" s="65">
        <f t="shared" si="18"/>
        <v>0</v>
      </c>
      <c r="U21" s="65">
        <f t="shared" si="18"/>
        <v>8</v>
      </c>
      <c r="V21" s="65">
        <f t="shared" si="18"/>
        <v>8</v>
      </c>
      <c r="W21" s="65">
        <f t="shared" si="18"/>
        <v>1</v>
      </c>
      <c r="X21" s="65">
        <f t="shared" si="18"/>
        <v>0</v>
      </c>
      <c r="Y21" s="65">
        <f t="shared" si="18"/>
        <v>0</v>
      </c>
      <c r="Z21" s="65">
        <f t="shared" si="18"/>
        <v>0</v>
      </c>
      <c r="AA21" s="65">
        <f t="shared" si="18"/>
        <v>0</v>
      </c>
      <c r="AB21" s="65">
        <f t="shared" si="18"/>
        <v>1</v>
      </c>
      <c r="AC21" s="65">
        <f t="shared" si="15"/>
        <v>1</v>
      </c>
      <c r="AD21" s="65">
        <f t="shared" si="15"/>
        <v>1</v>
      </c>
      <c r="AE21" s="65">
        <f t="shared" si="15"/>
        <v>0</v>
      </c>
      <c r="AF21" s="65">
        <f t="shared" si="15"/>
        <v>0</v>
      </c>
      <c r="AG21" s="65">
        <f t="shared" si="15"/>
        <v>0</v>
      </c>
      <c r="AH21" s="65">
        <f t="shared" si="15"/>
        <v>0</v>
      </c>
      <c r="AI21" s="63">
        <f t="shared" si="15"/>
        <v>0</v>
      </c>
      <c r="AJ21" s="64">
        <f t="shared" si="15"/>
        <v>0</v>
      </c>
      <c r="AK21" s="64">
        <f t="shared" si="15"/>
        <v>0</v>
      </c>
      <c r="AL21" s="64">
        <f t="shared" si="15"/>
        <v>0</v>
      </c>
      <c r="AM21" s="66">
        <f t="shared" si="19"/>
        <v>0</v>
      </c>
      <c r="AN21" s="63">
        <f t="shared" si="19"/>
        <v>0</v>
      </c>
      <c r="AO21" s="64">
        <f t="shared" si="19"/>
        <v>0</v>
      </c>
      <c r="AP21" s="65">
        <f t="shared" si="19"/>
        <v>0</v>
      </c>
      <c r="AQ21" s="66">
        <f t="shared" si="19"/>
        <v>0</v>
      </c>
      <c r="AR21" s="31" t="str">
        <f t="shared" si="5"/>
        <v>SimulationStorage,1,</v>
      </c>
      <c r="AS21" s="31" t="str">
        <f t="shared" si="5"/>
        <v>AnalysisStorage,1,</v>
      </c>
      <c r="AT21" s="31" t="str">
        <f t="shared" si="5"/>
        <v>LogRuleEvaluation,0,</v>
      </c>
      <c r="AU21" s="31" t="str">
        <f t="shared" si="5"/>
        <v>ParallelSimulations,1,</v>
      </c>
      <c r="AV21" s="31" t="str">
        <f t="shared" si="5"/>
        <v>DurationStats,0,</v>
      </c>
      <c r="AW21" s="31" t="str">
        <f t="shared" si="5"/>
        <v>AnalysisThruStep,8,</v>
      </c>
      <c r="AX21" s="31" t="str">
        <f t="shared" si="5"/>
        <v>DontAbortOnErrorsThruStep,8,</v>
      </c>
      <c r="AY21" s="31" t="str">
        <f t="shared" si="5"/>
        <v>BypassValidFileChecks,1,</v>
      </c>
      <c r="AZ21" s="31" t="str">
        <f t="shared" si="5"/>
        <v>BypassInputChecks,0,</v>
      </c>
      <c r="BA21" s="31" t="str">
        <f t="shared" si="5"/>
        <v>BypassUMLHChecks,0,</v>
      </c>
      <c r="BB21" s="31" t="str">
        <f t="shared" si="5"/>
        <v>BypassCheckSimRules,0,</v>
      </c>
      <c r="BC21" s="31" t="str">
        <f t="shared" si="5"/>
        <v>BypassCheckCodeRules,0,</v>
      </c>
      <c r="BD21" s="31" t="str">
        <f t="shared" si="6"/>
        <v>StoreResultsToModelInput,1,</v>
      </c>
      <c r="BE21" s="31" t="str">
        <f t="shared" si="6"/>
        <v>StoreBEMDetails,1,</v>
      </c>
      <c r="BF21" s="31" t="str">
        <f t="shared" si="6"/>
        <v>ModelRpt_ALL,1,</v>
      </c>
      <c r="BG21" s="31" t="str">
        <f t="shared" si="6"/>
        <v>ExportHourlyResults_All,0,</v>
      </c>
      <c r="BH21" s="31" t="str">
        <f t="shared" si="6"/>
        <v>ComplianceReportPDF,0,</v>
      </c>
      <c r="BI21" s="31" t="str">
        <f t="shared" si="6"/>
        <v>ComplianceReportXML,0,</v>
      </c>
      <c r="BJ21" s="31" t="str">
        <f t="shared" si="6"/>
        <v>Quick Analyis,0,</v>
      </c>
      <c r="BK21" s="31" t="str">
        <f t="shared" si="6"/>
        <v>BypassOpenStudio_all,0,</v>
      </c>
      <c r="BL21" s="31" t="str">
        <f t="shared" si="6"/>
        <v>BypassOpenStudio_zp,0,</v>
      </c>
      <c r="BM21" s="31" t="str">
        <f t="shared" si="6"/>
        <v>BypassOpenStudio_zb,0,</v>
      </c>
      <c r="BN21" s="31" t="str">
        <f t="shared" si="6"/>
        <v>BypassOpenStudio_ap,0,</v>
      </c>
      <c r="BO21" s="31" t="str">
        <f t="shared" si="6"/>
        <v>BypassOpenStudio_ab,0,</v>
      </c>
      <c r="BP21" s="31" t="str">
        <f t="shared" si="6"/>
        <v>BypassOpenStudio_zp,0,</v>
      </c>
      <c r="BQ21" s="31" t="str">
        <f t="shared" si="6"/>
        <v>BypassOpenStudio_zb,0,</v>
      </c>
      <c r="BR21" s="31" t="str">
        <f t="shared" si="6"/>
        <v>BypassOpenStudio_ap,0,</v>
      </c>
      <c r="BS21" s="31" t="str">
        <f t="shared" si="6"/>
        <v>BypassOpenStudio_ab,0,</v>
      </c>
    </row>
    <row r="22" spans="1:75" x14ac:dyDescent="0.25">
      <c r="A22" s="39">
        <f t="shared" si="7"/>
        <v>0</v>
      </c>
      <c r="B22" s="27" t="str">
        <f t="shared" si="8"/>
        <v>Standard901Tests\.cibd</v>
      </c>
      <c r="C22" s="27" t="str">
        <f t="shared" si="4"/>
        <v>BatchOut_141219_r2896_trunk_901Std\.cibd</v>
      </c>
      <c r="D22" s="27" t="str">
        <f t="shared" si="9"/>
        <v>BatchOut_141219_r2896_trunk_901Std\XML\</v>
      </c>
      <c r="E22" s="9">
        <f t="shared" si="10"/>
        <v>0</v>
      </c>
      <c r="F22" s="22"/>
      <c r="G22" s="29"/>
      <c r="H22" s="23"/>
      <c r="I22" s="9" t="s">
        <v>11</v>
      </c>
      <c r="J22"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2" s="15" t="s">
        <v>1</v>
      </c>
      <c r="L22" s="36">
        <v>0</v>
      </c>
      <c r="M22" s="32"/>
      <c r="N22" s="28"/>
      <c r="O22" s="57"/>
      <c r="P22" s="63">
        <f t="shared" si="18"/>
        <v>1</v>
      </c>
      <c r="Q22" s="65">
        <f t="shared" si="18"/>
        <v>1</v>
      </c>
      <c r="R22" s="65">
        <f t="shared" si="18"/>
        <v>0</v>
      </c>
      <c r="S22" s="65">
        <f t="shared" si="18"/>
        <v>1</v>
      </c>
      <c r="T22" s="65">
        <f t="shared" si="18"/>
        <v>0</v>
      </c>
      <c r="U22" s="65">
        <f t="shared" si="18"/>
        <v>8</v>
      </c>
      <c r="V22" s="65">
        <f t="shared" si="18"/>
        <v>8</v>
      </c>
      <c r="W22" s="65">
        <f t="shared" si="18"/>
        <v>1</v>
      </c>
      <c r="X22" s="65">
        <f t="shared" si="18"/>
        <v>0</v>
      </c>
      <c r="Y22" s="65">
        <f t="shared" si="18"/>
        <v>0</v>
      </c>
      <c r="Z22" s="65">
        <f t="shared" si="18"/>
        <v>0</v>
      </c>
      <c r="AA22" s="65">
        <f t="shared" si="18"/>
        <v>0</v>
      </c>
      <c r="AB22" s="65">
        <f t="shared" si="18"/>
        <v>1</v>
      </c>
      <c r="AC22" s="65">
        <f t="shared" si="15"/>
        <v>1</v>
      </c>
      <c r="AD22" s="65">
        <f t="shared" si="15"/>
        <v>1</v>
      </c>
      <c r="AE22" s="65">
        <f t="shared" si="15"/>
        <v>0</v>
      </c>
      <c r="AF22" s="65">
        <f t="shared" si="15"/>
        <v>0</v>
      </c>
      <c r="AG22" s="65">
        <f t="shared" si="15"/>
        <v>0</v>
      </c>
      <c r="AH22" s="65">
        <f t="shared" si="15"/>
        <v>0</v>
      </c>
      <c r="AI22" s="63">
        <f t="shared" si="15"/>
        <v>0</v>
      </c>
      <c r="AJ22" s="64">
        <f t="shared" si="15"/>
        <v>0</v>
      </c>
      <c r="AK22" s="64">
        <f t="shared" si="15"/>
        <v>0</v>
      </c>
      <c r="AL22" s="64">
        <f t="shared" si="15"/>
        <v>0</v>
      </c>
      <c r="AM22" s="66">
        <f t="shared" si="19"/>
        <v>0</v>
      </c>
      <c r="AN22" s="63">
        <f t="shared" si="19"/>
        <v>0</v>
      </c>
      <c r="AO22" s="64">
        <f t="shared" si="19"/>
        <v>0</v>
      </c>
      <c r="AP22" s="65">
        <f t="shared" si="19"/>
        <v>0</v>
      </c>
      <c r="AQ22" s="66">
        <f t="shared" si="19"/>
        <v>0</v>
      </c>
      <c r="AR22" s="31" t="str">
        <f t="shared" si="5"/>
        <v>SimulationStorage,1,</v>
      </c>
      <c r="AS22" s="31" t="str">
        <f t="shared" si="5"/>
        <v>AnalysisStorage,1,</v>
      </c>
      <c r="AT22" s="31" t="str">
        <f t="shared" si="5"/>
        <v>LogRuleEvaluation,0,</v>
      </c>
      <c r="AU22" s="31" t="str">
        <f t="shared" si="5"/>
        <v>ParallelSimulations,1,</v>
      </c>
      <c r="AV22" s="31" t="str">
        <f t="shared" si="5"/>
        <v>DurationStats,0,</v>
      </c>
      <c r="AW22" s="31" t="str">
        <f t="shared" si="5"/>
        <v>AnalysisThruStep,8,</v>
      </c>
      <c r="AX22" s="31" t="str">
        <f t="shared" si="5"/>
        <v>DontAbortOnErrorsThruStep,8,</v>
      </c>
      <c r="AY22" s="31" t="str">
        <f t="shared" si="5"/>
        <v>BypassValidFileChecks,1,</v>
      </c>
      <c r="AZ22" s="31" t="str">
        <f t="shared" si="5"/>
        <v>BypassInputChecks,0,</v>
      </c>
      <c r="BA22" s="31" t="str">
        <f t="shared" si="5"/>
        <v>BypassUMLHChecks,0,</v>
      </c>
      <c r="BB22" s="31" t="str">
        <f t="shared" si="5"/>
        <v>BypassCheckSimRules,0,</v>
      </c>
      <c r="BC22" s="31" t="str">
        <f t="shared" si="5"/>
        <v>BypassCheckCodeRules,0,</v>
      </c>
      <c r="BD22" s="31" t="str">
        <f t="shared" si="6"/>
        <v>StoreResultsToModelInput,1,</v>
      </c>
      <c r="BE22" s="31" t="str">
        <f t="shared" si="6"/>
        <v>StoreBEMDetails,1,</v>
      </c>
      <c r="BF22" s="31" t="str">
        <f t="shared" si="6"/>
        <v>ModelRpt_ALL,1,</v>
      </c>
      <c r="BG22" s="31" t="str">
        <f t="shared" si="6"/>
        <v>ExportHourlyResults_All,0,</v>
      </c>
      <c r="BH22" s="31" t="str">
        <f t="shared" si="6"/>
        <v>ComplianceReportPDF,0,</v>
      </c>
      <c r="BI22" s="31" t="str">
        <f t="shared" si="6"/>
        <v>ComplianceReportXML,0,</v>
      </c>
      <c r="BJ22" s="31" t="str">
        <f t="shared" si="6"/>
        <v>Quick Analyis,0,</v>
      </c>
      <c r="BK22" s="31" t="str">
        <f t="shared" si="6"/>
        <v>BypassOpenStudio_all,0,</v>
      </c>
      <c r="BL22" s="31" t="str">
        <f t="shared" si="6"/>
        <v>BypassOpenStudio_zp,0,</v>
      </c>
      <c r="BM22" s="31" t="str">
        <f t="shared" si="6"/>
        <v>BypassOpenStudio_zb,0,</v>
      </c>
      <c r="BN22" s="31" t="str">
        <f t="shared" si="6"/>
        <v>BypassOpenStudio_ap,0,</v>
      </c>
      <c r="BO22" s="31" t="str">
        <f t="shared" si="6"/>
        <v>BypassOpenStudio_ab,0,</v>
      </c>
      <c r="BP22" s="31" t="str">
        <f t="shared" si="6"/>
        <v>BypassOpenStudio_zp,0,</v>
      </c>
      <c r="BQ22" s="31" t="str">
        <f t="shared" si="6"/>
        <v>BypassOpenStudio_zb,0,</v>
      </c>
      <c r="BR22" s="31" t="str">
        <f t="shared" si="6"/>
        <v>BypassOpenStudio_ap,0,</v>
      </c>
      <c r="BS22" s="31" t="str">
        <f t="shared" si="6"/>
        <v>BypassOpenStudio_ab,0,</v>
      </c>
    </row>
    <row r="23" spans="1:75" x14ac:dyDescent="0.25">
      <c r="A23" s="39">
        <f t="shared" si="7"/>
        <v>0</v>
      </c>
      <c r="B23" s="27" t="str">
        <f t="shared" si="8"/>
        <v>Standard901Tests\.cibd</v>
      </c>
      <c r="C23" s="27" t="str">
        <f t="shared" si="4"/>
        <v>BatchOut_141219_r2896_trunk_901Std\.cibd</v>
      </c>
      <c r="D23" s="27" t="str">
        <f t="shared" si="9"/>
        <v>BatchOut_141219_r2896_trunk_901Std\XML\</v>
      </c>
      <c r="E23" s="9">
        <f t="shared" si="10"/>
        <v>0</v>
      </c>
      <c r="F23" s="22"/>
      <c r="G23" s="29"/>
      <c r="H23" s="23"/>
      <c r="I23" s="9" t="s">
        <v>11</v>
      </c>
      <c r="J23"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3" s="15" t="s">
        <v>1</v>
      </c>
      <c r="L23" s="36">
        <f t="shared" si="17"/>
        <v>0</v>
      </c>
      <c r="M23" s="32"/>
      <c r="N23" s="28"/>
      <c r="O23" s="57"/>
      <c r="P23" s="63">
        <f t="shared" si="18"/>
        <v>1</v>
      </c>
      <c r="Q23" s="65">
        <f t="shared" si="18"/>
        <v>1</v>
      </c>
      <c r="R23" s="65">
        <f t="shared" si="18"/>
        <v>0</v>
      </c>
      <c r="S23" s="65">
        <f t="shared" si="18"/>
        <v>1</v>
      </c>
      <c r="T23" s="65">
        <f t="shared" si="18"/>
        <v>0</v>
      </c>
      <c r="U23" s="65">
        <f t="shared" si="18"/>
        <v>8</v>
      </c>
      <c r="V23" s="65">
        <f t="shared" si="18"/>
        <v>8</v>
      </c>
      <c r="W23" s="65">
        <f t="shared" si="18"/>
        <v>1</v>
      </c>
      <c r="X23" s="65">
        <f t="shared" si="18"/>
        <v>0</v>
      </c>
      <c r="Y23" s="65">
        <f t="shared" si="18"/>
        <v>0</v>
      </c>
      <c r="Z23" s="65">
        <f t="shared" si="18"/>
        <v>0</v>
      </c>
      <c r="AA23" s="65">
        <f t="shared" si="18"/>
        <v>0</v>
      </c>
      <c r="AB23" s="65">
        <f t="shared" si="18"/>
        <v>1</v>
      </c>
      <c r="AC23" s="65">
        <f t="shared" si="15"/>
        <v>1</v>
      </c>
      <c r="AD23" s="65">
        <f t="shared" si="15"/>
        <v>1</v>
      </c>
      <c r="AE23" s="65">
        <f t="shared" si="15"/>
        <v>0</v>
      </c>
      <c r="AF23" s="65">
        <f t="shared" si="15"/>
        <v>0</v>
      </c>
      <c r="AG23" s="65">
        <f t="shared" si="15"/>
        <v>0</v>
      </c>
      <c r="AH23" s="65">
        <f t="shared" si="15"/>
        <v>0</v>
      </c>
      <c r="AI23" s="63">
        <f t="shared" si="15"/>
        <v>0</v>
      </c>
      <c r="AJ23" s="64">
        <f t="shared" si="15"/>
        <v>0</v>
      </c>
      <c r="AK23" s="64">
        <f t="shared" si="15"/>
        <v>0</v>
      </c>
      <c r="AL23" s="64">
        <f t="shared" si="15"/>
        <v>0</v>
      </c>
      <c r="AM23" s="66">
        <f t="shared" si="19"/>
        <v>0</v>
      </c>
      <c r="AN23" s="63">
        <f t="shared" si="19"/>
        <v>0</v>
      </c>
      <c r="AO23" s="64">
        <f t="shared" si="19"/>
        <v>0</v>
      </c>
      <c r="AP23" s="65">
        <f t="shared" si="19"/>
        <v>0</v>
      </c>
      <c r="AQ23" s="66">
        <f t="shared" si="19"/>
        <v>0</v>
      </c>
      <c r="AR23" s="31" t="str">
        <f t="shared" si="5"/>
        <v>SimulationStorage,1,</v>
      </c>
      <c r="AS23" s="31" t="str">
        <f t="shared" si="5"/>
        <v>AnalysisStorage,1,</v>
      </c>
      <c r="AT23" s="31" t="str">
        <f t="shared" si="5"/>
        <v>LogRuleEvaluation,0,</v>
      </c>
      <c r="AU23" s="31" t="str">
        <f t="shared" si="5"/>
        <v>ParallelSimulations,1,</v>
      </c>
      <c r="AV23" s="31" t="str">
        <f t="shared" si="5"/>
        <v>DurationStats,0,</v>
      </c>
      <c r="AW23" s="31" t="str">
        <f t="shared" si="5"/>
        <v>AnalysisThruStep,8,</v>
      </c>
      <c r="AX23" s="31" t="str">
        <f t="shared" si="5"/>
        <v>DontAbortOnErrorsThruStep,8,</v>
      </c>
      <c r="AY23" s="31" t="str">
        <f t="shared" si="5"/>
        <v>BypassValidFileChecks,1,</v>
      </c>
      <c r="AZ23" s="31" t="str">
        <f t="shared" si="5"/>
        <v>BypassInputChecks,0,</v>
      </c>
      <c r="BA23" s="31" t="str">
        <f t="shared" si="5"/>
        <v>BypassUMLHChecks,0,</v>
      </c>
      <c r="BB23" s="31" t="str">
        <f t="shared" si="5"/>
        <v>BypassCheckSimRules,0,</v>
      </c>
      <c r="BC23" s="31" t="str">
        <f t="shared" si="5"/>
        <v>BypassCheckCodeRules,0,</v>
      </c>
      <c r="BD23" s="31" t="str">
        <f t="shared" si="6"/>
        <v>StoreResultsToModelInput,1,</v>
      </c>
      <c r="BE23" s="31" t="str">
        <f t="shared" si="6"/>
        <v>StoreBEMDetails,1,</v>
      </c>
      <c r="BF23" s="31" t="str">
        <f t="shared" si="6"/>
        <v>ModelRpt_ALL,1,</v>
      </c>
      <c r="BG23" s="31" t="str">
        <f t="shared" si="6"/>
        <v>ExportHourlyResults_All,0,</v>
      </c>
      <c r="BH23" s="31" t="str">
        <f t="shared" si="6"/>
        <v>ComplianceReportPDF,0,</v>
      </c>
      <c r="BI23" s="31" t="str">
        <f t="shared" si="6"/>
        <v>ComplianceReportXML,0,</v>
      </c>
      <c r="BJ23" s="31" t="str">
        <f t="shared" si="6"/>
        <v>Quick Analyis,0,</v>
      </c>
      <c r="BK23" s="31" t="str">
        <f t="shared" si="6"/>
        <v>BypassOpenStudio_all,0,</v>
      </c>
      <c r="BL23" s="31" t="str">
        <f t="shared" si="6"/>
        <v>BypassOpenStudio_zp,0,</v>
      </c>
      <c r="BM23" s="31" t="str">
        <f t="shared" si="6"/>
        <v>BypassOpenStudio_zb,0,</v>
      </c>
      <c r="BN23" s="31" t="str">
        <f t="shared" si="6"/>
        <v>BypassOpenStudio_ap,0,</v>
      </c>
      <c r="BO23" s="31" t="str">
        <f t="shared" si="6"/>
        <v>BypassOpenStudio_ab,0,</v>
      </c>
      <c r="BP23" s="31" t="str">
        <f t="shared" si="6"/>
        <v>BypassOpenStudio_zp,0,</v>
      </c>
      <c r="BQ23" s="31" t="str">
        <f t="shared" si="6"/>
        <v>BypassOpenStudio_zb,0,</v>
      </c>
      <c r="BR23" s="31" t="str">
        <f t="shared" si="6"/>
        <v>BypassOpenStudio_ap,0,</v>
      </c>
      <c r="BS23" s="31" t="str">
        <f t="shared" si="6"/>
        <v>BypassOpenStudio_ab,0,</v>
      </c>
    </row>
    <row r="24" spans="1:75" x14ac:dyDescent="0.25">
      <c r="A24" s="39">
        <f t="shared" si="7"/>
        <v>0</v>
      </c>
      <c r="B24" s="27" t="str">
        <f t="shared" si="8"/>
        <v>Standard901Tests\.cibd</v>
      </c>
      <c r="C24" s="27" t="str">
        <f t="shared" si="4"/>
        <v>BatchOut_141219_r2896_trunk_901Std\.cibd</v>
      </c>
      <c r="D24" s="27" t="str">
        <f t="shared" si="9"/>
        <v>BatchOut_141219_r2896_trunk_901Std\XML\</v>
      </c>
      <c r="E24" s="9">
        <f t="shared" si="10"/>
        <v>0</v>
      </c>
      <c r="F24" s="22"/>
      <c r="G24" s="29"/>
      <c r="H24" s="23"/>
      <c r="I24" s="9" t="s">
        <v>11</v>
      </c>
      <c r="J24"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4" s="15" t="s">
        <v>1</v>
      </c>
      <c r="L24" s="36">
        <f t="shared" si="17"/>
        <v>0</v>
      </c>
      <c r="M24" s="32"/>
      <c r="N24" s="28"/>
      <c r="O24" s="57"/>
      <c r="P24" s="63">
        <f t="shared" si="18"/>
        <v>1</v>
      </c>
      <c r="Q24" s="65">
        <f t="shared" si="18"/>
        <v>1</v>
      </c>
      <c r="R24" s="65">
        <f t="shared" si="18"/>
        <v>0</v>
      </c>
      <c r="S24" s="65">
        <f t="shared" si="18"/>
        <v>1</v>
      </c>
      <c r="T24" s="65">
        <f t="shared" si="18"/>
        <v>0</v>
      </c>
      <c r="U24" s="65">
        <f t="shared" si="18"/>
        <v>8</v>
      </c>
      <c r="V24" s="65">
        <f t="shared" si="18"/>
        <v>8</v>
      </c>
      <c r="W24" s="65">
        <f t="shared" si="18"/>
        <v>1</v>
      </c>
      <c r="X24" s="65">
        <f t="shared" si="18"/>
        <v>0</v>
      </c>
      <c r="Y24" s="65">
        <f t="shared" si="18"/>
        <v>0</v>
      </c>
      <c r="Z24" s="65">
        <f t="shared" si="18"/>
        <v>0</v>
      </c>
      <c r="AA24" s="65">
        <f t="shared" si="18"/>
        <v>0</v>
      </c>
      <c r="AB24" s="65">
        <f t="shared" si="18"/>
        <v>1</v>
      </c>
      <c r="AC24" s="65">
        <f t="shared" si="15"/>
        <v>1</v>
      </c>
      <c r="AD24" s="65">
        <f t="shared" si="15"/>
        <v>1</v>
      </c>
      <c r="AE24" s="65">
        <f t="shared" si="15"/>
        <v>0</v>
      </c>
      <c r="AF24" s="65">
        <f t="shared" si="15"/>
        <v>0</v>
      </c>
      <c r="AG24" s="65">
        <f t="shared" si="15"/>
        <v>0</v>
      </c>
      <c r="AH24" s="65">
        <f t="shared" si="15"/>
        <v>0</v>
      </c>
      <c r="AI24" s="63">
        <f t="shared" si="15"/>
        <v>0</v>
      </c>
      <c r="AJ24" s="64">
        <f t="shared" si="15"/>
        <v>0</v>
      </c>
      <c r="AK24" s="64">
        <f t="shared" si="15"/>
        <v>0</v>
      </c>
      <c r="AL24" s="64">
        <f t="shared" si="15"/>
        <v>0</v>
      </c>
      <c r="AM24" s="66">
        <f t="shared" si="19"/>
        <v>0</v>
      </c>
      <c r="AN24" s="63">
        <f t="shared" si="19"/>
        <v>0</v>
      </c>
      <c r="AO24" s="64">
        <f t="shared" si="19"/>
        <v>0</v>
      </c>
      <c r="AP24" s="65">
        <f t="shared" si="19"/>
        <v>0</v>
      </c>
      <c r="AQ24" s="66">
        <f t="shared" si="19"/>
        <v>0</v>
      </c>
      <c r="AR24" s="31" t="str">
        <f t="shared" si="5"/>
        <v>SimulationStorage,1,</v>
      </c>
      <c r="AS24" s="31" t="str">
        <f t="shared" si="5"/>
        <v>AnalysisStorage,1,</v>
      </c>
      <c r="AT24" s="31" t="str">
        <f t="shared" si="5"/>
        <v>LogRuleEvaluation,0,</v>
      </c>
      <c r="AU24" s="31" t="str">
        <f t="shared" si="5"/>
        <v>ParallelSimulations,1,</v>
      </c>
      <c r="AV24" s="31" t="str">
        <f t="shared" si="5"/>
        <v>DurationStats,0,</v>
      </c>
      <c r="AW24" s="31" t="str">
        <f t="shared" si="5"/>
        <v>AnalysisThruStep,8,</v>
      </c>
      <c r="AX24" s="31" t="str">
        <f t="shared" si="5"/>
        <v>DontAbortOnErrorsThruStep,8,</v>
      </c>
      <c r="AY24" s="31" t="str">
        <f t="shared" si="5"/>
        <v>BypassValidFileChecks,1,</v>
      </c>
      <c r="AZ24" s="31" t="str">
        <f t="shared" si="5"/>
        <v>BypassInputChecks,0,</v>
      </c>
      <c r="BA24" s="31" t="str">
        <f t="shared" si="5"/>
        <v>BypassUMLHChecks,0,</v>
      </c>
      <c r="BB24" s="31" t="str">
        <f t="shared" si="5"/>
        <v>BypassCheckSimRules,0,</v>
      </c>
      <c r="BC24" s="31" t="str">
        <f t="shared" si="5"/>
        <v>BypassCheckCodeRules,0,</v>
      </c>
      <c r="BD24" s="31" t="str">
        <f t="shared" si="6"/>
        <v>StoreResultsToModelInput,1,</v>
      </c>
      <c r="BE24" s="31" t="str">
        <f t="shared" si="6"/>
        <v>StoreBEMDetails,1,</v>
      </c>
      <c r="BF24" s="31" t="str">
        <f t="shared" si="6"/>
        <v>ModelRpt_ALL,1,</v>
      </c>
      <c r="BG24" s="31" t="str">
        <f t="shared" si="6"/>
        <v>ExportHourlyResults_All,0,</v>
      </c>
      <c r="BH24" s="31" t="str">
        <f t="shared" si="6"/>
        <v>ComplianceReportPDF,0,</v>
      </c>
      <c r="BI24" s="31" t="str">
        <f t="shared" si="6"/>
        <v>ComplianceReportXML,0,</v>
      </c>
      <c r="BJ24" s="31" t="str">
        <f t="shared" si="6"/>
        <v>Quick Analyis,0,</v>
      </c>
      <c r="BK24" s="31" t="str">
        <f t="shared" si="6"/>
        <v>BypassOpenStudio_all,0,</v>
      </c>
      <c r="BL24" s="31" t="str">
        <f t="shared" si="6"/>
        <v>BypassOpenStudio_zp,0,</v>
      </c>
      <c r="BM24" s="31" t="str">
        <f t="shared" si="6"/>
        <v>BypassOpenStudio_zb,0,</v>
      </c>
      <c r="BN24" s="31" t="str">
        <f t="shared" si="6"/>
        <v>BypassOpenStudio_ap,0,</v>
      </c>
      <c r="BO24" s="31" t="str">
        <f t="shared" si="6"/>
        <v>BypassOpenStudio_ab,0,</v>
      </c>
      <c r="BP24" s="31" t="str">
        <f t="shared" si="6"/>
        <v>BypassOpenStudio_zp,0,</v>
      </c>
      <c r="BQ24" s="31" t="str">
        <f t="shared" si="6"/>
        <v>BypassOpenStudio_zb,0,</v>
      </c>
      <c r="BR24" s="31" t="str">
        <f t="shared" si="6"/>
        <v>BypassOpenStudio_ap,0,</v>
      </c>
      <c r="BS24" s="31" t="str">
        <f t="shared" si="6"/>
        <v>BypassOpenStudio_ab,0,</v>
      </c>
    </row>
    <row r="25" spans="1:75" x14ac:dyDescent="0.25">
      <c r="A25" s="39">
        <f t="shared" si="7"/>
        <v>0</v>
      </c>
      <c r="B25" s="27" t="str">
        <f t="shared" si="8"/>
        <v>Standard901Tests\.cibd</v>
      </c>
      <c r="C25" s="27" t="str">
        <f t="shared" si="4"/>
        <v>BatchOut_141219_r2896_trunk_901Std\.cibd</v>
      </c>
      <c r="D25" s="27" t="str">
        <f t="shared" si="9"/>
        <v>BatchOut_141219_r2896_trunk_901Std\XML\</v>
      </c>
      <c r="E25" s="9">
        <f t="shared" si="10"/>
        <v>0</v>
      </c>
      <c r="F25" s="22"/>
      <c r="G25" s="29"/>
      <c r="H25" s="23"/>
      <c r="I25" s="9" t="s">
        <v>11</v>
      </c>
      <c r="J25"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5" s="15" t="s">
        <v>1</v>
      </c>
      <c r="L25" s="36">
        <f t="shared" si="17"/>
        <v>0</v>
      </c>
      <c r="M25" s="32"/>
      <c r="N25" s="28"/>
      <c r="O25" s="57"/>
      <c r="P25" s="63">
        <f t="shared" si="18"/>
        <v>1</v>
      </c>
      <c r="Q25" s="65">
        <f t="shared" si="18"/>
        <v>1</v>
      </c>
      <c r="R25" s="65">
        <f t="shared" si="18"/>
        <v>0</v>
      </c>
      <c r="S25" s="65">
        <f t="shared" si="18"/>
        <v>1</v>
      </c>
      <c r="T25" s="65">
        <f t="shared" si="18"/>
        <v>0</v>
      </c>
      <c r="U25" s="65">
        <f t="shared" si="18"/>
        <v>8</v>
      </c>
      <c r="V25" s="65">
        <f t="shared" si="18"/>
        <v>8</v>
      </c>
      <c r="W25" s="65">
        <f t="shared" si="18"/>
        <v>1</v>
      </c>
      <c r="X25" s="65">
        <f t="shared" si="18"/>
        <v>0</v>
      </c>
      <c r="Y25" s="65">
        <f t="shared" si="18"/>
        <v>0</v>
      </c>
      <c r="Z25" s="65">
        <f t="shared" si="18"/>
        <v>0</v>
      </c>
      <c r="AA25" s="65">
        <f t="shared" si="18"/>
        <v>0</v>
      </c>
      <c r="AB25" s="65">
        <f t="shared" si="18"/>
        <v>1</v>
      </c>
      <c r="AC25" s="65">
        <f t="shared" si="15"/>
        <v>1</v>
      </c>
      <c r="AD25" s="65">
        <f t="shared" si="15"/>
        <v>1</v>
      </c>
      <c r="AE25" s="65">
        <f t="shared" si="15"/>
        <v>0</v>
      </c>
      <c r="AF25" s="65">
        <f t="shared" si="15"/>
        <v>0</v>
      </c>
      <c r="AG25" s="65">
        <f t="shared" si="15"/>
        <v>0</v>
      </c>
      <c r="AH25" s="65">
        <f t="shared" si="15"/>
        <v>0</v>
      </c>
      <c r="AI25" s="63">
        <f t="shared" si="15"/>
        <v>0</v>
      </c>
      <c r="AJ25" s="64">
        <f t="shared" si="15"/>
        <v>0</v>
      </c>
      <c r="AK25" s="64">
        <f t="shared" si="15"/>
        <v>0</v>
      </c>
      <c r="AL25" s="64">
        <f t="shared" si="15"/>
        <v>0</v>
      </c>
      <c r="AM25" s="66">
        <f t="shared" si="19"/>
        <v>0</v>
      </c>
      <c r="AN25" s="63">
        <f t="shared" si="19"/>
        <v>0</v>
      </c>
      <c r="AO25" s="64">
        <f t="shared" si="19"/>
        <v>0</v>
      </c>
      <c r="AP25" s="65">
        <f t="shared" si="19"/>
        <v>0</v>
      </c>
      <c r="AQ25" s="66">
        <f t="shared" si="19"/>
        <v>0</v>
      </c>
      <c r="AR25" s="31" t="str">
        <f t="shared" si="5"/>
        <v>SimulationStorage,1,</v>
      </c>
      <c r="AS25" s="31" t="str">
        <f t="shared" si="5"/>
        <v>AnalysisStorage,1,</v>
      </c>
      <c r="AT25" s="31" t="str">
        <f t="shared" si="5"/>
        <v>LogRuleEvaluation,0,</v>
      </c>
      <c r="AU25" s="31" t="str">
        <f t="shared" si="5"/>
        <v>ParallelSimulations,1,</v>
      </c>
      <c r="AV25" s="31" t="str">
        <f t="shared" si="5"/>
        <v>DurationStats,0,</v>
      </c>
      <c r="AW25" s="31" t="str">
        <f t="shared" si="5"/>
        <v>AnalysisThruStep,8,</v>
      </c>
      <c r="AX25" s="31" t="str">
        <f t="shared" si="5"/>
        <v>DontAbortOnErrorsThruStep,8,</v>
      </c>
      <c r="AY25" s="31" t="str">
        <f t="shared" si="5"/>
        <v>BypassValidFileChecks,1,</v>
      </c>
      <c r="AZ25" s="31" t="str">
        <f t="shared" si="5"/>
        <v>BypassInputChecks,0,</v>
      </c>
      <c r="BA25" s="31" t="str">
        <f t="shared" si="5"/>
        <v>BypassUMLHChecks,0,</v>
      </c>
      <c r="BB25" s="31" t="str">
        <f t="shared" si="5"/>
        <v>BypassCheckSimRules,0,</v>
      </c>
      <c r="BC25" s="31" t="str">
        <f t="shared" si="5"/>
        <v>BypassCheckCodeRules,0,</v>
      </c>
      <c r="BD25" s="31" t="str">
        <f t="shared" si="6"/>
        <v>StoreResultsToModelInput,1,</v>
      </c>
      <c r="BE25" s="31" t="str">
        <f t="shared" si="6"/>
        <v>StoreBEMDetails,1,</v>
      </c>
      <c r="BF25" s="31" t="str">
        <f t="shared" si="6"/>
        <v>ModelRpt_ALL,1,</v>
      </c>
      <c r="BG25" s="31" t="str">
        <f t="shared" si="6"/>
        <v>ExportHourlyResults_All,0,</v>
      </c>
      <c r="BH25" s="31" t="str">
        <f t="shared" si="6"/>
        <v>ComplianceReportPDF,0,</v>
      </c>
      <c r="BI25" s="31" t="str">
        <f t="shared" si="6"/>
        <v>ComplianceReportXML,0,</v>
      </c>
      <c r="BJ25" s="31" t="str">
        <f t="shared" si="6"/>
        <v>Quick Analyis,0,</v>
      </c>
      <c r="BK25" s="31" t="str">
        <f t="shared" si="6"/>
        <v>BypassOpenStudio_all,0,</v>
      </c>
      <c r="BL25" s="31" t="str">
        <f t="shared" si="6"/>
        <v>BypassOpenStudio_zp,0,</v>
      </c>
      <c r="BM25" s="31" t="str">
        <f t="shared" si="6"/>
        <v>BypassOpenStudio_zb,0,</v>
      </c>
      <c r="BN25" s="31" t="str">
        <f t="shared" si="6"/>
        <v>BypassOpenStudio_ap,0,</v>
      </c>
      <c r="BO25" s="31" t="str">
        <f t="shared" si="6"/>
        <v>BypassOpenStudio_ab,0,</v>
      </c>
      <c r="BP25" s="31" t="str">
        <f t="shared" si="6"/>
        <v>BypassOpenStudio_zp,0,</v>
      </c>
      <c r="BQ25" s="31" t="str">
        <f t="shared" si="6"/>
        <v>BypassOpenStudio_zb,0,</v>
      </c>
      <c r="BR25" s="31" t="str">
        <f t="shared" si="6"/>
        <v>BypassOpenStudio_ap,0,</v>
      </c>
      <c r="BS25" s="31" t="str">
        <f t="shared" si="6"/>
        <v>BypassOpenStudio_ab,0,</v>
      </c>
    </row>
    <row r="26" spans="1:75" x14ac:dyDescent="0.25">
      <c r="A26" s="39">
        <f t="shared" si="7"/>
        <v>0</v>
      </c>
      <c r="B26" s="27" t="str">
        <f t="shared" si="8"/>
        <v>Standard901Tests\.cibd</v>
      </c>
      <c r="C26" s="27" t="str">
        <f t="shared" si="4"/>
        <v>BatchOut_141219_r2896_trunk_901Std\.cibd</v>
      </c>
      <c r="D26" s="27" t="str">
        <f t="shared" si="9"/>
        <v>BatchOut_141219_r2896_trunk_901Std\XML\</v>
      </c>
      <c r="E26" s="9">
        <f t="shared" si="10"/>
        <v>0</v>
      </c>
      <c r="F26" s="22"/>
      <c r="G26" s="29"/>
      <c r="H26" s="23"/>
      <c r="I26" s="9" t="s">
        <v>11</v>
      </c>
      <c r="J26"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6" s="15" t="s">
        <v>1</v>
      </c>
      <c r="L26" s="36">
        <f t="shared" si="17"/>
        <v>0</v>
      </c>
      <c r="M26" s="32"/>
      <c r="N26" s="28"/>
      <c r="O26" s="57"/>
      <c r="P26" s="63">
        <f t="shared" si="18"/>
        <v>1</v>
      </c>
      <c r="Q26" s="65">
        <f t="shared" si="18"/>
        <v>1</v>
      </c>
      <c r="R26" s="65">
        <f t="shared" si="18"/>
        <v>0</v>
      </c>
      <c r="S26" s="65">
        <f t="shared" si="18"/>
        <v>1</v>
      </c>
      <c r="T26" s="65">
        <f t="shared" si="18"/>
        <v>0</v>
      </c>
      <c r="U26" s="65">
        <f t="shared" si="18"/>
        <v>8</v>
      </c>
      <c r="V26" s="65">
        <f t="shared" si="18"/>
        <v>8</v>
      </c>
      <c r="W26" s="65">
        <f t="shared" si="18"/>
        <v>1</v>
      </c>
      <c r="X26" s="65">
        <f t="shared" si="18"/>
        <v>0</v>
      </c>
      <c r="Y26" s="65">
        <f t="shared" si="18"/>
        <v>0</v>
      </c>
      <c r="Z26" s="65">
        <f t="shared" si="18"/>
        <v>0</v>
      </c>
      <c r="AA26" s="65">
        <f t="shared" si="18"/>
        <v>0</v>
      </c>
      <c r="AB26" s="65">
        <f t="shared" si="18"/>
        <v>1</v>
      </c>
      <c r="AC26" s="65">
        <f t="shared" si="15"/>
        <v>1</v>
      </c>
      <c r="AD26" s="65">
        <f t="shared" si="15"/>
        <v>1</v>
      </c>
      <c r="AE26" s="65">
        <f t="shared" si="15"/>
        <v>0</v>
      </c>
      <c r="AF26" s="65">
        <f t="shared" si="15"/>
        <v>0</v>
      </c>
      <c r="AG26" s="65">
        <f t="shared" si="15"/>
        <v>0</v>
      </c>
      <c r="AH26" s="65">
        <f t="shared" si="15"/>
        <v>0</v>
      </c>
      <c r="AI26" s="63">
        <f t="shared" si="15"/>
        <v>0</v>
      </c>
      <c r="AJ26" s="64">
        <f t="shared" si="15"/>
        <v>0</v>
      </c>
      <c r="AK26" s="64">
        <f t="shared" si="15"/>
        <v>0</v>
      </c>
      <c r="AL26" s="64">
        <f t="shared" si="15"/>
        <v>0</v>
      </c>
      <c r="AM26" s="66">
        <f t="shared" si="19"/>
        <v>0</v>
      </c>
      <c r="AN26" s="63">
        <f t="shared" si="19"/>
        <v>0</v>
      </c>
      <c r="AO26" s="64">
        <f t="shared" si="19"/>
        <v>0</v>
      </c>
      <c r="AP26" s="65">
        <f t="shared" si="19"/>
        <v>0</v>
      </c>
      <c r="AQ26" s="66">
        <f t="shared" si="19"/>
        <v>0</v>
      </c>
      <c r="AR26" s="31" t="str">
        <f t="shared" si="5"/>
        <v>SimulationStorage,1,</v>
      </c>
      <c r="AS26" s="31" t="str">
        <f t="shared" si="5"/>
        <v>AnalysisStorage,1,</v>
      </c>
      <c r="AT26" s="31" t="str">
        <f t="shared" si="5"/>
        <v>LogRuleEvaluation,0,</v>
      </c>
      <c r="AU26" s="31" t="str">
        <f t="shared" si="5"/>
        <v>ParallelSimulations,1,</v>
      </c>
      <c r="AV26" s="31" t="str">
        <f t="shared" si="5"/>
        <v>DurationStats,0,</v>
      </c>
      <c r="AW26" s="31" t="str">
        <f t="shared" si="5"/>
        <v>AnalysisThruStep,8,</v>
      </c>
      <c r="AX26" s="31" t="str">
        <f t="shared" si="5"/>
        <v>DontAbortOnErrorsThruStep,8,</v>
      </c>
      <c r="AY26" s="31" t="str">
        <f t="shared" si="5"/>
        <v>BypassValidFileChecks,1,</v>
      </c>
      <c r="AZ26" s="31" t="str">
        <f t="shared" si="5"/>
        <v>BypassInputChecks,0,</v>
      </c>
      <c r="BA26" s="31" t="str">
        <f t="shared" si="5"/>
        <v>BypassUMLHChecks,0,</v>
      </c>
      <c r="BB26" s="31" t="str">
        <f t="shared" si="5"/>
        <v>BypassCheckSimRules,0,</v>
      </c>
      <c r="BC26" s="31" t="str">
        <f t="shared" si="5"/>
        <v>BypassCheckCodeRules,0,</v>
      </c>
      <c r="BD26" s="31" t="str">
        <f t="shared" si="6"/>
        <v>StoreResultsToModelInput,1,</v>
      </c>
      <c r="BE26" s="31" t="str">
        <f t="shared" si="6"/>
        <v>StoreBEMDetails,1,</v>
      </c>
      <c r="BF26" s="31" t="str">
        <f t="shared" si="6"/>
        <v>ModelRpt_ALL,1,</v>
      </c>
      <c r="BG26" s="31" t="str">
        <f t="shared" si="6"/>
        <v>ExportHourlyResults_All,0,</v>
      </c>
      <c r="BH26" s="31" t="str">
        <f t="shared" si="6"/>
        <v>ComplianceReportPDF,0,</v>
      </c>
      <c r="BI26" s="31" t="str">
        <f t="shared" si="6"/>
        <v>ComplianceReportXML,0,</v>
      </c>
      <c r="BJ26" s="31" t="str">
        <f t="shared" si="6"/>
        <v>Quick Analyis,0,</v>
      </c>
      <c r="BK26" s="31" t="str">
        <f t="shared" si="6"/>
        <v>BypassOpenStudio_all,0,</v>
      </c>
      <c r="BL26" s="31" t="str">
        <f t="shared" si="6"/>
        <v>BypassOpenStudio_zp,0,</v>
      </c>
      <c r="BM26" s="31" t="str">
        <f t="shared" si="6"/>
        <v>BypassOpenStudio_zb,0,</v>
      </c>
      <c r="BN26" s="31" t="str">
        <f t="shared" si="6"/>
        <v>BypassOpenStudio_ap,0,</v>
      </c>
      <c r="BO26" s="31" t="str">
        <f t="shared" si="6"/>
        <v>BypassOpenStudio_ab,0,</v>
      </c>
      <c r="BP26" s="31" t="str">
        <f t="shared" si="6"/>
        <v>BypassOpenStudio_zp,0,</v>
      </c>
      <c r="BQ26" s="31" t="str">
        <f t="shared" si="6"/>
        <v>BypassOpenStudio_zb,0,</v>
      </c>
      <c r="BR26" s="31" t="str">
        <f t="shared" si="6"/>
        <v>BypassOpenStudio_ap,0,</v>
      </c>
      <c r="BS26" s="31" t="str">
        <f t="shared" si="6"/>
        <v>BypassOpenStudio_ab,0,</v>
      </c>
    </row>
    <row r="27" spans="1:75" x14ac:dyDescent="0.25">
      <c r="A27" s="39">
        <f t="shared" si="7"/>
        <v>0</v>
      </c>
      <c r="B27" s="27" t="str">
        <f t="shared" si="8"/>
        <v>Standard901Tests\.cibd</v>
      </c>
      <c r="C27" s="27" t="str">
        <f t="shared" si="4"/>
        <v>BatchOut_141219_r2896_trunk_901Std\.cibd</v>
      </c>
      <c r="D27" s="27" t="str">
        <f t="shared" si="9"/>
        <v>BatchOut_141219_r2896_trunk_901Std\XML\</v>
      </c>
      <c r="E27" s="9">
        <f t="shared" si="10"/>
        <v>0</v>
      </c>
      <c r="F27" s="22"/>
      <c r="G27" s="29"/>
      <c r="H27" s="23"/>
      <c r="I27" s="9" t="s">
        <v>11</v>
      </c>
      <c r="J27"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7" s="15" t="s">
        <v>1</v>
      </c>
      <c r="L27" s="36">
        <f t="shared" si="17"/>
        <v>0</v>
      </c>
      <c r="M27" s="32"/>
      <c r="N27" s="28"/>
      <c r="O27" s="57"/>
      <c r="P27" s="63">
        <f t="shared" si="18"/>
        <v>1</v>
      </c>
      <c r="Q27" s="65">
        <f t="shared" si="18"/>
        <v>1</v>
      </c>
      <c r="R27" s="65">
        <f t="shared" si="18"/>
        <v>0</v>
      </c>
      <c r="S27" s="65">
        <f t="shared" si="18"/>
        <v>1</v>
      </c>
      <c r="T27" s="65">
        <f t="shared" si="18"/>
        <v>0</v>
      </c>
      <c r="U27" s="65">
        <f t="shared" si="18"/>
        <v>8</v>
      </c>
      <c r="V27" s="65">
        <f t="shared" si="18"/>
        <v>8</v>
      </c>
      <c r="W27" s="65">
        <f t="shared" si="18"/>
        <v>1</v>
      </c>
      <c r="X27" s="65">
        <f t="shared" si="18"/>
        <v>0</v>
      </c>
      <c r="Y27" s="65">
        <f t="shared" si="18"/>
        <v>0</v>
      </c>
      <c r="Z27" s="65">
        <f t="shared" si="18"/>
        <v>0</v>
      </c>
      <c r="AA27" s="65">
        <f t="shared" si="18"/>
        <v>0</v>
      </c>
      <c r="AB27" s="65">
        <f t="shared" si="18"/>
        <v>1</v>
      </c>
      <c r="AC27" s="65">
        <f t="shared" si="15"/>
        <v>1</v>
      </c>
      <c r="AD27" s="65">
        <f t="shared" si="15"/>
        <v>1</v>
      </c>
      <c r="AE27" s="65">
        <f t="shared" si="15"/>
        <v>0</v>
      </c>
      <c r="AF27" s="65">
        <f t="shared" si="15"/>
        <v>0</v>
      </c>
      <c r="AG27" s="65">
        <f t="shared" si="15"/>
        <v>0</v>
      </c>
      <c r="AH27" s="65">
        <f t="shared" si="15"/>
        <v>0</v>
      </c>
      <c r="AI27" s="63">
        <f t="shared" si="15"/>
        <v>0</v>
      </c>
      <c r="AJ27" s="64">
        <f t="shared" si="15"/>
        <v>0</v>
      </c>
      <c r="AK27" s="64">
        <f t="shared" si="15"/>
        <v>0</v>
      </c>
      <c r="AL27" s="64">
        <f t="shared" si="15"/>
        <v>0</v>
      </c>
      <c r="AM27" s="66">
        <f t="shared" si="19"/>
        <v>0</v>
      </c>
      <c r="AN27" s="63">
        <f t="shared" si="19"/>
        <v>0</v>
      </c>
      <c r="AO27" s="64">
        <f t="shared" si="19"/>
        <v>0</v>
      </c>
      <c r="AP27" s="65">
        <f t="shared" si="19"/>
        <v>0</v>
      </c>
      <c r="AQ27" s="66">
        <f t="shared" si="19"/>
        <v>0</v>
      </c>
      <c r="AR27" s="31" t="str">
        <f t="shared" si="5"/>
        <v>SimulationStorage,1,</v>
      </c>
      <c r="AS27" s="31" t="str">
        <f t="shared" si="5"/>
        <v>AnalysisStorage,1,</v>
      </c>
      <c r="AT27" s="31" t="str">
        <f t="shared" si="5"/>
        <v>LogRuleEvaluation,0,</v>
      </c>
      <c r="AU27" s="31" t="str">
        <f t="shared" si="5"/>
        <v>ParallelSimulations,1,</v>
      </c>
      <c r="AV27" s="31" t="str">
        <f t="shared" si="5"/>
        <v>DurationStats,0,</v>
      </c>
      <c r="AW27" s="31" t="str">
        <f t="shared" si="5"/>
        <v>AnalysisThruStep,8,</v>
      </c>
      <c r="AX27" s="31" t="str">
        <f t="shared" si="5"/>
        <v>DontAbortOnErrorsThruStep,8,</v>
      </c>
      <c r="AY27" s="31" t="str">
        <f t="shared" si="5"/>
        <v>BypassValidFileChecks,1,</v>
      </c>
      <c r="AZ27" s="31" t="str">
        <f t="shared" si="5"/>
        <v>BypassInputChecks,0,</v>
      </c>
      <c r="BA27" s="31" t="str">
        <f t="shared" si="5"/>
        <v>BypassUMLHChecks,0,</v>
      </c>
      <c r="BB27" s="31" t="str">
        <f t="shared" si="5"/>
        <v>BypassCheckSimRules,0,</v>
      </c>
      <c r="BC27" s="31" t="str">
        <f t="shared" si="5"/>
        <v>BypassCheckCodeRules,0,</v>
      </c>
      <c r="BD27" s="31" t="str">
        <f t="shared" si="6"/>
        <v>StoreResultsToModelInput,1,</v>
      </c>
      <c r="BE27" s="31" t="str">
        <f t="shared" si="6"/>
        <v>StoreBEMDetails,1,</v>
      </c>
      <c r="BF27" s="31" t="str">
        <f t="shared" si="6"/>
        <v>ModelRpt_ALL,1,</v>
      </c>
      <c r="BG27" s="31" t="str">
        <f t="shared" si="6"/>
        <v>ExportHourlyResults_All,0,</v>
      </c>
      <c r="BH27" s="31" t="str">
        <f t="shared" si="6"/>
        <v>ComplianceReportPDF,0,</v>
      </c>
      <c r="BI27" s="31" t="str">
        <f t="shared" si="6"/>
        <v>ComplianceReportXML,0,</v>
      </c>
      <c r="BJ27" s="31" t="str">
        <f t="shared" si="6"/>
        <v>Quick Analyis,0,</v>
      </c>
      <c r="BK27" s="31" t="str">
        <f t="shared" si="6"/>
        <v>BypassOpenStudio_all,0,</v>
      </c>
      <c r="BL27" s="31" t="str">
        <f t="shared" si="6"/>
        <v>BypassOpenStudio_zp,0,</v>
      </c>
      <c r="BM27" s="31" t="str">
        <f t="shared" si="6"/>
        <v>BypassOpenStudio_zb,0,</v>
      </c>
      <c r="BN27" s="31" t="str">
        <f t="shared" si="6"/>
        <v>BypassOpenStudio_ap,0,</v>
      </c>
      <c r="BO27" s="31" t="str">
        <f t="shared" si="6"/>
        <v>BypassOpenStudio_ab,0,</v>
      </c>
      <c r="BP27" s="31" t="str">
        <f t="shared" si="6"/>
        <v>BypassOpenStudio_zp,0,</v>
      </c>
      <c r="BQ27" s="31" t="str">
        <f t="shared" si="6"/>
        <v>BypassOpenStudio_zb,0,</v>
      </c>
      <c r="BR27" s="31" t="str">
        <f t="shared" si="6"/>
        <v>BypassOpenStudio_ap,0,</v>
      </c>
      <c r="BS27" s="31" t="str">
        <f t="shared" si="6"/>
        <v>BypassOpenStudio_ab,0,</v>
      </c>
    </row>
    <row r="28" spans="1:75" x14ac:dyDescent="0.25">
      <c r="A28" s="39">
        <f t="shared" si="7"/>
        <v>0</v>
      </c>
      <c r="B28" s="27" t="str">
        <f t="shared" si="8"/>
        <v>Standard901Tests\.cibd</v>
      </c>
      <c r="C28" s="27" t="str">
        <f t="shared" si="4"/>
        <v>BatchOut_141219_r2896_trunk_901Std\.cibd</v>
      </c>
      <c r="D28" s="27" t="str">
        <f t="shared" si="9"/>
        <v>BatchOut_141219_r2896_trunk_901Std\XML\</v>
      </c>
      <c r="E28" s="9" t="str">
        <f t="shared" si="10"/>
        <v/>
      </c>
      <c r="F28" s="22"/>
      <c r="G28" s="29"/>
      <c r="H28" s="23"/>
      <c r="I28" s="9" t="s">
        <v>11</v>
      </c>
      <c r="J28"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8" s="15" t="s">
        <v>1</v>
      </c>
      <c r="L28" s="36">
        <v>0</v>
      </c>
      <c r="M28" s="32" t="str">
        <f t="shared" ref="M28:M31" si="20">LEFT(N28,6)&amp;IF(SUM(F28:H28)&gt;0,"_autosize","")</f>
        <v/>
      </c>
      <c r="N28" s="28"/>
      <c r="O28" s="57"/>
      <c r="P28" s="63">
        <f t="shared" si="18"/>
        <v>1</v>
      </c>
      <c r="Q28" s="65">
        <f t="shared" si="18"/>
        <v>1</v>
      </c>
      <c r="R28" s="65">
        <f t="shared" si="18"/>
        <v>0</v>
      </c>
      <c r="S28" s="65">
        <f t="shared" si="18"/>
        <v>1</v>
      </c>
      <c r="T28" s="65">
        <f t="shared" si="18"/>
        <v>0</v>
      </c>
      <c r="U28" s="65">
        <f t="shared" si="18"/>
        <v>8</v>
      </c>
      <c r="V28" s="65">
        <f t="shared" si="18"/>
        <v>8</v>
      </c>
      <c r="W28" s="65">
        <f t="shared" si="18"/>
        <v>1</v>
      </c>
      <c r="X28" s="65">
        <f t="shared" si="18"/>
        <v>0</v>
      </c>
      <c r="Y28" s="65">
        <f t="shared" si="18"/>
        <v>0</v>
      </c>
      <c r="Z28" s="65">
        <f t="shared" si="18"/>
        <v>0</v>
      </c>
      <c r="AA28" s="65">
        <f t="shared" si="18"/>
        <v>0</v>
      </c>
      <c r="AB28" s="65">
        <f t="shared" si="18"/>
        <v>1</v>
      </c>
      <c r="AC28" s="65">
        <f t="shared" si="15"/>
        <v>1</v>
      </c>
      <c r="AD28" s="65">
        <f t="shared" si="15"/>
        <v>1</v>
      </c>
      <c r="AE28" s="65">
        <f t="shared" si="15"/>
        <v>0</v>
      </c>
      <c r="AF28" s="65">
        <f t="shared" si="15"/>
        <v>0</v>
      </c>
      <c r="AG28" s="65">
        <f t="shared" si="15"/>
        <v>0</v>
      </c>
      <c r="AH28" s="65">
        <f t="shared" si="15"/>
        <v>0</v>
      </c>
      <c r="AI28" s="63">
        <f t="shared" si="15"/>
        <v>0</v>
      </c>
      <c r="AJ28" s="64">
        <f t="shared" si="15"/>
        <v>0</v>
      </c>
      <c r="AK28" s="64">
        <f t="shared" si="15"/>
        <v>0</v>
      </c>
      <c r="AL28" s="64">
        <f t="shared" si="15"/>
        <v>0</v>
      </c>
      <c r="AM28" s="66">
        <f t="shared" si="19"/>
        <v>0</v>
      </c>
      <c r="AN28" s="63">
        <f t="shared" si="19"/>
        <v>0</v>
      </c>
      <c r="AO28" s="64">
        <f t="shared" si="19"/>
        <v>0</v>
      </c>
      <c r="AP28" s="65">
        <f t="shared" si="19"/>
        <v>0</v>
      </c>
      <c r="AQ28" s="66">
        <f t="shared" si="19"/>
        <v>0</v>
      </c>
      <c r="AR28" s="31" t="str">
        <f t="shared" si="5"/>
        <v>SimulationStorage,1,</v>
      </c>
      <c r="AS28" s="31" t="str">
        <f t="shared" si="5"/>
        <v>AnalysisStorage,1,</v>
      </c>
      <c r="AT28" s="31" t="str">
        <f t="shared" si="5"/>
        <v>LogRuleEvaluation,0,</v>
      </c>
      <c r="AU28" s="31" t="str">
        <f t="shared" si="5"/>
        <v>ParallelSimulations,1,</v>
      </c>
      <c r="AV28" s="31" t="str">
        <f t="shared" si="5"/>
        <v>DurationStats,0,</v>
      </c>
      <c r="AW28" s="31" t="str">
        <f t="shared" si="5"/>
        <v>AnalysisThruStep,8,</v>
      </c>
      <c r="AX28" s="31" t="str">
        <f t="shared" si="5"/>
        <v>DontAbortOnErrorsThruStep,8,</v>
      </c>
      <c r="AY28" s="31" t="str">
        <f t="shared" si="5"/>
        <v>BypassValidFileChecks,1,</v>
      </c>
      <c r="AZ28" s="31" t="str">
        <f t="shared" si="5"/>
        <v>BypassInputChecks,0,</v>
      </c>
      <c r="BA28" s="31" t="str">
        <f t="shared" si="5"/>
        <v>BypassUMLHChecks,0,</v>
      </c>
      <c r="BB28" s="31" t="str">
        <f t="shared" si="5"/>
        <v>BypassCheckSimRules,0,</v>
      </c>
      <c r="BC28" s="31" t="str">
        <f t="shared" si="5"/>
        <v>BypassCheckCodeRules,0,</v>
      </c>
      <c r="BD28" s="31" t="str">
        <f t="shared" si="6"/>
        <v>StoreResultsToModelInput,1,</v>
      </c>
      <c r="BE28" s="31" t="str">
        <f t="shared" si="6"/>
        <v>StoreBEMDetails,1,</v>
      </c>
      <c r="BF28" s="31" t="str">
        <f t="shared" si="6"/>
        <v>ModelRpt_ALL,1,</v>
      </c>
      <c r="BG28" s="31" t="str">
        <f t="shared" si="6"/>
        <v>ExportHourlyResults_All,0,</v>
      </c>
      <c r="BH28" s="31" t="str">
        <f t="shared" si="6"/>
        <v>ComplianceReportPDF,0,</v>
      </c>
      <c r="BI28" s="31" t="str">
        <f t="shared" si="6"/>
        <v>ComplianceReportXML,0,</v>
      </c>
      <c r="BJ28" s="31" t="str">
        <f t="shared" si="6"/>
        <v>Quick Analyis,0,</v>
      </c>
      <c r="BK28" s="31" t="str">
        <f t="shared" si="6"/>
        <v>BypassOpenStudio_all,0,</v>
      </c>
      <c r="BL28" s="31" t="str">
        <f t="shared" si="6"/>
        <v>BypassOpenStudio_zp,0,</v>
      </c>
      <c r="BM28" s="31" t="str">
        <f t="shared" si="6"/>
        <v>BypassOpenStudio_zb,0,</v>
      </c>
      <c r="BN28" s="31" t="str">
        <f t="shared" si="6"/>
        <v>BypassOpenStudio_ap,0,</v>
      </c>
      <c r="BO28" s="31" t="str">
        <f t="shared" si="6"/>
        <v>BypassOpenStudio_ab,0,</v>
      </c>
      <c r="BP28" s="31" t="str">
        <f t="shared" si="6"/>
        <v>BypassOpenStudio_zp,0,</v>
      </c>
      <c r="BQ28" s="31" t="str">
        <f t="shared" si="6"/>
        <v>BypassOpenStudio_zb,0,</v>
      </c>
      <c r="BR28" s="31" t="str">
        <f t="shared" si="6"/>
        <v>BypassOpenStudio_ap,0,</v>
      </c>
      <c r="BS28" s="31" t="str">
        <f t="shared" si="6"/>
        <v>BypassOpenStudio_ab,0,</v>
      </c>
    </row>
    <row r="29" spans="1:75" x14ac:dyDescent="0.25">
      <c r="A29" s="39">
        <f>L29</f>
        <v>0</v>
      </c>
      <c r="B29" s="27" t="str">
        <f t="shared" si="8"/>
        <v>Standard901Tests\.cibd</v>
      </c>
      <c r="C29" s="27" t="str">
        <f xml:space="preserve"> M$12 &amp; O29 &amp; ".cibd"</f>
        <v>BatchOut_141219_r2896_trunk_901Std\.cibd</v>
      </c>
      <c r="D29" s="27" t="str">
        <f t="shared" si="9"/>
        <v>BatchOut_141219_r2896_trunk_901Std\XML\</v>
      </c>
      <c r="E29" s="9" t="str">
        <f>M29</f>
        <v/>
      </c>
      <c r="F29" s="22"/>
      <c r="G29" s="29"/>
      <c r="H29" s="23"/>
      <c r="I29" s="9" t="s">
        <v>11</v>
      </c>
      <c r="J29"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29" s="15" t="s">
        <v>1</v>
      </c>
      <c r="L29" s="36">
        <f t="shared" si="17"/>
        <v>0</v>
      </c>
      <c r="M29" s="32" t="str">
        <f t="shared" ref="M29:M30" si="21">LEFT(N29,6)&amp;IF(SUM(F29:H29)&gt;0,"_autosize","")</f>
        <v/>
      </c>
      <c r="N29" s="28"/>
      <c r="O29" s="57"/>
      <c r="P29" s="63">
        <f t="shared" si="18"/>
        <v>1</v>
      </c>
      <c r="Q29" s="65">
        <f t="shared" si="18"/>
        <v>1</v>
      </c>
      <c r="R29" s="65">
        <f t="shared" si="18"/>
        <v>0</v>
      </c>
      <c r="S29" s="65">
        <f t="shared" si="18"/>
        <v>1</v>
      </c>
      <c r="T29" s="65">
        <f t="shared" si="18"/>
        <v>0</v>
      </c>
      <c r="U29" s="65">
        <f t="shared" si="18"/>
        <v>8</v>
      </c>
      <c r="V29" s="65">
        <f t="shared" si="18"/>
        <v>8</v>
      </c>
      <c r="W29" s="65">
        <f t="shared" si="18"/>
        <v>1</v>
      </c>
      <c r="X29" s="65">
        <f t="shared" si="18"/>
        <v>0</v>
      </c>
      <c r="Y29" s="65">
        <f t="shared" si="18"/>
        <v>0</v>
      </c>
      <c r="Z29" s="65">
        <f t="shared" si="18"/>
        <v>0</v>
      </c>
      <c r="AA29" s="65">
        <f t="shared" si="18"/>
        <v>0</v>
      </c>
      <c r="AB29" s="65">
        <f t="shared" si="18"/>
        <v>1</v>
      </c>
      <c r="AC29" s="65">
        <f t="shared" si="15"/>
        <v>1</v>
      </c>
      <c r="AD29" s="65">
        <f t="shared" si="15"/>
        <v>1</v>
      </c>
      <c r="AE29" s="65">
        <f t="shared" si="15"/>
        <v>0</v>
      </c>
      <c r="AF29" s="65">
        <f t="shared" si="15"/>
        <v>0</v>
      </c>
      <c r="AG29" s="65">
        <f t="shared" si="15"/>
        <v>0</v>
      </c>
      <c r="AH29" s="65">
        <f t="shared" si="15"/>
        <v>0</v>
      </c>
      <c r="AI29" s="63">
        <f t="shared" si="15"/>
        <v>0</v>
      </c>
      <c r="AJ29" s="64">
        <f t="shared" si="15"/>
        <v>0</v>
      </c>
      <c r="AK29" s="64">
        <f t="shared" si="15"/>
        <v>0</v>
      </c>
      <c r="AL29" s="64">
        <f t="shared" si="15"/>
        <v>0</v>
      </c>
      <c r="AM29" s="66">
        <f t="shared" si="19"/>
        <v>0</v>
      </c>
      <c r="AN29" s="63">
        <f t="shared" si="19"/>
        <v>0</v>
      </c>
      <c r="AO29" s="64">
        <f t="shared" si="19"/>
        <v>0</v>
      </c>
      <c r="AP29" s="65">
        <f t="shared" si="19"/>
        <v>0</v>
      </c>
      <c r="AQ29" s="66">
        <f t="shared" si="19"/>
        <v>0</v>
      </c>
      <c r="AR29" s="31" t="str">
        <f t="shared" si="5"/>
        <v>SimulationStorage,1,</v>
      </c>
      <c r="AS29" s="31" t="str">
        <f t="shared" si="5"/>
        <v>AnalysisStorage,1,</v>
      </c>
      <c r="AT29" s="31" t="str">
        <f t="shared" si="5"/>
        <v>LogRuleEvaluation,0,</v>
      </c>
      <c r="AU29" s="31" t="str">
        <f t="shared" si="5"/>
        <v>ParallelSimulations,1,</v>
      </c>
      <c r="AV29" s="31" t="str">
        <f t="shared" si="5"/>
        <v>DurationStats,0,</v>
      </c>
      <c r="AW29" s="31" t="str">
        <f t="shared" si="5"/>
        <v>AnalysisThruStep,8,</v>
      </c>
      <c r="AX29" s="31" t="str">
        <f t="shared" si="5"/>
        <v>DontAbortOnErrorsThruStep,8,</v>
      </c>
      <c r="AY29" s="31" t="str">
        <f t="shared" si="5"/>
        <v>BypassValidFileChecks,1,</v>
      </c>
      <c r="AZ29" s="31" t="str">
        <f t="shared" si="5"/>
        <v>BypassInputChecks,0,</v>
      </c>
      <c r="BA29" s="31" t="str">
        <f t="shared" si="5"/>
        <v>BypassUMLHChecks,0,</v>
      </c>
      <c r="BB29" s="31" t="str">
        <f t="shared" si="5"/>
        <v>BypassCheckSimRules,0,</v>
      </c>
      <c r="BC29" s="31" t="str">
        <f t="shared" si="5"/>
        <v>BypassCheckCodeRules,0,</v>
      </c>
      <c r="BD29" s="31" t="str">
        <f t="shared" si="6"/>
        <v>StoreResultsToModelInput,1,</v>
      </c>
      <c r="BE29" s="31" t="str">
        <f t="shared" si="6"/>
        <v>StoreBEMDetails,1,</v>
      </c>
      <c r="BF29" s="31" t="str">
        <f t="shared" si="6"/>
        <v>ModelRpt_ALL,1,</v>
      </c>
      <c r="BG29" s="31" t="str">
        <f t="shared" si="6"/>
        <v>ExportHourlyResults_All,0,</v>
      </c>
      <c r="BH29" s="31" t="str">
        <f t="shared" si="6"/>
        <v>ComplianceReportPDF,0,</v>
      </c>
      <c r="BI29" s="31" t="str">
        <f t="shared" si="6"/>
        <v>ComplianceReportXML,0,</v>
      </c>
      <c r="BJ29" s="31" t="str">
        <f t="shared" si="6"/>
        <v>Quick Analyis,0,</v>
      </c>
      <c r="BK29" s="31" t="str">
        <f t="shared" si="6"/>
        <v>BypassOpenStudio_all,0,</v>
      </c>
      <c r="BL29" s="31" t="str">
        <f t="shared" si="6"/>
        <v>BypassOpenStudio_zp,0,</v>
      </c>
      <c r="BM29" s="31" t="str">
        <f t="shared" si="6"/>
        <v>BypassOpenStudio_zb,0,</v>
      </c>
      <c r="BN29" s="31" t="str">
        <f t="shared" si="6"/>
        <v>BypassOpenStudio_ap,0,</v>
      </c>
      <c r="BO29" s="31" t="str">
        <f t="shared" si="6"/>
        <v>BypassOpenStudio_ab,0,</v>
      </c>
      <c r="BP29" s="31" t="str">
        <f t="shared" si="6"/>
        <v>BypassOpenStudio_zp,0,</v>
      </c>
      <c r="BQ29" s="31" t="str">
        <f t="shared" si="6"/>
        <v>BypassOpenStudio_zb,0,</v>
      </c>
      <c r="BR29" s="31" t="str">
        <f t="shared" si="6"/>
        <v>BypassOpenStudio_ap,0,</v>
      </c>
      <c r="BS29" s="31" t="str">
        <f t="shared" si="6"/>
        <v>BypassOpenStudio_ab,0,</v>
      </c>
    </row>
    <row r="30" spans="1:75" x14ac:dyDescent="0.25">
      <c r="A30" s="39">
        <f>L30</f>
        <v>0</v>
      </c>
      <c r="B30" s="27" t="str">
        <f t="shared" si="8"/>
        <v>Standard901Tests\.cibd</v>
      </c>
      <c r="C30" s="27" t="str">
        <f xml:space="preserve"> M$12 &amp; O30 &amp; ".cibd"</f>
        <v>BatchOut_141219_r2896_trunk_901Std\.cibd</v>
      </c>
      <c r="D30" s="27" t="str">
        <f t="shared" si="9"/>
        <v>BatchOut_141219_r2896_trunk_901Std\XML\</v>
      </c>
      <c r="E30" s="9" t="str">
        <f>M30</f>
        <v/>
      </c>
      <c r="F30" s="22"/>
      <c r="G30" s="29"/>
      <c r="H30" s="23"/>
      <c r="I30" s="9" t="s">
        <v>11</v>
      </c>
      <c r="J30"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30" s="15" t="s">
        <v>1</v>
      </c>
      <c r="L30" s="36">
        <f t="shared" si="17"/>
        <v>0</v>
      </c>
      <c r="M30" s="32" t="str">
        <f t="shared" si="21"/>
        <v/>
      </c>
      <c r="N30" s="28"/>
      <c r="O30" s="57"/>
      <c r="P30" s="63">
        <f t="shared" si="18"/>
        <v>1</v>
      </c>
      <c r="Q30" s="65">
        <f t="shared" si="18"/>
        <v>1</v>
      </c>
      <c r="R30" s="65">
        <f t="shared" si="18"/>
        <v>0</v>
      </c>
      <c r="S30" s="65">
        <f t="shared" si="18"/>
        <v>1</v>
      </c>
      <c r="T30" s="65">
        <f t="shared" si="18"/>
        <v>0</v>
      </c>
      <c r="U30" s="65">
        <f t="shared" si="18"/>
        <v>8</v>
      </c>
      <c r="V30" s="65">
        <f t="shared" si="18"/>
        <v>8</v>
      </c>
      <c r="W30" s="65">
        <f t="shared" si="18"/>
        <v>1</v>
      </c>
      <c r="X30" s="65">
        <f t="shared" si="18"/>
        <v>0</v>
      </c>
      <c r="Y30" s="65">
        <f t="shared" si="18"/>
        <v>0</v>
      </c>
      <c r="Z30" s="65">
        <f t="shared" si="18"/>
        <v>0</v>
      </c>
      <c r="AA30" s="65">
        <f t="shared" si="18"/>
        <v>0</v>
      </c>
      <c r="AB30" s="65">
        <f t="shared" si="18"/>
        <v>1</v>
      </c>
      <c r="AC30" s="65">
        <f t="shared" si="15"/>
        <v>1</v>
      </c>
      <c r="AD30" s="65">
        <f t="shared" si="15"/>
        <v>1</v>
      </c>
      <c r="AE30" s="65">
        <f t="shared" si="15"/>
        <v>0</v>
      </c>
      <c r="AF30" s="65">
        <f t="shared" si="15"/>
        <v>0</v>
      </c>
      <c r="AG30" s="65">
        <f t="shared" si="15"/>
        <v>0</v>
      </c>
      <c r="AH30" s="65">
        <f t="shared" si="15"/>
        <v>0</v>
      </c>
      <c r="AI30" s="63">
        <f t="shared" si="15"/>
        <v>0</v>
      </c>
      <c r="AJ30" s="64">
        <f t="shared" si="15"/>
        <v>0</v>
      </c>
      <c r="AK30" s="64">
        <f t="shared" si="15"/>
        <v>0</v>
      </c>
      <c r="AL30" s="64">
        <f t="shared" si="15"/>
        <v>0</v>
      </c>
      <c r="AM30" s="66">
        <f t="shared" si="19"/>
        <v>0</v>
      </c>
      <c r="AN30" s="63">
        <f t="shared" si="19"/>
        <v>0</v>
      </c>
      <c r="AO30" s="64">
        <f t="shared" si="19"/>
        <v>0</v>
      </c>
      <c r="AP30" s="65">
        <f t="shared" si="19"/>
        <v>0</v>
      </c>
      <c r="AQ30" s="66">
        <f t="shared" si="19"/>
        <v>0</v>
      </c>
      <c r="AR30" s="31" t="str">
        <f t="shared" si="5"/>
        <v>SimulationStorage,1,</v>
      </c>
      <c r="AS30" s="31" t="str">
        <f t="shared" si="5"/>
        <v>AnalysisStorage,1,</v>
      </c>
      <c r="AT30" s="31" t="str">
        <f t="shared" si="5"/>
        <v>LogRuleEvaluation,0,</v>
      </c>
      <c r="AU30" s="31" t="str">
        <f t="shared" si="5"/>
        <v>ParallelSimulations,1,</v>
      </c>
      <c r="AV30" s="31" t="str">
        <f t="shared" si="5"/>
        <v>DurationStats,0,</v>
      </c>
      <c r="AW30" s="31" t="str">
        <f t="shared" si="5"/>
        <v>AnalysisThruStep,8,</v>
      </c>
      <c r="AX30" s="31" t="str">
        <f t="shared" si="5"/>
        <v>DontAbortOnErrorsThruStep,8,</v>
      </c>
      <c r="AY30" s="31" t="str">
        <f t="shared" si="5"/>
        <v>BypassValidFileChecks,1,</v>
      </c>
      <c r="AZ30" s="31" t="str">
        <f t="shared" si="5"/>
        <v>BypassInputChecks,0,</v>
      </c>
      <c r="BA30" s="31" t="str">
        <f t="shared" si="5"/>
        <v>BypassUMLHChecks,0,</v>
      </c>
      <c r="BB30" s="31" t="str">
        <f t="shared" si="5"/>
        <v>BypassCheckSimRules,0,</v>
      </c>
      <c r="BC30" s="31" t="str">
        <f t="shared" si="5"/>
        <v>BypassCheckCodeRules,0,</v>
      </c>
      <c r="BD30" s="31" t="str">
        <f t="shared" si="6"/>
        <v>StoreResultsToModelInput,1,</v>
      </c>
      <c r="BE30" s="31" t="str">
        <f t="shared" si="6"/>
        <v>StoreBEMDetails,1,</v>
      </c>
      <c r="BF30" s="31" t="str">
        <f t="shared" si="6"/>
        <v>ModelRpt_ALL,1,</v>
      </c>
      <c r="BG30" s="31" t="str">
        <f t="shared" si="6"/>
        <v>ExportHourlyResults_All,0,</v>
      </c>
      <c r="BH30" s="31" t="str">
        <f t="shared" si="6"/>
        <v>ComplianceReportPDF,0,</v>
      </c>
      <c r="BI30" s="31" t="str">
        <f t="shared" si="6"/>
        <v>ComplianceReportXML,0,</v>
      </c>
      <c r="BJ30" s="31" t="str">
        <f t="shared" si="6"/>
        <v>Quick Analyis,0,</v>
      </c>
      <c r="BK30" s="31" t="str">
        <f t="shared" si="6"/>
        <v>BypassOpenStudio_all,0,</v>
      </c>
      <c r="BL30" s="31" t="str">
        <f t="shared" si="6"/>
        <v>BypassOpenStudio_zp,0,</v>
      </c>
      <c r="BM30" s="31" t="str">
        <f t="shared" si="6"/>
        <v>BypassOpenStudio_zb,0,</v>
      </c>
      <c r="BN30" s="31" t="str">
        <f t="shared" si="6"/>
        <v>BypassOpenStudio_ap,0,</v>
      </c>
      <c r="BO30" s="31" t="str">
        <f t="shared" si="6"/>
        <v>BypassOpenStudio_ab,0,</v>
      </c>
      <c r="BP30" s="31" t="str">
        <f t="shared" si="6"/>
        <v>BypassOpenStudio_zp,0,</v>
      </c>
      <c r="BQ30" s="31" t="str">
        <f t="shared" si="6"/>
        <v>BypassOpenStudio_zb,0,</v>
      </c>
      <c r="BR30" s="31" t="str">
        <f t="shared" si="6"/>
        <v>BypassOpenStudio_ap,0,</v>
      </c>
      <c r="BS30" s="31" t="str">
        <f t="shared" si="6"/>
        <v>BypassOpenStudio_ab,0,</v>
      </c>
    </row>
    <row r="31" spans="1:75" x14ac:dyDescent="0.25">
      <c r="A31" s="39">
        <f t="shared" si="7"/>
        <v>0</v>
      </c>
      <c r="B31" s="27" t="str">
        <f t="shared" si="8"/>
        <v>Standard901Tests\.cibd</v>
      </c>
      <c r="C31" s="27" t="str">
        <f t="shared" si="4"/>
        <v>BatchOut_141219_r2896_trunk_901Std\.cibd</v>
      </c>
      <c r="D31" s="27" t="str">
        <f t="shared" si="9"/>
        <v>BatchOut_141219_r2896_trunk_901Std\XML\</v>
      </c>
      <c r="E31" s="9" t="str">
        <f>M31</f>
        <v/>
      </c>
      <c r="F31" s="22"/>
      <c r="G31" s="29"/>
      <c r="H31" s="23"/>
      <c r="I31" s="9" t="s">
        <v>11</v>
      </c>
      <c r="J31" s="94" t="str">
        <f t="shared" si="11"/>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31" s="15" t="s">
        <v>1</v>
      </c>
      <c r="L31" s="36">
        <f t="shared" si="17"/>
        <v>0</v>
      </c>
      <c r="M31" s="32" t="str">
        <f t="shared" si="20"/>
        <v/>
      </c>
      <c r="N31" s="28"/>
      <c r="O31" s="57"/>
      <c r="P31" s="63">
        <f t="shared" si="18"/>
        <v>1</v>
      </c>
      <c r="Q31" s="65">
        <f t="shared" si="18"/>
        <v>1</v>
      </c>
      <c r="R31" s="65">
        <f t="shared" si="18"/>
        <v>0</v>
      </c>
      <c r="S31" s="65">
        <f t="shared" si="18"/>
        <v>1</v>
      </c>
      <c r="T31" s="65">
        <f t="shared" si="18"/>
        <v>0</v>
      </c>
      <c r="U31" s="65">
        <f t="shared" si="18"/>
        <v>8</v>
      </c>
      <c r="V31" s="65">
        <f t="shared" si="18"/>
        <v>8</v>
      </c>
      <c r="W31" s="65">
        <f t="shared" si="18"/>
        <v>1</v>
      </c>
      <c r="X31" s="65">
        <f t="shared" si="18"/>
        <v>0</v>
      </c>
      <c r="Y31" s="65">
        <f t="shared" si="18"/>
        <v>0</v>
      </c>
      <c r="Z31" s="65">
        <f t="shared" si="18"/>
        <v>0</v>
      </c>
      <c r="AA31" s="65">
        <f t="shared" si="18"/>
        <v>0</v>
      </c>
      <c r="AB31" s="65">
        <f t="shared" si="18"/>
        <v>1</v>
      </c>
      <c r="AC31" s="65">
        <f t="shared" si="15"/>
        <v>1</v>
      </c>
      <c r="AD31" s="65">
        <f t="shared" si="15"/>
        <v>1</v>
      </c>
      <c r="AE31" s="65">
        <f t="shared" si="15"/>
        <v>0</v>
      </c>
      <c r="AF31" s="65">
        <f t="shared" si="15"/>
        <v>0</v>
      </c>
      <c r="AG31" s="65">
        <f t="shared" si="15"/>
        <v>0</v>
      </c>
      <c r="AH31" s="65">
        <f t="shared" si="15"/>
        <v>0</v>
      </c>
      <c r="AI31" s="63">
        <f t="shared" si="15"/>
        <v>0</v>
      </c>
      <c r="AJ31" s="64">
        <f t="shared" si="15"/>
        <v>0</v>
      </c>
      <c r="AK31" s="64">
        <f t="shared" si="15"/>
        <v>0</v>
      </c>
      <c r="AL31" s="64">
        <f t="shared" si="15"/>
        <v>0</v>
      </c>
      <c r="AM31" s="66">
        <f t="shared" si="19"/>
        <v>0</v>
      </c>
      <c r="AN31" s="63">
        <f t="shared" si="19"/>
        <v>0</v>
      </c>
      <c r="AO31" s="64">
        <f t="shared" si="19"/>
        <v>0</v>
      </c>
      <c r="AP31" s="65">
        <f t="shared" si="19"/>
        <v>0</v>
      </c>
      <c r="AQ31" s="66">
        <f t="shared" si="19"/>
        <v>0</v>
      </c>
      <c r="AR31" s="31" t="str">
        <f t="shared" si="5"/>
        <v>SimulationStorage,1,</v>
      </c>
      <c r="AS31" s="31" t="str">
        <f t="shared" si="5"/>
        <v>AnalysisStorage,1,</v>
      </c>
      <c r="AT31" s="31" t="str">
        <f t="shared" si="5"/>
        <v>LogRuleEvaluation,0,</v>
      </c>
      <c r="AU31" s="31" t="str">
        <f t="shared" si="5"/>
        <v>ParallelSimulations,1,</v>
      </c>
      <c r="AV31" s="31" t="str">
        <f t="shared" si="5"/>
        <v>DurationStats,0,</v>
      </c>
      <c r="AW31" s="31" t="str">
        <f t="shared" si="5"/>
        <v>AnalysisThruStep,8,</v>
      </c>
      <c r="AX31" s="31" t="str">
        <f t="shared" si="5"/>
        <v>DontAbortOnErrorsThruStep,8,</v>
      </c>
      <c r="AY31" s="31" t="str">
        <f t="shared" si="5"/>
        <v>BypassValidFileChecks,1,</v>
      </c>
      <c r="AZ31" s="31" t="str">
        <f t="shared" si="5"/>
        <v>BypassInputChecks,0,</v>
      </c>
      <c r="BA31" s="31" t="str">
        <f t="shared" si="5"/>
        <v>BypassUMLHChecks,0,</v>
      </c>
      <c r="BB31" s="31" t="str">
        <f t="shared" si="5"/>
        <v>BypassCheckSimRules,0,</v>
      </c>
      <c r="BC31" s="31" t="str">
        <f t="shared" si="5"/>
        <v>BypassCheckCodeRules,0,</v>
      </c>
      <c r="BD31" s="31" t="str">
        <f t="shared" si="6"/>
        <v>StoreResultsToModelInput,1,</v>
      </c>
      <c r="BE31" s="31" t="str">
        <f t="shared" si="6"/>
        <v>StoreBEMDetails,1,</v>
      </c>
      <c r="BF31" s="31" t="str">
        <f t="shared" si="6"/>
        <v>ModelRpt_ALL,1,</v>
      </c>
      <c r="BG31" s="31" t="str">
        <f t="shared" si="6"/>
        <v>ExportHourlyResults_All,0,</v>
      </c>
      <c r="BH31" s="31" t="str">
        <f t="shared" si="6"/>
        <v>ComplianceReportPDF,0,</v>
      </c>
      <c r="BI31" s="31" t="str">
        <f t="shared" si="6"/>
        <v>ComplianceReportXML,0,</v>
      </c>
      <c r="BJ31" s="31" t="str">
        <f t="shared" si="6"/>
        <v>Quick Analyis,0,</v>
      </c>
      <c r="BK31" s="31" t="str">
        <f t="shared" si="6"/>
        <v>BypassOpenStudio_all,0,</v>
      </c>
      <c r="BL31" s="31" t="str">
        <f t="shared" si="6"/>
        <v>BypassOpenStudio_zp,0,</v>
      </c>
      <c r="BM31" s="31" t="str">
        <f t="shared" si="6"/>
        <v>BypassOpenStudio_zb,0,</v>
      </c>
      <c r="BN31" s="31" t="str">
        <f t="shared" si="6"/>
        <v>BypassOpenStudio_ap,0,</v>
      </c>
      <c r="BO31" s="31" t="str">
        <f t="shared" si="6"/>
        <v>BypassOpenStudio_ab,0,</v>
      </c>
      <c r="BP31" s="31" t="str">
        <f t="shared" si="6"/>
        <v>BypassOpenStudio_zp,0,</v>
      </c>
      <c r="BQ31" s="31" t="str">
        <f t="shared" si="6"/>
        <v>BypassOpenStudio_zb,0,</v>
      </c>
      <c r="BR31" s="31" t="str">
        <f t="shared" si="6"/>
        <v>BypassOpenStudio_ap,0,</v>
      </c>
      <c r="BS31" s="31" t="str">
        <f t="shared" si="6"/>
        <v>BypassOpenStudio_ab,0,</v>
      </c>
    </row>
    <row r="32" spans="1:75" customFormat="1" x14ac:dyDescent="0.25">
      <c r="A32" t="s">
        <v>1</v>
      </c>
      <c r="J32" s="90"/>
      <c r="K32" s="15"/>
      <c r="L32" s="96"/>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row>
    <row r="33" spans="1:73" x14ac:dyDescent="0.25">
      <c r="A33" s="1" t="s">
        <v>1</v>
      </c>
      <c r="B33"/>
      <c r="C33"/>
      <c r="D33" s="30"/>
      <c r="E33" s="16"/>
      <c r="F33" s="16"/>
      <c r="G33" s="16"/>
      <c r="H33" s="16"/>
      <c r="K33" s="15"/>
      <c r="L33" s="36" t="s">
        <v>343</v>
      </c>
      <c r="M33" s="78" t="s">
        <v>165</v>
      </c>
    </row>
    <row r="34" spans="1:73" x14ac:dyDescent="0.25">
      <c r="A34" s="1" t="s">
        <v>1</v>
      </c>
      <c r="B34"/>
      <c r="C34"/>
      <c r="D34" s="30"/>
      <c r="K34" s="15"/>
      <c r="L34" s="37" t="s">
        <v>45</v>
      </c>
      <c r="M34" s="53">
        <f>$M$7</f>
        <v>141219</v>
      </c>
    </row>
    <row r="35" spans="1:73" x14ac:dyDescent="0.25">
      <c r="A35" s="1" t="s">
        <v>1</v>
      </c>
      <c r="B35"/>
      <c r="C35"/>
      <c r="D35" s="30"/>
      <c r="K35" s="15"/>
      <c r="L35" s="14" t="s">
        <v>46</v>
      </c>
      <c r="M35" s="53" t="str">
        <f>$M$8</f>
        <v>r2896_trunk</v>
      </c>
      <c r="N35" s="52"/>
    </row>
    <row r="36" spans="1:73" x14ac:dyDescent="0.25">
      <c r="A36" s="1" t="s">
        <v>1</v>
      </c>
      <c r="B36"/>
      <c r="C36"/>
      <c r="D36" s="30"/>
      <c r="E36" s="30"/>
      <c r="F36" s="30"/>
      <c r="G36" s="30"/>
      <c r="H36" s="30"/>
      <c r="I36" s="26"/>
      <c r="K36" s="15"/>
      <c r="L36" s="35" t="s">
        <v>39</v>
      </c>
      <c r="M36" s="53" t="str">
        <f>$M$10</f>
        <v>BatchResults_141219_r2896_trunk.csv</v>
      </c>
      <c r="N36" s="1" t="s">
        <v>48</v>
      </c>
    </row>
    <row r="37" spans="1:73" x14ac:dyDescent="0.25">
      <c r="A37" s="1" t="s">
        <v>1</v>
      </c>
      <c r="K37" s="15"/>
      <c r="L37" s="14" t="s">
        <v>16</v>
      </c>
      <c r="M37" s="28" t="s">
        <v>344</v>
      </c>
      <c r="N37" s="1" t="s">
        <v>47</v>
      </c>
      <c r="AI37" s="104"/>
      <c r="AJ37" s="104"/>
      <c r="AK37" s="104"/>
      <c r="AL37" s="104"/>
      <c r="AM37" s="104"/>
      <c r="AN37" s="104"/>
      <c r="AO37" s="104"/>
      <c r="AP37" s="104"/>
      <c r="AQ37" s="104"/>
    </row>
    <row r="38" spans="1:73" x14ac:dyDescent="0.25">
      <c r="A38" s="1" t="s">
        <v>1</v>
      </c>
      <c r="K38" s="15"/>
      <c r="L38" s="14" t="s">
        <v>17</v>
      </c>
      <c r="M38" s="54" t="str">
        <f>"BatchOut"&amp;"_"&amp;M34&amp;"_"&amp;M35&amp;"_"&amp;L33&amp;"\"</f>
        <v>BatchOut_141219_r2896_trunk_901OT\</v>
      </c>
      <c r="N38" s="1" t="s">
        <v>47</v>
      </c>
    </row>
    <row r="39" spans="1:73" x14ac:dyDescent="0.25">
      <c r="A39" s="1" t="s">
        <v>1</v>
      </c>
      <c r="K39" s="15"/>
      <c r="L39" s="14" t="s">
        <v>42</v>
      </c>
      <c r="M39" s="54" t="str">
        <f>M38&amp;"XML\"</f>
        <v>BatchOut_141219_r2896_trunk_901OT\XML\</v>
      </c>
      <c r="N39" s="1" t="s">
        <v>47</v>
      </c>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row>
    <row r="40" spans="1:73" s="46" customFormat="1" x14ac:dyDescent="0.25">
      <c r="A40" s="12" t="s">
        <v>1</v>
      </c>
      <c r="B40" s="8"/>
      <c r="C40" s="8"/>
      <c r="D40" s="8"/>
      <c r="E40" s="8"/>
      <c r="F40" s="19"/>
      <c r="G40" s="21"/>
      <c r="H40" s="20"/>
      <c r="I40" s="8"/>
      <c r="J40" s="93"/>
      <c r="K40" s="15"/>
      <c r="L40" s="42"/>
      <c r="M40" s="43"/>
      <c r="N40" s="40"/>
      <c r="O40" s="40"/>
      <c r="P40" s="56"/>
      <c r="Q40" s="56"/>
      <c r="R40" s="44"/>
      <c r="S40" s="44"/>
      <c r="T40" s="44"/>
      <c r="U40" s="44"/>
      <c r="V40" s="45"/>
      <c r="W40" s="44"/>
      <c r="X40" s="44"/>
      <c r="Y40" s="44"/>
      <c r="Z40" s="44"/>
      <c r="AA40" s="44"/>
      <c r="AB40" s="44"/>
      <c r="AC40" s="44"/>
      <c r="AD40" s="45"/>
      <c r="AE40" s="45"/>
      <c r="AF40" s="45"/>
      <c r="AG40" s="45"/>
      <c r="AH40" s="45"/>
      <c r="AI40" s="43"/>
      <c r="AJ40" s="43"/>
      <c r="AK40" s="43"/>
      <c r="AL40" s="43"/>
      <c r="AM40" s="43"/>
      <c r="AN40" s="43"/>
      <c r="AO40" s="43"/>
      <c r="AP40" s="43"/>
      <c r="AQ40" s="43"/>
      <c r="AR40" s="62"/>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row>
    <row r="41" spans="1:73" x14ac:dyDescent="0.25">
      <c r="A41" s="39">
        <f t="shared" ref="A41:A46" si="22">L41</f>
        <v>1</v>
      </c>
      <c r="B41" s="27" t="str">
        <f>M$37&amp;N41&amp;".cibd"</f>
        <v>Standard901Tests\Other Tests\Models\HotSml-S901G_Sys2-6.cibd</v>
      </c>
      <c r="C41" s="27" t="str">
        <f xml:space="preserve"> M$38 &amp; O41 &amp; ".cibd"</f>
        <v>BatchOut_141219_r2896_trunk_901OT\HotSml-S901G_Sys2-6.cibd</v>
      </c>
      <c r="D41" s="27" t="str">
        <f>$M$39</f>
        <v>BatchOut_141219_r2896_trunk_901OT\XML\</v>
      </c>
      <c r="E41" s="9" t="str">
        <f>M41</f>
        <v>HotSml-S901G_Sys2-6</v>
      </c>
      <c r="F41" s="22"/>
      <c r="G41" s="29"/>
      <c r="H41" s="23" t="str">
        <f>IF(F41&gt;1,1,"")</f>
        <v/>
      </c>
      <c r="I41" s="9" t="s">
        <v>11</v>
      </c>
      <c r="J41" s="94" t="str">
        <f t="shared" ref="J41:J46" si="23">CONCATENATE(AR41,AS41,AT41,AU41,AV41,AW41,AX41,AY41,AZ41,BA41,BB41,BC41,BD41,BE41,BF41,BG41,BH41,BI41,BJ41,BK41,BL41,BM41,BN41,BO41,BP41,BQ41,BR41,BS41)</f>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1" s="15" t="s">
        <v>1</v>
      </c>
      <c r="L41" s="36">
        <v>1</v>
      </c>
      <c r="M41" s="32" t="str">
        <f>N41</f>
        <v>HotSml-S901G_Sys2-6</v>
      </c>
      <c r="N41" s="28" t="s">
        <v>345</v>
      </c>
      <c r="O41" s="28" t="str">
        <f t="shared" ref="O41:O45" si="24">N41</f>
        <v>HotSml-S901G_Sys2-6</v>
      </c>
      <c r="P41" s="36">
        <f>P$17</f>
        <v>1</v>
      </c>
      <c r="Q41" s="36">
        <f t="shared" ref="Q41:AQ41" si="25">Q$17</f>
        <v>1</v>
      </c>
      <c r="R41" s="36">
        <f t="shared" si="25"/>
        <v>0</v>
      </c>
      <c r="S41" s="36">
        <f t="shared" si="25"/>
        <v>1</v>
      </c>
      <c r="T41" s="36">
        <f t="shared" si="25"/>
        <v>0</v>
      </c>
      <c r="U41" s="36">
        <f t="shared" si="25"/>
        <v>8</v>
      </c>
      <c r="V41" s="36">
        <f t="shared" si="25"/>
        <v>8</v>
      </c>
      <c r="W41" s="36">
        <f t="shared" si="25"/>
        <v>1</v>
      </c>
      <c r="X41" s="36">
        <f t="shared" si="25"/>
        <v>0</v>
      </c>
      <c r="Y41" s="36">
        <f t="shared" si="25"/>
        <v>0</v>
      </c>
      <c r="Z41" s="36">
        <f t="shared" si="25"/>
        <v>0</v>
      </c>
      <c r="AA41" s="36">
        <f t="shared" si="25"/>
        <v>0</v>
      </c>
      <c r="AB41" s="36">
        <f t="shared" si="25"/>
        <v>1</v>
      </c>
      <c r="AC41" s="36">
        <f t="shared" si="25"/>
        <v>1</v>
      </c>
      <c r="AD41" s="36">
        <f t="shared" si="25"/>
        <v>1</v>
      </c>
      <c r="AE41" s="36">
        <f t="shared" si="25"/>
        <v>0</v>
      </c>
      <c r="AF41" s="36">
        <f t="shared" si="25"/>
        <v>0</v>
      </c>
      <c r="AG41" s="36">
        <f t="shared" si="25"/>
        <v>0</v>
      </c>
      <c r="AH41" s="36">
        <f t="shared" si="25"/>
        <v>0</v>
      </c>
      <c r="AI41" s="36">
        <f t="shared" si="25"/>
        <v>0</v>
      </c>
      <c r="AJ41" s="36">
        <f t="shared" si="25"/>
        <v>0</v>
      </c>
      <c r="AK41" s="36">
        <f t="shared" si="25"/>
        <v>0</v>
      </c>
      <c r="AL41" s="36">
        <f t="shared" si="25"/>
        <v>0</v>
      </c>
      <c r="AM41" s="36">
        <f t="shared" si="25"/>
        <v>0</v>
      </c>
      <c r="AN41" s="36">
        <f t="shared" si="25"/>
        <v>0</v>
      </c>
      <c r="AO41" s="36">
        <f t="shared" si="25"/>
        <v>0</v>
      </c>
      <c r="AP41" s="36">
        <f t="shared" si="25"/>
        <v>0</v>
      </c>
      <c r="AQ41" s="36">
        <f t="shared" si="25"/>
        <v>0</v>
      </c>
      <c r="AR41" s="31" t="str">
        <f t="shared" ref="AR41:BG45" si="26">P$13&amp;P41&amp;","</f>
        <v>SimulationStorage,1,</v>
      </c>
      <c r="AS41" s="31" t="str">
        <f t="shared" si="26"/>
        <v>AnalysisStorage,1,</v>
      </c>
      <c r="AT41" s="31" t="str">
        <f t="shared" si="26"/>
        <v>LogRuleEvaluation,0,</v>
      </c>
      <c r="AU41" s="31" t="str">
        <f t="shared" si="26"/>
        <v>ParallelSimulations,1,</v>
      </c>
      <c r="AV41" s="31" t="str">
        <f t="shared" si="26"/>
        <v>DurationStats,0,</v>
      </c>
      <c r="AW41" s="31" t="str">
        <f t="shared" si="26"/>
        <v>AnalysisThruStep,8,</v>
      </c>
      <c r="AX41" s="31" t="str">
        <f t="shared" si="26"/>
        <v>DontAbortOnErrorsThruStep,8,</v>
      </c>
      <c r="AY41" s="31" t="str">
        <f t="shared" si="26"/>
        <v>BypassValidFileChecks,1,</v>
      </c>
      <c r="AZ41" s="31" t="str">
        <f t="shared" si="26"/>
        <v>BypassInputChecks,0,</v>
      </c>
      <c r="BA41" s="31" t="str">
        <f t="shared" si="26"/>
        <v>BypassUMLHChecks,0,</v>
      </c>
      <c r="BB41" s="31" t="str">
        <f t="shared" si="26"/>
        <v>BypassCheckSimRules,0,</v>
      </c>
      <c r="BC41" s="31" t="str">
        <f t="shared" si="26"/>
        <v>BypassCheckCodeRules,0,</v>
      </c>
      <c r="BD41" s="31" t="str">
        <f t="shared" si="26"/>
        <v>StoreResultsToModelInput,1,</v>
      </c>
      <c r="BE41" s="31" t="str">
        <f t="shared" si="26"/>
        <v>StoreBEMDetails,1,</v>
      </c>
      <c r="BF41" s="31" t="str">
        <f t="shared" si="26"/>
        <v>ModelRpt_ALL,1,</v>
      </c>
      <c r="BG41" s="31" t="str">
        <f t="shared" si="26"/>
        <v>ExportHourlyResults_All,0,</v>
      </c>
      <c r="BH41" s="31" t="str">
        <f t="shared" ref="BH41:BS45" si="27">AF$13&amp;AF41&amp;","</f>
        <v>ComplianceReportPDF,0,</v>
      </c>
      <c r="BI41" s="31" t="str">
        <f t="shared" si="27"/>
        <v>ComplianceReportXML,0,</v>
      </c>
      <c r="BJ41" s="31" t="str">
        <f t="shared" si="27"/>
        <v>Quick Analyis,0,</v>
      </c>
      <c r="BK41" s="31" t="str">
        <f t="shared" si="27"/>
        <v>BypassOpenStudio_all,0,</v>
      </c>
      <c r="BL41" s="31" t="str">
        <f t="shared" si="27"/>
        <v>BypassOpenStudio_zp,0,</v>
      </c>
      <c r="BM41" s="31" t="str">
        <f t="shared" si="27"/>
        <v>BypassOpenStudio_zb,0,</v>
      </c>
      <c r="BN41" s="31" t="str">
        <f t="shared" si="27"/>
        <v>BypassOpenStudio_ap,0,</v>
      </c>
      <c r="BO41" s="31" t="str">
        <f t="shared" si="27"/>
        <v>BypassOpenStudio_ab,0,</v>
      </c>
      <c r="BP41" s="31" t="str">
        <f t="shared" si="27"/>
        <v>BypassOpenStudio_zp,0,</v>
      </c>
      <c r="BQ41" s="31" t="str">
        <f t="shared" si="27"/>
        <v>BypassOpenStudio_zb,0,</v>
      </c>
      <c r="BR41" s="31" t="str">
        <f t="shared" si="27"/>
        <v>BypassOpenStudio_ap,0,</v>
      </c>
      <c r="BS41" s="31" t="str">
        <f t="shared" si="27"/>
        <v>BypassOpenStudio_ab,0,</v>
      </c>
    </row>
    <row r="42" spans="1:73" x14ac:dyDescent="0.25">
      <c r="A42" s="39">
        <f t="shared" si="22"/>
        <v>1</v>
      </c>
      <c r="B42" s="27" t="str">
        <f t="shared" ref="B42:B46" si="28">M$37&amp;N42&amp;".cibd"</f>
        <v>Standard901Tests\Other Tests\Models\OffMed-S901G_Sys2-3-Prkg.cibd</v>
      </c>
      <c r="C42" s="27" t="str">
        <f t="shared" ref="C42:C46" si="29" xml:space="preserve"> M$38 &amp; O42 &amp; ".cibd"</f>
        <v>BatchOut_141219_r2896_trunk_901OT\OffMed-S901G_Sys2-3-Prkg.cibd</v>
      </c>
      <c r="D42" s="27" t="str">
        <f t="shared" ref="D42:D55" si="30">$M$39</f>
        <v>BatchOut_141219_r2896_trunk_901OT\XML\</v>
      </c>
      <c r="E42" s="9" t="str">
        <f t="shared" ref="E42:E46" si="31">M42</f>
        <v>OffMed-S901G_Sys2-3-Prkg</v>
      </c>
      <c r="F42" s="22"/>
      <c r="G42" s="29"/>
      <c r="H42" s="23" t="str">
        <f>IF(F42&gt;1,1,"")</f>
        <v/>
      </c>
      <c r="I42" s="9" t="s">
        <v>11</v>
      </c>
      <c r="J42" s="94" t="str">
        <f t="shared" si="2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2" s="15" t="s">
        <v>1</v>
      </c>
      <c r="L42" s="36">
        <f>L41</f>
        <v>1</v>
      </c>
      <c r="M42" s="32" t="str">
        <f t="shared" ref="M42:M54" si="32">N42</f>
        <v>OffMed-S901G_Sys2-3-Prkg</v>
      </c>
      <c r="N42" s="28" t="s">
        <v>359</v>
      </c>
      <c r="O42" s="57" t="str">
        <f t="shared" si="24"/>
        <v>OffMed-S901G_Sys2-3-Prkg</v>
      </c>
      <c r="P42" s="63">
        <f>P41</f>
        <v>1</v>
      </c>
      <c r="Q42" s="65">
        <f t="shared" ref="Q42:T42" si="33">Q41</f>
        <v>1</v>
      </c>
      <c r="R42" s="65">
        <f t="shared" si="33"/>
        <v>0</v>
      </c>
      <c r="S42" s="65">
        <f t="shared" si="33"/>
        <v>1</v>
      </c>
      <c r="T42" s="65">
        <f t="shared" si="33"/>
        <v>0</v>
      </c>
      <c r="U42" s="65">
        <f>U41</f>
        <v>8</v>
      </c>
      <c r="V42" s="65">
        <f>V41</f>
        <v>8</v>
      </c>
      <c r="W42" s="65">
        <f>W41</f>
        <v>1</v>
      </c>
      <c r="X42" s="65">
        <f t="shared" ref="X42:Y42" si="34">X41</f>
        <v>0</v>
      </c>
      <c r="Y42" s="65">
        <f t="shared" si="34"/>
        <v>0</v>
      </c>
      <c r="Z42" s="65">
        <f>Z41</f>
        <v>0</v>
      </c>
      <c r="AA42" s="65">
        <f>AA41</f>
        <v>0</v>
      </c>
      <c r="AB42" s="65">
        <f>AB41</f>
        <v>1</v>
      </c>
      <c r="AC42" s="65">
        <f t="shared" ref="AC42:AM45" si="35">AC41</f>
        <v>1</v>
      </c>
      <c r="AD42" s="61">
        <f t="shared" si="35"/>
        <v>1</v>
      </c>
      <c r="AE42" s="61">
        <f t="shared" si="35"/>
        <v>0</v>
      </c>
      <c r="AF42" s="61">
        <f t="shared" si="35"/>
        <v>0</v>
      </c>
      <c r="AG42" s="61">
        <f t="shared" si="35"/>
        <v>0</v>
      </c>
      <c r="AH42" s="61">
        <f t="shared" si="35"/>
        <v>0</v>
      </c>
      <c r="AI42" s="63">
        <f t="shared" si="35"/>
        <v>0</v>
      </c>
      <c r="AJ42" s="64">
        <f t="shared" si="35"/>
        <v>0</v>
      </c>
      <c r="AK42" s="64">
        <f t="shared" si="35"/>
        <v>0</v>
      </c>
      <c r="AL42" s="64">
        <f t="shared" si="35"/>
        <v>0</v>
      </c>
      <c r="AM42" s="66">
        <f t="shared" si="35"/>
        <v>0</v>
      </c>
      <c r="AN42" s="63">
        <f>AN41</f>
        <v>0</v>
      </c>
      <c r="AO42" s="64">
        <f>AO41</f>
        <v>0</v>
      </c>
      <c r="AP42" s="65">
        <f t="shared" ref="AP42:AQ42" si="36">AP41</f>
        <v>0</v>
      </c>
      <c r="AQ42" s="66">
        <f t="shared" si="36"/>
        <v>0</v>
      </c>
      <c r="AR42" s="31" t="str">
        <f t="shared" si="26"/>
        <v>SimulationStorage,1,</v>
      </c>
      <c r="AS42" s="31" t="str">
        <f t="shared" si="26"/>
        <v>AnalysisStorage,1,</v>
      </c>
      <c r="AT42" s="31" t="str">
        <f t="shared" si="26"/>
        <v>LogRuleEvaluation,0,</v>
      </c>
      <c r="AU42" s="31" t="str">
        <f t="shared" si="26"/>
        <v>ParallelSimulations,1,</v>
      </c>
      <c r="AV42" s="31" t="str">
        <f t="shared" si="26"/>
        <v>DurationStats,0,</v>
      </c>
      <c r="AW42" s="31" t="str">
        <f t="shared" si="26"/>
        <v>AnalysisThruStep,8,</v>
      </c>
      <c r="AX42" s="31" t="str">
        <f t="shared" si="26"/>
        <v>DontAbortOnErrorsThruStep,8,</v>
      </c>
      <c r="AY42" s="31" t="str">
        <f t="shared" si="26"/>
        <v>BypassValidFileChecks,1,</v>
      </c>
      <c r="AZ42" s="31" t="str">
        <f t="shared" si="26"/>
        <v>BypassInputChecks,0,</v>
      </c>
      <c r="BA42" s="31" t="str">
        <f t="shared" si="26"/>
        <v>BypassUMLHChecks,0,</v>
      </c>
      <c r="BB42" s="31" t="str">
        <f t="shared" si="26"/>
        <v>BypassCheckSimRules,0,</v>
      </c>
      <c r="BC42" s="31" t="str">
        <f t="shared" si="26"/>
        <v>BypassCheckCodeRules,0,</v>
      </c>
      <c r="BD42" s="31" t="str">
        <f t="shared" si="26"/>
        <v>StoreResultsToModelInput,1,</v>
      </c>
      <c r="BE42" s="31" t="str">
        <f t="shared" si="26"/>
        <v>StoreBEMDetails,1,</v>
      </c>
      <c r="BF42" s="31" t="str">
        <f t="shared" si="26"/>
        <v>ModelRpt_ALL,1,</v>
      </c>
      <c r="BG42" s="31" t="str">
        <f t="shared" si="26"/>
        <v>ExportHourlyResults_All,0,</v>
      </c>
      <c r="BH42" s="31" t="str">
        <f t="shared" si="27"/>
        <v>ComplianceReportPDF,0,</v>
      </c>
      <c r="BI42" s="31" t="str">
        <f t="shared" si="27"/>
        <v>ComplianceReportXML,0,</v>
      </c>
      <c r="BJ42" s="31" t="str">
        <f t="shared" si="27"/>
        <v>Quick Analyis,0,</v>
      </c>
      <c r="BK42" s="31" t="str">
        <f t="shared" si="27"/>
        <v>BypassOpenStudio_all,0,</v>
      </c>
      <c r="BL42" s="31" t="str">
        <f t="shared" si="27"/>
        <v>BypassOpenStudio_zp,0,</v>
      </c>
      <c r="BM42" s="31" t="str">
        <f t="shared" si="27"/>
        <v>BypassOpenStudio_zb,0,</v>
      </c>
      <c r="BN42" s="31" t="str">
        <f t="shared" si="27"/>
        <v>BypassOpenStudio_ap,0,</v>
      </c>
      <c r="BO42" s="31" t="str">
        <f t="shared" si="27"/>
        <v>BypassOpenStudio_ab,0,</v>
      </c>
      <c r="BP42" s="31" t="str">
        <f t="shared" si="27"/>
        <v>BypassOpenStudio_zp,0,</v>
      </c>
      <c r="BQ42" s="31" t="str">
        <f t="shared" si="27"/>
        <v>BypassOpenStudio_zb,0,</v>
      </c>
      <c r="BR42" s="31" t="str">
        <f t="shared" si="27"/>
        <v>BypassOpenStudio_ap,0,</v>
      </c>
      <c r="BS42" s="31" t="str">
        <f t="shared" si="27"/>
        <v>BypassOpenStudio_ab,0,</v>
      </c>
    </row>
    <row r="43" spans="1:73" x14ac:dyDescent="0.25">
      <c r="A43" s="39">
        <f t="shared" si="22"/>
        <v>1</v>
      </c>
      <c r="B43" s="27" t="str">
        <f t="shared" si="28"/>
        <v>Standard901Tests\Other Tests\Models\OffMed-S901G_Sys2-3-9.cibd</v>
      </c>
      <c r="C43" s="27" t="str">
        <f t="shared" si="29"/>
        <v>BatchOut_141219_r2896_trunk_901OT\OffMed-S901G_Sys2-3-9.cibd</v>
      </c>
      <c r="D43" s="27" t="str">
        <f t="shared" si="30"/>
        <v>BatchOut_141219_r2896_trunk_901OT\XML\</v>
      </c>
      <c r="E43" s="9" t="str">
        <f t="shared" si="31"/>
        <v>OffMed-S901G_Sys2-3-9</v>
      </c>
      <c r="F43" s="22"/>
      <c r="G43" s="29"/>
      <c r="H43" s="23" t="str">
        <f>IF(F43&gt;1,1,"")</f>
        <v/>
      </c>
      <c r="I43" s="9" t="s">
        <v>11</v>
      </c>
      <c r="J43" s="94" t="str">
        <f t="shared" si="2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3" s="15" t="s">
        <v>1</v>
      </c>
      <c r="L43" s="36">
        <f t="shared" ref="L43:L54" si="37">L42</f>
        <v>1</v>
      </c>
      <c r="M43" s="32" t="str">
        <f t="shared" si="32"/>
        <v>OffMed-S901G_Sys2-3-9</v>
      </c>
      <c r="N43" s="28" t="s">
        <v>346</v>
      </c>
      <c r="O43" s="57" t="str">
        <f t="shared" si="24"/>
        <v>OffMed-S901G_Sys2-3-9</v>
      </c>
      <c r="P43" s="63">
        <f t="shared" ref="P43:AQ45" si="38">P42</f>
        <v>1</v>
      </c>
      <c r="Q43" s="65">
        <f t="shared" si="38"/>
        <v>1</v>
      </c>
      <c r="R43" s="65">
        <f t="shared" si="38"/>
        <v>0</v>
      </c>
      <c r="S43" s="65">
        <f t="shared" si="38"/>
        <v>1</v>
      </c>
      <c r="T43" s="65">
        <f t="shared" si="38"/>
        <v>0</v>
      </c>
      <c r="U43" s="65">
        <f t="shared" si="38"/>
        <v>8</v>
      </c>
      <c r="V43" s="65">
        <f t="shared" si="38"/>
        <v>8</v>
      </c>
      <c r="W43" s="65">
        <f t="shared" si="38"/>
        <v>1</v>
      </c>
      <c r="X43" s="65">
        <f t="shared" si="38"/>
        <v>0</v>
      </c>
      <c r="Y43" s="65">
        <f t="shared" si="38"/>
        <v>0</v>
      </c>
      <c r="Z43" s="65">
        <f t="shared" si="38"/>
        <v>0</v>
      </c>
      <c r="AA43" s="65">
        <f t="shared" si="38"/>
        <v>0</v>
      </c>
      <c r="AB43" s="65">
        <f t="shared" si="38"/>
        <v>1</v>
      </c>
      <c r="AC43" s="65">
        <f t="shared" si="38"/>
        <v>1</v>
      </c>
      <c r="AD43" s="61">
        <f t="shared" si="38"/>
        <v>1</v>
      </c>
      <c r="AE43" s="61">
        <f t="shared" si="35"/>
        <v>0</v>
      </c>
      <c r="AF43" s="61">
        <f t="shared" si="35"/>
        <v>0</v>
      </c>
      <c r="AG43" s="61">
        <f t="shared" si="35"/>
        <v>0</v>
      </c>
      <c r="AH43" s="61">
        <f t="shared" si="35"/>
        <v>0</v>
      </c>
      <c r="AI43" s="63">
        <f t="shared" si="38"/>
        <v>0</v>
      </c>
      <c r="AJ43" s="64">
        <f t="shared" si="38"/>
        <v>0</v>
      </c>
      <c r="AK43" s="64">
        <f t="shared" si="38"/>
        <v>0</v>
      </c>
      <c r="AL43" s="64">
        <f t="shared" si="38"/>
        <v>0</v>
      </c>
      <c r="AM43" s="66">
        <f t="shared" si="38"/>
        <v>0</v>
      </c>
      <c r="AN43" s="63">
        <f t="shared" si="38"/>
        <v>0</v>
      </c>
      <c r="AO43" s="64">
        <f t="shared" si="38"/>
        <v>0</v>
      </c>
      <c r="AP43" s="65">
        <f t="shared" si="38"/>
        <v>0</v>
      </c>
      <c r="AQ43" s="66">
        <f t="shared" si="38"/>
        <v>0</v>
      </c>
      <c r="AR43" s="31" t="str">
        <f t="shared" si="26"/>
        <v>SimulationStorage,1,</v>
      </c>
      <c r="AS43" s="31" t="str">
        <f t="shared" si="26"/>
        <v>AnalysisStorage,1,</v>
      </c>
      <c r="AT43" s="31" t="str">
        <f t="shared" si="26"/>
        <v>LogRuleEvaluation,0,</v>
      </c>
      <c r="AU43" s="31" t="str">
        <f t="shared" si="26"/>
        <v>ParallelSimulations,1,</v>
      </c>
      <c r="AV43" s="31" t="str">
        <f t="shared" si="26"/>
        <v>DurationStats,0,</v>
      </c>
      <c r="AW43" s="31" t="str">
        <f t="shared" si="26"/>
        <v>AnalysisThruStep,8,</v>
      </c>
      <c r="AX43" s="31" t="str">
        <f t="shared" si="26"/>
        <v>DontAbortOnErrorsThruStep,8,</v>
      </c>
      <c r="AY43" s="31" t="str">
        <f t="shared" si="26"/>
        <v>BypassValidFileChecks,1,</v>
      </c>
      <c r="AZ43" s="31" t="str">
        <f t="shared" si="26"/>
        <v>BypassInputChecks,0,</v>
      </c>
      <c r="BA43" s="31" t="str">
        <f t="shared" si="26"/>
        <v>BypassUMLHChecks,0,</v>
      </c>
      <c r="BB43" s="31" t="str">
        <f t="shared" si="26"/>
        <v>BypassCheckSimRules,0,</v>
      </c>
      <c r="BC43" s="31" t="str">
        <f t="shared" si="26"/>
        <v>BypassCheckCodeRules,0,</v>
      </c>
      <c r="BD43" s="31" t="str">
        <f t="shared" si="26"/>
        <v>StoreResultsToModelInput,1,</v>
      </c>
      <c r="BE43" s="31" t="str">
        <f t="shared" si="26"/>
        <v>StoreBEMDetails,1,</v>
      </c>
      <c r="BF43" s="31" t="str">
        <f t="shared" si="26"/>
        <v>ModelRpt_ALL,1,</v>
      </c>
      <c r="BG43" s="31" t="str">
        <f t="shared" si="26"/>
        <v>ExportHourlyResults_All,0,</v>
      </c>
      <c r="BH43" s="31" t="str">
        <f t="shared" si="27"/>
        <v>ComplianceReportPDF,0,</v>
      </c>
      <c r="BI43" s="31" t="str">
        <f t="shared" si="27"/>
        <v>ComplianceReportXML,0,</v>
      </c>
      <c r="BJ43" s="31" t="str">
        <f t="shared" si="27"/>
        <v>Quick Analyis,0,</v>
      </c>
      <c r="BK43" s="31" t="str">
        <f t="shared" si="27"/>
        <v>BypassOpenStudio_all,0,</v>
      </c>
      <c r="BL43" s="31" t="str">
        <f t="shared" si="27"/>
        <v>BypassOpenStudio_zp,0,</v>
      </c>
      <c r="BM43" s="31" t="str">
        <f t="shared" si="27"/>
        <v>BypassOpenStudio_zb,0,</v>
      </c>
      <c r="BN43" s="31" t="str">
        <f t="shared" si="27"/>
        <v>BypassOpenStudio_ap,0,</v>
      </c>
      <c r="BO43" s="31" t="str">
        <f t="shared" si="27"/>
        <v>BypassOpenStudio_ab,0,</v>
      </c>
      <c r="BP43" s="31" t="str">
        <f t="shared" si="27"/>
        <v>BypassOpenStudio_zp,0,</v>
      </c>
      <c r="BQ43" s="31" t="str">
        <f t="shared" si="27"/>
        <v>BypassOpenStudio_zb,0,</v>
      </c>
      <c r="BR43" s="31" t="str">
        <f t="shared" si="27"/>
        <v>BypassOpenStudio_ap,0,</v>
      </c>
      <c r="BS43" s="31" t="str">
        <f t="shared" si="27"/>
        <v>BypassOpenStudio_ab,0,</v>
      </c>
    </row>
    <row r="44" spans="1:73" x14ac:dyDescent="0.25">
      <c r="A44" s="39">
        <f t="shared" si="22"/>
        <v>1</v>
      </c>
      <c r="B44" s="27" t="str">
        <f t="shared" si="28"/>
        <v>Standard901Tests\Other Tests\Models\OffMed-S901G_Sys2-4.cibd</v>
      </c>
      <c r="C44" s="27" t="str">
        <f t="shared" si="29"/>
        <v>BatchOut_141219_r2896_trunk_901OT\OffMed-S901G_Sys2-4.cibd</v>
      </c>
      <c r="D44" s="27" t="str">
        <f t="shared" si="30"/>
        <v>BatchOut_141219_r2896_trunk_901OT\XML\</v>
      </c>
      <c r="E44" s="9" t="str">
        <f t="shared" si="31"/>
        <v>OffMed-S901G_Sys2-4</v>
      </c>
      <c r="F44" s="22"/>
      <c r="G44" s="29"/>
      <c r="H44" s="23"/>
      <c r="I44" s="9" t="s">
        <v>11</v>
      </c>
      <c r="J44" s="94" t="str">
        <f t="shared" si="2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4" s="15" t="s">
        <v>1</v>
      </c>
      <c r="L44" s="36">
        <f t="shared" si="37"/>
        <v>1</v>
      </c>
      <c r="M44" s="32" t="str">
        <f t="shared" si="32"/>
        <v>OffMed-S901G_Sys2-4</v>
      </c>
      <c r="N44" s="28" t="s">
        <v>347</v>
      </c>
      <c r="O44" s="57" t="str">
        <f t="shared" si="24"/>
        <v>OffMed-S901G_Sys2-4</v>
      </c>
      <c r="P44" s="63">
        <f t="shared" si="38"/>
        <v>1</v>
      </c>
      <c r="Q44" s="65">
        <f t="shared" si="38"/>
        <v>1</v>
      </c>
      <c r="R44" s="65">
        <f t="shared" si="38"/>
        <v>0</v>
      </c>
      <c r="S44" s="65">
        <f t="shared" si="38"/>
        <v>1</v>
      </c>
      <c r="T44" s="65">
        <f t="shared" si="38"/>
        <v>0</v>
      </c>
      <c r="U44" s="65">
        <f t="shared" si="38"/>
        <v>8</v>
      </c>
      <c r="V44" s="65">
        <f t="shared" si="38"/>
        <v>8</v>
      </c>
      <c r="W44" s="65">
        <f t="shared" si="38"/>
        <v>1</v>
      </c>
      <c r="X44" s="65">
        <f t="shared" si="38"/>
        <v>0</v>
      </c>
      <c r="Y44" s="65">
        <f t="shared" si="38"/>
        <v>0</v>
      </c>
      <c r="Z44" s="65">
        <f t="shared" si="38"/>
        <v>0</v>
      </c>
      <c r="AA44" s="65">
        <f t="shared" si="38"/>
        <v>0</v>
      </c>
      <c r="AB44" s="65">
        <f t="shared" si="38"/>
        <v>1</v>
      </c>
      <c r="AC44" s="65">
        <f t="shared" si="38"/>
        <v>1</v>
      </c>
      <c r="AD44" s="61">
        <f t="shared" si="38"/>
        <v>1</v>
      </c>
      <c r="AE44" s="61">
        <f t="shared" si="35"/>
        <v>0</v>
      </c>
      <c r="AF44" s="61">
        <f t="shared" si="35"/>
        <v>0</v>
      </c>
      <c r="AG44" s="61">
        <f t="shared" si="35"/>
        <v>0</v>
      </c>
      <c r="AH44" s="61">
        <f t="shared" si="35"/>
        <v>0</v>
      </c>
      <c r="AI44" s="63">
        <f t="shared" si="38"/>
        <v>0</v>
      </c>
      <c r="AJ44" s="64">
        <f t="shared" si="38"/>
        <v>0</v>
      </c>
      <c r="AK44" s="64">
        <f t="shared" si="38"/>
        <v>0</v>
      </c>
      <c r="AL44" s="64">
        <f t="shared" si="38"/>
        <v>0</v>
      </c>
      <c r="AM44" s="66">
        <f t="shared" si="38"/>
        <v>0</v>
      </c>
      <c r="AN44" s="63">
        <f t="shared" si="38"/>
        <v>0</v>
      </c>
      <c r="AO44" s="64">
        <f t="shared" si="38"/>
        <v>0</v>
      </c>
      <c r="AP44" s="65">
        <f t="shared" si="38"/>
        <v>0</v>
      </c>
      <c r="AQ44" s="66">
        <f t="shared" si="38"/>
        <v>0</v>
      </c>
      <c r="AR44" s="31" t="str">
        <f t="shared" si="26"/>
        <v>SimulationStorage,1,</v>
      </c>
      <c r="AS44" s="31" t="str">
        <f t="shared" si="26"/>
        <v>AnalysisStorage,1,</v>
      </c>
      <c r="AT44" s="31" t="str">
        <f t="shared" si="26"/>
        <v>LogRuleEvaluation,0,</v>
      </c>
      <c r="AU44" s="31" t="str">
        <f t="shared" si="26"/>
        <v>ParallelSimulations,1,</v>
      </c>
      <c r="AV44" s="31" t="str">
        <f t="shared" si="26"/>
        <v>DurationStats,0,</v>
      </c>
      <c r="AW44" s="31" t="str">
        <f t="shared" si="26"/>
        <v>AnalysisThruStep,8,</v>
      </c>
      <c r="AX44" s="31" t="str">
        <f t="shared" si="26"/>
        <v>DontAbortOnErrorsThruStep,8,</v>
      </c>
      <c r="AY44" s="31" t="str">
        <f t="shared" si="26"/>
        <v>BypassValidFileChecks,1,</v>
      </c>
      <c r="AZ44" s="31" t="str">
        <f t="shared" si="26"/>
        <v>BypassInputChecks,0,</v>
      </c>
      <c r="BA44" s="31" t="str">
        <f t="shared" si="26"/>
        <v>BypassUMLHChecks,0,</v>
      </c>
      <c r="BB44" s="31" t="str">
        <f t="shared" si="26"/>
        <v>BypassCheckSimRules,0,</v>
      </c>
      <c r="BC44" s="31" t="str">
        <f t="shared" si="26"/>
        <v>BypassCheckCodeRules,0,</v>
      </c>
      <c r="BD44" s="31" t="str">
        <f t="shared" si="26"/>
        <v>StoreResultsToModelInput,1,</v>
      </c>
      <c r="BE44" s="31" t="str">
        <f t="shared" si="26"/>
        <v>StoreBEMDetails,1,</v>
      </c>
      <c r="BF44" s="31" t="str">
        <f t="shared" si="26"/>
        <v>ModelRpt_ALL,1,</v>
      </c>
      <c r="BG44" s="31" t="str">
        <f t="shared" si="26"/>
        <v>ExportHourlyResults_All,0,</v>
      </c>
      <c r="BH44" s="31" t="str">
        <f t="shared" si="27"/>
        <v>ComplianceReportPDF,0,</v>
      </c>
      <c r="BI44" s="31" t="str">
        <f t="shared" si="27"/>
        <v>ComplianceReportXML,0,</v>
      </c>
      <c r="BJ44" s="31" t="str">
        <f t="shared" si="27"/>
        <v>Quick Analyis,0,</v>
      </c>
      <c r="BK44" s="31" t="str">
        <f t="shared" si="27"/>
        <v>BypassOpenStudio_all,0,</v>
      </c>
      <c r="BL44" s="31" t="str">
        <f t="shared" si="27"/>
        <v>BypassOpenStudio_zp,0,</v>
      </c>
      <c r="BM44" s="31" t="str">
        <f t="shared" si="27"/>
        <v>BypassOpenStudio_zb,0,</v>
      </c>
      <c r="BN44" s="31" t="str">
        <f t="shared" si="27"/>
        <v>BypassOpenStudio_ap,0,</v>
      </c>
      <c r="BO44" s="31" t="str">
        <f t="shared" si="27"/>
        <v>BypassOpenStudio_ab,0,</v>
      </c>
      <c r="BP44" s="31" t="str">
        <f t="shared" si="27"/>
        <v>BypassOpenStudio_zp,0,</v>
      </c>
      <c r="BQ44" s="31" t="str">
        <f t="shared" si="27"/>
        <v>BypassOpenStudio_zb,0,</v>
      </c>
      <c r="BR44" s="31" t="str">
        <f t="shared" si="27"/>
        <v>BypassOpenStudio_ap,0,</v>
      </c>
      <c r="BS44" s="31" t="str">
        <f t="shared" si="27"/>
        <v>BypassOpenStudio_ab,0,</v>
      </c>
    </row>
    <row r="45" spans="1:73" x14ac:dyDescent="0.25">
      <c r="A45" s="39">
        <f t="shared" si="22"/>
        <v>1</v>
      </c>
      <c r="B45" s="27" t="str">
        <f t="shared" si="28"/>
        <v>Standard901Tests\Other Tests\Models\OffMed-S901G_Sys2-4-10.cibd</v>
      </c>
      <c r="C45" s="27" t="str">
        <f t="shared" si="29"/>
        <v>BatchOut_141219_r2896_trunk_901OT\OffMed-S901G_Sys2-4-10.cibd</v>
      </c>
      <c r="D45" s="27" t="str">
        <f t="shared" si="30"/>
        <v>BatchOut_141219_r2896_trunk_901OT\XML\</v>
      </c>
      <c r="E45" s="9" t="str">
        <f t="shared" si="31"/>
        <v>OffMed-S901G_Sys2-4-10</v>
      </c>
      <c r="F45" s="22"/>
      <c r="G45" s="29"/>
      <c r="H45" s="23"/>
      <c r="I45" s="9" t="s">
        <v>11</v>
      </c>
      <c r="J45" s="94" t="str">
        <f t="shared" si="2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5" s="15" t="s">
        <v>1</v>
      </c>
      <c r="L45" s="36">
        <f t="shared" si="37"/>
        <v>1</v>
      </c>
      <c r="M45" s="32" t="str">
        <f t="shared" si="32"/>
        <v>OffMed-S901G_Sys2-4-10</v>
      </c>
      <c r="N45" s="28" t="s">
        <v>348</v>
      </c>
      <c r="O45" s="57" t="str">
        <f t="shared" si="24"/>
        <v>OffMed-S901G_Sys2-4-10</v>
      </c>
      <c r="P45" s="63">
        <f t="shared" si="38"/>
        <v>1</v>
      </c>
      <c r="Q45" s="65">
        <f t="shared" si="38"/>
        <v>1</v>
      </c>
      <c r="R45" s="65">
        <f t="shared" si="38"/>
        <v>0</v>
      </c>
      <c r="S45" s="65">
        <f t="shared" si="38"/>
        <v>1</v>
      </c>
      <c r="T45" s="65">
        <f t="shared" si="38"/>
        <v>0</v>
      </c>
      <c r="U45" s="65">
        <f t="shared" si="38"/>
        <v>8</v>
      </c>
      <c r="V45" s="65">
        <f t="shared" si="38"/>
        <v>8</v>
      </c>
      <c r="W45" s="65">
        <f t="shared" si="38"/>
        <v>1</v>
      </c>
      <c r="X45" s="65">
        <f t="shared" si="38"/>
        <v>0</v>
      </c>
      <c r="Y45" s="65">
        <f t="shared" si="38"/>
        <v>0</v>
      </c>
      <c r="Z45" s="65">
        <f t="shared" si="38"/>
        <v>0</v>
      </c>
      <c r="AA45" s="65">
        <f t="shared" si="38"/>
        <v>0</v>
      </c>
      <c r="AB45" s="65">
        <f t="shared" si="38"/>
        <v>1</v>
      </c>
      <c r="AC45" s="65">
        <f t="shared" si="38"/>
        <v>1</v>
      </c>
      <c r="AD45" s="61">
        <f t="shared" si="38"/>
        <v>1</v>
      </c>
      <c r="AE45" s="61">
        <f t="shared" si="35"/>
        <v>0</v>
      </c>
      <c r="AF45" s="61">
        <f t="shared" si="35"/>
        <v>0</v>
      </c>
      <c r="AG45" s="61">
        <f t="shared" si="35"/>
        <v>0</v>
      </c>
      <c r="AH45" s="61">
        <f t="shared" si="35"/>
        <v>0</v>
      </c>
      <c r="AI45" s="63">
        <f t="shared" si="38"/>
        <v>0</v>
      </c>
      <c r="AJ45" s="64">
        <f t="shared" si="38"/>
        <v>0</v>
      </c>
      <c r="AK45" s="64">
        <f t="shared" si="38"/>
        <v>0</v>
      </c>
      <c r="AL45" s="64">
        <f t="shared" si="38"/>
        <v>0</v>
      </c>
      <c r="AM45" s="66">
        <f t="shared" si="38"/>
        <v>0</v>
      </c>
      <c r="AN45" s="63">
        <f t="shared" si="38"/>
        <v>0</v>
      </c>
      <c r="AO45" s="64">
        <f t="shared" si="38"/>
        <v>0</v>
      </c>
      <c r="AP45" s="65">
        <f t="shared" si="38"/>
        <v>0</v>
      </c>
      <c r="AQ45" s="66">
        <f t="shared" si="38"/>
        <v>0</v>
      </c>
      <c r="AR45" s="31" t="str">
        <f t="shared" si="26"/>
        <v>SimulationStorage,1,</v>
      </c>
      <c r="AS45" s="31" t="str">
        <f t="shared" si="26"/>
        <v>AnalysisStorage,1,</v>
      </c>
      <c r="AT45" s="31" t="str">
        <f t="shared" si="26"/>
        <v>LogRuleEvaluation,0,</v>
      </c>
      <c r="AU45" s="31" t="str">
        <f t="shared" si="26"/>
        <v>ParallelSimulations,1,</v>
      </c>
      <c r="AV45" s="31" t="str">
        <f t="shared" si="26"/>
        <v>DurationStats,0,</v>
      </c>
      <c r="AW45" s="31" t="str">
        <f t="shared" si="26"/>
        <v>AnalysisThruStep,8,</v>
      </c>
      <c r="AX45" s="31" t="str">
        <f t="shared" si="26"/>
        <v>DontAbortOnErrorsThruStep,8,</v>
      </c>
      <c r="AY45" s="31" t="str">
        <f t="shared" si="26"/>
        <v>BypassValidFileChecks,1,</v>
      </c>
      <c r="AZ45" s="31" t="str">
        <f t="shared" si="26"/>
        <v>BypassInputChecks,0,</v>
      </c>
      <c r="BA45" s="31" t="str">
        <f t="shared" si="26"/>
        <v>BypassUMLHChecks,0,</v>
      </c>
      <c r="BB45" s="31" t="str">
        <f t="shared" si="26"/>
        <v>BypassCheckSimRules,0,</v>
      </c>
      <c r="BC45" s="31" t="str">
        <f t="shared" si="26"/>
        <v>BypassCheckCodeRules,0,</v>
      </c>
      <c r="BD45" s="31" t="str">
        <f t="shared" si="26"/>
        <v>StoreResultsToModelInput,1,</v>
      </c>
      <c r="BE45" s="31" t="str">
        <f t="shared" si="26"/>
        <v>StoreBEMDetails,1,</v>
      </c>
      <c r="BF45" s="31" t="str">
        <f t="shared" si="26"/>
        <v>ModelRpt_ALL,1,</v>
      </c>
      <c r="BG45" s="31" t="str">
        <f t="shared" si="26"/>
        <v>ExportHourlyResults_All,0,</v>
      </c>
      <c r="BH45" s="31" t="str">
        <f t="shared" si="27"/>
        <v>ComplianceReportPDF,0,</v>
      </c>
      <c r="BI45" s="31" t="str">
        <f t="shared" si="27"/>
        <v>ComplianceReportXML,0,</v>
      </c>
      <c r="BJ45" s="31" t="str">
        <f t="shared" si="27"/>
        <v>Quick Analyis,0,</v>
      </c>
      <c r="BK45" s="31" t="str">
        <f t="shared" si="27"/>
        <v>BypassOpenStudio_all,0,</v>
      </c>
      <c r="BL45" s="31" t="str">
        <f t="shared" si="27"/>
        <v>BypassOpenStudio_zp,0,</v>
      </c>
      <c r="BM45" s="31" t="str">
        <f t="shared" si="27"/>
        <v>BypassOpenStudio_zb,0,</v>
      </c>
      <c r="BN45" s="31" t="str">
        <f t="shared" si="27"/>
        <v>BypassOpenStudio_ap,0,</v>
      </c>
      <c r="BO45" s="31" t="str">
        <f t="shared" si="27"/>
        <v>BypassOpenStudio_ab,0,</v>
      </c>
      <c r="BP45" s="31" t="str">
        <f t="shared" si="27"/>
        <v>BypassOpenStudio_zp,0,</v>
      </c>
      <c r="BQ45" s="31" t="str">
        <f t="shared" si="27"/>
        <v>BypassOpenStudio_zb,0,</v>
      </c>
      <c r="BR45" s="31" t="str">
        <f t="shared" si="27"/>
        <v>BypassOpenStudio_ap,0,</v>
      </c>
      <c r="BS45" s="31" t="str">
        <f t="shared" si="27"/>
        <v>BypassOpenStudio_ab,0,</v>
      </c>
    </row>
    <row r="46" spans="1:73" x14ac:dyDescent="0.25">
      <c r="A46" s="39">
        <f t="shared" si="22"/>
        <v>1</v>
      </c>
      <c r="B46" s="27" t="str">
        <f t="shared" si="28"/>
        <v>Standard901Tests\Other Tests\Models\OffMed-S901G_Sys2-9.cibd</v>
      </c>
      <c r="C46" s="27" t="str">
        <f t="shared" si="29"/>
        <v>BatchOut_141219_r2896_trunk_901OT\OffMed-S901G_Sys2-9.cibd</v>
      </c>
      <c r="D46" s="27" t="str">
        <f t="shared" si="30"/>
        <v>BatchOut_141219_r2896_trunk_901OT\XML\</v>
      </c>
      <c r="E46" s="9" t="str">
        <f t="shared" si="31"/>
        <v>OffMed-S901G_Sys2-9</v>
      </c>
      <c r="F46" s="22"/>
      <c r="G46" s="29"/>
      <c r="H46" s="23"/>
      <c r="I46" s="9" t="s">
        <v>11</v>
      </c>
      <c r="J46" s="94" t="str">
        <f t="shared" si="2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6" s="15" t="s">
        <v>1</v>
      </c>
      <c r="L46" s="36">
        <f t="shared" si="37"/>
        <v>1</v>
      </c>
      <c r="M46" s="32" t="str">
        <f t="shared" si="32"/>
        <v>OffMed-S901G_Sys2-9</v>
      </c>
      <c r="N46" s="28" t="s">
        <v>349</v>
      </c>
      <c r="O46" s="57" t="str">
        <f t="shared" ref="O46:O55" si="39">N46</f>
        <v>OffMed-S901G_Sys2-9</v>
      </c>
      <c r="P46" s="63">
        <f t="shared" ref="P46:AQ46" si="40">P45</f>
        <v>1</v>
      </c>
      <c r="Q46" s="65">
        <f t="shared" si="40"/>
        <v>1</v>
      </c>
      <c r="R46" s="65">
        <f t="shared" si="40"/>
        <v>0</v>
      </c>
      <c r="S46" s="65">
        <f t="shared" si="40"/>
        <v>1</v>
      </c>
      <c r="T46" s="65">
        <f t="shared" si="40"/>
        <v>0</v>
      </c>
      <c r="U46" s="65">
        <f t="shared" si="40"/>
        <v>8</v>
      </c>
      <c r="V46" s="65">
        <f t="shared" si="40"/>
        <v>8</v>
      </c>
      <c r="W46" s="65">
        <f t="shared" si="40"/>
        <v>1</v>
      </c>
      <c r="X46" s="65">
        <f t="shared" si="40"/>
        <v>0</v>
      </c>
      <c r="Y46" s="65">
        <f t="shared" si="40"/>
        <v>0</v>
      </c>
      <c r="Z46" s="65">
        <f t="shared" si="40"/>
        <v>0</v>
      </c>
      <c r="AA46" s="65">
        <f t="shared" si="40"/>
        <v>0</v>
      </c>
      <c r="AB46" s="65">
        <f t="shared" si="40"/>
        <v>1</v>
      </c>
      <c r="AC46" s="65">
        <f t="shared" si="40"/>
        <v>1</v>
      </c>
      <c r="AD46" s="61">
        <f t="shared" si="40"/>
        <v>1</v>
      </c>
      <c r="AE46" s="61">
        <f t="shared" si="40"/>
        <v>0</v>
      </c>
      <c r="AF46" s="61">
        <f t="shared" si="40"/>
        <v>0</v>
      </c>
      <c r="AG46" s="61">
        <f t="shared" si="40"/>
        <v>0</v>
      </c>
      <c r="AH46" s="61">
        <f t="shared" si="40"/>
        <v>0</v>
      </c>
      <c r="AI46" s="63">
        <f t="shared" si="40"/>
        <v>0</v>
      </c>
      <c r="AJ46" s="64">
        <f t="shared" si="40"/>
        <v>0</v>
      </c>
      <c r="AK46" s="64">
        <f t="shared" si="40"/>
        <v>0</v>
      </c>
      <c r="AL46" s="64">
        <f t="shared" si="40"/>
        <v>0</v>
      </c>
      <c r="AM46" s="66">
        <f t="shared" si="40"/>
        <v>0</v>
      </c>
      <c r="AN46" s="63">
        <f t="shared" si="40"/>
        <v>0</v>
      </c>
      <c r="AO46" s="64">
        <f t="shared" si="40"/>
        <v>0</v>
      </c>
      <c r="AP46" s="65">
        <f t="shared" si="40"/>
        <v>0</v>
      </c>
      <c r="AQ46" s="66">
        <f t="shared" si="40"/>
        <v>0</v>
      </c>
      <c r="AR46" s="31" t="str">
        <f t="shared" ref="AR46:AR55" si="41">P$13&amp;P46&amp;","</f>
        <v>SimulationStorage,1,</v>
      </c>
      <c r="AS46" s="31" t="str">
        <f t="shared" ref="AS46:AS55" si="42">Q$13&amp;Q46&amp;","</f>
        <v>AnalysisStorage,1,</v>
      </c>
      <c r="AT46" s="31" t="str">
        <f t="shared" ref="AT46:AT55" si="43">R$13&amp;R46&amp;","</f>
        <v>LogRuleEvaluation,0,</v>
      </c>
      <c r="AU46" s="31" t="str">
        <f t="shared" ref="AU46:AU55" si="44">S$13&amp;S46&amp;","</f>
        <v>ParallelSimulations,1,</v>
      </c>
      <c r="AV46" s="31" t="str">
        <f t="shared" ref="AV46:AV55" si="45">T$13&amp;T46&amp;","</f>
        <v>DurationStats,0,</v>
      </c>
      <c r="AW46" s="31" t="str">
        <f t="shared" ref="AW46:AW55" si="46">U$13&amp;U46&amp;","</f>
        <v>AnalysisThruStep,8,</v>
      </c>
      <c r="AX46" s="31" t="str">
        <f t="shared" ref="AX46:AX55" si="47">V$13&amp;V46&amp;","</f>
        <v>DontAbortOnErrorsThruStep,8,</v>
      </c>
      <c r="AY46" s="31" t="str">
        <f t="shared" ref="AY46:AY55" si="48">W$13&amp;W46&amp;","</f>
        <v>BypassValidFileChecks,1,</v>
      </c>
      <c r="AZ46" s="31" t="str">
        <f t="shared" ref="AZ46:AZ55" si="49">X$13&amp;X46&amp;","</f>
        <v>BypassInputChecks,0,</v>
      </c>
      <c r="BA46" s="31" t="str">
        <f t="shared" ref="BA46:BA55" si="50">Y$13&amp;Y46&amp;","</f>
        <v>BypassUMLHChecks,0,</v>
      </c>
      <c r="BB46" s="31" t="str">
        <f t="shared" ref="BB46:BB55" si="51">Z$13&amp;Z46&amp;","</f>
        <v>BypassCheckSimRules,0,</v>
      </c>
      <c r="BC46" s="31" t="str">
        <f t="shared" ref="BC46:BC55" si="52">AA$13&amp;AA46&amp;","</f>
        <v>BypassCheckCodeRules,0,</v>
      </c>
      <c r="BD46" s="31" t="str">
        <f t="shared" ref="BD46:BD55" si="53">AB$13&amp;AB46&amp;","</f>
        <v>StoreResultsToModelInput,1,</v>
      </c>
      <c r="BE46" s="31" t="str">
        <f t="shared" ref="BE46:BE55" si="54">AC$13&amp;AC46&amp;","</f>
        <v>StoreBEMDetails,1,</v>
      </c>
      <c r="BF46" s="31" t="str">
        <f t="shared" ref="BF46:BF55" si="55">AD$13&amp;AD46&amp;","</f>
        <v>ModelRpt_ALL,1,</v>
      </c>
      <c r="BG46" s="31" t="str">
        <f t="shared" ref="BG46:BG55" si="56">AE$13&amp;AE46&amp;","</f>
        <v>ExportHourlyResults_All,0,</v>
      </c>
      <c r="BH46" s="31" t="str">
        <f t="shared" ref="BH46:BH55" si="57">AF$13&amp;AF46&amp;","</f>
        <v>ComplianceReportPDF,0,</v>
      </c>
      <c r="BI46" s="31" t="str">
        <f t="shared" ref="BI46:BI55" si="58">AG$13&amp;AG46&amp;","</f>
        <v>ComplianceReportXML,0,</v>
      </c>
      <c r="BJ46" s="31" t="str">
        <f t="shared" ref="BJ46:BJ55" si="59">AH$13&amp;AH46&amp;","</f>
        <v>Quick Analyis,0,</v>
      </c>
      <c r="BK46" s="31" t="str">
        <f t="shared" ref="BK46:BK55" si="60">AI$13&amp;AI46&amp;","</f>
        <v>BypassOpenStudio_all,0,</v>
      </c>
      <c r="BL46" s="31" t="str">
        <f t="shared" ref="BL46:BL55" si="61">AJ$13&amp;AJ46&amp;","</f>
        <v>BypassOpenStudio_zp,0,</v>
      </c>
      <c r="BM46" s="31" t="str">
        <f t="shared" ref="BM46:BM55" si="62">AK$13&amp;AK46&amp;","</f>
        <v>BypassOpenStudio_zb,0,</v>
      </c>
      <c r="BN46" s="31" t="str">
        <f t="shared" ref="BN46:BN55" si="63">AL$13&amp;AL46&amp;","</f>
        <v>BypassOpenStudio_ap,0,</v>
      </c>
      <c r="BO46" s="31" t="str">
        <f t="shared" ref="BO46:BO55" si="64">AM$13&amp;AM46&amp;","</f>
        <v>BypassOpenStudio_ab,0,</v>
      </c>
      <c r="BP46" s="31" t="str">
        <f t="shared" ref="BP46:BP55" si="65">AN$13&amp;AN46&amp;","</f>
        <v>BypassOpenStudio_zp,0,</v>
      </c>
      <c r="BQ46" s="31" t="str">
        <f t="shared" ref="BQ46:BQ55" si="66">AO$13&amp;AO46&amp;","</f>
        <v>BypassOpenStudio_zb,0,</v>
      </c>
      <c r="BR46" s="31" t="str">
        <f t="shared" ref="BR46:BR55" si="67">AP$13&amp;AP46&amp;","</f>
        <v>BypassOpenStudio_ap,0,</v>
      </c>
      <c r="BS46" s="31" t="str">
        <f t="shared" ref="BS46:BS55" si="68">AQ$13&amp;AQ46&amp;","</f>
        <v>BypassOpenStudio_ab,0,</v>
      </c>
    </row>
    <row r="47" spans="1:73" x14ac:dyDescent="0.25">
      <c r="A47" s="39">
        <f t="shared" ref="A47:A55" si="69">L47</f>
        <v>1</v>
      </c>
      <c r="B47" s="27" t="str">
        <f t="shared" ref="B47:B55" si="70">M$37&amp;N47&amp;".cibd"</f>
        <v>Standard901Tests\Other Tests\Models\OffMed-S901G_Sys2-10.cibd</v>
      </c>
      <c r="C47" s="27" t="str">
        <f t="shared" ref="C47:C55" si="71" xml:space="preserve"> M$38 &amp; O47 &amp; ".cibd"</f>
        <v>BatchOut_141219_r2896_trunk_901OT\OffMed-S901G_Sys2-10.cibd</v>
      </c>
      <c r="D47" s="27" t="str">
        <f t="shared" si="30"/>
        <v>BatchOut_141219_r2896_trunk_901OT\XML\</v>
      </c>
      <c r="E47" s="9" t="str">
        <f t="shared" ref="E47:E55" si="72">M47</f>
        <v>OffMed-S901G_Sys2-10</v>
      </c>
      <c r="F47" s="22"/>
      <c r="G47" s="29"/>
      <c r="H47" s="23"/>
      <c r="I47" s="9" t="s">
        <v>11</v>
      </c>
      <c r="J47" s="94" t="str">
        <f t="shared" ref="J47:J55" si="73">CONCATENATE(AR47,AS47,AT47,AU47,AV47,AW47,AX47,AY47,AZ47,BA47,BB47,BC47,BD47,BE47,BF47,BG47,BH47,BI47,BJ47,BK47,BL47,BM47,BN47,BO47,BP47,BQ47,BR47,BS47)</f>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7" s="15" t="s">
        <v>1</v>
      </c>
      <c r="L47" s="36">
        <f t="shared" si="37"/>
        <v>1</v>
      </c>
      <c r="M47" s="32" t="str">
        <f t="shared" si="32"/>
        <v>OffMed-S901G_Sys2-10</v>
      </c>
      <c r="N47" s="28" t="s">
        <v>350</v>
      </c>
      <c r="O47" s="57" t="str">
        <f t="shared" si="39"/>
        <v>OffMed-S901G_Sys2-10</v>
      </c>
      <c r="P47" s="63">
        <f t="shared" ref="P47:AQ47" si="74">P46</f>
        <v>1</v>
      </c>
      <c r="Q47" s="65">
        <f t="shared" si="74"/>
        <v>1</v>
      </c>
      <c r="R47" s="65">
        <f t="shared" si="74"/>
        <v>0</v>
      </c>
      <c r="S47" s="65">
        <f t="shared" si="74"/>
        <v>1</v>
      </c>
      <c r="T47" s="65">
        <f t="shared" si="74"/>
        <v>0</v>
      </c>
      <c r="U47" s="65">
        <f t="shared" si="74"/>
        <v>8</v>
      </c>
      <c r="V47" s="65">
        <f t="shared" si="74"/>
        <v>8</v>
      </c>
      <c r="W47" s="65">
        <f t="shared" si="74"/>
        <v>1</v>
      </c>
      <c r="X47" s="65">
        <f t="shared" si="74"/>
        <v>0</v>
      </c>
      <c r="Y47" s="65">
        <f t="shared" si="74"/>
        <v>0</v>
      </c>
      <c r="Z47" s="65">
        <f t="shared" si="74"/>
        <v>0</v>
      </c>
      <c r="AA47" s="65">
        <f t="shared" si="74"/>
        <v>0</v>
      </c>
      <c r="AB47" s="65">
        <f t="shared" si="74"/>
        <v>1</v>
      </c>
      <c r="AC47" s="65">
        <f t="shared" si="74"/>
        <v>1</v>
      </c>
      <c r="AD47" s="61">
        <f t="shared" si="74"/>
        <v>1</v>
      </c>
      <c r="AE47" s="61">
        <f t="shared" si="74"/>
        <v>0</v>
      </c>
      <c r="AF47" s="61">
        <f t="shared" si="74"/>
        <v>0</v>
      </c>
      <c r="AG47" s="61">
        <f t="shared" si="74"/>
        <v>0</v>
      </c>
      <c r="AH47" s="61">
        <f t="shared" si="74"/>
        <v>0</v>
      </c>
      <c r="AI47" s="63">
        <f t="shared" si="74"/>
        <v>0</v>
      </c>
      <c r="AJ47" s="64">
        <f t="shared" si="74"/>
        <v>0</v>
      </c>
      <c r="AK47" s="64">
        <f t="shared" si="74"/>
        <v>0</v>
      </c>
      <c r="AL47" s="64">
        <f t="shared" si="74"/>
        <v>0</v>
      </c>
      <c r="AM47" s="66">
        <f t="shared" si="74"/>
        <v>0</v>
      </c>
      <c r="AN47" s="63">
        <f t="shared" si="74"/>
        <v>0</v>
      </c>
      <c r="AO47" s="64">
        <f t="shared" si="74"/>
        <v>0</v>
      </c>
      <c r="AP47" s="65">
        <f t="shared" si="74"/>
        <v>0</v>
      </c>
      <c r="AQ47" s="66">
        <f t="shared" si="74"/>
        <v>0</v>
      </c>
      <c r="AR47" s="31" t="str">
        <f t="shared" si="41"/>
        <v>SimulationStorage,1,</v>
      </c>
      <c r="AS47" s="31" t="str">
        <f t="shared" si="42"/>
        <v>AnalysisStorage,1,</v>
      </c>
      <c r="AT47" s="31" t="str">
        <f t="shared" si="43"/>
        <v>LogRuleEvaluation,0,</v>
      </c>
      <c r="AU47" s="31" t="str">
        <f t="shared" si="44"/>
        <v>ParallelSimulations,1,</v>
      </c>
      <c r="AV47" s="31" t="str">
        <f t="shared" si="45"/>
        <v>DurationStats,0,</v>
      </c>
      <c r="AW47" s="31" t="str">
        <f t="shared" si="46"/>
        <v>AnalysisThruStep,8,</v>
      </c>
      <c r="AX47" s="31" t="str">
        <f t="shared" si="47"/>
        <v>DontAbortOnErrorsThruStep,8,</v>
      </c>
      <c r="AY47" s="31" t="str">
        <f t="shared" si="48"/>
        <v>BypassValidFileChecks,1,</v>
      </c>
      <c r="AZ47" s="31" t="str">
        <f t="shared" si="49"/>
        <v>BypassInputChecks,0,</v>
      </c>
      <c r="BA47" s="31" t="str">
        <f t="shared" si="50"/>
        <v>BypassUMLHChecks,0,</v>
      </c>
      <c r="BB47" s="31" t="str">
        <f t="shared" si="51"/>
        <v>BypassCheckSimRules,0,</v>
      </c>
      <c r="BC47" s="31" t="str">
        <f t="shared" si="52"/>
        <v>BypassCheckCodeRules,0,</v>
      </c>
      <c r="BD47" s="31" t="str">
        <f t="shared" si="53"/>
        <v>StoreResultsToModelInput,1,</v>
      </c>
      <c r="BE47" s="31" t="str">
        <f t="shared" si="54"/>
        <v>StoreBEMDetails,1,</v>
      </c>
      <c r="BF47" s="31" t="str">
        <f t="shared" si="55"/>
        <v>ModelRpt_ALL,1,</v>
      </c>
      <c r="BG47" s="31" t="str">
        <f t="shared" si="56"/>
        <v>ExportHourlyResults_All,0,</v>
      </c>
      <c r="BH47" s="31" t="str">
        <f t="shared" si="57"/>
        <v>ComplianceReportPDF,0,</v>
      </c>
      <c r="BI47" s="31" t="str">
        <f t="shared" si="58"/>
        <v>ComplianceReportXML,0,</v>
      </c>
      <c r="BJ47" s="31" t="str">
        <f t="shared" si="59"/>
        <v>Quick Analyis,0,</v>
      </c>
      <c r="BK47" s="31" t="str">
        <f t="shared" si="60"/>
        <v>BypassOpenStudio_all,0,</v>
      </c>
      <c r="BL47" s="31" t="str">
        <f t="shared" si="61"/>
        <v>BypassOpenStudio_zp,0,</v>
      </c>
      <c r="BM47" s="31" t="str">
        <f t="shared" si="62"/>
        <v>BypassOpenStudio_zb,0,</v>
      </c>
      <c r="BN47" s="31" t="str">
        <f t="shared" si="63"/>
        <v>BypassOpenStudio_ap,0,</v>
      </c>
      <c r="BO47" s="31" t="str">
        <f t="shared" si="64"/>
        <v>BypassOpenStudio_ab,0,</v>
      </c>
      <c r="BP47" s="31" t="str">
        <f t="shared" si="65"/>
        <v>BypassOpenStudio_zp,0,</v>
      </c>
      <c r="BQ47" s="31" t="str">
        <f t="shared" si="66"/>
        <v>BypassOpenStudio_zb,0,</v>
      </c>
      <c r="BR47" s="31" t="str">
        <f t="shared" si="67"/>
        <v>BypassOpenStudio_ap,0,</v>
      </c>
      <c r="BS47" s="31" t="str">
        <f t="shared" si="68"/>
        <v>BypassOpenStudio_ab,0,</v>
      </c>
    </row>
    <row r="48" spans="1:73" x14ac:dyDescent="0.25">
      <c r="A48" s="39">
        <f t="shared" si="69"/>
        <v>1</v>
      </c>
      <c r="B48" s="27" t="str">
        <f t="shared" si="70"/>
        <v>Standard901Tests\Other Tests\Models\OffMed-S901G_Sys6-9.cibd</v>
      </c>
      <c r="C48" s="27" t="str">
        <f t="shared" si="71"/>
        <v>BatchOut_141219_r2896_trunk_901OT\OffMed-S901G_Sys6-9.cibd</v>
      </c>
      <c r="D48" s="27" t="str">
        <f t="shared" si="30"/>
        <v>BatchOut_141219_r2896_trunk_901OT\XML\</v>
      </c>
      <c r="E48" s="9" t="str">
        <f t="shared" si="72"/>
        <v>OffMed-S901G_Sys6-9</v>
      </c>
      <c r="F48" s="22"/>
      <c r="G48" s="29"/>
      <c r="H48" s="23"/>
      <c r="I48" s="9" t="s">
        <v>11</v>
      </c>
      <c r="J48" s="94" t="str">
        <f t="shared" si="7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8" s="15" t="s">
        <v>1</v>
      </c>
      <c r="L48" s="36">
        <f t="shared" si="37"/>
        <v>1</v>
      </c>
      <c r="M48" s="32" t="str">
        <f t="shared" si="32"/>
        <v>OffMed-S901G_Sys6-9</v>
      </c>
      <c r="N48" s="28" t="s">
        <v>351</v>
      </c>
      <c r="O48" s="57" t="str">
        <f t="shared" si="39"/>
        <v>OffMed-S901G_Sys6-9</v>
      </c>
      <c r="P48" s="63">
        <f t="shared" ref="P48:AQ48" si="75">P47</f>
        <v>1</v>
      </c>
      <c r="Q48" s="65">
        <f t="shared" si="75"/>
        <v>1</v>
      </c>
      <c r="R48" s="65">
        <f t="shared" si="75"/>
        <v>0</v>
      </c>
      <c r="S48" s="65">
        <f t="shared" si="75"/>
        <v>1</v>
      </c>
      <c r="T48" s="65">
        <f t="shared" si="75"/>
        <v>0</v>
      </c>
      <c r="U48" s="65">
        <f t="shared" si="75"/>
        <v>8</v>
      </c>
      <c r="V48" s="65">
        <f t="shared" si="75"/>
        <v>8</v>
      </c>
      <c r="W48" s="65">
        <f t="shared" si="75"/>
        <v>1</v>
      </c>
      <c r="X48" s="65">
        <f t="shared" si="75"/>
        <v>0</v>
      </c>
      <c r="Y48" s="65">
        <f t="shared" si="75"/>
        <v>0</v>
      </c>
      <c r="Z48" s="65">
        <f t="shared" si="75"/>
        <v>0</v>
      </c>
      <c r="AA48" s="65">
        <f t="shared" si="75"/>
        <v>0</v>
      </c>
      <c r="AB48" s="65">
        <f t="shared" si="75"/>
        <v>1</v>
      </c>
      <c r="AC48" s="65">
        <f t="shared" si="75"/>
        <v>1</v>
      </c>
      <c r="AD48" s="61">
        <f t="shared" si="75"/>
        <v>1</v>
      </c>
      <c r="AE48" s="61">
        <f t="shared" si="75"/>
        <v>0</v>
      </c>
      <c r="AF48" s="61">
        <f t="shared" si="75"/>
        <v>0</v>
      </c>
      <c r="AG48" s="61">
        <f t="shared" si="75"/>
        <v>0</v>
      </c>
      <c r="AH48" s="61">
        <f t="shared" si="75"/>
        <v>0</v>
      </c>
      <c r="AI48" s="63">
        <f t="shared" si="75"/>
        <v>0</v>
      </c>
      <c r="AJ48" s="64">
        <f t="shared" si="75"/>
        <v>0</v>
      </c>
      <c r="AK48" s="64">
        <f t="shared" si="75"/>
        <v>0</v>
      </c>
      <c r="AL48" s="64">
        <f t="shared" si="75"/>
        <v>0</v>
      </c>
      <c r="AM48" s="66">
        <f t="shared" si="75"/>
        <v>0</v>
      </c>
      <c r="AN48" s="63">
        <f t="shared" si="75"/>
        <v>0</v>
      </c>
      <c r="AO48" s="64">
        <f t="shared" si="75"/>
        <v>0</v>
      </c>
      <c r="AP48" s="65">
        <f t="shared" si="75"/>
        <v>0</v>
      </c>
      <c r="AQ48" s="66">
        <f t="shared" si="75"/>
        <v>0</v>
      </c>
      <c r="AR48" s="31" t="str">
        <f t="shared" si="41"/>
        <v>SimulationStorage,1,</v>
      </c>
      <c r="AS48" s="31" t="str">
        <f t="shared" si="42"/>
        <v>AnalysisStorage,1,</v>
      </c>
      <c r="AT48" s="31" t="str">
        <f t="shared" si="43"/>
        <v>LogRuleEvaluation,0,</v>
      </c>
      <c r="AU48" s="31" t="str">
        <f t="shared" si="44"/>
        <v>ParallelSimulations,1,</v>
      </c>
      <c r="AV48" s="31" t="str">
        <f t="shared" si="45"/>
        <v>DurationStats,0,</v>
      </c>
      <c r="AW48" s="31" t="str">
        <f t="shared" si="46"/>
        <v>AnalysisThruStep,8,</v>
      </c>
      <c r="AX48" s="31" t="str">
        <f t="shared" si="47"/>
        <v>DontAbortOnErrorsThruStep,8,</v>
      </c>
      <c r="AY48" s="31" t="str">
        <f t="shared" si="48"/>
        <v>BypassValidFileChecks,1,</v>
      </c>
      <c r="AZ48" s="31" t="str">
        <f t="shared" si="49"/>
        <v>BypassInputChecks,0,</v>
      </c>
      <c r="BA48" s="31" t="str">
        <f t="shared" si="50"/>
        <v>BypassUMLHChecks,0,</v>
      </c>
      <c r="BB48" s="31" t="str">
        <f t="shared" si="51"/>
        <v>BypassCheckSimRules,0,</v>
      </c>
      <c r="BC48" s="31" t="str">
        <f t="shared" si="52"/>
        <v>BypassCheckCodeRules,0,</v>
      </c>
      <c r="BD48" s="31" t="str">
        <f t="shared" si="53"/>
        <v>StoreResultsToModelInput,1,</v>
      </c>
      <c r="BE48" s="31" t="str">
        <f t="shared" si="54"/>
        <v>StoreBEMDetails,1,</v>
      </c>
      <c r="BF48" s="31" t="str">
        <f t="shared" si="55"/>
        <v>ModelRpt_ALL,1,</v>
      </c>
      <c r="BG48" s="31" t="str">
        <f t="shared" si="56"/>
        <v>ExportHourlyResults_All,0,</v>
      </c>
      <c r="BH48" s="31" t="str">
        <f t="shared" si="57"/>
        <v>ComplianceReportPDF,0,</v>
      </c>
      <c r="BI48" s="31" t="str">
        <f t="shared" si="58"/>
        <v>ComplianceReportXML,0,</v>
      </c>
      <c r="BJ48" s="31" t="str">
        <f t="shared" si="59"/>
        <v>Quick Analyis,0,</v>
      </c>
      <c r="BK48" s="31" t="str">
        <f t="shared" si="60"/>
        <v>BypassOpenStudio_all,0,</v>
      </c>
      <c r="BL48" s="31" t="str">
        <f t="shared" si="61"/>
        <v>BypassOpenStudio_zp,0,</v>
      </c>
      <c r="BM48" s="31" t="str">
        <f t="shared" si="62"/>
        <v>BypassOpenStudio_zb,0,</v>
      </c>
      <c r="BN48" s="31" t="str">
        <f t="shared" si="63"/>
        <v>BypassOpenStudio_ap,0,</v>
      </c>
      <c r="BO48" s="31" t="str">
        <f t="shared" si="64"/>
        <v>BypassOpenStudio_ab,0,</v>
      </c>
      <c r="BP48" s="31" t="str">
        <f t="shared" si="65"/>
        <v>BypassOpenStudio_zp,0,</v>
      </c>
      <c r="BQ48" s="31" t="str">
        <f t="shared" si="66"/>
        <v>BypassOpenStudio_zb,0,</v>
      </c>
      <c r="BR48" s="31" t="str">
        <f t="shared" si="67"/>
        <v>BypassOpenStudio_ap,0,</v>
      </c>
      <c r="BS48" s="31" t="str">
        <f t="shared" si="68"/>
        <v>BypassOpenStudio_ab,0,</v>
      </c>
    </row>
    <row r="49" spans="1:73" x14ac:dyDescent="0.25">
      <c r="A49" s="39">
        <f t="shared" si="69"/>
        <v>1</v>
      </c>
      <c r="B49" s="27" t="str">
        <f t="shared" si="70"/>
        <v>Standard901Tests\Other Tests\Models\OffMed-S901G_Sys6-10.cibd</v>
      </c>
      <c r="C49" s="27" t="str">
        <f t="shared" si="71"/>
        <v>BatchOut_141219_r2896_trunk_901OT\OffMed-S901G_Sys6-10.cibd</v>
      </c>
      <c r="D49" s="27" t="str">
        <f t="shared" si="30"/>
        <v>BatchOut_141219_r2896_trunk_901OT\XML\</v>
      </c>
      <c r="E49" s="9" t="str">
        <f t="shared" si="72"/>
        <v>OffMed-S901G_Sys6-10</v>
      </c>
      <c r="F49" s="22"/>
      <c r="G49" s="29"/>
      <c r="H49" s="23"/>
      <c r="I49" s="9" t="s">
        <v>11</v>
      </c>
      <c r="J49" s="94" t="str">
        <f t="shared" si="7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49" s="15" t="s">
        <v>1</v>
      </c>
      <c r="L49" s="36">
        <f t="shared" si="37"/>
        <v>1</v>
      </c>
      <c r="M49" s="32" t="str">
        <f t="shared" si="32"/>
        <v>OffMed-S901G_Sys6-10</v>
      </c>
      <c r="N49" s="28" t="s">
        <v>352</v>
      </c>
      <c r="O49" s="57" t="str">
        <f t="shared" si="39"/>
        <v>OffMed-S901G_Sys6-10</v>
      </c>
      <c r="P49" s="63">
        <f t="shared" ref="P49:AQ49" si="76">P48</f>
        <v>1</v>
      </c>
      <c r="Q49" s="65">
        <f t="shared" si="76"/>
        <v>1</v>
      </c>
      <c r="R49" s="65">
        <f t="shared" si="76"/>
        <v>0</v>
      </c>
      <c r="S49" s="65">
        <f t="shared" si="76"/>
        <v>1</v>
      </c>
      <c r="T49" s="65">
        <f t="shared" si="76"/>
        <v>0</v>
      </c>
      <c r="U49" s="65">
        <f t="shared" si="76"/>
        <v>8</v>
      </c>
      <c r="V49" s="65">
        <f t="shared" si="76"/>
        <v>8</v>
      </c>
      <c r="W49" s="65">
        <f t="shared" si="76"/>
        <v>1</v>
      </c>
      <c r="X49" s="65">
        <f t="shared" si="76"/>
        <v>0</v>
      </c>
      <c r="Y49" s="65">
        <f t="shared" si="76"/>
        <v>0</v>
      </c>
      <c r="Z49" s="65">
        <f t="shared" si="76"/>
        <v>0</v>
      </c>
      <c r="AA49" s="65">
        <f t="shared" si="76"/>
        <v>0</v>
      </c>
      <c r="AB49" s="65">
        <f t="shared" si="76"/>
        <v>1</v>
      </c>
      <c r="AC49" s="65">
        <f t="shared" si="76"/>
        <v>1</v>
      </c>
      <c r="AD49" s="61">
        <f t="shared" si="76"/>
        <v>1</v>
      </c>
      <c r="AE49" s="61">
        <f t="shared" si="76"/>
        <v>0</v>
      </c>
      <c r="AF49" s="61">
        <f t="shared" si="76"/>
        <v>0</v>
      </c>
      <c r="AG49" s="61">
        <f t="shared" si="76"/>
        <v>0</v>
      </c>
      <c r="AH49" s="61">
        <f t="shared" si="76"/>
        <v>0</v>
      </c>
      <c r="AI49" s="63">
        <f t="shared" si="76"/>
        <v>0</v>
      </c>
      <c r="AJ49" s="64">
        <f t="shared" si="76"/>
        <v>0</v>
      </c>
      <c r="AK49" s="64">
        <f t="shared" si="76"/>
        <v>0</v>
      </c>
      <c r="AL49" s="64">
        <f t="shared" si="76"/>
        <v>0</v>
      </c>
      <c r="AM49" s="66">
        <f t="shared" si="76"/>
        <v>0</v>
      </c>
      <c r="AN49" s="63">
        <f t="shared" si="76"/>
        <v>0</v>
      </c>
      <c r="AO49" s="64">
        <f t="shared" si="76"/>
        <v>0</v>
      </c>
      <c r="AP49" s="65">
        <f t="shared" si="76"/>
        <v>0</v>
      </c>
      <c r="AQ49" s="66">
        <f t="shared" si="76"/>
        <v>0</v>
      </c>
      <c r="AR49" s="31" t="str">
        <f t="shared" si="41"/>
        <v>SimulationStorage,1,</v>
      </c>
      <c r="AS49" s="31" t="str">
        <f t="shared" si="42"/>
        <v>AnalysisStorage,1,</v>
      </c>
      <c r="AT49" s="31" t="str">
        <f t="shared" si="43"/>
        <v>LogRuleEvaluation,0,</v>
      </c>
      <c r="AU49" s="31" t="str">
        <f t="shared" si="44"/>
        <v>ParallelSimulations,1,</v>
      </c>
      <c r="AV49" s="31" t="str">
        <f t="shared" si="45"/>
        <v>DurationStats,0,</v>
      </c>
      <c r="AW49" s="31" t="str">
        <f t="shared" si="46"/>
        <v>AnalysisThruStep,8,</v>
      </c>
      <c r="AX49" s="31" t="str">
        <f t="shared" si="47"/>
        <v>DontAbortOnErrorsThruStep,8,</v>
      </c>
      <c r="AY49" s="31" t="str">
        <f t="shared" si="48"/>
        <v>BypassValidFileChecks,1,</v>
      </c>
      <c r="AZ49" s="31" t="str">
        <f t="shared" si="49"/>
        <v>BypassInputChecks,0,</v>
      </c>
      <c r="BA49" s="31" t="str">
        <f t="shared" si="50"/>
        <v>BypassUMLHChecks,0,</v>
      </c>
      <c r="BB49" s="31" t="str">
        <f t="shared" si="51"/>
        <v>BypassCheckSimRules,0,</v>
      </c>
      <c r="BC49" s="31" t="str">
        <f t="shared" si="52"/>
        <v>BypassCheckCodeRules,0,</v>
      </c>
      <c r="BD49" s="31" t="str">
        <f t="shared" si="53"/>
        <v>StoreResultsToModelInput,1,</v>
      </c>
      <c r="BE49" s="31" t="str">
        <f t="shared" si="54"/>
        <v>StoreBEMDetails,1,</v>
      </c>
      <c r="BF49" s="31" t="str">
        <f t="shared" si="55"/>
        <v>ModelRpt_ALL,1,</v>
      </c>
      <c r="BG49" s="31" t="str">
        <f t="shared" si="56"/>
        <v>ExportHourlyResults_All,0,</v>
      </c>
      <c r="BH49" s="31" t="str">
        <f t="shared" si="57"/>
        <v>ComplianceReportPDF,0,</v>
      </c>
      <c r="BI49" s="31" t="str">
        <f t="shared" si="58"/>
        <v>ComplianceReportXML,0,</v>
      </c>
      <c r="BJ49" s="31" t="str">
        <f t="shared" si="59"/>
        <v>Quick Analyis,0,</v>
      </c>
      <c r="BK49" s="31" t="str">
        <f t="shared" si="60"/>
        <v>BypassOpenStudio_all,0,</v>
      </c>
      <c r="BL49" s="31" t="str">
        <f t="shared" si="61"/>
        <v>BypassOpenStudio_zp,0,</v>
      </c>
      <c r="BM49" s="31" t="str">
        <f t="shared" si="62"/>
        <v>BypassOpenStudio_zb,0,</v>
      </c>
      <c r="BN49" s="31" t="str">
        <f t="shared" si="63"/>
        <v>BypassOpenStudio_ap,0,</v>
      </c>
      <c r="BO49" s="31" t="str">
        <f t="shared" si="64"/>
        <v>BypassOpenStudio_ab,0,</v>
      </c>
      <c r="BP49" s="31" t="str">
        <f t="shared" si="65"/>
        <v>BypassOpenStudio_zp,0,</v>
      </c>
      <c r="BQ49" s="31" t="str">
        <f t="shared" si="66"/>
        <v>BypassOpenStudio_zb,0,</v>
      </c>
      <c r="BR49" s="31" t="str">
        <f t="shared" si="67"/>
        <v>BypassOpenStudio_ap,0,</v>
      </c>
      <c r="BS49" s="31" t="str">
        <f t="shared" si="68"/>
        <v>BypassOpenStudio_ab,0,</v>
      </c>
    </row>
    <row r="50" spans="1:73" x14ac:dyDescent="0.25">
      <c r="A50" s="39">
        <f t="shared" si="69"/>
        <v>1</v>
      </c>
      <c r="B50" s="27" t="str">
        <f t="shared" si="70"/>
        <v>Standard901Tests\Other Tests\Models\Whse-S901G_Sys3-9-10.cibd</v>
      </c>
      <c r="C50" s="27" t="str">
        <f t="shared" si="71"/>
        <v>BatchOut_141219_r2896_trunk_901OT\Whse-S901G_Sys3-9-10.cibd</v>
      </c>
      <c r="D50" s="27" t="str">
        <f t="shared" si="30"/>
        <v>BatchOut_141219_r2896_trunk_901OT\XML\</v>
      </c>
      <c r="E50" s="9" t="str">
        <f t="shared" si="72"/>
        <v>Whse-S901G_Sys3-9-10</v>
      </c>
      <c r="F50" s="22"/>
      <c r="G50" s="29"/>
      <c r="H50" s="23"/>
      <c r="I50" s="9" t="s">
        <v>11</v>
      </c>
      <c r="J50" s="94" t="str">
        <f t="shared" si="7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50" s="15" t="s">
        <v>1</v>
      </c>
      <c r="L50" s="36">
        <f t="shared" si="37"/>
        <v>1</v>
      </c>
      <c r="M50" s="32" t="str">
        <f t="shared" si="32"/>
        <v>Whse-S901G_Sys3-9-10</v>
      </c>
      <c r="N50" s="28" t="s">
        <v>353</v>
      </c>
      <c r="O50" s="57" t="str">
        <f t="shared" si="39"/>
        <v>Whse-S901G_Sys3-9-10</v>
      </c>
      <c r="P50" s="63">
        <f t="shared" ref="P50:AQ50" si="77">P49</f>
        <v>1</v>
      </c>
      <c r="Q50" s="65">
        <f t="shared" si="77"/>
        <v>1</v>
      </c>
      <c r="R50" s="65">
        <f t="shared" si="77"/>
        <v>0</v>
      </c>
      <c r="S50" s="65">
        <f t="shared" si="77"/>
        <v>1</v>
      </c>
      <c r="T50" s="65">
        <f t="shared" si="77"/>
        <v>0</v>
      </c>
      <c r="U50" s="65">
        <f t="shared" si="77"/>
        <v>8</v>
      </c>
      <c r="V50" s="65">
        <f t="shared" si="77"/>
        <v>8</v>
      </c>
      <c r="W50" s="65">
        <f t="shared" si="77"/>
        <v>1</v>
      </c>
      <c r="X50" s="65">
        <f t="shared" si="77"/>
        <v>0</v>
      </c>
      <c r="Y50" s="65">
        <f t="shared" si="77"/>
        <v>0</v>
      </c>
      <c r="Z50" s="65">
        <f t="shared" si="77"/>
        <v>0</v>
      </c>
      <c r="AA50" s="65">
        <f t="shared" si="77"/>
        <v>0</v>
      </c>
      <c r="AB50" s="65">
        <f t="shared" si="77"/>
        <v>1</v>
      </c>
      <c r="AC50" s="65">
        <f t="shared" si="77"/>
        <v>1</v>
      </c>
      <c r="AD50" s="61">
        <f t="shared" si="77"/>
        <v>1</v>
      </c>
      <c r="AE50" s="61">
        <f t="shared" si="77"/>
        <v>0</v>
      </c>
      <c r="AF50" s="61">
        <f t="shared" si="77"/>
        <v>0</v>
      </c>
      <c r="AG50" s="61">
        <f t="shared" si="77"/>
        <v>0</v>
      </c>
      <c r="AH50" s="61">
        <f t="shared" si="77"/>
        <v>0</v>
      </c>
      <c r="AI50" s="63">
        <f t="shared" si="77"/>
        <v>0</v>
      </c>
      <c r="AJ50" s="64">
        <f t="shared" si="77"/>
        <v>0</v>
      </c>
      <c r="AK50" s="64">
        <f t="shared" si="77"/>
        <v>0</v>
      </c>
      <c r="AL50" s="64">
        <f t="shared" si="77"/>
        <v>0</v>
      </c>
      <c r="AM50" s="66">
        <f t="shared" si="77"/>
        <v>0</v>
      </c>
      <c r="AN50" s="63">
        <f t="shared" si="77"/>
        <v>0</v>
      </c>
      <c r="AO50" s="64">
        <f t="shared" si="77"/>
        <v>0</v>
      </c>
      <c r="AP50" s="65">
        <f t="shared" si="77"/>
        <v>0</v>
      </c>
      <c r="AQ50" s="66">
        <f t="shared" si="77"/>
        <v>0</v>
      </c>
      <c r="AR50" s="31" t="str">
        <f t="shared" si="41"/>
        <v>SimulationStorage,1,</v>
      </c>
      <c r="AS50" s="31" t="str">
        <f t="shared" si="42"/>
        <v>AnalysisStorage,1,</v>
      </c>
      <c r="AT50" s="31" t="str">
        <f t="shared" si="43"/>
        <v>LogRuleEvaluation,0,</v>
      </c>
      <c r="AU50" s="31" t="str">
        <f t="shared" si="44"/>
        <v>ParallelSimulations,1,</v>
      </c>
      <c r="AV50" s="31" t="str">
        <f t="shared" si="45"/>
        <v>DurationStats,0,</v>
      </c>
      <c r="AW50" s="31" t="str">
        <f t="shared" si="46"/>
        <v>AnalysisThruStep,8,</v>
      </c>
      <c r="AX50" s="31" t="str">
        <f t="shared" si="47"/>
        <v>DontAbortOnErrorsThruStep,8,</v>
      </c>
      <c r="AY50" s="31" t="str">
        <f t="shared" si="48"/>
        <v>BypassValidFileChecks,1,</v>
      </c>
      <c r="AZ50" s="31" t="str">
        <f t="shared" si="49"/>
        <v>BypassInputChecks,0,</v>
      </c>
      <c r="BA50" s="31" t="str">
        <f t="shared" si="50"/>
        <v>BypassUMLHChecks,0,</v>
      </c>
      <c r="BB50" s="31" t="str">
        <f t="shared" si="51"/>
        <v>BypassCheckSimRules,0,</v>
      </c>
      <c r="BC50" s="31" t="str">
        <f t="shared" si="52"/>
        <v>BypassCheckCodeRules,0,</v>
      </c>
      <c r="BD50" s="31" t="str">
        <f t="shared" si="53"/>
        <v>StoreResultsToModelInput,1,</v>
      </c>
      <c r="BE50" s="31" t="str">
        <f t="shared" si="54"/>
        <v>StoreBEMDetails,1,</v>
      </c>
      <c r="BF50" s="31" t="str">
        <f t="shared" si="55"/>
        <v>ModelRpt_ALL,1,</v>
      </c>
      <c r="BG50" s="31" t="str">
        <f t="shared" si="56"/>
        <v>ExportHourlyResults_All,0,</v>
      </c>
      <c r="BH50" s="31" t="str">
        <f t="shared" si="57"/>
        <v>ComplianceReportPDF,0,</v>
      </c>
      <c r="BI50" s="31" t="str">
        <f t="shared" si="58"/>
        <v>ComplianceReportXML,0,</v>
      </c>
      <c r="BJ50" s="31" t="str">
        <f t="shared" si="59"/>
        <v>Quick Analyis,0,</v>
      </c>
      <c r="BK50" s="31" t="str">
        <f t="shared" si="60"/>
        <v>BypassOpenStudio_all,0,</v>
      </c>
      <c r="BL50" s="31" t="str">
        <f t="shared" si="61"/>
        <v>BypassOpenStudio_zp,0,</v>
      </c>
      <c r="BM50" s="31" t="str">
        <f t="shared" si="62"/>
        <v>BypassOpenStudio_zb,0,</v>
      </c>
      <c r="BN50" s="31" t="str">
        <f t="shared" si="63"/>
        <v>BypassOpenStudio_ap,0,</v>
      </c>
      <c r="BO50" s="31" t="str">
        <f t="shared" si="64"/>
        <v>BypassOpenStudio_ab,0,</v>
      </c>
      <c r="BP50" s="31" t="str">
        <f t="shared" si="65"/>
        <v>BypassOpenStudio_zp,0,</v>
      </c>
      <c r="BQ50" s="31" t="str">
        <f t="shared" si="66"/>
        <v>BypassOpenStudio_zb,0,</v>
      </c>
      <c r="BR50" s="31" t="str">
        <f t="shared" si="67"/>
        <v>BypassOpenStudio_ap,0,</v>
      </c>
      <c r="BS50" s="31" t="str">
        <f t="shared" si="68"/>
        <v>BypassOpenStudio_ab,0,</v>
      </c>
    </row>
    <row r="51" spans="1:73" x14ac:dyDescent="0.25">
      <c r="A51" s="39">
        <f t="shared" si="69"/>
        <v>1</v>
      </c>
      <c r="B51" s="27" t="str">
        <f t="shared" si="70"/>
        <v>Standard901Tests\Other Tests\Models\030032-OffMed-S901Electric-FenConsTests_Ltg.cibd</v>
      </c>
      <c r="C51" s="27" t="str">
        <f t="shared" si="71"/>
        <v>BatchOut_141219_r2896_trunk_901OT\030032-OffMed-S901Electric-FenConsTests_Ltg.cibd</v>
      </c>
      <c r="D51" s="27" t="str">
        <f t="shared" si="30"/>
        <v>BatchOut_141219_r2896_trunk_901OT\XML\</v>
      </c>
      <c r="E51" s="9" t="str">
        <f t="shared" si="72"/>
        <v>030032-OffMed-S901Electric-FenConsTests_Ltg</v>
      </c>
      <c r="F51" s="22"/>
      <c r="G51" s="29"/>
      <c r="H51" s="23"/>
      <c r="I51" s="9" t="s">
        <v>11</v>
      </c>
      <c r="J51" s="94" t="str">
        <f t="shared" si="7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51" s="15" t="s">
        <v>1</v>
      </c>
      <c r="L51" s="36">
        <f t="shared" si="37"/>
        <v>1</v>
      </c>
      <c r="M51" s="32" t="str">
        <f t="shared" si="32"/>
        <v>030032-OffMed-S901Electric-FenConsTests_Ltg</v>
      </c>
      <c r="N51" s="28" t="s">
        <v>355</v>
      </c>
      <c r="O51" s="57" t="str">
        <f t="shared" si="39"/>
        <v>030032-OffMed-S901Electric-FenConsTests_Ltg</v>
      </c>
      <c r="P51" s="63">
        <f t="shared" ref="P51:AQ51" si="78">P50</f>
        <v>1</v>
      </c>
      <c r="Q51" s="65">
        <f t="shared" si="78"/>
        <v>1</v>
      </c>
      <c r="R51" s="65">
        <f t="shared" si="78"/>
        <v>0</v>
      </c>
      <c r="S51" s="65">
        <f t="shared" si="78"/>
        <v>1</v>
      </c>
      <c r="T51" s="65">
        <f t="shared" si="78"/>
        <v>0</v>
      </c>
      <c r="U51" s="65">
        <f t="shared" si="78"/>
        <v>8</v>
      </c>
      <c r="V51" s="65">
        <f t="shared" si="78"/>
        <v>8</v>
      </c>
      <c r="W51" s="65">
        <f t="shared" si="78"/>
        <v>1</v>
      </c>
      <c r="X51" s="65">
        <f t="shared" si="78"/>
        <v>0</v>
      </c>
      <c r="Y51" s="65">
        <f t="shared" si="78"/>
        <v>0</v>
      </c>
      <c r="Z51" s="65">
        <f t="shared" si="78"/>
        <v>0</v>
      </c>
      <c r="AA51" s="65">
        <f t="shared" si="78"/>
        <v>0</v>
      </c>
      <c r="AB51" s="65">
        <f t="shared" si="78"/>
        <v>1</v>
      </c>
      <c r="AC51" s="65">
        <f t="shared" si="78"/>
        <v>1</v>
      </c>
      <c r="AD51" s="61">
        <f t="shared" si="78"/>
        <v>1</v>
      </c>
      <c r="AE51" s="61">
        <f t="shared" si="78"/>
        <v>0</v>
      </c>
      <c r="AF51" s="61">
        <f t="shared" si="78"/>
        <v>0</v>
      </c>
      <c r="AG51" s="61">
        <f t="shared" si="78"/>
        <v>0</v>
      </c>
      <c r="AH51" s="61">
        <f t="shared" si="78"/>
        <v>0</v>
      </c>
      <c r="AI51" s="63">
        <f t="shared" si="78"/>
        <v>0</v>
      </c>
      <c r="AJ51" s="64">
        <f t="shared" si="78"/>
        <v>0</v>
      </c>
      <c r="AK51" s="64">
        <f t="shared" si="78"/>
        <v>0</v>
      </c>
      <c r="AL51" s="64">
        <f t="shared" si="78"/>
        <v>0</v>
      </c>
      <c r="AM51" s="66">
        <f t="shared" si="78"/>
        <v>0</v>
      </c>
      <c r="AN51" s="63">
        <f t="shared" si="78"/>
        <v>0</v>
      </c>
      <c r="AO51" s="64">
        <f t="shared" si="78"/>
        <v>0</v>
      </c>
      <c r="AP51" s="65">
        <f t="shared" si="78"/>
        <v>0</v>
      </c>
      <c r="AQ51" s="66">
        <f t="shared" si="78"/>
        <v>0</v>
      </c>
      <c r="AR51" s="31" t="str">
        <f t="shared" si="41"/>
        <v>SimulationStorage,1,</v>
      </c>
      <c r="AS51" s="31" t="str">
        <f t="shared" si="42"/>
        <v>AnalysisStorage,1,</v>
      </c>
      <c r="AT51" s="31" t="str">
        <f t="shared" si="43"/>
        <v>LogRuleEvaluation,0,</v>
      </c>
      <c r="AU51" s="31" t="str">
        <f t="shared" si="44"/>
        <v>ParallelSimulations,1,</v>
      </c>
      <c r="AV51" s="31" t="str">
        <f t="shared" si="45"/>
        <v>DurationStats,0,</v>
      </c>
      <c r="AW51" s="31" t="str">
        <f t="shared" si="46"/>
        <v>AnalysisThruStep,8,</v>
      </c>
      <c r="AX51" s="31" t="str">
        <f t="shared" si="47"/>
        <v>DontAbortOnErrorsThruStep,8,</v>
      </c>
      <c r="AY51" s="31" t="str">
        <f t="shared" si="48"/>
        <v>BypassValidFileChecks,1,</v>
      </c>
      <c r="AZ51" s="31" t="str">
        <f t="shared" si="49"/>
        <v>BypassInputChecks,0,</v>
      </c>
      <c r="BA51" s="31" t="str">
        <f t="shared" si="50"/>
        <v>BypassUMLHChecks,0,</v>
      </c>
      <c r="BB51" s="31" t="str">
        <f t="shared" si="51"/>
        <v>BypassCheckSimRules,0,</v>
      </c>
      <c r="BC51" s="31" t="str">
        <f t="shared" si="52"/>
        <v>BypassCheckCodeRules,0,</v>
      </c>
      <c r="BD51" s="31" t="str">
        <f t="shared" si="53"/>
        <v>StoreResultsToModelInput,1,</v>
      </c>
      <c r="BE51" s="31" t="str">
        <f t="shared" si="54"/>
        <v>StoreBEMDetails,1,</v>
      </c>
      <c r="BF51" s="31" t="str">
        <f t="shared" si="55"/>
        <v>ModelRpt_ALL,1,</v>
      </c>
      <c r="BG51" s="31" t="str">
        <f t="shared" si="56"/>
        <v>ExportHourlyResults_All,0,</v>
      </c>
      <c r="BH51" s="31" t="str">
        <f t="shared" si="57"/>
        <v>ComplianceReportPDF,0,</v>
      </c>
      <c r="BI51" s="31" t="str">
        <f t="shared" si="58"/>
        <v>ComplianceReportXML,0,</v>
      </c>
      <c r="BJ51" s="31" t="str">
        <f t="shared" si="59"/>
        <v>Quick Analyis,0,</v>
      </c>
      <c r="BK51" s="31" t="str">
        <f t="shared" si="60"/>
        <v>BypassOpenStudio_all,0,</v>
      </c>
      <c r="BL51" s="31" t="str">
        <f t="shared" si="61"/>
        <v>BypassOpenStudio_zp,0,</v>
      </c>
      <c r="BM51" s="31" t="str">
        <f t="shared" si="62"/>
        <v>BypassOpenStudio_zb,0,</v>
      </c>
      <c r="BN51" s="31" t="str">
        <f t="shared" si="63"/>
        <v>BypassOpenStudio_ap,0,</v>
      </c>
      <c r="BO51" s="31" t="str">
        <f t="shared" si="64"/>
        <v>BypassOpenStudio_ab,0,</v>
      </c>
      <c r="BP51" s="31" t="str">
        <f t="shared" si="65"/>
        <v>BypassOpenStudio_zp,0,</v>
      </c>
      <c r="BQ51" s="31" t="str">
        <f t="shared" si="66"/>
        <v>BypassOpenStudio_zb,0,</v>
      </c>
      <c r="BR51" s="31" t="str">
        <f t="shared" si="67"/>
        <v>BypassOpenStudio_ap,0,</v>
      </c>
      <c r="BS51" s="31" t="str">
        <f t="shared" si="68"/>
        <v>BypassOpenStudio_ab,0,</v>
      </c>
    </row>
    <row r="52" spans="1:73" x14ac:dyDescent="0.25">
      <c r="A52" s="39">
        <f t="shared" si="69"/>
        <v>1</v>
      </c>
      <c r="B52" s="27" t="str">
        <f t="shared" si="70"/>
        <v>Standard901Tests\Other Tests\Models\030032-OffMed-S901GElectric-ExtSurfClass.cibd</v>
      </c>
      <c r="C52" s="27" t="str">
        <f t="shared" si="71"/>
        <v>BatchOut_141219_r2896_trunk_901OT\030032-OffMed-S901GElectric-ExtSurfClass.cibd</v>
      </c>
      <c r="D52" s="27" t="str">
        <f t="shared" si="30"/>
        <v>BatchOut_141219_r2896_trunk_901OT\XML\</v>
      </c>
      <c r="E52" s="9" t="str">
        <f t="shared" si="72"/>
        <v>030032-OffMed-S901GElectric-ExtSurfClass</v>
      </c>
      <c r="F52" s="22"/>
      <c r="G52" s="29"/>
      <c r="H52" s="23"/>
      <c r="I52" s="9" t="s">
        <v>11</v>
      </c>
      <c r="J52" s="94" t="str">
        <f t="shared" si="7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52" s="15" t="s">
        <v>1</v>
      </c>
      <c r="L52" s="36">
        <f t="shared" si="37"/>
        <v>1</v>
      </c>
      <c r="M52" s="32" t="str">
        <f t="shared" si="32"/>
        <v>030032-OffMed-S901GElectric-ExtSurfClass</v>
      </c>
      <c r="N52" s="28" t="s">
        <v>356</v>
      </c>
      <c r="O52" s="57" t="str">
        <f t="shared" si="39"/>
        <v>030032-OffMed-S901GElectric-ExtSurfClass</v>
      </c>
      <c r="P52" s="63">
        <f t="shared" ref="P52:AQ52" si="79">P51</f>
        <v>1</v>
      </c>
      <c r="Q52" s="65">
        <f t="shared" si="79"/>
        <v>1</v>
      </c>
      <c r="R52" s="65">
        <f t="shared" si="79"/>
        <v>0</v>
      </c>
      <c r="S52" s="65">
        <f t="shared" si="79"/>
        <v>1</v>
      </c>
      <c r="T52" s="65">
        <f t="shared" si="79"/>
        <v>0</v>
      </c>
      <c r="U52" s="65">
        <f t="shared" si="79"/>
        <v>8</v>
      </c>
      <c r="V52" s="65">
        <f t="shared" si="79"/>
        <v>8</v>
      </c>
      <c r="W52" s="65">
        <f t="shared" si="79"/>
        <v>1</v>
      </c>
      <c r="X52" s="65">
        <f t="shared" si="79"/>
        <v>0</v>
      </c>
      <c r="Y52" s="65">
        <f t="shared" si="79"/>
        <v>0</v>
      </c>
      <c r="Z52" s="65">
        <f t="shared" si="79"/>
        <v>0</v>
      </c>
      <c r="AA52" s="65">
        <f t="shared" si="79"/>
        <v>0</v>
      </c>
      <c r="AB52" s="65">
        <f t="shared" si="79"/>
        <v>1</v>
      </c>
      <c r="AC52" s="65">
        <f t="shared" si="79"/>
        <v>1</v>
      </c>
      <c r="AD52" s="61">
        <f t="shared" si="79"/>
        <v>1</v>
      </c>
      <c r="AE52" s="61">
        <f t="shared" si="79"/>
        <v>0</v>
      </c>
      <c r="AF52" s="61">
        <f t="shared" si="79"/>
        <v>0</v>
      </c>
      <c r="AG52" s="61">
        <f t="shared" si="79"/>
        <v>0</v>
      </c>
      <c r="AH52" s="61">
        <f t="shared" si="79"/>
        <v>0</v>
      </c>
      <c r="AI52" s="63">
        <f t="shared" si="79"/>
        <v>0</v>
      </c>
      <c r="AJ52" s="64">
        <f t="shared" si="79"/>
        <v>0</v>
      </c>
      <c r="AK52" s="64">
        <f t="shared" si="79"/>
        <v>0</v>
      </c>
      <c r="AL52" s="64">
        <f t="shared" si="79"/>
        <v>0</v>
      </c>
      <c r="AM52" s="66">
        <f t="shared" si="79"/>
        <v>0</v>
      </c>
      <c r="AN52" s="63">
        <f t="shared" si="79"/>
        <v>0</v>
      </c>
      <c r="AO52" s="64">
        <f t="shared" si="79"/>
        <v>0</v>
      </c>
      <c r="AP52" s="65">
        <f t="shared" si="79"/>
        <v>0</v>
      </c>
      <c r="AQ52" s="66">
        <f t="shared" si="79"/>
        <v>0</v>
      </c>
      <c r="AR52" s="31" t="str">
        <f t="shared" si="41"/>
        <v>SimulationStorage,1,</v>
      </c>
      <c r="AS52" s="31" t="str">
        <f t="shared" si="42"/>
        <v>AnalysisStorage,1,</v>
      </c>
      <c r="AT52" s="31" t="str">
        <f t="shared" si="43"/>
        <v>LogRuleEvaluation,0,</v>
      </c>
      <c r="AU52" s="31" t="str">
        <f t="shared" si="44"/>
        <v>ParallelSimulations,1,</v>
      </c>
      <c r="AV52" s="31" t="str">
        <f t="shared" si="45"/>
        <v>DurationStats,0,</v>
      </c>
      <c r="AW52" s="31" t="str">
        <f t="shared" si="46"/>
        <v>AnalysisThruStep,8,</v>
      </c>
      <c r="AX52" s="31" t="str">
        <f t="shared" si="47"/>
        <v>DontAbortOnErrorsThruStep,8,</v>
      </c>
      <c r="AY52" s="31" t="str">
        <f t="shared" si="48"/>
        <v>BypassValidFileChecks,1,</v>
      </c>
      <c r="AZ52" s="31" t="str">
        <f t="shared" si="49"/>
        <v>BypassInputChecks,0,</v>
      </c>
      <c r="BA52" s="31" t="str">
        <f t="shared" si="50"/>
        <v>BypassUMLHChecks,0,</v>
      </c>
      <c r="BB52" s="31" t="str">
        <f t="shared" si="51"/>
        <v>BypassCheckSimRules,0,</v>
      </c>
      <c r="BC52" s="31" t="str">
        <f t="shared" si="52"/>
        <v>BypassCheckCodeRules,0,</v>
      </c>
      <c r="BD52" s="31" t="str">
        <f t="shared" si="53"/>
        <v>StoreResultsToModelInput,1,</v>
      </c>
      <c r="BE52" s="31" t="str">
        <f t="shared" si="54"/>
        <v>StoreBEMDetails,1,</v>
      </c>
      <c r="BF52" s="31" t="str">
        <f t="shared" si="55"/>
        <v>ModelRpt_ALL,1,</v>
      </c>
      <c r="BG52" s="31" t="str">
        <f t="shared" si="56"/>
        <v>ExportHourlyResults_All,0,</v>
      </c>
      <c r="BH52" s="31" t="str">
        <f t="shared" si="57"/>
        <v>ComplianceReportPDF,0,</v>
      </c>
      <c r="BI52" s="31" t="str">
        <f t="shared" si="58"/>
        <v>ComplianceReportXML,0,</v>
      </c>
      <c r="BJ52" s="31" t="str">
        <f t="shared" si="59"/>
        <v>Quick Analyis,0,</v>
      </c>
      <c r="BK52" s="31" t="str">
        <f t="shared" si="60"/>
        <v>BypassOpenStudio_all,0,</v>
      </c>
      <c r="BL52" s="31" t="str">
        <f t="shared" si="61"/>
        <v>BypassOpenStudio_zp,0,</v>
      </c>
      <c r="BM52" s="31" t="str">
        <f t="shared" si="62"/>
        <v>BypassOpenStudio_zb,0,</v>
      </c>
      <c r="BN52" s="31" t="str">
        <f t="shared" si="63"/>
        <v>BypassOpenStudio_ap,0,</v>
      </c>
      <c r="BO52" s="31" t="str">
        <f t="shared" si="64"/>
        <v>BypassOpenStudio_ab,0,</v>
      </c>
      <c r="BP52" s="31" t="str">
        <f t="shared" si="65"/>
        <v>BypassOpenStudio_zp,0,</v>
      </c>
      <c r="BQ52" s="31" t="str">
        <f t="shared" si="66"/>
        <v>BypassOpenStudio_zb,0,</v>
      </c>
      <c r="BR52" s="31" t="str">
        <f t="shared" si="67"/>
        <v>BypassOpenStudio_ap,0,</v>
      </c>
      <c r="BS52" s="31" t="str">
        <f t="shared" si="68"/>
        <v>BypassOpenStudio_ab,0,</v>
      </c>
    </row>
    <row r="53" spans="1:73" x14ac:dyDescent="0.25">
      <c r="A53" s="39">
        <f t="shared" si="69"/>
        <v>1</v>
      </c>
      <c r="B53" s="27" t="str">
        <f t="shared" si="70"/>
        <v>Standard901Tests\Other Tests\Models\080032-Whse-S901GFossil-FensCons.cibd</v>
      </c>
      <c r="C53" s="27" t="str">
        <f t="shared" si="71"/>
        <v>BatchOut_141219_r2896_trunk_901OT\080032-Whse-S901GFossil-FensCons.cibd</v>
      </c>
      <c r="D53" s="27" t="str">
        <f t="shared" si="30"/>
        <v>BatchOut_141219_r2896_trunk_901OT\XML\</v>
      </c>
      <c r="E53" s="9" t="str">
        <f t="shared" si="72"/>
        <v>080032-Whse-S901GFossil-FensCons</v>
      </c>
      <c r="F53" s="22"/>
      <c r="G53" s="29"/>
      <c r="H53" s="23"/>
      <c r="I53" s="9" t="s">
        <v>11</v>
      </c>
      <c r="J53" s="94" t="str">
        <f t="shared" si="7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53" s="15" t="s">
        <v>1</v>
      </c>
      <c r="L53" s="36">
        <f t="shared" si="37"/>
        <v>1</v>
      </c>
      <c r="M53" s="32" t="str">
        <f t="shared" si="32"/>
        <v>080032-Whse-S901GFossil-FensCons</v>
      </c>
      <c r="N53" s="28" t="s">
        <v>357</v>
      </c>
      <c r="O53" s="57" t="str">
        <f t="shared" si="39"/>
        <v>080032-Whse-S901GFossil-FensCons</v>
      </c>
      <c r="P53" s="63">
        <f t="shared" ref="P53:AQ53" si="80">P52</f>
        <v>1</v>
      </c>
      <c r="Q53" s="65">
        <f t="shared" si="80"/>
        <v>1</v>
      </c>
      <c r="R53" s="65">
        <f t="shared" si="80"/>
        <v>0</v>
      </c>
      <c r="S53" s="65">
        <f t="shared" si="80"/>
        <v>1</v>
      </c>
      <c r="T53" s="65">
        <f t="shared" si="80"/>
        <v>0</v>
      </c>
      <c r="U53" s="65">
        <f t="shared" si="80"/>
        <v>8</v>
      </c>
      <c r="V53" s="65">
        <f t="shared" si="80"/>
        <v>8</v>
      </c>
      <c r="W53" s="65">
        <f t="shared" si="80"/>
        <v>1</v>
      </c>
      <c r="X53" s="65">
        <f t="shared" si="80"/>
        <v>0</v>
      </c>
      <c r="Y53" s="65">
        <f t="shared" si="80"/>
        <v>0</v>
      </c>
      <c r="Z53" s="65">
        <f t="shared" si="80"/>
        <v>0</v>
      </c>
      <c r="AA53" s="65">
        <f t="shared" si="80"/>
        <v>0</v>
      </c>
      <c r="AB53" s="65">
        <f t="shared" si="80"/>
        <v>1</v>
      </c>
      <c r="AC53" s="65">
        <f t="shared" si="80"/>
        <v>1</v>
      </c>
      <c r="AD53" s="61">
        <f t="shared" si="80"/>
        <v>1</v>
      </c>
      <c r="AE53" s="61">
        <f t="shared" si="80"/>
        <v>0</v>
      </c>
      <c r="AF53" s="61">
        <f t="shared" si="80"/>
        <v>0</v>
      </c>
      <c r="AG53" s="61">
        <f t="shared" si="80"/>
        <v>0</v>
      </c>
      <c r="AH53" s="61">
        <f t="shared" si="80"/>
        <v>0</v>
      </c>
      <c r="AI53" s="63">
        <f t="shared" si="80"/>
        <v>0</v>
      </c>
      <c r="AJ53" s="64">
        <f t="shared" si="80"/>
        <v>0</v>
      </c>
      <c r="AK53" s="64">
        <f t="shared" si="80"/>
        <v>0</v>
      </c>
      <c r="AL53" s="64">
        <f t="shared" si="80"/>
        <v>0</v>
      </c>
      <c r="AM53" s="66">
        <f t="shared" si="80"/>
        <v>0</v>
      </c>
      <c r="AN53" s="63">
        <f t="shared" si="80"/>
        <v>0</v>
      </c>
      <c r="AO53" s="64">
        <f t="shared" si="80"/>
        <v>0</v>
      </c>
      <c r="AP53" s="65">
        <f t="shared" si="80"/>
        <v>0</v>
      </c>
      <c r="AQ53" s="66">
        <f t="shared" si="80"/>
        <v>0</v>
      </c>
      <c r="AR53" s="31" t="str">
        <f t="shared" si="41"/>
        <v>SimulationStorage,1,</v>
      </c>
      <c r="AS53" s="31" t="str">
        <f t="shared" si="42"/>
        <v>AnalysisStorage,1,</v>
      </c>
      <c r="AT53" s="31" t="str">
        <f t="shared" si="43"/>
        <v>LogRuleEvaluation,0,</v>
      </c>
      <c r="AU53" s="31" t="str">
        <f t="shared" si="44"/>
        <v>ParallelSimulations,1,</v>
      </c>
      <c r="AV53" s="31" t="str">
        <f t="shared" si="45"/>
        <v>DurationStats,0,</v>
      </c>
      <c r="AW53" s="31" t="str">
        <f t="shared" si="46"/>
        <v>AnalysisThruStep,8,</v>
      </c>
      <c r="AX53" s="31" t="str">
        <f t="shared" si="47"/>
        <v>DontAbortOnErrorsThruStep,8,</v>
      </c>
      <c r="AY53" s="31" t="str">
        <f t="shared" si="48"/>
        <v>BypassValidFileChecks,1,</v>
      </c>
      <c r="AZ53" s="31" t="str">
        <f t="shared" si="49"/>
        <v>BypassInputChecks,0,</v>
      </c>
      <c r="BA53" s="31" t="str">
        <f t="shared" si="50"/>
        <v>BypassUMLHChecks,0,</v>
      </c>
      <c r="BB53" s="31" t="str">
        <f t="shared" si="51"/>
        <v>BypassCheckSimRules,0,</v>
      </c>
      <c r="BC53" s="31" t="str">
        <f t="shared" si="52"/>
        <v>BypassCheckCodeRules,0,</v>
      </c>
      <c r="BD53" s="31" t="str">
        <f t="shared" si="53"/>
        <v>StoreResultsToModelInput,1,</v>
      </c>
      <c r="BE53" s="31" t="str">
        <f t="shared" si="54"/>
        <v>StoreBEMDetails,1,</v>
      </c>
      <c r="BF53" s="31" t="str">
        <f t="shared" si="55"/>
        <v>ModelRpt_ALL,1,</v>
      </c>
      <c r="BG53" s="31" t="str">
        <f t="shared" si="56"/>
        <v>ExportHourlyResults_All,0,</v>
      </c>
      <c r="BH53" s="31" t="str">
        <f t="shared" si="57"/>
        <v>ComplianceReportPDF,0,</v>
      </c>
      <c r="BI53" s="31" t="str">
        <f t="shared" si="58"/>
        <v>ComplianceReportXML,0,</v>
      </c>
      <c r="BJ53" s="31" t="str">
        <f t="shared" si="59"/>
        <v>Quick Analyis,0,</v>
      </c>
      <c r="BK53" s="31" t="str">
        <f t="shared" si="60"/>
        <v>BypassOpenStudio_all,0,</v>
      </c>
      <c r="BL53" s="31" t="str">
        <f t="shared" si="61"/>
        <v>BypassOpenStudio_zp,0,</v>
      </c>
      <c r="BM53" s="31" t="str">
        <f t="shared" si="62"/>
        <v>BypassOpenStudio_zb,0,</v>
      </c>
      <c r="BN53" s="31" t="str">
        <f t="shared" si="63"/>
        <v>BypassOpenStudio_ap,0,</v>
      </c>
      <c r="BO53" s="31" t="str">
        <f t="shared" si="64"/>
        <v>BypassOpenStudio_ab,0,</v>
      </c>
      <c r="BP53" s="31" t="str">
        <f t="shared" si="65"/>
        <v>BypassOpenStudio_zp,0,</v>
      </c>
      <c r="BQ53" s="31" t="str">
        <f t="shared" si="66"/>
        <v>BypassOpenStudio_zb,0,</v>
      </c>
      <c r="BR53" s="31" t="str">
        <f t="shared" si="67"/>
        <v>BypassOpenStudio_ap,0,</v>
      </c>
      <c r="BS53" s="31" t="str">
        <f t="shared" si="68"/>
        <v>BypassOpenStudio_ab,0,</v>
      </c>
    </row>
    <row r="54" spans="1:73" x14ac:dyDescent="0.25">
      <c r="A54" s="39">
        <f t="shared" si="69"/>
        <v>1</v>
      </c>
      <c r="B54" s="27" t="str">
        <f t="shared" si="70"/>
        <v>Standard901Tests\Other Tests\Models\080032-Whse-S901GFossil-FensCons-ExtSurfClassTests.cibd</v>
      </c>
      <c r="C54" s="27" t="str">
        <f t="shared" si="71"/>
        <v>BatchOut_141219_r2896_trunk_901OT\080032-Whse-S901GFossil-FensCons-ExtSurfClassTests.cibd</v>
      </c>
      <c r="D54" s="27" t="str">
        <f t="shared" si="30"/>
        <v>BatchOut_141219_r2896_trunk_901OT\XML\</v>
      </c>
      <c r="E54" s="9" t="str">
        <f t="shared" si="72"/>
        <v>080032-Whse-S901GFossil-FensCons-ExtSurfClassTests</v>
      </c>
      <c r="F54" s="22"/>
      <c r="G54" s="29"/>
      <c r="H54" s="23"/>
      <c r="I54" s="9" t="s">
        <v>11</v>
      </c>
      <c r="J54" s="94" t="str">
        <f t="shared" si="7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54" s="15" t="s">
        <v>1</v>
      </c>
      <c r="L54" s="36">
        <f t="shared" si="37"/>
        <v>1</v>
      </c>
      <c r="M54" s="32" t="str">
        <f t="shared" si="32"/>
        <v>080032-Whse-S901GFossil-FensCons-ExtSurfClassTests</v>
      </c>
      <c r="N54" s="28" t="s">
        <v>358</v>
      </c>
      <c r="O54" s="57" t="str">
        <f t="shared" si="39"/>
        <v>080032-Whse-S901GFossil-FensCons-ExtSurfClassTests</v>
      </c>
      <c r="P54" s="63">
        <f t="shared" ref="P54:AQ54" si="81">P53</f>
        <v>1</v>
      </c>
      <c r="Q54" s="65">
        <f t="shared" si="81"/>
        <v>1</v>
      </c>
      <c r="R54" s="65">
        <f t="shared" si="81"/>
        <v>0</v>
      </c>
      <c r="S54" s="65">
        <f t="shared" si="81"/>
        <v>1</v>
      </c>
      <c r="T54" s="65">
        <f t="shared" si="81"/>
        <v>0</v>
      </c>
      <c r="U54" s="65">
        <f t="shared" si="81"/>
        <v>8</v>
      </c>
      <c r="V54" s="65">
        <f t="shared" si="81"/>
        <v>8</v>
      </c>
      <c r="W54" s="65">
        <f t="shared" si="81"/>
        <v>1</v>
      </c>
      <c r="X54" s="65">
        <f t="shared" si="81"/>
        <v>0</v>
      </c>
      <c r="Y54" s="65">
        <f t="shared" si="81"/>
        <v>0</v>
      </c>
      <c r="Z54" s="65">
        <f t="shared" si="81"/>
        <v>0</v>
      </c>
      <c r="AA54" s="65">
        <f t="shared" si="81"/>
        <v>0</v>
      </c>
      <c r="AB54" s="65">
        <f t="shared" si="81"/>
        <v>1</v>
      </c>
      <c r="AC54" s="65">
        <f t="shared" si="81"/>
        <v>1</v>
      </c>
      <c r="AD54" s="61">
        <f t="shared" si="81"/>
        <v>1</v>
      </c>
      <c r="AE54" s="61">
        <f t="shared" si="81"/>
        <v>0</v>
      </c>
      <c r="AF54" s="61">
        <f t="shared" si="81"/>
        <v>0</v>
      </c>
      <c r="AG54" s="61">
        <f t="shared" si="81"/>
        <v>0</v>
      </c>
      <c r="AH54" s="61">
        <f t="shared" si="81"/>
        <v>0</v>
      </c>
      <c r="AI54" s="63">
        <f t="shared" si="81"/>
        <v>0</v>
      </c>
      <c r="AJ54" s="64">
        <f t="shared" si="81"/>
        <v>0</v>
      </c>
      <c r="AK54" s="64">
        <f t="shared" si="81"/>
        <v>0</v>
      </c>
      <c r="AL54" s="64">
        <f t="shared" si="81"/>
        <v>0</v>
      </c>
      <c r="AM54" s="66">
        <f t="shared" si="81"/>
        <v>0</v>
      </c>
      <c r="AN54" s="63">
        <f t="shared" si="81"/>
        <v>0</v>
      </c>
      <c r="AO54" s="64">
        <f t="shared" si="81"/>
        <v>0</v>
      </c>
      <c r="AP54" s="65">
        <f t="shared" si="81"/>
        <v>0</v>
      </c>
      <c r="AQ54" s="66">
        <f t="shared" si="81"/>
        <v>0</v>
      </c>
      <c r="AR54" s="31" t="str">
        <f t="shared" si="41"/>
        <v>SimulationStorage,1,</v>
      </c>
      <c r="AS54" s="31" t="str">
        <f t="shared" si="42"/>
        <v>AnalysisStorage,1,</v>
      </c>
      <c r="AT54" s="31" t="str">
        <f t="shared" si="43"/>
        <v>LogRuleEvaluation,0,</v>
      </c>
      <c r="AU54" s="31" t="str">
        <f t="shared" si="44"/>
        <v>ParallelSimulations,1,</v>
      </c>
      <c r="AV54" s="31" t="str">
        <f t="shared" si="45"/>
        <v>DurationStats,0,</v>
      </c>
      <c r="AW54" s="31" t="str">
        <f t="shared" si="46"/>
        <v>AnalysisThruStep,8,</v>
      </c>
      <c r="AX54" s="31" t="str">
        <f t="shared" si="47"/>
        <v>DontAbortOnErrorsThruStep,8,</v>
      </c>
      <c r="AY54" s="31" t="str">
        <f t="shared" si="48"/>
        <v>BypassValidFileChecks,1,</v>
      </c>
      <c r="AZ54" s="31" t="str">
        <f t="shared" si="49"/>
        <v>BypassInputChecks,0,</v>
      </c>
      <c r="BA54" s="31" t="str">
        <f t="shared" si="50"/>
        <v>BypassUMLHChecks,0,</v>
      </c>
      <c r="BB54" s="31" t="str">
        <f t="shared" si="51"/>
        <v>BypassCheckSimRules,0,</v>
      </c>
      <c r="BC54" s="31" t="str">
        <f t="shared" si="52"/>
        <v>BypassCheckCodeRules,0,</v>
      </c>
      <c r="BD54" s="31" t="str">
        <f t="shared" si="53"/>
        <v>StoreResultsToModelInput,1,</v>
      </c>
      <c r="BE54" s="31" t="str">
        <f t="shared" si="54"/>
        <v>StoreBEMDetails,1,</v>
      </c>
      <c r="BF54" s="31" t="str">
        <f t="shared" si="55"/>
        <v>ModelRpt_ALL,1,</v>
      </c>
      <c r="BG54" s="31" t="str">
        <f t="shared" si="56"/>
        <v>ExportHourlyResults_All,0,</v>
      </c>
      <c r="BH54" s="31" t="str">
        <f t="shared" si="57"/>
        <v>ComplianceReportPDF,0,</v>
      </c>
      <c r="BI54" s="31" t="str">
        <f t="shared" si="58"/>
        <v>ComplianceReportXML,0,</v>
      </c>
      <c r="BJ54" s="31" t="str">
        <f t="shared" si="59"/>
        <v>Quick Analyis,0,</v>
      </c>
      <c r="BK54" s="31" t="str">
        <f t="shared" si="60"/>
        <v>BypassOpenStudio_all,0,</v>
      </c>
      <c r="BL54" s="31" t="str">
        <f t="shared" si="61"/>
        <v>BypassOpenStudio_zp,0,</v>
      </c>
      <c r="BM54" s="31" t="str">
        <f t="shared" si="62"/>
        <v>BypassOpenStudio_zb,0,</v>
      </c>
      <c r="BN54" s="31" t="str">
        <f t="shared" si="63"/>
        <v>BypassOpenStudio_ap,0,</v>
      </c>
      <c r="BO54" s="31" t="str">
        <f t="shared" si="64"/>
        <v>BypassOpenStudio_ab,0,</v>
      </c>
      <c r="BP54" s="31" t="str">
        <f t="shared" si="65"/>
        <v>BypassOpenStudio_zp,0,</v>
      </c>
      <c r="BQ54" s="31" t="str">
        <f t="shared" si="66"/>
        <v>BypassOpenStudio_zb,0,</v>
      </c>
      <c r="BR54" s="31" t="str">
        <f t="shared" si="67"/>
        <v>BypassOpenStudio_ap,0,</v>
      </c>
      <c r="BS54" s="31" t="str">
        <f t="shared" si="68"/>
        <v>BypassOpenStudio_ab,0,</v>
      </c>
    </row>
    <row r="55" spans="1:73" x14ac:dyDescent="0.25">
      <c r="A55" s="39">
        <f t="shared" si="69"/>
        <v>0</v>
      </c>
      <c r="B55" s="27" t="str">
        <f t="shared" si="70"/>
        <v>Standard901Tests\Other Tests\Models\.cibd</v>
      </c>
      <c r="C55" s="27" t="str">
        <f t="shared" si="71"/>
        <v>BatchOut_141219_r2896_trunk_901OT\0.cibd</v>
      </c>
      <c r="D55" s="27" t="str">
        <f t="shared" si="30"/>
        <v>BatchOut_141219_r2896_trunk_901OT\XML\</v>
      </c>
      <c r="E55" s="9" t="str">
        <f t="shared" si="72"/>
        <v/>
      </c>
      <c r="F55" s="22"/>
      <c r="G55" s="29"/>
      <c r="H55" s="23"/>
      <c r="I55" s="9" t="s">
        <v>11</v>
      </c>
      <c r="J55" s="94" t="str">
        <f t="shared" si="73"/>
        <v>SimulationStorage,1,AnalysisStorage,1,LogRuleEvaluation,0,ParallelSimulations,1,DurationStats,0,AnalysisThruStep,8,DontAbortOnErrorsThruStep,8,BypassValidFileChecks,1,BypassInputChecks,0,BypassUMLHChecks,0,BypassCheckSimRules,0,BypassCheckCodeRules,0,StoreResultsToModelInput,1,StoreBEMDetails,1,ModelRpt_ALL,1,ExportHourlyResults_All,0,ComplianceReportPDF,0,ComplianceReportXML,0,Quick Analyis,0,BypassOpenStudio_all,0,BypassOpenStudio_zp,0,BypassOpenStudio_zb,0,BypassOpenStudio_ap,0,BypassOpenStudio_ab,0,BypassOpenStudio_zp,0,BypassOpenStudio_zb,0,BypassOpenStudio_ap,0,BypassOpenStudio_ab,0,</v>
      </c>
      <c r="K55" s="15" t="s">
        <v>1</v>
      </c>
      <c r="L55" s="36">
        <v>0</v>
      </c>
      <c r="M55" s="32" t="str">
        <f t="shared" ref="M55" si="82">LEFT(N55,6)&amp;IF(SUM(F55:H55)&gt;0,"_autosize","")</f>
        <v/>
      </c>
      <c r="N55" s="28"/>
      <c r="O55" s="57">
        <f t="shared" si="39"/>
        <v>0</v>
      </c>
      <c r="P55" s="63">
        <f t="shared" ref="P55:AQ55" si="83">P54</f>
        <v>1</v>
      </c>
      <c r="Q55" s="65">
        <f t="shared" si="83"/>
        <v>1</v>
      </c>
      <c r="R55" s="65">
        <f t="shared" si="83"/>
        <v>0</v>
      </c>
      <c r="S55" s="65">
        <f t="shared" si="83"/>
        <v>1</v>
      </c>
      <c r="T55" s="65">
        <f t="shared" si="83"/>
        <v>0</v>
      </c>
      <c r="U55" s="65">
        <f t="shared" si="83"/>
        <v>8</v>
      </c>
      <c r="V55" s="65">
        <f t="shared" si="83"/>
        <v>8</v>
      </c>
      <c r="W55" s="65">
        <f t="shared" si="83"/>
        <v>1</v>
      </c>
      <c r="X55" s="65">
        <f t="shared" si="83"/>
        <v>0</v>
      </c>
      <c r="Y55" s="65">
        <f t="shared" si="83"/>
        <v>0</v>
      </c>
      <c r="Z55" s="65">
        <f t="shared" si="83"/>
        <v>0</v>
      </c>
      <c r="AA55" s="65">
        <f t="shared" si="83"/>
        <v>0</v>
      </c>
      <c r="AB55" s="65">
        <f t="shared" si="83"/>
        <v>1</v>
      </c>
      <c r="AC55" s="65">
        <f t="shared" si="83"/>
        <v>1</v>
      </c>
      <c r="AD55" s="61">
        <f t="shared" si="83"/>
        <v>1</v>
      </c>
      <c r="AE55" s="61">
        <f t="shared" si="83"/>
        <v>0</v>
      </c>
      <c r="AF55" s="61">
        <f t="shared" si="83"/>
        <v>0</v>
      </c>
      <c r="AG55" s="61">
        <f t="shared" si="83"/>
        <v>0</v>
      </c>
      <c r="AH55" s="61">
        <f t="shared" si="83"/>
        <v>0</v>
      </c>
      <c r="AI55" s="63">
        <f t="shared" si="83"/>
        <v>0</v>
      </c>
      <c r="AJ55" s="64">
        <f t="shared" si="83"/>
        <v>0</v>
      </c>
      <c r="AK55" s="64">
        <f t="shared" si="83"/>
        <v>0</v>
      </c>
      <c r="AL55" s="64">
        <f t="shared" si="83"/>
        <v>0</v>
      </c>
      <c r="AM55" s="66">
        <f t="shared" si="83"/>
        <v>0</v>
      </c>
      <c r="AN55" s="63">
        <f t="shared" si="83"/>
        <v>0</v>
      </c>
      <c r="AO55" s="64">
        <f t="shared" si="83"/>
        <v>0</v>
      </c>
      <c r="AP55" s="65">
        <f t="shared" si="83"/>
        <v>0</v>
      </c>
      <c r="AQ55" s="66">
        <f t="shared" si="83"/>
        <v>0</v>
      </c>
      <c r="AR55" s="31" t="str">
        <f t="shared" si="41"/>
        <v>SimulationStorage,1,</v>
      </c>
      <c r="AS55" s="31" t="str">
        <f t="shared" si="42"/>
        <v>AnalysisStorage,1,</v>
      </c>
      <c r="AT55" s="31" t="str">
        <f t="shared" si="43"/>
        <v>LogRuleEvaluation,0,</v>
      </c>
      <c r="AU55" s="31" t="str">
        <f t="shared" si="44"/>
        <v>ParallelSimulations,1,</v>
      </c>
      <c r="AV55" s="31" t="str">
        <f t="shared" si="45"/>
        <v>DurationStats,0,</v>
      </c>
      <c r="AW55" s="31" t="str">
        <f t="shared" si="46"/>
        <v>AnalysisThruStep,8,</v>
      </c>
      <c r="AX55" s="31" t="str">
        <f t="shared" si="47"/>
        <v>DontAbortOnErrorsThruStep,8,</v>
      </c>
      <c r="AY55" s="31" t="str">
        <f t="shared" si="48"/>
        <v>BypassValidFileChecks,1,</v>
      </c>
      <c r="AZ55" s="31" t="str">
        <f t="shared" si="49"/>
        <v>BypassInputChecks,0,</v>
      </c>
      <c r="BA55" s="31" t="str">
        <f t="shared" si="50"/>
        <v>BypassUMLHChecks,0,</v>
      </c>
      <c r="BB55" s="31" t="str">
        <f t="shared" si="51"/>
        <v>BypassCheckSimRules,0,</v>
      </c>
      <c r="BC55" s="31" t="str">
        <f t="shared" si="52"/>
        <v>BypassCheckCodeRules,0,</v>
      </c>
      <c r="BD55" s="31" t="str">
        <f t="shared" si="53"/>
        <v>StoreResultsToModelInput,1,</v>
      </c>
      <c r="BE55" s="31" t="str">
        <f t="shared" si="54"/>
        <v>StoreBEMDetails,1,</v>
      </c>
      <c r="BF55" s="31" t="str">
        <f t="shared" si="55"/>
        <v>ModelRpt_ALL,1,</v>
      </c>
      <c r="BG55" s="31" t="str">
        <f t="shared" si="56"/>
        <v>ExportHourlyResults_All,0,</v>
      </c>
      <c r="BH55" s="31" t="str">
        <f t="shared" si="57"/>
        <v>ComplianceReportPDF,0,</v>
      </c>
      <c r="BI55" s="31" t="str">
        <f t="shared" si="58"/>
        <v>ComplianceReportXML,0,</v>
      </c>
      <c r="BJ55" s="31" t="str">
        <f t="shared" si="59"/>
        <v>Quick Analyis,0,</v>
      </c>
      <c r="BK55" s="31" t="str">
        <f t="shared" si="60"/>
        <v>BypassOpenStudio_all,0,</v>
      </c>
      <c r="BL55" s="31" t="str">
        <f t="shared" si="61"/>
        <v>BypassOpenStudio_zp,0,</v>
      </c>
      <c r="BM55" s="31" t="str">
        <f t="shared" si="62"/>
        <v>BypassOpenStudio_zb,0,</v>
      </c>
      <c r="BN55" s="31" t="str">
        <f t="shared" si="63"/>
        <v>BypassOpenStudio_ap,0,</v>
      </c>
      <c r="BO55" s="31" t="str">
        <f t="shared" si="64"/>
        <v>BypassOpenStudio_ab,0,</v>
      </c>
      <c r="BP55" s="31" t="str">
        <f t="shared" si="65"/>
        <v>BypassOpenStudio_zp,0,</v>
      </c>
      <c r="BQ55" s="31" t="str">
        <f t="shared" si="66"/>
        <v>BypassOpenStudio_zb,0,</v>
      </c>
      <c r="BR55" s="31" t="str">
        <f t="shared" si="67"/>
        <v>BypassOpenStudio_ap,0,</v>
      </c>
      <c r="BS55" s="31" t="str">
        <f t="shared" si="68"/>
        <v>BypassOpenStudio_ab,0,</v>
      </c>
    </row>
    <row r="56" spans="1:73" customFormat="1" x14ac:dyDescent="0.25">
      <c r="A56" s="10">
        <v>-1</v>
      </c>
      <c r="J56" s="90"/>
      <c r="K56" s="15"/>
      <c r="L56" s="96"/>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row>
    <row r="57" spans="1:73" x14ac:dyDescent="0.25">
      <c r="A57" s="10"/>
    </row>
  </sheetData>
  <mergeCells count="3">
    <mergeCell ref="AI15:AM15"/>
    <mergeCell ref="AN15:AQ15"/>
    <mergeCell ref="AI37:AQ37"/>
  </mergeCells>
  <conditionalFormatting sqref="P17:AE17 P18:AD31 AI17:AQ31 P42:AQ45">
    <cfRule type="cellIs" dxfId="49" priority="75" operator="equal">
      <formula>P16</formula>
    </cfRule>
  </conditionalFormatting>
  <conditionalFormatting sqref="P32:AD32 AI32:AQ32">
    <cfRule type="cellIs" dxfId="48" priority="74" operator="equal">
      <formula>P12</formula>
    </cfRule>
  </conditionalFormatting>
  <conditionalFormatting sqref="P34:AD40 AI34:AQ40">
    <cfRule type="cellIs" dxfId="47" priority="69" operator="equal">
      <formula>P33</formula>
    </cfRule>
  </conditionalFormatting>
  <conditionalFormatting sqref="P56:AD56 AI56:AQ56">
    <cfRule type="cellIs" dxfId="46" priority="70" operator="equal">
      <formula>P3</formula>
    </cfRule>
  </conditionalFormatting>
  <conditionalFormatting sqref="P33:AD33 AI33:AQ33">
    <cfRule type="cellIs" dxfId="45" priority="71" operator="equal">
      <formula>P4</formula>
    </cfRule>
  </conditionalFormatting>
  <conditionalFormatting sqref="P41:AD41 AI41:AQ41">
    <cfRule type="cellIs" dxfId="44" priority="68" operator="equal">
      <formula>P40</formula>
    </cfRule>
  </conditionalFormatting>
  <conditionalFormatting sqref="AE18:AE31">
    <cfRule type="cellIs" dxfId="43" priority="59" operator="equal">
      <formula>AE17</formula>
    </cfRule>
  </conditionalFormatting>
  <conditionalFormatting sqref="AE32">
    <cfRule type="cellIs" dxfId="42" priority="58" operator="equal">
      <formula>AE12</formula>
    </cfRule>
  </conditionalFormatting>
  <conditionalFormatting sqref="AE34:AE40">
    <cfRule type="cellIs" dxfId="41" priority="54" operator="equal">
      <formula>AE33</formula>
    </cfRule>
  </conditionalFormatting>
  <conditionalFormatting sqref="AE56">
    <cfRule type="cellIs" dxfId="40" priority="55" operator="equal">
      <formula>AE3</formula>
    </cfRule>
  </conditionalFormatting>
  <conditionalFormatting sqref="AE33">
    <cfRule type="cellIs" dxfId="39" priority="56" operator="equal">
      <formula>AE4</formula>
    </cfRule>
  </conditionalFormatting>
  <conditionalFormatting sqref="AE41">
    <cfRule type="cellIs" dxfId="38" priority="53" operator="equal">
      <formula>AE40</formula>
    </cfRule>
  </conditionalFormatting>
  <conditionalFormatting sqref="AF17">
    <cfRule type="cellIs" dxfId="37" priority="49" operator="equal">
      <formula>AF16</formula>
    </cfRule>
  </conditionalFormatting>
  <conditionalFormatting sqref="AF18:AF31">
    <cfRule type="cellIs" dxfId="36" priority="43" operator="equal">
      <formula>AF17</formula>
    </cfRule>
  </conditionalFormatting>
  <conditionalFormatting sqref="AF32">
    <cfRule type="cellIs" dxfId="35" priority="42" operator="equal">
      <formula>AF12</formula>
    </cfRule>
  </conditionalFormatting>
  <conditionalFormatting sqref="AF34:AF40">
    <cfRule type="cellIs" dxfId="34" priority="38" operator="equal">
      <formula>AF33</formula>
    </cfRule>
  </conditionalFormatting>
  <conditionalFormatting sqref="AF56">
    <cfRule type="cellIs" dxfId="33" priority="39" operator="equal">
      <formula>AF3</formula>
    </cfRule>
  </conditionalFormatting>
  <conditionalFormatting sqref="AF33">
    <cfRule type="cellIs" dxfId="32" priority="40" operator="equal">
      <formula>AF4</formula>
    </cfRule>
  </conditionalFormatting>
  <conditionalFormatting sqref="AF41">
    <cfRule type="cellIs" dxfId="31" priority="37" operator="equal">
      <formula>AF40</formula>
    </cfRule>
  </conditionalFormatting>
  <conditionalFormatting sqref="AG17">
    <cfRule type="cellIs" dxfId="30" priority="33" operator="equal">
      <formula>AG16</formula>
    </cfRule>
  </conditionalFormatting>
  <conditionalFormatting sqref="AG18:AG31">
    <cfRule type="cellIs" dxfId="29" priority="27" operator="equal">
      <formula>AG17</formula>
    </cfRule>
  </conditionalFormatting>
  <conditionalFormatting sqref="AG32">
    <cfRule type="cellIs" dxfId="28" priority="26" operator="equal">
      <formula>AG12</formula>
    </cfRule>
  </conditionalFormatting>
  <conditionalFormatting sqref="AG34:AG40">
    <cfRule type="cellIs" dxfId="27" priority="22" operator="equal">
      <formula>AG33</formula>
    </cfRule>
  </conditionalFormatting>
  <conditionalFormatting sqref="AG56">
    <cfRule type="cellIs" dxfId="26" priority="23" operator="equal">
      <formula>AG3</formula>
    </cfRule>
  </conditionalFormatting>
  <conditionalFormatting sqref="AG33">
    <cfRule type="cellIs" dxfId="25" priority="24" operator="equal">
      <formula>AG4</formula>
    </cfRule>
  </conditionalFormatting>
  <conditionalFormatting sqref="AG41">
    <cfRule type="cellIs" dxfId="24" priority="21" operator="equal">
      <formula>AG40</formula>
    </cfRule>
  </conditionalFormatting>
  <conditionalFormatting sqref="AH17">
    <cfRule type="cellIs" dxfId="23" priority="17" operator="equal">
      <formula>AH16</formula>
    </cfRule>
  </conditionalFormatting>
  <conditionalFormatting sqref="AH18:AH31">
    <cfRule type="cellIs" dxfId="22" priority="11" operator="equal">
      <formula>AH17</formula>
    </cfRule>
  </conditionalFormatting>
  <conditionalFormatting sqref="AH32">
    <cfRule type="cellIs" dxfId="21" priority="10" operator="equal">
      <formula>AH12</formula>
    </cfRule>
  </conditionalFormatting>
  <conditionalFormatting sqref="AH34:AH40">
    <cfRule type="cellIs" dxfId="20" priority="6" operator="equal">
      <formula>AH33</formula>
    </cfRule>
  </conditionalFormatting>
  <conditionalFormatting sqref="AH56">
    <cfRule type="cellIs" dxfId="19" priority="7" operator="equal">
      <formula>AH3</formula>
    </cfRule>
  </conditionalFormatting>
  <conditionalFormatting sqref="AH33">
    <cfRule type="cellIs" dxfId="18" priority="8" operator="equal">
      <formula>AH4</formula>
    </cfRule>
  </conditionalFormatting>
  <conditionalFormatting sqref="AH41">
    <cfRule type="cellIs" dxfId="17" priority="5" operator="equal">
      <formula>AH40</formula>
    </cfRule>
  </conditionalFormatting>
  <conditionalFormatting sqref="P46:AQ55">
    <cfRule type="cellIs" dxfId="16" priority="1" operator="equal">
      <formula>P45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BatchCsvCurrentSheet">
                <anchor moveWithCells="1" sizeWithCells="1">
                  <from>
                    <xdr:col>13</xdr:col>
                    <xdr:colOff>104775</xdr:colOff>
                    <xdr:row>2</xdr:row>
                    <xdr:rowOff>9525</xdr:rowOff>
                  </from>
                  <to>
                    <xdr:col>13</xdr:col>
                    <xdr:colOff>1704975</xdr:colOff>
                    <xdr:row>4</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O117"/>
  <sheetViews>
    <sheetView zoomScale="70" zoomScaleNormal="70" workbookViewId="0">
      <pane ySplit="15" topLeftCell="A106" activePane="bottomLeft" state="frozen"/>
      <selection activeCell="M1" sqref="M1"/>
      <selection pane="bottomLeft" activeCell="M9" sqref="M9"/>
    </sheetView>
  </sheetViews>
  <sheetFormatPr defaultRowHeight="15" outlineLevelCol="1" x14ac:dyDescent="0.25"/>
  <cols>
    <col min="1" max="1" width="9.140625" style="1" customWidth="1"/>
    <col min="2" max="2" width="123.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20.7109375" style="1" hidden="1" customWidth="1" outlineLevel="1"/>
    <col min="11" max="11" width="6.140625" style="79" customWidth="1" collapsed="1"/>
    <col min="12" max="12" width="19.5703125" style="79" customWidth="1"/>
    <col min="13" max="13" width="41.42578125" style="79" customWidth="1"/>
    <col min="14" max="15" width="32.140625" style="1" customWidth="1"/>
    <col min="16" max="17" width="10.7109375" style="1" customWidth="1"/>
    <col min="18" max="30" width="8.7109375" style="1" customWidth="1"/>
    <col min="31" max="35" width="5.85546875" style="1" customWidth="1"/>
    <col min="36" max="36" width="5.7109375" style="1" customWidth="1"/>
    <col min="37" max="39" width="5.85546875" style="1" customWidth="1"/>
    <col min="40" max="65" width="9.140625" style="31"/>
    <col min="66" max="16384" width="9.140625" style="1"/>
  </cols>
  <sheetData>
    <row r="1" spans="1:65" x14ac:dyDescent="0.25">
      <c r="A1" s="5" t="s">
        <v>0</v>
      </c>
    </row>
    <row r="2" spans="1:65" x14ac:dyDescent="0.25">
      <c r="A2" s="1" t="s">
        <v>1</v>
      </c>
    </row>
    <row r="3" spans="1:65" x14ac:dyDescent="0.25">
      <c r="A3" s="1" t="s">
        <v>1</v>
      </c>
      <c r="B3" s="5" t="s">
        <v>2</v>
      </c>
      <c r="C3" s="1" t="s">
        <v>3</v>
      </c>
      <c r="L3" s="82" t="s">
        <v>188</v>
      </c>
      <c r="M3" s="64" t="s">
        <v>44</v>
      </c>
    </row>
    <row r="4" spans="1:65" x14ac:dyDescent="0.25">
      <c r="A4" s="1" t="s">
        <v>1</v>
      </c>
      <c r="L4" s="83">
        <f>SUM(L16:L116)</f>
        <v>5</v>
      </c>
      <c r="M4" s="81" t="s">
        <v>189</v>
      </c>
    </row>
    <row r="5" spans="1:65" x14ac:dyDescent="0.25">
      <c r="A5" s="1" t="s">
        <v>1</v>
      </c>
    </row>
    <row r="6" spans="1:65" x14ac:dyDescent="0.25">
      <c r="A6" s="2" t="s">
        <v>1</v>
      </c>
      <c r="B6" s="2"/>
      <c r="C6" s="30"/>
      <c r="D6" s="30"/>
      <c r="E6" s="16"/>
      <c r="F6" s="16"/>
      <c r="G6" s="16"/>
      <c r="H6" s="16"/>
      <c r="L6" s="36" t="s">
        <v>199</v>
      </c>
      <c r="M6" s="79" t="s">
        <v>175</v>
      </c>
    </row>
    <row r="7" spans="1:65" x14ac:dyDescent="0.25">
      <c r="A7" s="1" t="s">
        <v>4</v>
      </c>
      <c r="B7" s="79" t="s">
        <v>18</v>
      </c>
      <c r="C7" s="30"/>
      <c r="D7" s="30"/>
      <c r="L7" s="37" t="s">
        <v>45</v>
      </c>
      <c r="M7" s="32">
        <v>141103</v>
      </c>
    </row>
    <row r="8" spans="1:65" x14ac:dyDescent="0.25">
      <c r="A8" s="1" t="s">
        <v>5</v>
      </c>
      <c r="B8" s="79" t="s">
        <v>19</v>
      </c>
      <c r="C8" s="30"/>
      <c r="D8" s="30"/>
      <c r="L8" s="14" t="s">
        <v>46</v>
      </c>
      <c r="M8" s="32" t="s">
        <v>187</v>
      </c>
    </row>
    <row r="9" spans="1:65" x14ac:dyDescent="0.25">
      <c r="A9" s="3">
        <v>2</v>
      </c>
      <c r="B9" s="4" t="str">
        <f>M9</f>
        <v>BatchResults_141103_r2722.csv</v>
      </c>
      <c r="C9" s="30" t="s">
        <v>1</v>
      </c>
      <c r="D9" s="30"/>
      <c r="E9" s="30"/>
      <c r="F9" s="30"/>
      <c r="G9" s="30"/>
      <c r="H9" s="30"/>
      <c r="I9" s="26"/>
      <c r="L9" s="35" t="s">
        <v>39</v>
      </c>
      <c r="M9" s="54" t="str">
        <f>"BatchResults_"&amp;M7&amp;"_"&amp;M8&amp;".csv"</f>
        <v>BatchResults_141103_r2722.csv</v>
      </c>
      <c r="N9" s="1" t="s">
        <v>48</v>
      </c>
    </row>
    <row r="10" spans="1:65" x14ac:dyDescent="0.25">
      <c r="A10" s="1" t="s">
        <v>1</v>
      </c>
      <c r="L10" s="14" t="s">
        <v>16</v>
      </c>
      <c r="M10" s="28" t="s">
        <v>193</v>
      </c>
      <c r="N10" s="1" t="s">
        <v>47</v>
      </c>
    </row>
    <row r="11" spans="1:65" x14ac:dyDescent="0.25">
      <c r="A11" s="1" t="s">
        <v>1</v>
      </c>
      <c r="L11" s="14" t="s">
        <v>17</v>
      </c>
      <c r="M11" s="54" t="str">
        <f>"BatchOut"&amp;"_"&amp;M7&amp;"_"&amp;M8&amp;"_"&amp;L6&amp;"\"</f>
        <v>BatchOut_141103_r2722_T24Std\</v>
      </c>
      <c r="N11" s="1" t="s">
        <v>47</v>
      </c>
      <c r="P11" s="1">
        <v>1</v>
      </c>
      <c r="Q11" s="1">
        <f>P11+1</f>
        <v>2</v>
      </c>
      <c r="R11" s="1">
        <f t="shared" ref="R11:AM11" si="0">Q11+1</f>
        <v>3</v>
      </c>
      <c r="S11" s="1">
        <f t="shared" si="0"/>
        <v>4</v>
      </c>
      <c r="T11" s="1">
        <f t="shared" si="0"/>
        <v>5</v>
      </c>
      <c r="U11" s="1">
        <f t="shared" si="0"/>
        <v>6</v>
      </c>
      <c r="V11" s="1">
        <f t="shared" si="0"/>
        <v>7</v>
      </c>
      <c r="W11" s="1">
        <f t="shared" si="0"/>
        <v>8</v>
      </c>
      <c r="X11" s="1">
        <f t="shared" si="0"/>
        <v>9</v>
      </c>
      <c r="Y11" s="1">
        <f t="shared" si="0"/>
        <v>10</v>
      </c>
      <c r="Z11" s="1">
        <f t="shared" si="0"/>
        <v>11</v>
      </c>
      <c r="AA11" s="1">
        <f t="shared" si="0"/>
        <v>12</v>
      </c>
      <c r="AB11" s="1">
        <f t="shared" si="0"/>
        <v>13</v>
      </c>
      <c r="AC11" s="1">
        <f t="shared" si="0"/>
        <v>14</v>
      </c>
      <c r="AD11" s="1">
        <f t="shared" si="0"/>
        <v>15</v>
      </c>
      <c r="AE11" s="1">
        <f t="shared" si="0"/>
        <v>16</v>
      </c>
      <c r="AF11" s="1">
        <f t="shared" si="0"/>
        <v>17</v>
      </c>
      <c r="AG11" s="1">
        <f t="shared" si="0"/>
        <v>18</v>
      </c>
      <c r="AH11" s="1">
        <f t="shared" si="0"/>
        <v>19</v>
      </c>
      <c r="AI11" s="1">
        <f t="shared" si="0"/>
        <v>20</v>
      </c>
      <c r="AJ11" s="1">
        <f t="shared" si="0"/>
        <v>21</v>
      </c>
      <c r="AK11" s="1">
        <f t="shared" si="0"/>
        <v>22</v>
      </c>
      <c r="AL11" s="1">
        <f t="shared" si="0"/>
        <v>23</v>
      </c>
      <c r="AM11" s="1">
        <f t="shared" si="0"/>
        <v>24</v>
      </c>
    </row>
    <row r="12" spans="1:65" x14ac:dyDescent="0.25">
      <c r="A12" s="1" t="s">
        <v>1</v>
      </c>
      <c r="L12" s="14" t="s">
        <v>42</v>
      </c>
      <c r="M12" s="54" t="str">
        <f>M11&amp;"XML\"</f>
        <v>BatchOut_141103_r2722_T24Std\XML\</v>
      </c>
      <c r="N12" s="1" t="s">
        <v>47</v>
      </c>
      <c r="P12" s="31" t="str">
        <f>P15&amp;","</f>
        <v>SimulationStorage,</v>
      </c>
      <c r="Q12" s="31" t="str">
        <f t="shared" ref="Q12:AD12" si="1">Q15&amp;","</f>
        <v>AnalysisStorage,</v>
      </c>
      <c r="R12" s="31" t="str">
        <f t="shared" si="1"/>
        <v>LogRuleEvaluation,</v>
      </c>
      <c r="S12" s="31" t="str">
        <f t="shared" si="1"/>
        <v>ParallelSimulations,</v>
      </c>
      <c r="T12" s="31" t="str">
        <f t="shared" si="1"/>
        <v>DurationStats,</v>
      </c>
      <c r="U12" s="31" t="str">
        <f t="shared" si="1"/>
        <v>AnalysisThruStep,</v>
      </c>
      <c r="V12" s="31" t="str">
        <f t="shared" si="1"/>
        <v>DontAbortOnErrorsThruStep,</v>
      </c>
      <c r="W12" s="31" t="str">
        <f t="shared" si="1"/>
        <v>BypassValidFileChecks,</v>
      </c>
      <c r="X12" s="31" t="str">
        <f t="shared" si="1"/>
        <v>BypassInputChecks,</v>
      </c>
      <c r="Y12" s="31" t="str">
        <f t="shared" si="1"/>
        <v>BypassUMLHChecks,</v>
      </c>
      <c r="Z12" s="31" t="str">
        <f t="shared" si="1"/>
        <v>BypassCheckSimRules,</v>
      </c>
      <c r="AA12" s="31" t="str">
        <f t="shared" si="1"/>
        <v>BypassCheckCodeRules,</v>
      </c>
      <c r="AB12" s="31" t="str">
        <f t="shared" si="1"/>
        <v>StoreResultsToModelInput,</v>
      </c>
      <c r="AC12" s="31" t="str">
        <f t="shared" si="1"/>
        <v>StoreBEMDetails,</v>
      </c>
      <c r="AD12" s="31" t="str">
        <f t="shared" si="1"/>
        <v>ModelRpt_ALL,</v>
      </c>
      <c r="AE12" s="31" t="str">
        <f>$AE$14&amp;"_"&amp;AE15&amp;","</f>
        <v>BypassOpenStudio_all,</v>
      </c>
      <c r="AF12" s="31" t="str">
        <f t="shared" ref="AF12:AM12" si="2">$AE$14&amp;"_"&amp;AF15&amp;","</f>
        <v>BypassOpenStudio_zp,</v>
      </c>
      <c r="AG12" s="31" t="str">
        <f t="shared" si="2"/>
        <v>BypassOpenStudio_zb,</v>
      </c>
      <c r="AH12" s="31" t="str">
        <f t="shared" si="2"/>
        <v>BypassOpenStudio_ap,</v>
      </c>
      <c r="AI12" s="31" t="str">
        <f t="shared" si="2"/>
        <v>BypassOpenStudio_ab,</v>
      </c>
      <c r="AJ12" s="31" t="str">
        <f t="shared" si="2"/>
        <v>BypassOpenStudio_zp,</v>
      </c>
      <c r="AK12" s="31" t="str">
        <f t="shared" si="2"/>
        <v>BypassOpenStudio_zb,</v>
      </c>
      <c r="AL12" s="31" t="str">
        <f t="shared" si="2"/>
        <v>BypassOpenStudio_ap,</v>
      </c>
      <c r="AM12" s="31" t="str">
        <f t="shared" si="2"/>
        <v>BypassOpenStudio_ab,</v>
      </c>
    </row>
    <row r="13" spans="1:65"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67" t="s">
        <v>35</v>
      </c>
      <c r="Q13" s="33"/>
      <c r="R13" s="33"/>
      <c r="S13" s="33"/>
      <c r="T13" s="33"/>
      <c r="U13" s="34"/>
      <c r="V13" s="34"/>
      <c r="W13" s="34"/>
      <c r="X13" s="34"/>
      <c r="Y13" s="34"/>
      <c r="Z13" s="34"/>
      <c r="AA13" s="34"/>
      <c r="AB13" s="34"/>
      <c r="AC13" s="34"/>
      <c r="AD13" s="34"/>
      <c r="AE13" s="34"/>
      <c r="AF13" s="34"/>
      <c r="AG13" s="34"/>
      <c r="AH13" s="34"/>
      <c r="AI13" s="34"/>
      <c r="AJ13" s="34"/>
      <c r="AK13" s="34"/>
      <c r="AL13" s="34"/>
      <c r="AM13" s="34"/>
    </row>
    <row r="14" spans="1:65" x14ac:dyDescent="0.25">
      <c r="A14" s="11" t="s">
        <v>14</v>
      </c>
      <c r="B14" s="7" t="s">
        <v>6</v>
      </c>
      <c r="C14" s="7" t="s">
        <v>7</v>
      </c>
      <c r="D14" s="7" t="s">
        <v>40</v>
      </c>
      <c r="E14" s="7"/>
      <c r="F14" s="17" t="s">
        <v>21</v>
      </c>
      <c r="G14" s="7"/>
      <c r="H14" s="18"/>
      <c r="I14" s="7" t="s">
        <v>9</v>
      </c>
      <c r="J14" s="7" t="s">
        <v>12</v>
      </c>
      <c r="K14" s="14"/>
      <c r="L14" s="14"/>
      <c r="N14" s="80"/>
      <c r="O14" s="80"/>
      <c r="P14" s="79"/>
      <c r="Q14" s="79"/>
      <c r="AE14" s="101" t="s">
        <v>33</v>
      </c>
      <c r="AF14" s="102"/>
      <c r="AG14" s="102"/>
      <c r="AH14" s="102"/>
      <c r="AI14" s="103"/>
      <c r="AJ14" s="101" t="s">
        <v>161</v>
      </c>
      <c r="AK14" s="102"/>
      <c r="AL14" s="102"/>
      <c r="AM14" s="103"/>
    </row>
    <row r="15" spans="1:65" s="46" customFormat="1" ht="159" customHeight="1" x14ac:dyDescent="0.25">
      <c r="A15" s="12" t="s">
        <v>15</v>
      </c>
      <c r="B15" s="8" t="s">
        <v>43</v>
      </c>
      <c r="C15" s="8" t="s">
        <v>8</v>
      </c>
      <c r="D15" s="8" t="s">
        <v>41</v>
      </c>
      <c r="E15" s="8" t="s">
        <v>20</v>
      </c>
      <c r="F15" s="19" t="s">
        <v>22</v>
      </c>
      <c r="G15" s="21" t="s">
        <v>23</v>
      </c>
      <c r="H15" s="20" t="s">
        <v>24</v>
      </c>
      <c r="I15" s="8" t="s">
        <v>10</v>
      </c>
      <c r="J15" s="8" t="s">
        <v>13</v>
      </c>
      <c r="K15" s="41"/>
      <c r="L15" s="43" t="s">
        <v>50</v>
      </c>
      <c r="M15" s="43" t="s">
        <v>190</v>
      </c>
      <c r="N15" s="84" t="s">
        <v>191</v>
      </c>
      <c r="O15" s="84" t="s">
        <v>192</v>
      </c>
      <c r="P15" s="68" t="s">
        <v>153</v>
      </c>
      <c r="Q15" s="69" t="s">
        <v>154</v>
      </c>
      <c r="R15" s="69" t="s">
        <v>28</v>
      </c>
      <c r="S15" s="69" t="s">
        <v>151</v>
      </c>
      <c r="T15" s="69" t="s">
        <v>152</v>
      </c>
      <c r="U15" s="69" t="s">
        <v>30</v>
      </c>
      <c r="V15" s="70" t="s">
        <v>49</v>
      </c>
      <c r="W15" s="69" t="s">
        <v>155</v>
      </c>
      <c r="X15" s="69" t="s">
        <v>31</v>
      </c>
      <c r="Y15" s="69" t="s">
        <v>32</v>
      </c>
      <c r="Z15" s="69" t="s">
        <v>36</v>
      </c>
      <c r="AA15" s="69" t="s">
        <v>37</v>
      </c>
      <c r="AB15" s="69" t="s">
        <v>162</v>
      </c>
      <c r="AC15" s="69" t="s">
        <v>38</v>
      </c>
      <c r="AD15" s="71" t="s">
        <v>69</v>
      </c>
      <c r="AE15" s="58" t="s">
        <v>156</v>
      </c>
      <c r="AF15" s="59" t="s">
        <v>157</v>
      </c>
      <c r="AG15" s="59" t="s">
        <v>158</v>
      </c>
      <c r="AH15" s="59" t="s">
        <v>159</v>
      </c>
      <c r="AI15" s="60" t="s">
        <v>160</v>
      </c>
      <c r="AJ15" s="59" t="s">
        <v>157</v>
      </c>
      <c r="AK15" s="59" t="s">
        <v>158</v>
      </c>
      <c r="AL15" s="59" t="s">
        <v>159</v>
      </c>
      <c r="AM15" s="60" t="s">
        <v>160</v>
      </c>
      <c r="AN15" s="62">
        <v>1</v>
      </c>
      <c r="AO15" s="62">
        <f>AN15+1</f>
        <v>2</v>
      </c>
      <c r="AP15" s="62">
        <f t="shared" ref="AP15:BK15" si="3">AO15+1</f>
        <v>3</v>
      </c>
      <c r="AQ15" s="62">
        <f t="shared" si="3"/>
        <v>4</v>
      </c>
      <c r="AR15" s="62">
        <f t="shared" si="3"/>
        <v>5</v>
      </c>
      <c r="AS15" s="62">
        <f t="shared" si="3"/>
        <v>6</v>
      </c>
      <c r="AT15" s="62">
        <f t="shared" si="3"/>
        <v>7</v>
      </c>
      <c r="AU15" s="62">
        <f t="shared" si="3"/>
        <v>8</v>
      </c>
      <c r="AV15" s="62">
        <f t="shared" si="3"/>
        <v>9</v>
      </c>
      <c r="AW15" s="62">
        <f t="shared" si="3"/>
        <v>10</v>
      </c>
      <c r="AX15" s="62">
        <f t="shared" si="3"/>
        <v>11</v>
      </c>
      <c r="AY15" s="62">
        <f t="shared" si="3"/>
        <v>12</v>
      </c>
      <c r="AZ15" s="62">
        <f t="shared" si="3"/>
        <v>13</v>
      </c>
      <c r="BA15" s="62">
        <f t="shared" si="3"/>
        <v>14</v>
      </c>
      <c r="BB15" s="62">
        <f t="shared" si="3"/>
        <v>15</v>
      </c>
      <c r="BC15" s="62">
        <f t="shared" si="3"/>
        <v>16</v>
      </c>
      <c r="BD15" s="62">
        <f t="shared" si="3"/>
        <v>17</v>
      </c>
      <c r="BE15" s="62">
        <f t="shared" si="3"/>
        <v>18</v>
      </c>
      <c r="BF15" s="62">
        <f t="shared" si="3"/>
        <v>19</v>
      </c>
      <c r="BG15" s="62">
        <f t="shared" si="3"/>
        <v>20</v>
      </c>
      <c r="BH15" s="62">
        <f t="shared" si="3"/>
        <v>21</v>
      </c>
      <c r="BI15" s="62">
        <f t="shared" si="3"/>
        <v>22</v>
      </c>
      <c r="BJ15" s="62">
        <f t="shared" si="3"/>
        <v>23</v>
      </c>
      <c r="BK15" s="62">
        <f t="shared" si="3"/>
        <v>24</v>
      </c>
      <c r="BL15" s="62"/>
      <c r="BM15" s="62"/>
    </row>
    <row r="16" spans="1:65" x14ac:dyDescent="0.25">
      <c r="A16" s="39">
        <f>L16</f>
        <v>1</v>
      </c>
      <c r="B16" s="27" t="str">
        <f xml:space="preserve"> M$10&amp;N16&amp;".cibd"</f>
        <v>Standard901Tests\020032-OffSml-S901GElectric.cibd</v>
      </c>
      <c r="C16" s="27" t="str">
        <f t="shared" ref="C16:C30" si="4" xml:space="preserve"> M$11 &amp; O16 &amp; ".cibd"</f>
        <v>BatchOut_141103_r2722_T24Std\020032-OffSml-S901GElectric.cibd</v>
      </c>
      <c r="D16" s="27" t="str">
        <f>$M$12</f>
        <v>BatchOut_141103_r2722_T24Std\XML\</v>
      </c>
      <c r="E16" s="9" t="str">
        <f>M16</f>
        <v>020032-S901G</v>
      </c>
      <c r="F16" s="22"/>
      <c r="G16" s="29"/>
      <c r="H16" s="23"/>
      <c r="I16" s="9" t="s">
        <v>11</v>
      </c>
      <c r="J16" s="9" t="str">
        <f>CONCATENATE(AN16,AO16,AP16,AQ16,AR16,AS16,AT16,AU16,AV16,AW16,AX16,AY16,AZ16,BA16,BB16,BC16,BD16,BE16,BF16,BG16,BH16,BI16,BJ16,BK16)</f>
        <v>SimulationStorage,2,AnalysisStorage,1,LogRuleEvaluation,0,ParallelSimulations,1,DurationStats,0,AnalysisThruStep,11,DontAbortOnErrorsThruStep,11,BypassValidFileChecks,1,BypassInputChecks,0,BypassUMLHChecks,0,BypassCheckSimRules,0,BypassCheckCodeRules,0,StoreResultsToModelInput,1,StoreBEMDetails,1,ModelRpt_ALL,1,BypassOpenStudio_all,0,BypassOpenStudio_zp,0,BypassOpenStudio_zb,0,BypassOpenStudio_ap,0,BypassOpenStudio_ab,0,BypassOpenStudio_zp,0,BypassOpenStudio_zb,0,BypassOpenStudio_ap,0,BypassOpenStudio_ab,0</v>
      </c>
      <c r="K16" s="15" t="s">
        <v>1</v>
      </c>
      <c r="L16" s="36">
        <v>1</v>
      </c>
      <c r="M16" s="32" t="str">
        <f>LEFT(N16,6)&amp;"-S901G"&amp;IF(SUM(F16:H16)&gt;0,"_autosize","")</f>
        <v>020032-S901G</v>
      </c>
      <c r="N16" s="28" t="s">
        <v>194</v>
      </c>
      <c r="O16" s="57" t="str">
        <f>N16</f>
        <v>020032-OffSml-S901GElectric</v>
      </c>
      <c r="P16" s="63">
        <v>2</v>
      </c>
      <c r="Q16" s="65">
        <v>1</v>
      </c>
      <c r="R16" s="65">
        <v>0</v>
      </c>
      <c r="S16" s="65">
        <v>1</v>
      </c>
      <c r="T16" s="65">
        <v>0</v>
      </c>
      <c r="U16" s="65">
        <v>11</v>
      </c>
      <c r="V16" s="65">
        <v>11</v>
      </c>
      <c r="W16" s="65">
        <v>1</v>
      </c>
      <c r="X16" s="65">
        <v>0</v>
      </c>
      <c r="Y16" s="65">
        <v>0</v>
      </c>
      <c r="Z16" s="65">
        <v>0</v>
      </c>
      <c r="AA16" s="65">
        <v>0</v>
      </c>
      <c r="AB16" s="65">
        <v>1</v>
      </c>
      <c r="AC16" s="65">
        <v>1</v>
      </c>
      <c r="AD16" s="66">
        <v>1</v>
      </c>
      <c r="AE16" s="63">
        <v>0</v>
      </c>
      <c r="AF16" s="64">
        <v>0</v>
      </c>
      <c r="AG16" s="64">
        <v>0</v>
      </c>
      <c r="AH16" s="65">
        <v>0</v>
      </c>
      <c r="AI16" s="66">
        <v>0</v>
      </c>
      <c r="AJ16" s="63">
        <f>IF(AE16&gt;1,1,0)</f>
        <v>0</v>
      </c>
      <c r="AK16" s="64">
        <v>0</v>
      </c>
      <c r="AL16" s="65">
        <f>IF(AH16&gt;1,1,0)</f>
        <v>0</v>
      </c>
      <c r="AM16" s="66">
        <f>IF(AI16&gt;1,1,0)</f>
        <v>0</v>
      </c>
      <c r="AN16" s="31" t="str">
        <f t="shared" ref="AN16:BC30" si="5">P$12&amp;P16&amp;","</f>
        <v>SimulationStorage,2,</v>
      </c>
      <c r="AO16" s="31" t="str">
        <f t="shared" si="5"/>
        <v>AnalysisStorage,1,</v>
      </c>
      <c r="AP16" s="31" t="str">
        <f t="shared" si="5"/>
        <v>LogRuleEvaluation,0,</v>
      </c>
      <c r="AQ16" s="31" t="str">
        <f t="shared" si="5"/>
        <v>ParallelSimulations,1,</v>
      </c>
      <c r="AR16" s="31" t="str">
        <f t="shared" si="5"/>
        <v>DurationStats,0,</v>
      </c>
      <c r="AS16" s="31" t="str">
        <f t="shared" si="5"/>
        <v>AnalysisThruStep,11,</v>
      </c>
      <c r="AT16" s="31" t="str">
        <f t="shared" si="5"/>
        <v>DontAbortOnErrorsThruStep,11,</v>
      </c>
      <c r="AU16" s="31" t="str">
        <f t="shared" si="5"/>
        <v>BypassValidFileChecks,1,</v>
      </c>
      <c r="AV16" s="31" t="str">
        <f t="shared" si="5"/>
        <v>BypassInputChecks,0,</v>
      </c>
      <c r="AW16" s="31" t="str">
        <f t="shared" si="5"/>
        <v>BypassUMLHChecks,0,</v>
      </c>
      <c r="AX16" s="31" t="str">
        <f t="shared" si="5"/>
        <v>BypassCheckSimRules,0,</v>
      </c>
      <c r="AY16" s="31" t="str">
        <f t="shared" si="5"/>
        <v>BypassCheckCodeRules,0,</v>
      </c>
      <c r="AZ16" s="31" t="str">
        <f t="shared" si="5"/>
        <v>StoreResultsToModelInput,1,</v>
      </c>
      <c r="BA16" s="31" t="str">
        <f t="shared" si="5"/>
        <v>StoreBEMDetails,1,</v>
      </c>
      <c r="BB16" s="31" t="str">
        <f t="shared" si="5"/>
        <v>ModelRpt_ALL,1,</v>
      </c>
      <c r="BC16" s="31" t="str">
        <f t="shared" si="5"/>
        <v>BypassOpenStudio_all,0,</v>
      </c>
      <c r="BD16" s="31" t="str">
        <f t="shared" ref="BA16:BJ30" si="6">AF$12&amp;AF16&amp;","</f>
        <v>BypassOpenStudio_zp,0,</v>
      </c>
      <c r="BE16" s="31" t="str">
        <f t="shared" si="6"/>
        <v>BypassOpenStudio_zb,0,</v>
      </c>
      <c r="BF16" s="31" t="str">
        <f t="shared" si="6"/>
        <v>BypassOpenStudio_ap,0,</v>
      </c>
      <c r="BG16" s="31" t="str">
        <f t="shared" si="6"/>
        <v>BypassOpenStudio_ab,0,</v>
      </c>
      <c r="BH16" s="31" t="str">
        <f t="shared" si="6"/>
        <v>BypassOpenStudio_zp,0,</v>
      </c>
      <c r="BI16" s="31" t="str">
        <f t="shared" si="6"/>
        <v>BypassOpenStudio_zb,0,</v>
      </c>
      <c r="BJ16" s="31" t="str">
        <f t="shared" si="6"/>
        <v>BypassOpenStudio_ap,0,</v>
      </c>
      <c r="BK16" s="31" t="str">
        <f>AM$12&amp;AM16</f>
        <v>BypassOpenStudio_ab,0</v>
      </c>
    </row>
    <row r="17" spans="1:67" x14ac:dyDescent="0.25">
      <c r="A17" s="39">
        <f t="shared" ref="A17:A30" si="7">L17</f>
        <v>1</v>
      </c>
      <c r="B17" s="27" t="str">
        <f t="shared" ref="B17:B30" si="8" xml:space="preserve"> M$10&amp;N17&amp;".cibd"</f>
        <v>Standard901Tests\020032-OffSml-S901GFossil.cibd</v>
      </c>
      <c r="C17" s="27" t="str">
        <f t="shared" si="4"/>
        <v>BatchOut_141103_r2722_T24Std\020032-OffSml-S901GFossil.cibd</v>
      </c>
      <c r="D17" s="27" t="str">
        <f t="shared" ref="D17:D30" si="9">$M$12</f>
        <v>BatchOut_141103_r2722_T24Std\XML\</v>
      </c>
      <c r="E17" s="9" t="str">
        <f t="shared" ref="E17:E27" si="10">M17</f>
        <v>020032-S901G</v>
      </c>
      <c r="F17" s="22"/>
      <c r="G17" s="29"/>
      <c r="H17" s="23"/>
      <c r="I17" s="9" t="s">
        <v>11</v>
      </c>
      <c r="J17" s="9" t="str">
        <f t="shared" ref="J17:J30" si="11">CONCATENATE(AN17,AO17,AP17,AQ17,AR17,AS17,AT17,AU17,AV17,AW17,AX17,AY17,AZ17,BA17,BB17,BC17,BD17,BE17,BF17,BG17,BH17,BI17,BJ17,BK17)</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7" s="15" t="s">
        <v>1</v>
      </c>
      <c r="L17" s="36">
        <f>L16</f>
        <v>1</v>
      </c>
      <c r="M17" s="32" t="str">
        <f t="shared" ref="M17:M28" si="12">LEFT(N17,6)&amp;"-S901G"&amp;IF(SUM(F17:H17)&gt;0,"_autosize","")</f>
        <v>020032-S901G</v>
      </c>
      <c r="N17" s="28" t="s">
        <v>195</v>
      </c>
      <c r="O17" s="57" t="str">
        <f t="shared" ref="O17:O28" si="13">N17</f>
        <v>020032-OffSml-S901GFossil</v>
      </c>
      <c r="P17" s="63">
        <f>P16</f>
        <v>2</v>
      </c>
      <c r="Q17" s="65">
        <f t="shared" ref="Q17:T17" si="14">Q16</f>
        <v>1</v>
      </c>
      <c r="R17" s="65">
        <f t="shared" si="14"/>
        <v>0</v>
      </c>
      <c r="S17" s="65">
        <f t="shared" si="14"/>
        <v>1</v>
      </c>
      <c r="T17" s="65">
        <f t="shared" si="14"/>
        <v>0</v>
      </c>
      <c r="U17" s="65">
        <f>U16</f>
        <v>11</v>
      </c>
      <c r="V17" s="65">
        <f>V16</f>
        <v>11</v>
      </c>
      <c r="W17" s="65">
        <f>W16</f>
        <v>1</v>
      </c>
      <c r="X17" s="65">
        <f t="shared" ref="X17:AH30" si="15">X16</f>
        <v>0</v>
      </c>
      <c r="Y17" s="65">
        <f t="shared" si="15"/>
        <v>0</v>
      </c>
      <c r="Z17" s="65">
        <f t="shared" si="15"/>
        <v>0</v>
      </c>
      <c r="AA17" s="65">
        <f t="shared" si="15"/>
        <v>0</v>
      </c>
      <c r="AB17" s="65">
        <f t="shared" si="15"/>
        <v>1</v>
      </c>
      <c r="AC17" s="65">
        <f t="shared" si="15"/>
        <v>1</v>
      </c>
      <c r="AD17" s="65">
        <f>AD16</f>
        <v>1</v>
      </c>
      <c r="AE17" s="63">
        <f>AE16</f>
        <v>0</v>
      </c>
      <c r="AF17" s="64">
        <f>AF16</f>
        <v>0</v>
      </c>
      <c r="AG17" s="64">
        <f t="shared" ref="AG17:AM30" si="16">AG16</f>
        <v>0</v>
      </c>
      <c r="AH17" s="64">
        <f t="shared" si="16"/>
        <v>0</v>
      </c>
      <c r="AI17" s="66">
        <f t="shared" si="16"/>
        <v>0</v>
      </c>
      <c r="AJ17" s="63">
        <f>AJ16</f>
        <v>0</v>
      </c>
      <c r="AK17" s="64">
        <f>AK16</f>
        <v>0</v>
      </c>
      <c r="AL17" s="65">
        <f t="shared" ref="AL17:AM17" si="17">AL16</f>
        <v>0</v>
      </c>
      <c r="AM17" s="66">
        <f t="shared" si="17"/>
        <v>0</v>
      </c>
      <c r="AN17" s="31" t="str">
        <f t="shared" si="5"/>
        <v>SimulationStorage,2,</v>
      </c>
      <c r="AO17" s="31" t="str">
        <f t="shared" si="5"/>
        <v>AnalysisStorage,1,</v>
      </c>
      <c r="AP17" s="31" t="str">
        <f t="shared" si="5"/>
        <v>LogRuleEvaluation,0,</v>
      </c>
      <c r="AQ17" s="31" t="str">
        <f t="shared" si="5"/>
        <v>ParallelSimulations,1,</v>
      </c>
      <c r="AR17" s="31" t="str">
        <f t="shared" si="5"/>
        <v>DurationStats,0,</v>
      </c>
      <c r="AS17" s="31" t="str">
        <f t="shared" si="5"/>
        <v>AnalysisThruStep,11,</v>
      </c>
      <c r="AT17" s="31" t="str">
        <f t="shared" si="5"/>
        <v>DontAbortOnErrorsThruStep,11,</v>
      </c>
      <c r="AU17" s="31" t="str">
        <f t="shared" si="5"/>
        <v>BypassValidFileChecks,1,</v>
      </c>
      <c r="AV17" s="31" t="str">
        <f t="shared" si="5"/>
        <v>BypassInputChecks,0,</v>
      </c>
      <c r="AW17" s="31" t="str">
        <f t="shared" si="5"/>
        <v>BypassUMLHChecks,0,</v>
      </c>
      <c r="AX17" s="31" t="str">
        <f>Z$12&amp;Z17&amp;","</f>
        <v>BypassCheckSimRules,0,</v>
      </c>
      <c r="AY17" s="31" t="str">
        <f>AA$12&amp;AA17&amp;","</f>
        <v>BypassCheckCodeRules,0,</v>
      </c>
      <c r="BA17" s="31" t="str">
        <f t="shared" si="5"/>
        <v>StoreBEMDetails,1,</v>
      </c>
      <c r="BB17" s="31" t="str">
        <f t="shared" si="5"/>
        <v>ModelRpt_ALL,1,</v>
      </c>
      <c r="BC17" s="31" t="str">
        <f t="shared" si="5"/>
        <v>BypassOpenStudio_all,0,</v>
      </c>
      <c r="BD17" s="31" t="str">
        <f t="shared" si="6"/>
        <v>BypassOpenStudio_zp,0,</v>
      </c>
      <c r="BE17" s="31" t="str">
        <f t="shared" si="6"/>
        <v>BypassOpenStudio_zb,0,</v>
      </c>
      <c r="BF17" s="31" t="str">
        <f t="shared" si="6"/>
        <v>BypassOpenStudio_ap,0,</v>
      </c>
      <c r="BG17" s="31" t="str">
        <f t="shared" si="6"/>
        <v>BypassOpenStudio_ab,0,</v>
      </c>
      <c r="BH17" s="31" t="str">
        <f t="shared" si="6"/>
        <v>BypassOpenStudio_zp,0,</v>
      </c>
      <c r="BI17" s="31" t="str">
        <f t="shared" si="6"/>
        <v>BypassOpenStudio_zb,0,</v>
      </c>
      <c r="BJ17" s="31" t="str">
        <f t="shared" si="6"/>
        <v>BypassOpenStudio_ap,0,</v>
      </c>
      <c r="BK17" s="31" t="str">
        <f>AM$12&amp;AM17</f>
        <v>BypassOpenStudio_ab,0</v>
      </c>
      <c r="BN17"/>
      <c r="BO17"/>
    </row>
    <row r="18" spans="1:67" x14ac:dyDescent="0.25">
      <c r="A18" s="39">
        <f t="shared" si="7"/>
        <v>1</v>
      </c>
      <c r="B18" s="27" t="str">
        <f t="shared" si="8"/>
        <v>Standard901Tests\030032-OffMed-S901GElectric.cibd</v>
      </c>
      <c r="C18" s="27" t="str">
        <f t="shared" si="4"/>
        <v>BatchOut_141103_r2722_T24Std\030032-OffMed-S901GElectric.cibd</v>
      </c>
      <c r="D18" s="27" t="str">
        <f t="shared" si="9"/>
        <v>BatchOut_141103_r2722_T24Std\XML\</v>
      </c>
      <c r="E18" s="9" t="str">
        <f t="shared" si="10"/>
        <v>030032-S901G</v>
      </c>
      <c r="F18" s="22"/>
      <c r="G18" s="29"/>
      <c r="H18" s="23"/>
      <c r="I18" s="9" t="s">
        <v>11</v>
      </c>
      <c r="J18"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8" s="15" t="s">
        <v>1</v>
      </c>
      <c r="L18" s="36">
        <f t="shared" ref="L18:L30" si="18">L17</f>
        <v>1</v>
      </c>
      <c r="M18" s="32" t="str">
        <f t="shared" si="12"/>
        <v>030032-S901G</v>
      </c>
      <c r="N18" s="28" t="s">
        <v>196</v>
      </c>
      <c r="O18" s="57" t="str">
        <f t="shared" si="13"/>
        <v>030032-OffMed-S901GElectric</v>
      </c>
      <c r="P18" s="63">
        <f t="shared" ref="P18:AB30" si="19">P17</f>
        <v>2</v>
      </c>
      <c r="Q18" s="65">
        <f t="shared" si="19"/>
        <v>1</v>
      </c>
      <c r="R18" s="65">
        <f t="shared" si="19"/>
        <v>0</v>
      </c>
      <c r="S18" s="65">
        <f t="shared" si="19"/>
        <v>1</v>
      </c>
      <c r="T18" s="65">
        <f t="shared" si="19"/>
        <v>0</v>
      </c>
      <c r="U18" s="65">
        <f t="shared" si="19"/>
        <v>11</v>
      </c>
      <c r="V18" s="65">
        <f t="shared" si="19"/>
        <v>11</v>
      </c>
      <c r="W18" s="65">
        <f t="shared" si="19"/>
        <v>1</v>
      </c>
      <c r="X18" s="65">
        <f t="shared" si="19"/>
        <v>0</v>
      </c>
      <c r="Y18" s="65">
        <f t="shared" si="19"/>
        <v>0</v>
      </c>
      <c r="Z18" s="65">
        <f t="shared" si="19"/>
        <v>0</v>
      </c>
      <c r="AA18" s="65">
        <f t="shared" si="19"/>
        <v>0</v>
      </c>
      <c r="AB18" s="65">
        <f t="shared" si="19"/>
        <v>1</v>
      </c>
      <c r="AC18" s="65">
        <f t="shared" si="15"/>
        <v>1</v>
      </c>
      <c r="AD18" s="65">
        <f t="shared" si="15"/>
        <v>1</v>
      </c>
      <c r="AE18" s="63">
        <f t="shared" si="15"/>
        <v>0</v>
      </c>
      <c r="AF18" s="64">
        <f t="shared" si="15"/>
        <v>0</v>
      </c>
      <c r="AG18" s="64">
        <f t="shared" si="15"/>
        <v>0</v>
      </c>
      <c r="AH18" s="64">
        <f t="shared" si="15"/>
        <v>0</v>
      </c>
      <c r="AI18" s="66">
        <f t="shared" si="16"/>
        <v>0</v>
      </c>
      <c r="AJ18" s="63">
        <f t="shared" si="16"/>
        <v>0</v>
      </c>
      <c r="AK18" s="64">
        <f t="shared" si="16"/>
        <v>0</v>
      </c>
      <c r="AL18" s="65">
        <f t="shared" si="16"/>
        <v>0</v>
      </c>
      <c r="AM18" s="66">
        <f t="shared" si="16"/>
        <v>0</v>
      </c>
      <c r="AN18" s="31" t="str">
        <f t="shared" si="5"/>
        <v>SimulationStorage,2,</v>
      </c>
      <c r="AO18" s="31" t="str">
        <f t="shared" si="5"/>
        <v>AnalysisStorage,1,</v>
      </c>
      <c r="AP18" s="31" t="str">
        <f t="shared" si="5"/>
        <v>LogRuleEvaluation,0,</v>
      </c>
      <c r="AQ18" s="31" t="str">
        <f t="shared" si="5"/>
        <v>ParallelSimulations,1,</v>
      </c>
      <c r="AR18" s="31" t="str">
        <f t="shared" si="5"/>
        <v>DurationStats,0,</v>
      </c>
      <c r="AS18" s="31" t="str">
        <f t="shared" si="5"/>
        <v>AnalysisThruStep,11,</v>
      </c>
      <c r="AT18" s="31" t="str">
        <f t="shared" si="5"/>
        <v>DontAbortOnErrorsThruStep,11,</v>
      </c>
      <c r="AU18" s="31" t="str">
        <f t="shared" si="5"/>
        <v>BypassValidFileChecks,1,</v>
      </c>
      <c r="AV18" s="31" t="str">
        <f t="shared" si="5"/>
        <v>BypassInputChecks,0,</v>
      </c>
      <c r="AW18" s="31" t="str">
        <f t="shared" si="5"/>
        <v>BypassUMLHChecks,0,</v>
      </c>
      <c r="AX18" s="31" t="str">
        <f t="shared" si="5"/>
        <v>BypassCheckSimRules,0,</v>
      </c>
      <c r="AY18" s="31" t="str">
        <f t="shared" si="5"/>
        <v>BypassCheckCodeRules,0,</v>
      </c>
      <c r="BA18" s="31" t="str">
        <f t="shared" si="5"/>
        <v>StoreBEMDetails,1,</v>
      </c>
      <c r="BB18" s="31" t="str">
        <f t="shared" si="5"/>
        <v>ModelRpt_ALL,1,</v>
      </c>
      <c r="BC18" s="31" t="str">
        <f t="shared" si="5"/>
        <v>BypassOpenStudio_all,0,</v>
      </c>
      <c r="BD18" s="31" t="str">
        <f t="shared" si="6"/>
        <v>BypassOpenStudio_zp,0,</v>
      </c>
      <c r="BE18" s="31" t="str">
        <f t="shared" si="6"/>
        <v>BypassOpenStudio_zb,0,</v>
      </c>
      <c r="BF18" s="31" t="str">
        <f t="shared" si="6"/>
        <v>BypassOpenStudio_ap,0,</v>
      </c>
      <c r="BG18" s="31" t="str">
        <f t="shared" si="6"/>
        <v>BypassOpenStudio_ab,0,</v>
      </c>
      <c r="BH18" s="31" t="str">
        <f t="shared" si="6"/>
        <v>BypassOpenStudio_zp,0,</v>
      </c>
      <c r="BI18" s="31" t="str">
        <f t="shared" si="6"/>
        <v>BypassOpenStudio_zb,0,</v>
      </c>
      <c r="BJ18" s="31" t="str">
        <f t="shared" si="6"/>
        <v>BypassOpenStudio_ap,0,</v>
      </c>
      <c r="BK18" s="31" t="str">
        <f t="shared" ref="BK18:BK30" si="20">AM$12&amp;AM18</f>
        <v>BypassOpenStudio_ab,0</v>
      </c>
    </row>
    <row r="19" spans="1:67" x14ac:dyDescent="0.25">
      <c r="A19" s="39">
        <f t="shared" si="7"/>
        <v>1</v>
      </c>
      <c r="B19" s="27" t="str">
        <f t="shared" si="8"/>
        <v>Standard901Tests\070032-HotSml-S901GElectric.cibd</v>
      </c>
      <c r="C19" s="27" t="str">
        <f t="shared" si="4"/>
        <v>BatchOut_141103_r2722_T24Std\070032-HotSml-S901GElectric.cibd</v>
      </c>
      <c r="D19" s="27" t="str">
        <f t="shared" si="9"/>
        <v>BatchOut_141103_r2722_T24Std\XML\</v>
      </c>
      <c r="E19" s="9" t="str">
        <f t="shared" si="10"/>
        <v>070032-S901G</v>
      </c>
      <c r="F19" s="22"/>
      <c r="G19" s="29"/>
      <c r="H19" s="23"/>
      <c r="I19" s="9" t="s">
        <v>11</v>
      </c>
      <c r="J19"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9" s="15" t="s">
        <v>1</v>
      </c>
      <c r="L19" s="36">
        <f t="shared" si="18"/>
        <v>1</v>
      </c>
      <c r="M19" s="32" t="str">
        <f t="shared" si="12"/>
        <v>070032-S901G</v>
      </c>
      <c r="N19" s="28" t="s">
        <v>197</v>
      </c>
      <c r="O19" s="57" t="str">
        <f t="shared" si="13"/>
        <v>070032-HotSml-S901GElectric</v>
      </c>
      <c r="P19" s="63">
        <f t="shared" si="19"/>
        <v>2</v>
      </c>
      <c r="Q19" s="65">
        <f t="shared" si="19"/>
        <v>1</v>
      </c>
      <c r="R19" s="65">
        <f t="shared" si="19"/>
        <v>0</v>
      </c>
      <c r="S19" s="65">
        <f t="shared" si="19"/>
        <v>1</v>
      </c>
      <c r="T19" s="65">
        <f t="shared" si="19"/>
        <v>0</v>
      </c>
      <c r="U19" s="65">
        <f t="shared" si="19"/>
        <v>11</v>
      </c>
      <c r="V19" s="65">
        <f t="shared" si="19"/>
        <v>11</v>
      </c>
      <c r="W19" s="65">
        <f t="shared" si="19"/>
        <v>1</v>
      </c>
      <c r="X19" s="65">
        <f t="shared" si="19"/>
        <v>0</v>
      </c>
      <c r="Y19" s="65">
        <f t="shared" si="19"/>
        <v>0</v>
      </c>
      <c r="Z19" s="65">
        <f t="shared" si="19"/>
        <v>0</v>
      </c>
      <c r="AA19" s="65">
        <f t="shared" si="19"/>
        <v>0</v>
      </c>
      <c r="AB19" s="65">
        <f t="shared" si="19"/>
        <v>1</v>
      </c>
      <c r="AC19" s="65">
        <f t="shared" si="15"/>
        <v>1</v>
      </c>
      <c r="AD19" s="65">
        <f t="shared" si="15"/>
        <v>1</v>
      </c>
      <c r="AE19" s="63">
        <f t="shared" si="15"/>
        <v>0</v>
      </c>
      <c r="AF19" s="64">
        <f t="shared" si="15"/>
        <v>0</v>
      </c>
      <c r="AG19" s="64">
        <f t="shared" si="15"/>
        <v>0</v>
      </c>
      <c r="AH19" s="64">
        <f t="shared" si="15"/>
        <v>0</v>
      </c>
      <c r="AI19" s="66">
        <f t="shared" si="16"/>
        <v>0</v>
      </c>
      <c r="AJ19" s="63">
        <f t="shared" si="16"/>
        <v>0</v>
      </c>
      <c r="AK19" s="64">
        <f t="shared" si="16"/>
        <v>0</v>
      </c>
      <c r="AL19" s="65">
        <f t="shared" si="16"/>
        <v>0</v>
      </c>
      <c r="AM19" s="66">
        <f t="shared" si="16"/>
        <v>0</v>
      </c>
      <c r="AN19" s="31" t="str">
        <f t="shared" si="5"/>
        <v>SimulationStorage,2,</v>
      </c>
      <c r="AO19" s="31" t="str">
        <f t="shared" si="5"/>
        <v>AnalysisStorage,1,</v>
      </c>
      <c r="AP19" s="31" t="str">
        <f t="shared" si="5"/>
        <v>LogRuleEvaluation,0,</v>
      </c>
      <c r="AQ19" s="31" t="str">
        <f t="shared" si="5"/>
        <v>ParallelSimulations,1,</v>
      </c>
      <c r="AR19" s="31" t="str">
        <f t="shared" si="5"/>
        <v>DurationStats,0,</v>
      </c>
      <c r="AS19" s="31" t="str">
        <f t="shared" si="5"/>
        <v>AnalysisThruStep,11,</v>
      </c>
      <c r="AT19" s="31" t="str">
        <f t="shared" si="5"/>
        <v>DontAbortOnErrorsThruStep,11,</v>
      </c>
      <c r="AU19" s="31" t="str">
        <f t="shared" si="5"/>
        <v>BypassValidFileChecks,1,</v>
      </c>
      <c r="AV19" s="31" t="str">
        <f t="shared" si="5"/>
        <v>BypassInputChecks,0,</v>
      </c>
      <c r="AW19" s="31" t="str">
        <f t="shared" si="5"/>
        <v>BypassUMLHChecks,0,</v>
      </c>
      <c r="AX19" s="31" t="str">
        <f t="shared" si="5"/>
        <v>BypassCheckSimRules,0,</v>
      </c>
      <c r="AY19" s="31" t="str">
        <f t="shared" si="5"/>
        <v>BypassCheckCodeRules,0,</v>
      </c>
      <c r="BA19" s="31" t="str">
        <f t="shared" si="5"/>
        <v>StoreBEMDetails,1,</v>
      </c>
      <c r="BB19" s="31" t="str">
        <f t="shared" si="5"/>
        <v>ModelRpt_ALL,1,</v>
      </c>
      <c r="BC19" s="31" t="str">
        <f t="shared" si="5"/>
        <v>BypassOpenStudio_all,0,</v>
      </c>
      <c r="BD19" s="31" t="str">
        <f t="shared" si="6"/>
        <v>BypassOpenStudio_zp,0,</v>
      </c>
      <c r="BE19" s="31" t="str">
        <f t="shared" si="6"/>
        <v>BypassOpenStudio_zb,0,</v>
      </c>
      <c r="BF19" s="31" t="str">
        <f t="shared" si="6"/>
        <v>BypassOpenStudio_ap,0,</v>
      </c>
      <c r="BG19" s="31" t="str">
        <f t="shared" si="6"/>
        <v>BypassOpenStudio_ab,0,</v>
      </c>
      <c r="BH19" s="31" t="str">
        <f t="shared" si="6"/>
        <v>BypassOpenStudio_zp,0,</v>
      </c>
      <c r="BI19" s="31" t="str">
        <f t="shared" si="6"/>
        <v>BypassOpenStudio_zb,0,</v>
      </c>
      <c r="BJ19" s="31" t="str">
        <f t="shared" si="6"/>
        <v>BypassOpenStudio_ap,0,</v>
      </c>
      <c r="BK19" s="31" t="str">
        <f t="shared" si="20"/>
        <v>BypassOpenStudio_ab,0</v>
      </c>
    </row>
    <row r="20" spans="1:67" x14ac:dyDescent="0.25">
      <c r="A20" s="39">
        <f t="shared" si="7"/>
        <v>1</v>
      </c>
      <c r="B20" s="27" t="str">
        <f t="shared" si="8"/>
        <v>Standard901Tests\080032-Whse-S901GFossil.cibd</v>
      </c>
      <c r="C20" s="27" t="str">
        <f t="shared" si="4"/>
        <v>BatchOut_141103_r2722_T24Std\080032-Whse-S901GFossil.cibd</v>
      </c>
      <c r="D20" s="27" t="str">
        <f t="shared" si="9"/>
        <v>BatchOut_141103_r2722_T24Std\XML\</v>
      </c>
      <c r="E20" s="9" t="str">
        <f t="shared" si="10"/>
        <v>080032-S901G</v>
      </c>
      <c r="F20" s="22"/>
      <c r="G20" s="29"/>
      <c r="H20" s="23"/>
      <c r="I20" s="9" t="s">
        <v>11</v>
      </c>
      <c r="J20"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0" s="15" t="s">
        <v>1</v>
      </c>
      <c r="L20" s="36">
        <f t="shared" si="18"/>
        <v>1</v>
      </c>
      <c r="M20" s="32" t="str">
        <f t="shared" si="12"/>
        <v>080032-S901G</v>
      </c>
      <c r="N20" s="28" t="s">
        <v>198</v>
      </c>
      <c r="O20" s="57" t="str">
        <f t="shared" si="13"/>
        <v>080032-Whse-S901GFossil</v>
      </c>
      <c r="P20" s="63">
        <f t="shared" si="19"/>
        <v>2</v>
      </c>
      <c r="Q20" s="65">
        <f t="shared" si="19"/>
        <v>1</v>
      </c>
      <c r="R20" s="65">
        <f t="shared" si="19"/>
        <v>0</v>
      </c>
      <c r="S20" s="65">
        <f t="shared" si="19"/>
        <v>1</v>
      </c>
      <c r="T20" s="65">
        <f t="shared" si="19"/>
        <v>0</v>
      </c>
      <c r="U20" s="65">
        <f t="shared" si="19"/>
        <v>11</v>
      </c>
      <c r="V20" s="65">
        <f t="shared" si="19"/>
        <v>11</v>
      </c>
      <c r="W20" s="65">
        <f t="shared" si="19"/>
        <v>1</v>
      </c>
      <c r="X20" s="65">
        <f t="shared" si="19"/>
        <v>0</v>
      </c>
      <c r="Y20" s="65">
        <f t="shared" si="19"/>
        <v>0</v>
      </c>
      <c r="Z20" s="65">
        <f t="shared" si="19"/>
        <v>0</v>
      </c>
      <c r="AA20" s="65">
        <f t="shared" si="19"/>
        <v>0</v>
      </c>
      <c r="AB20" s="65">
        <f t="shared" si="19"/>
        <v>1</v>
      </c>
      <c r="AC20" s="65">
        <f t="shared" si="15"/>
        <v>1</v>
      </c>
      <c r="AD20" s="65">
        <f t="shared" si="15"/>
        <v>1</v>
      </c>
      <c r="AE20" s="63">
        <f t="shared" si="15"/>
        <v>0</v>
      </c>
      <c r="AF20" s="64">
        <f t="shared" si="15"/>
        <v>0</v>
      </c>
      <c r="AG20" s="64">
        <f t="shared" si="15"/>
        <v>0</v>
      </c>
      <c r="AH20" s="64">
        <f t="shared" si="15"/>
        <v>0</v>
      </c>
      <c r="AI20" s="66">
        <f t="shared" si="16"/>
        <v>0</v>
      </c>
      <c r="AJ20" s="63">
        <f t="shared" si="16"/>
        <v>0</v>
      </c>
      <c r="AK20" s="64">
        <f t="shared" si="16"/>
        <v>0</v>
      </c>
      <c r="AL20" s="65">
        <f t="shared" si="16"/>
        <v>0</v>
      </c>
      <c r="AM20" s="66">
        <f t="shared" si="16"/>
        <v>0</v>
      </c>
      <c r="AN20" s="31" t="str">
        <f t="shared" si="5"/>
        <v>SimulationStorage,2,</v>
      </c>
      <c r="AO20" s="31" t="str">
        <f t="shared" si="5"/>
        <v>AnalysisStorage,1,</v>
      </c>
      <c r="AP20" s="31" t="str">
        <f t="shared" si="5"/>
        <v>LogRuleEvaluation,0,</v>
      </c>
      <c r="AQ20" s="31" t="str">
        <f t="shared" si="5"/>
        <v>ParallelSimulations,1,</v>
      </c>
      <c r="AR20" s="31" t="str">
        <f t="shared" si="5"/>
        <v>DurationStats,0,</v>
      </c>
      <c r="AS20" s="31" t="str">
        <f t="shared" si="5"/>
        <v>AnalysisThruStep,11,</v>
      </c>
      <c r="AT20" s="31" t="str">
        <f t="shared" si="5"/>
        <v>DontAbortOnErrorsThruStep,11,</v>
      </c>
      <c r="AU20" s="31" t="str">
        <f t="shared" si="5"/>
        <v>BypassValidFileChecks,1,</v>
      </c>
      <c r="AV20" s="31" t="str">
        <f t="shared" si="5"/>
        <v>BypassInputChecks,0,</v>
      </c>
      <c r="AW20" s="31" t="str">
        <f t="shared" si="5"/>
        <v>BypassUMLHChecks,0,</v>
      </c>
      <c r="AX20" s="31" t="str">
        <f t="shared" si="5"/>
        <v>BypassCheckSimRules,0,</v>
      </c>
      <c r="AY20" s="31" t="str">
        <f t="shared" si="5"/>
        <v>BypassCheckCodeRules,0,</v>
      </c>
      <c r="BA20" s="31" t="str">
        <f t="shared" si="5"/>
        <v>StoreBEMDetails,1,</v>
      </c>
      <c r="BB20" s="31" t="str">
        <f t="shared" si="5"/>
        <v>ModelRpt_ALL,1,</v>
      </c>
      <c r="BC20" s="31" t="str">
        <f t="shared" si="5"/>
        <v>BypassOpenStudio_all,0,</v>
      </c>
      <c r="BD20" s="31" t="str">
        <f t="shared" si="6"/>
        <v>BypassOpenStudio_zp,0,</v>
      </c>
      <c r="BE20" s="31" t="str">
        <f t="shared" si="6"/>
        <v>BypassOpenStudio_zb,0,</v>
      </c>
      <c r="BF20" s="31" t="str">
        <f t="shared" si="6"/>
        <v>BypassOpenStudio_ap,0,</v>
      </c>
      <c r="BG20" s="31" t="str">
        <f t="shared" si="6"/>
        <v>BypassOpenStudio_ab,0,</v>
      </c>
      <c r="BH20" s="31" t="str">
        <f t="shared" si="6"/>
        <v>BypassOpenStudio_zp,0,</v>
      </c>
      <c r="BI20" s="31" t="str">
        <f t="shared" si="6"/>
        <v>BypassOpenStudio_zb,0,</v>
      </c>
      <c r="BJ20" s="31" t="str">
        <f t="shared" si="6"/>
        <v>BypassOpenStudio_ap,0,</v>
      </c>
      <c r="BK20" s="31" t="str">
        <f t="shared" si="20"/>
        <v>BypassOpenStudio_ab,0</v>
      </c>
    </row>
    <row r="21" spans="1:67" x14ac:dyDescent="0.25">
      <c r="A21" s="39">
        <f t="shared" si="7"/>
        <v>0</v>
      </c>
      <c r="B21" s="27" t="str">
        <f t="shared" si="8"/>
        <v>Standard901Tests\.cibd</v>
      </c>
      <c r="C21" s="27" t="str">
        <f t="shared" si="4"/>
        <v>BatchOut_141103_r2722_T24Std\0.cibd</v>
      </c>
      <c r="D21" s="27" t="str">
        <f t="shared" si="9"/>
        <v>BatchOut_141103_r2722_T24Std\XML\</v>
      </c>
      <c r="E21" s="9" t="str">
        <f t="shared" si="10"/>
        <v>-S901G</v>
      </c>
      <c r="F21" s="22"/>
      <c r="G21" s="29"/>
      <c r="H21" s="23"/>
      <c r="I21" s="9" t="s">
        <v>11</v>
      </c>
      <c r="J21"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1" s="15" t="s">
        <v>1</v>
      </c>
      <c r="L21" s="36">
        <v>0</v>
      </c>
      <c r="M21" s="32" t="str">
        <f t="shared" si="12"/>
        <v>-S901G</v>
      </c>
      <c r="N21" s="28"/>
      <c r="O21" s="57">
        <f t="shared" si="13"/>
        <v>0</v>
      </c>
      <c r="P21" s="63">
        <f t="shared" si="19"/>
        <v>2</v>
      </c>
      <c r="Q21" s="65">
        <f t="shared" si="19"/>
        <v>1</v>
      </c>
      <c r="R21" s="65">
        <f t="shared" si="19"/>
        <v>0</v>
      </c>
      <c r="S21" s="65">
        <f t="shared" si="19"/>
        <v>1</v>
      </c>
      <c r="T21" s="65">
        <f t="shared" si="19"/>
        <v>0</v>
      </c>
      <c r="U21" s="65">
        <f t="shared" si="19"/>
        <v>11</v>
      </c>
      <c r="V21" s="65">
        <f t="shared" si="19"/>
        <v>11</v>
      </c>
      <c r="W21" s="65">
        <f t="shared" si="19"/>
        <v>1</v>
      </c>
      <c r="X21" s="65">
        <f t="shared" si="19"/>
        <v>0</v>
      </c>
      <c r="Y21" s="65">
        <f t="shared" si="19"/>
        <v>0</v>
      </c>
      <c r="Z21" s="65">
        <f t="shared" si="19"/>
        <v>0</v>
      </c>
      <c r="AA21" s="65">
        <f t="shared" si="19"/>
        <v>0</v>
      </c>
      <c r="AB21" s="65">
        <f t="shared" si="19"/>
        <v>1</v>
      </c>
      <c r="AC21" s="65">
        <f t="shared" si="15"/>
        <v>1</v>
      </c>
      <c r="AD21" s="65">
        <f t="shared" si="15"/>
        <v>1</v>
      </c>
      <c r="AE21" s="63">
        <f t="shared" si="15"/>
        <v>0</v>
      </c>
      <c r="AF21" s="64">
        <f t="shared" si="15"/>
        <v>0</v>
      </c>
      <c r="AG21" s="64">
        <f t="shared" si="15"/>
        <v>0</v>
      </c>
      <c r="AH21" s="64">
        <f t="shared" si="15"/>
        <v>0</v>
      </c>
      <c r="AI21" s="66">
        <f t="shared" si="16"/>
        <v>0</v>
      </c>
      <c r="AJ21" s="63">
        <f t="shared" si="16"/>
        <v>0</v>
      </c>
      <c r="AK21" s="64">
        <f t="shared" si="16"/>
        <v>0</v>
      </c>
      <c r="AL21" s="65">
        <f t="shared" si="16"/>
        <v>0</v>
      </c>
      <c r="AM21" s="66">
        <f t="shared" si="16"/>
        <v>0</v>
      </c>
      <c r="AN21" s="31" t="str">
        <f t="shared" si="5"/>
        <v>SimulationStorage,2,</v>
      </c>
      <c r="AO21" s="31" t="str">
        <f t="shared" si="5"/>
        <v>AnalysisStorage,1,</v>
      </c>
      <c r="AP21" s="31" t="str">
        <f t="shared" si="5"/>
        <v>LogRuleEvaluation,0,</v>
      </c>
      <c r="AQ21" s="31" t="str">
        <f t="shared" si="5"/>
        <v>ParallelSimulations,1,</v>
      </c>
      <c r="AR21" s="31" t="str">
        <f t="shared" si="5"/>
        <v>DurationStats,0,</v>
      </c>
      <c r="AS21" s="31" t="str">
        <f t="shared" si="5"/>
        <v>AnalysisThruStep,11,</v>
      </c>
      <c r="AT21" s="31" t="str">
        <f t="shared" si="5"/>
        <v>DontAbortOnErrorsThruStep,11,</v>
      </c>
      <c r="AU21" s="31" t="str">
        <f t="shared" si="5"/>
        <v>BypassValidFileChecks,1,</v>
      </c>
      <c r="AV21" s="31" t="str">
        <f t="shared" si="5"/>
        <v>BypassInputChecks,0,</v>
      </c>
      <c r="AW21" s="31" t="str">
        <f t="shared" si="5"/>
        <v>BypassUMLHChecks,0,</v>
      </c>
      <c r="AX21" s="31" t="str">
        <f t="shared" si="5"/>
        <v>BypassCheckSimRules,0,</v>
      </c>
      <c r="AY21" s="31" t="str">
        <f t="shared" si="5"/>
        <v>BypassCheckCodeRules,0,</v>
      </c>
      <c r="BA21" s="31" t="str">
        <f t="shared" si="5"/>
        <v>StoreBEMDetails,1,</v>
      </c>
      <c r="BB21" s="31" t="str">
        <f t="shared" si="5"/>
        <v>ModelRpt_ALL,1,</v>
      </c>
      <c r="BC21" s="31" t="str">
        <f t="shared" si="5"/>
        <v>BypassOpenStudio_all,0,</v>
      </c>
      <c r="BD21" s="31" t="str">
        <f t="shared" si="6"/>
        <v>BypassOpenStudio_zp,0,</v>
      </c>
      <c r="BE21" s="31" t="str">
        <f t="shared" si="6"/>
        <v>BypassOpenStudio_zb,0,</v>
      </c>
      <c r="BF21" s="31" t="str">
        <f t="shared" si="6"/>
        <v>BypassOpenStudio_ap,0,</v>
      </c>
      <c r="BG21" s="31" t="str">
        <f t="shared" si="6"/>
        <v>BypassOpenStudio_ab,0,</v>
      </c>
      <c r="BH21" s="31" t="str">
        <f t="shared" si="6"/>
        <v>BypassOpenStudio_zp,0,</v>
      </c>
      <c r="BI21" s="31" t="str">
        <f t="shared" si="6"/>
        <v>BypassOpenStudio_zb,0,</v>
      </c>
      <c r="BJ21" s="31" t="str">
        <f t="shared" si="6"/>
        <v>BypassOpenStudio_ap,0,</v>
      </c>
      <c r="BK21" s="31" t="str">
        <f t="shared" si="20"/>
        <v>BypassOpenStudio_ab,0</v>
      </c>
    </row>
    <row r="22" spans="1:67" x14ac:dyDescent="0.25">
      <c r="A22" s="39">
        <f t="shared" si="7"/>
        <v>0</v>
      </c>
      <c r="B22" s="27" t="str">
        <f t="shared" si="8"/>
        <v>Standard901Tests\.cibd</v>
      </c>
      <c r="C22" s="27" t="str">
        <f t="shared" si="4"/>
        <v>BatchOut_141103_r2722_T24Std\0.cibd</v>
      </c>
      <c r="D22" s="27" t="str">
        <f t="shared" si="9"/>
        <v>BatchOut_141103_r2722_T24Std\XML\</v>
      </c>
      <c r="E22" s="9" t="str">
        <f t="shared" si="10"/>
        <v>-S901G</v>
      </c>
      <c r="F22" s="22"/>
      <c r="G22" s="29"/>
      <c r="H22" s="23"/>
      <c r="I22" s="9" t="s">
        <v>11</v>
      </c>
      <c r="J22"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2" s="15" t="s">
        <v>1</v>
      </c>
      <c r="L22" s="36">
        <f t="shared" si="18"/>
        <v>0</v>
      </c>
      <c r="M22" s="32" t="str">
        <f t="shared" si="12"/>
        <v>-S901G</v>
      </c>
      <c r="N22" s="28"/>
      <c r="O22" s="57">
        <f t="shared" si="13"/>
        <v>0</v>
      </c>
      <c r="P22" s="63">
        <f t="shared" si="19"/>
        <v>2</v>
      </c>
      <c r="Q22" s="65">
        <f t="shared" si="19"/>
        <v>1</v>
      </c>
      <c r="R22" s="65">
        <f t="shared" si="19"/>
        <v>0</v>
      </c>
      <c r="S22" s="65">
        <f t="shared" si="19"/>
        <v>1</v>
      </c>
      <c r="T22" s="65">
        <f t="shared" si="19"/>
        <v>0</v>
      </c>
      <c r="U22" s="65">
        <f t="shared" si="19"/>
        <v>11</v>
      </c>
      <c r="V22" s="65">
        <f t="shared" si="19"/>
        <v>11</v>
      </c>
      <c r="W22" s="65">
        <f t="shared" si="19"/>
        <v>1</v>
      </c>
      <c r="X22" s="65">
        <f t="shared" si="19"/>
        <v>0</v>
      </c>
      <c r="Y22" s="65">
        <f t="shared" si="19"/>
        <v>0</v>
      </c>
      <c r="Z22" s="65">
        <f t="shared" si="19"/>
        <v>0</v>
      </c>
      <c r="AA22" s="65">
        <f t="shared" si="19"/>
        <v>0</v>
      </c>
      <c r="AB22" s="65">
        <f t="shared" si="19"/>
        <v>1</v>
      </c>
      <c r="AC22" s="65">
        <f t="shared" si="15"/>
        <v>1</v>
      </c>
      <c r="AD22" s="65">
        <f t="shared" si="15"/>
        <v>1</v>
      </c>
      <c r="AE22" s="63">
        <f t="shared" si="15"/>
        <v>0</v>
      </c>
      <c r="AF22" s="64">
        <f t="shared" si="15"/>
        <v>0</v>
      </c>
      <c r="AG22" s="64">
        <f t="shared" si="15"/>
        <v>0</v>
      </c>
      <c r="AH22" s="64">
        <f t="shared" si="15"/>
        <v>0</v>
      </c>
      <c r="AI22" s="66">
        <f t="shared" si="16"/>
        <v>0</v>
      </c>
      <c r="AJ22" s="63">
        <f t="shared" si="16"/>
        <v>0</v>
      </c>
      <c r="AK22" s="64">
        <f t="shared" si="16"/>
        <v>0</v>
      </c>
      <c r="AL22" s="65">
        <f t="shared" si="16"/>
        <v>0</v>
      </c>
      <c r="AM22" s="66">
        <f t="shared" si="16"/>
        <v>0</v>
      </c>
      <c r="AN22" s="31" t="str">
        <f t="shared" si="5"/>
        <v>SimulationStorage,2,</v>
      </c>
      <c r="AO22" s="31" t="str">
        <f t="shared" si="5"/>
        <v>AnalysisStorage,1,</v>
      </c>
      <c r="AP22" s="31" t="str">
        <f t="shared" si="5"/>
        <v>LogRuleEvaluation,0,</v>
      </c>
      <c r="AQ22" s="31" t="str">
        <f t="shared" si="5"/>
        <v>ParallelSimulations,1,</v>
      </c>
      <c r="AR22" s="31" t="str">
        <f t="shared" si="5"/>
        <v>DurationStats,0,</v>
      </c>
      <c r="AS22" s="31" t="str">
        <f t="shared" si="5"/>
        <v>AnalysisThruStep,11,</v>
      </c>
      <c r="AT22" s="31" t="str">
        <f t="shared" si="5"/>
        <v>DontAbortOnErrorsThruStep,11,</v>
      </c>
      <c r="AU22" s="31" t="str">
        <f t="shared" si="5"/>
        <v>BypassValidFileChecks,1,</v>
      </c>
      <c r="AV22" s="31" t="str">
        <f t="shared" si="5"/>
        <v>BypassInputChecks,0,</v>
      </c>
      <c r="AW22" s="31" t="str">
        <f t="shared" si="5"/>
        <v>BypassUMLHChecks,0,</v>
      </c>
      <c r="AX22" s="31" t="str">
        <f t="shared" si="5"/>
        <v>BypassCheckSimRules,0,</v>
      </c>
      <c r="AY22" s="31" t="str">
        <f t="shared" si="5"/>
        <v>BypassCheckCodeRules,0,</v>
      </c>
      <c r="BA22" s="31" t="str">
        <f t="shared" si="5"/>
        <v>StoreBEMDetails,1,</v>
      </c>
      <c r="BB22" s="31" t="str">
        <f t="shared" si="5"/>
        <v>ModelRpt_ALL,1,</v>
      </c>
      <c r="BC22" s="31" t="str">
        <f t="shared" si="5"/>
        <v>BypassOpenStudio_all,0,</v>
      </c>
      <c r="BD22" s="31" t="str">
        <f t="shared" si="6"/>
        <v>BypassOpenStudio_zp,0,</v>
      </c>
      <c r="BE22" s="31" t="str">
        <f t="shared" si="6"/>
        <v>BypassOpenStudio_zb,0,</v>
      </c>
      <c r="BF22" s="31" t="str">
        <f t="shared" si="6"/>
        <v>BypassOpenStudio_ap,0,</v>
      </c>
      <c r="BG22" s="31" t="str">
        <f t="shared" si="6"/>
        <v>BypassOpenStudio_ab,0,</v>
      </c>
      <c r="BH22" s="31" t="str">
        <f t="shared" si="6"/>
        <v>BypassOpenStudio_zp,0,</v>
      </c>
      <c r="BI22" s="31" t="str">
        <f t="shared" si="6"/>
        <v>BypassOpenStudio_zb,0,</v>
      </c>
      <c r="BJ22" s="31" t="str">
        <f t="shared" si="6"/>
        <v>BypassOpenStudio_ap,0,</v>
      </c>
      <c r="BK22" s="31" t="str">
        <f t="shared" si="20"/>
        <v>BypassOpenStudio_ab,0</v>
      </c>
    </row>
    <row r="23" spans="1:67" x14ac:dyDescent="0.25">
      <c r="A23" s="39">
        <f t="shared" si="7"/>
        <v>0</v>
      </c>
      <c r="B23" s="27" t="str">
        <f t="shared" si="8"/>
        <v>Standard901Tests\.cibd</v>
      </c>
      <c r="C23" s="27" t="str">
        <f t="shared" si="4"/>
        <v>BatchOut_141103_r2722_T24Std\0.cibd</v>
      </c>
      <c r="D23" s="27" t="str">
        <f t="shared" si="9"/>
        <v>BatchOut_141103_r2722_T24Std\XML\</v>
      </c>
      <c r="E23" s="9" t="str">
        <f t="shared" si="10"/>
        <v>-S901G</v>
      </c>
      <c r="F23" s="22"/>
      <c r="G23" s="29"/>
      <c r="H23" s="23"/>
      <c r="I23" s="9" t="s">
        <v>11</v>
      </c>
      <c r="J23"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3" s="15" t="s">
        <v>1</v>
      </c>
      <c r="L23" s="36">
        <f t="shared" si="18"/>
        <v>0</v>
      </c>
      <c r="M23" s="32" t="str">
        <f t="shared" si="12"/>
        <v>-S901G</v>
      </c>
      <c r="N23" s="28"/>
      <c r="O23" s="57">
        <f t="shared" si="13"/>
        <v>0</v>
      </c>
      <c r="P23" s="63">
        <f t="shared" si="19"/>
        <v>2</v>
      </c>
      <c r="Q23" s="65">
        <f t="shared" si="19"/>
        <v>1</v>
      </c>
      <c r="R23" s="65">
        <f t="shared" si="19"/>
        <v>0</v>
      </c>
      <c r="S23" s="65">
        <f t="shared" si="19"/>
        <v>1</v>
      </c>
      <c r="T23" s="65">
        <f t="shared" si="19"/>
        <v>0</v>
      </c>
      <c r="U23" s="65">
        <f t="shared" si="19"/>
        <v>11</v>
      </c>
      <c r="V23" s="65">
        <f t="shared" si="19"/>
        <v>11</v>
      </c>
      <c r="W23" s="65">
        <f t="shared" si="19"/>
        <v>1</v>
      </c>
      <c r="X23" s="65">
        <f t="shared" si="19"/>
        <v>0</v>
      </c>
      <c r="Y23" s="65">
        <f t="shared" si="19"/>
        <v>0</v>
      </c>
      <c r="Z23" s="65">
        <f t="shared" si="19"/>
        <v>0</v>
      </c>
      <c r="AA23" s="65">
        <f t="shared" si="19"/>
        <v>0</v>
      </c>
      <c r="AB23" s="65">
        <f t="shared" si="19"/>
        <v>1</v>
      </c>
      <c r="AC23" s="65">
        <f t="shared" si="15"/>
        <v>1</v>
      </c>
      <c r="AD23" s="65">
        <f t="shared" si="15"/>
        <v>1</v>
      </c>
      <c r="AE23" s="63">
        <f t="shared" si="15"/>
        <v>0</v>
      </c>
      <c r="AF23" s="64">
        <f t="shared" si="15"/>
        <v>0</v>
      </c>
      <c r="AG23" s="64">
        <f t="shared" si="15"/>
        <v>0</v>
      </c>
      <c r="AH23" s="64">
        <f t="shared" si="15"/>
        <v>0</v>
      </c>
      <c r="AI23" s="66">
        <f t="shared" si="16"/>
        <v>0</v>
      </c>
      <c r="AJ23" s="63">
        <f t="shared" si="16"/>
        <v>0</v>
      </c>
      <c r="AK23" s="64">
        <f t="shared" si="16"/>
        <v>0</v>
      </c>
      <c r="AL23" s="65">
        <f t="shared" si="16"/>
        <v>0</v>
      </c>
      <c r="AM23" s="66">
        <f t="shared" si="16"/>
        <v>0</v>
      </c>
      <c r="AN23" s="31" t="str">
        <f t="shared" si="5"/>
        <v>SimulationStorage,2,</v>
      </c>
      <c r="AO23" s="31" t="str">
        <f t="shared" si="5"/>
        <v>AnalysisStorage,1,</v>
      </c>
      <c r="AP23" s="31" t="str">
        <f t="shared" si="5"/>
        <v>LogRuleEvaluation,0,</v>
      </c>
      <c r="AQ23" s="31" t="str">
        <f t="shared" si="5"/>
        <v>ParallelSimulations,1,</v>
      </c>
      <c r="AR23" s="31" t="str">
        <f t="shared" si="5"/>
        <v>DurationStats,0,</v>
      </c>
      <c r="AS23" s="31" t="str">
        <f t="shared" si="5"/>
        <v>AnalysisThruStep,11,</v>
      </c>
      <c r="AT23" s="31" t="str">
        <f t="shared" si="5"/>
        <v>DontAbortOnErrorsThruStep,11,</v>
      </c>
      <c r="AU23" s="31" t="str">
        <f t="shared" si="5"/>
        <v>BypassValidFileChecks,1,</v>
      </c>
      <c r="AV23" s="31" t="str">
        <f t="shared" si="5"/>
        <v>BypassInputChecks,0,</v>
      </c>
      <c r="AW23" s="31" t="str">
        <f t="shared" si="5"/>
        <v>BypassUMLHChecks,0,</v>
      </c>
      <c r="AX23" s="31" t="str">
        <f t="shared" si="5"/>
        <v>BypassCheckSimRules,0,</v>
      </c>
      <c r="AY23" s="31" t="str">
        <f t="shared" si="5"/>
        <v>BypassCheckCodeRules,0,</v>
      </c>
      <c r="BA23" s="31" t="str">
        <f t="shared" si="5"/>
        <v>StoreBEMDetails,1,</v>
      </c>
      <c r="BB23" s="31" t="str">
        <f t="shared" si="5"/>
        <v>ModelRpt_ALL,1,</v>
      </c>
      <c r="BC23" s="31" t="str">
        <f t="shared" si="5"/>
        <v>BypassOpenStudio_all,0,</v>
      </c>
      <c r="BD23" s="31" t="str">
        <f t="shared" si="6"/>
        <v>BypassOpenStudio_zp,0,</v>
      </c>
      <c r="BE23" s="31" t="str">
        <f t="shared" si="6"/>
        <v>BypassOpenStudio_zb,0,</v>
      </c>
      <c r="BF23" s="31" t="str">
        <f t="shared" si="6"/>
        <v>BypassOpenStudio_ap,0,</v>
      </c>
      <c r="BG23" s="31" t="str">
        <f t="shared" si="6"/>
        <v>BypassOpenStudio_ab,0,</v>
      </c>
      <c r="BH23" s="31" t="str">
        <f t="shared" si="6"/>
        <v>BypassOpenStudio_zp,0,</v>
      </c>
      <c r="BI23" s="31" t="str">
        <f t="shared" si="6"/>
        <v>BypassOpenStudio_zb,0,</v>
      </c>
      <c r="BJ23" s="31" t="str">
        <f t="shared" si="6"/>
        <v>BypassOpenStudio_ap,0,</v>
      </c>
      <c r="BK23" s="31" t="str">
        <f t="shared" si="20"/>
        <v>BypassOpenStudio_ab,0</v>
      </c>
    </row>
    <row r="24" spans="1:67" x14ac:dyDescent="0.25">
      <c r="A24" s="39">
        <f t="shared" si="7"/>
        <v>0</v>
      </c>
      <c r="B24" s="27" t="str">
        <f t="shared" si="8"/>
        <v>Standard901Tests\.cibd</v>
      </c>
      <c r="C24" s="27" t="str">
        <f t="shared" si="4"/>
        <v>BatchOut_141103_r2722_T24Std\0.cibd</v>
      </c>
      <c r="D24" s="27" t="str">
        <f t="shared" si="9"/>
        <v>BatchOut_141103_r2722_T24Std\XML\</v>
      </c>
      <c r="E24" s="9" t="str">
        <f t="shared" si="10"/>
        <v>-S901G</v>
      </c>
      <c r="F24" s="22"/>
      <c r="G24" s="29"/>
      <c r="H24" s="23"/>
      <c r="I24" s="9" t="s">
        <v>11</v>
      </c>
      <c r="J24"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4" s="15" t="s">
        <v>1</v>
      </c>
      <c r="L24" s="36">
        <f t="shared" si="18"/>
        <v>0</v>
      </c>
      <c r="M24" s="32" t="str">
        <f t="shared" si="12"/>
        <v>-S901G</v>
      </c>
      <c r="N24" s="28"/>
      <c r="O24" s="57">
        <f t="shared" si="13"/>
        <v>0</v>
      </c>
      <c r="P24" s="63">
        <f t="shared" si="19"/>
        <v>2</v>
      </c>
      <c r="Q24" s="65">
        <f t="shared" si="19"/>
        <v>1</v>
      </c>
      <c r="R24" s="65">
        <f t="shared" si="19"/>
        <v>0</v>
      </c>
      <c r="S24" s="65">
        <f t="shared" si="19"/>
        <v>1</v>
      </c>
      <c r="T24" s="65">
        <f t="shared" si="19"/>
        <v>0</v>
      </c>
      <c r="U24" s="65">
        <f t="shared" si="19"/>
        <v>11</v>
      </c>
      <c r="V24" s="65">
        <f t="shared" si="19"/>
        <v>11</v>
      </c>
      <c r="W24" s="65">
        <f t="shared" si="19"/>
        <v>1</v>
      </c>
      <c r="X24" s="65">
        <f t="shared" si="19"/>
        <v>0</v>
      </c>
      <c r="Y24" s="65">
        <f t="shared" si="19"/>
        <v>0</v>
      </c>
      <c r="Z24" s="65">
        <f t="shared" si="19"/>
        <v>0</v>
      </c>
      <c r="AA24" s="65">
        <f t="shared" si="19"/>
        <v>0</v>
      </c>
      <c r="AB24" s="65">
        <f t="shared" si="19"/>
        <v>1</v>
      </c>
      <c r="AC24" s="65">
        <f t="shared" si="15"/>
        <v>1</v>
      </c>
      <c r="AD24" s="65">
        <f t="shared" si="15"/>
        <v>1</v>
      </c>
      <c r="AE24" s="63">
        <f t="shared" si="15"/>
        <v>0</v>
      </c>
      <c r="AF24" s="64">
        <f t="shared" si="15"/>
        <v>0</v>
      </c>
      <c r="AG24" s="64">
        <f t="shared" si="15"/>
        <v>0</v>
      </c>
      <c r="AH24" s="64">
        <f t="shared" si="15"/>
        <v>0</v>
      </c>
      <c r="AI24" s="66">
        <f t="shared" si="16"/>
        <v>0</v>
      </c>
      <c r="AJ24" s="63">
        <f t="shared" si="16"/>
        <v>0</v>
      </c>
      <c r="AK24" s="64">
        <f t="shared" si="16"/>
        <v>0</v>
      </c>
      <c r="AL24" s="65">
        <f t="shared" si="16"/>
        <v>0</v>
      </c>
      <c r="AM24" s="66">
        <f t="shared" si="16"/>
        <v>0</v>
      </c>
      <c r="AN24" s="31" t="str">
        <f t="shared" si="5"/>
        <v>SimulationStorage,2,</v>
      </c>
      <c r="AO24" s="31" t="str">
        <f t="shared" si="5"/>
        <v>AnalysisStorage,1,</v>
      </c>
      <c r="AP24" s="31" t="str">
        <f t="shared" si="5"/>
        <v>LogRuleEvaluation,0,</v>
      </c>
      <c r="AQ24" s="31" t="str">
        <f t="shared" si="5"/>
        <v>ParallelSimulations,1,</v>
      </c>
      <c r="AR24" s="31" t="str">
        <f t="shared" si="5"/>
        <v>DurationStats,0,</v>
      </c>
      <c r="AS24" s="31" t="str">
        <f t="shared" si="5"/>
        <v>AnalysisThruStep,11,</v>
      </c>
      <c r="AT24" s="31" t="str">
        <f t="shared" si="5"/>
        <v>DontAbortOnErrorsThruStep,11,</v>
      </c>
      <c r="AU24" s="31" t="str">
        <f t="shared" si="5"/>
        <v>BypassValidFileChecks,1,</v>
      </c>
      <c r="AV24" s="31" t="str">
        <f t="shared" si="5"/>
        <v>BypassInputChecks,0,</v>
      </c>
      <c r="AW24" s="31" t="str">
        <f t="shared" si="5"/>
        <v>BypassUMLHChecks,0,</v>
      </c>
      <c r="AX24" s="31" t="str">
        <f t="shared" si="5"/>
        <v>BypassCheckSimRules,0,</v>
      </c>
      <c r="AY24" s="31" t="str">
        <f t="shared" si="5"/>
        <v>BypassCheckCodeRules,0,</v>
      </c>
      <c r="BA24" s="31" t="str">
        <f t="shared" si="5"/>
        <v>StoreBEMDetails,1,</v>
      </c>
      <c r="BB24" s="31" t="str">
        <f t="shared" si="5"/>
        <v>ModelRpt_ALL,1,</v>
      </c>
      <c r="BC24" s="31" t="str">
        <f t="shared" si="5"/>
        <v>BypassOpenStudio_all,0,</v>
      </c>
      <c r="BD24" s="31" t="str">
        <f t="shared" si="6"/>
        <v>BypassOpenStudio_zp,0,</v>
      </c>
      <c r="BE24" s="31" t="str">
        <f t="shared" si="6"/>
        <v>BypassOpenStudio_zb,0,</v>
      </c>
      <c r="BF24" s="31" t="str">
        <f t="shared" si="6"/>
        <v>BypassOpenStudio_ap,0,</v>
      </c>
      <c r="BG24" s="31" t="str">
        <f t="shared" si="6"/>
        <v>BypassOpenStudio_ab,0,</v>
      </c>
      <c r="BH24" s="31" t="str">
        <f t="shared" si="6"/>
        <v>BypassOpenStudio_zp,0,</v>
      </c>
      <c r="BI24" s="31" t="str">
        <f t="shared" si="6"/>
        <v>BypassOpenStudio_zb,0,</v>
      </c>
      <c r="BJ24" s="31" t="str">
        <f t="shared" si="6"/>
        <v>BypassOpenStudio_ap,0,</v>
      </c>
      <c r="BK24" s="31" t="str">
        <f t="shared" si="20"/>
        <v>BypassOpenStudio_ab,0</v>
      </c>
    </row>
    <row r="25" spans="1:67" x14ac:dyDescent="0.25">
      <c r="A25" s="39">
        <f t="shared" si="7"/>
        <v>0</v>
      </c>
      <c r="B25" s="27" t="str">
        <f t="shared" si="8"/>
        <v>Standard901Tests\.cibd</v>
      </c>
      <c r="C25" s="27" t="str">
        <f t="shared" si="4"/>
        <v>BatchOut_141103_r2722_T24Std\0.cibd</v>
      </c>
      <c r="D25" s="27" t="str">
        <f t="shared" si="9"/>
        <v>BatchOut_141103_r2722_T24Std\XML\</v>
      </c>
      <c r="E25" s="9" t="str">
        <f t="shared" si="10"/>
        <v>-S901G</v>
      </c>
      <c r="F25" s="22"/>
      <c r="G25" s="29"/>
      <c r="H25" s="23"/>
      <c r="I25" s="9" t="s">
        <v>11</v>
      </c>
      <c r="J25"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5" s="15" t="s">
        <v>1</v>
      </c>
      <c r="L25" s="36">
        <f t="shared" si="18"/>
        <v>0</v>
      </c>
      <c r="M25" s="32" t="str">
        <f t="shared" si="12"/>
        <v>-S901G</v>
      </c>
      <c r="N25" s="28"/>
      <c r="O25" s="57">
        <f t="shared" si="13"/>
        <v>0</v>
      </c>
      <c r="P25" s="63">
        <f t="shared" si="19"/>
        <v>2</v>
      </c>
      <c r="Q25" s="65">
        <f t="shared" si="19"/>
        <v>1</v>
      </c>
      <c r="R25" s="65">
        <f t="shared" si="19"/>
        <v>0</v>
      </c>
      <c r="S25" s="65">
        <f t="shared" si="19"/>
        <v>1</v>
      </c>
      <c r="T25" s="65">
        <f t="shared" si="19"/>
        <v>0</v>
      </c>
      <c r="U25" s="65">
        <f t="shared" si="19"/>
        <v>11</v>
      </c>
      <c r="V25" s="65">
        <f t="shared" si="19"/>
        <v>11</v>
      </c>
      <c r="W25" s="65">
        <f t="shared" si="19"/>
        <v>1</v>
      </c>
      <c r="X25" s="65">
        <f t="shared" si="19"/>
        <v>0</v>
      </c>
      <c r="Y25" s="65">
        <f t="shared" si="19"/>
        <v>0</v>
      </c>
      <c r="Z25" s="65">
        <f t="shared" si="19"/>
        <v>0</v>
      </c>
      <c r="AA25" s="65">
        <f t="shared" si="19"/>
        <v>0</v>
      </c>
      <c r="AB25" s="65">
        <f t="shared" si="19"/>
        <v>1</v>
      </c>
      <c r="AC25" s="65">
        <f t="shared" si="15"/>
        <v>1</v>
      </c>
      <c r="AD25" s="65">
        <f t="shared" si="15"/>
        <v>1</v>
      </c>
      <c r="AE25" s="63">
        <f t="shared" si="15"/>
        <v>0</v>
      </c>
      <c r="AF25" s="64">
        <f t="shared" si="15"/>
        <v>0</v>
      </c>
      <c r="AG25" s="64">
        <f t="shared" si="15"/>
        <v>0</v>
      </c>
      <c r="AH25" s="64">
        <f t="shared" si="15"/>
        <v>0</v>
      </c>
      <c r="AI25" s="66">
        <f t="shared" si="16"/>
        <v>0</v>
      </c>
      <c r="AJ25" s="63">
        <f t="shared" si="16"/>
        <v>0</v>
      </c>
      <c r="AK25" s="64">
        <f t="shared" si="16"/>
        <v>0</v>
      </c>
      <c r="AL25" s="65">
        <f t="shared" si="16"/>
        <v>0</v>
      </c>
      <c r="AM25" s="66">
        <f t="shared" si="16"/>
        <v>0</v>
      </c>
      <c r="AN25" s="31" t="str">
        <f t="shared" si="5"/>
        <v>SimulationStorage,2,</v>
      </c>
      <c r="AO25" s="31" t="str">
        <f t="shared" si="5"/>
        <v>AnalysisStorage,1,</v>
      </c>
      <c r="AP25" s="31" t="str">
        <f t="shared" si="5"/>
        <v>LogRuleEvaluation,0,</v>
      </c>
      <c r="AQ25" s="31" t="str">
        <f t="shared" si="5"/>
        <v>ParallelSimulations,1,</v>
      </c>
      <c r="AR25" s="31" t="str">
        <f t="shared" si="5"/>
        <v>DurationStats,0,</v>
      </c>
      <c r="AS25" s="31" t="str">
        <f t="shared" si="5"/>
        <v>AnalysisThruStep,11,</v>
      </c>
      <c r="AT25" s="31" t="str">
        <f t="shared" si="5"/>
        <v>DontAbortOnErrorsThruStep,11,</v>
      </c>
      <c r="AU25" s="31" t="str">
        <f t="shared" si="5"/>
        <v>BypassValidFileChecks,1,</v>
      </c>
      <c r="AV25" s="31" t="str">
        <f t="shared" si="5"/>
        <v>BypassInputChecks,0,</v>
      </c>
      <c r="AW25" s="31" t="str">
        <f t="shared" si="5"/>
        <v>BypassUMLHChecks,0,</v>
      </c>
      <c r="AX25" s="31" t="str">
        <f t="shared" si="5"/>
        <v>BypassCheckSimRules,0,</v>
      </c>
      <c r="AY25" s="31" t="str">
        <f t="shared" si="5"/>
        <v>BypassCheckCodeRules,0,</v>
      </c>
      <c r="BA25" s="31" t="str">
        <f t="shared" si="5"/>
        <v>StoreBEMDetails,1,</v>
      </c>
      <c r="BB25" s="31" t="str">
        <f t="shared" si="5"/>
        <v>ModelRpt_ALL,1,</v>
      </c>
      <c r="BC25" s="31" t="str">
        <f t="shared" si="5"/>
        <v>BypassOpenStudio_all,0,</v>
      </c>
      <c r="BD25" s="31" t="str">
        <f t="shared" si="6"/>
        <v>BypassOpenStudio_zp,0,</v>
      </c>
      <c r="BE25" s="31" t="str">
        <f t="shared" si="6"/>
        <v>BypassOpenStudio_zb,0,</v>
      </c>
      <c r="BF25" s="31" t="str">
        <f t="shared" si="6"/>
        <v>BypassOpenStudio_ap,0,</v>
      </c>
      <c r="BG25" s="31" t="str">
        <f t="shared" si="6"/>
        <v>BypassOpenStudio_ab,0,</v>
      </c>
      <c r="BH25" s="31" t="str">
        <f t="shared" si="6"/>
        <v>BypassOpenStudio_zp,0,</v>
      </c>
      <c r="BI25" s="31" t="str">
        <f t="shared" si="6"/>
        <v>BypassOpenStudio_zb,0,</v>
      </c>
      <c r="BJ25" s="31" t="str">
        <f t="shared" si="6"/>
        <v>BypassOpenStudio_ap,0,</v>
      </c>
      <c r="BK25" s="31" t="str">
        <f t="shared" si="20"/>
        <v>BypassOpenStudio_ab,0</v>
      </c>
    </row>
    <row r="26" spans="1:67" x14ac:dyDescent="0.25">
      <c r="A26" s="39">
        <f t="shared" si="7"/>
        <v>0</v>
      </c>
      <c r="B26" s="27" t="str">
        <f t="shared" si="8"/>
        <v>Standard901Tests\.cibd</v>
      </c>
      <c r="C26" s="27" t="str">
        <f t="shared" si="4"/>
        <v>BatchOut_141103_r2722_T24Std\0.cibd</v>
      </c>
      <c r="D26" s="27" t="str">
        <f t="shared" si="9"/>
        <v>BatchOut_141103_r2722_T24Std\XML\</v>
      </c>
      <c r="E26" s="9" t="str">
        <f t="shared" si="10"/>
        <v>-S901G</v>
      </c>
      <c r="F26" s="22"/>
      <c r="G26" s="29"/>
      <c r="H26" s="23"/>
      <c r="I26" s="9" t="s">
        <v>11</v>
      </c>
      <c r="J26"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6" s="15" t="s">
        <v>1</v>
      </c>
      <c r="L26" s="36">
        <v>0</v>
      </c>
      <c r="M26" s="32" t="str">
        <f t="shared" si="12"/>
        <v>-S901G</v>
      </c>
      <c r="N26" s="28"/>
      <c r="O26" s="57">
        <f t="shared" si="13"/>
        <v>0</v>
      </c>
      <c r="P26" s="63">
        <f t="shared" si="19"/>
        <v>2</v>
      </c>
      <c r="Q26" s="65">
        <f t="shared" si="19"/>
        <v>1</v>
      </c>
      <c r="R26" s="65">
        <f t="shared" si="19"/>
        <v>0</v>
      </c>
      <c r="S26" s="65">
        <f t="shared" si="19"/>
        <v>1</v>
      </c>
      <c r="T26" s="65">
        <f t="shared" si="19"/>
        <v>0</v>
      </c>
      <c r="U26" s="65">
        <f t="shared" si="19"/>
        <v>11</v>
      </c>
      <c r="V26" s="65">
        <f t="shared" si="19"/>
        <v>11</v>
      </c>
      <c r="W26" s="65">
        <f t="shared" si="19"/>
        <v>1</v>
      </c>
      <c r="X26" s="65">
        <f t="shared" si="19"/>
        <v>0</v>
      </c>
      <c r="Y26" s="65">
        <f t="shared" si="19"/>
        <v>0</v>
      </c>
      <c r="Z26" s="65">
        <f t="shared" si="19"/>
        <v>0</v>
      </c>
      <c r="AA26" s="65">
        <f t="shared" si="19"/>
        <v>0</v>
      </c>
      <c r="AB26" s="65">
        <f t="shared" si="19"/>
        <v>1</v>
      </c>
      <c r="AC26" s="65">
        <f t="shared" si="15"/>
        <v>1</v>
      </c>
      <c r="AD26" s="65">
        <f t="shared" si="15"/>
        <v>1</v>
      </c>
      <c r="AE26" s="63">
        <f t="shared" si="15"/>
        <v>0</v>
      </c>
      <c r="AF26" s="64">
        <f t="shared" si="15"/>
        <v>0</v>
      </c>
      <c r="AG26" s="64">
        <f t="shared" si="15"/>
        <v>0</v>
      </c>
      <c r="AH26" s="64">
        <f t="shared" si="15"/>
        <v>0</v>
      </c>
      <c r="AI26" s="66">
        <f t="shared" si="16"/>
        <v>0</v>
      </c>
      <c r="AJ26" s="63">
        <f t="shared" si="16"/>
        <v>0</v>
      </c>
      <c r="AK26" s="64">
        <f t="shared" si="16"/>
        <v>0</v>
      </c>
      <c r="AL26" s="65">
        <f t="shared" si="16"/>
        <v>0</v>
      </c>
      <c r="AM26" s="66">
        <f t="shared" si="16"/>
        <v>0</v>
      </c>
      <c r="AN26" s="31" t="str">
        <f t="shared" si="5"/>
        <v>SimulationStorage,2,</v>
      </c>
      <c r="AO26" s="31" t="str">
        <f t="shared" si="5"/>
        <v>AnalysisStorage,1,</v>
      </c>
      <c r="AP26" s="31" t="str">
        <f t="shared" si="5"/>
        <v>LogRuleEvaluation,0,</v>
      </c>
      <c r="AQ26" s="31" t="str">
        <f t="shared" si="5"/>
        <v>ParallelSimulations,1,</v>
      </c>
      <c r="AR26" s="31" t="str">
        <f t="shared" si="5"/>
        <v>DurationStats,0,</v>
      </c>
      <c r="AS26" s="31" t="str">
        <f t="shared" si="5"/>
        <v>AnalysisThruStep,11,</v>
      </c>
      <c r="AT26" s="31" t="str">
        <f t="shared" si="5"/>
        <v>DontAbortOnErrorsThruStep,11,</v>
      </c>
      <c r="AU26" s="31" t="str">
        <f t="shared" si="5"/>
        <v>BypassValidFileChecks,1,</v>
      </c>
      <c r="AV26" s="31" t="str">
        <f t="shared" si="5"/>
        <v>BypassInputChecks,0,</v>
      </c>
      <c r="AW26" s="31" t="str">
        <f t="shared" si="5"/>
        <v>BypassUMLHChecks,0,</v>
      </c>
      <c r="AX26" s="31" t="str">
        <f t="shared" si="5"/>
        <v>BypassCheckSimRules,0,</v>
      </c>
      <c r="AY26" s="31" t="str">
        <f t="shared" si="5"/>
        <v>BypassCheckCodeRules,0,</v>
      </c>
      <c r="BA26" s="31" t="str">
        <f t="shared" si="5"/>
        <v>StoreBEMDetails,1,</v>
      </c>
      <c r="BB26" s="31" t="str">
        <f t="shared" si="5"/>
        <v>ModelRpt_ALL,1,</v>
      </c>
      <c r="BC26" s="31" t="str">
        <f t="shared" si="5"/>
        <v>BypassOpenStudio_all,0,</v>
      </c>
      <c r="BD26" s="31" t="str">
        <f t="shared" si="6"/>
        <v>BypassOpenStudio_zp,0,</v>
      </c>
      <c r="BE26" s="31" t="str">
        <f t="shared" si="6"/>
        <v>BypassOpenStudio_zb,0,</v>
      </c>
      <c r="BF26" s="31" t="str">
        <f t="shared" si="6"/>
        <v>BypassOpenStudio_ap,0,</v>
      </c>
      <c r="BG26" s="31" t="str">
        <f t="shared" si="6"/>
        <v>BypassOpenStudio_ab,0,</v>
      </c>
      <c r="BH26" s="31" t="str">
        <f t="shared" si="6"/>
        <v>BypassOpenStudio_zp,0,</v>
      </c>
      <c r="BI26" s="31" t="str">
        <f t="shared" si="6"/>
        <v>BypassOpenStudio_zb,0,</v>
      </c>
      <c r="BJ26" s="31" t="str">
        <f t="shared" si="6"/>
        <v>BypassOpenStudio_ap,0,</v>
      </c>
      <c r="BK26" s="31" t="str">
        <f t="shared" si="20"/>
        <v>BypassOpenStudio_ab,0</v>
      </c>
    </row>
    <row r="27" spans="1:67" x14ac:dyDescent="0.25">
      <c r="A27" s="39">
        <f t="shared" si="7"/>
        <v>0</v>
      </c>
      <c r="B27" s="27" t="str">
        <f t="shared" si="8"/>
        <v>Standard901Tests\.cibd</v>
      </c>
      <c r="C27" s="27" t="str">
        <f t="shared" si="4"/>
        <v>BatchOut_141103_r2722_T24Std\0.cibd</v>
      </c>
      <c r="D27" s="27" t="str">
        <f t="shared" si="9"/>
        <v>BatchOut_141103_r2722_T24Std\XML\</v>
      </c>
      <c r="E27" s="9" t="str">
        <f t="shared" si="10"/>
        <v>-S901G</v>
      </c>
      <c r="F27" s="22"/>
      <c r="G27" s="29"/>
      <c r="H27" s="23"/>
      <c r="I27" s="9" t="s">
        <v>11</v>
      </c>
      <c r="J27"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7" s="15" t="s">
        <v>1</v>
      </c>
      <c r="L27" s="36">
        <f t="shared" si="18"/>
        <v>0</v>
      </c>
      <c r="M27" s="32" t="str">
        <f t="shared" si="12"/>
        <v>-S901G</v>
      </c>
      <c r="N27" s="28"/>
      <c r="O27" s="57">
        <f t="shared" si="13"/>
        <v>0</v>
      </c>
      <c r="P27" s="63">
        <f t="shared" si="19"/>
        <v>2</v>
      </c>
      <c r="Q27" s="65">
        <f t="shared" si="19"/>
        <v>1</v>
      </c>
      <c r="R27" s="65">
        <f t="shared" si="19"/>
        <v>0</v>
      </c>
      <c r="S27" s="65">
        <f t="shared" si="19"/>
        <v>1</v>
      </c>
      <c r="T27" s="65">
        <f t="shared" si="19"/>
        <v>0</v>
      </c>
      <c r="U27" s="65">
        <f t="shared" si="19"/>
        <v>11</v>
      </c>
      <c r="V27" s="65">
        <f t="shared" si="19"/>
        <v>11</v>
      </c>
      <c r="W27" s="65">
        <f t="shared" si="19"/>
        <v>1</v>
      </c>
      <c r="X27" s="65">
        <f t="shared" si="19"/>
        <v>0</v>
      </c>
      <c r="Y27" s="65">
        <f t="shared" si="19"/>
        <v>0</v>
      </c>
      <c r="Z27" s="65">
        <f t="shared" si="19"/>
        <v>0</v>
      </c>
      <c r="AA27" s="65">
        <f t="shared" si="19"/>
        <v>0</v>
      </c>
      <c r="AB27" s="65">
        <f t="shared" si="19"/>
        <v>1</v>
      </c>
      <c r="AC27" s="65">
        <f t="shared" si="15"/>
        <v>1</v>
      </c>
      <c r="AD27" s="65">
        <f t="shared" si="15"/>
        <v>1</v>
      </c>
      <c r="AE27" s="63">
        <f t="shared" si="15"/>
        <v>0</v>
      </c>
      <c r="AF27" s="64">
        <f t="shared" si="15"/>
        <v>0</v>
      </c>
      <c r="AG27" s="64">
        <f t="shared" si="15"/>
        <v>0</v>
      </c>
      <c r="AH27" s="64">
        <f t="shared" si="15"/>
        <v>0</v>
      </c>
      <c r="AI27" s="66">
        <f t="shared" si="16"/>
        <v>0</v>
      </c>
      <c r="AJ27" s="63">
        <f t="shared" si="16"/>
        <v>0</v>
      </c>
      <c r="AK27" s="64">
        <f t="shared" si="16"/>
        <v>0</v>
      </c>
      <c r="AL27" s="65">
        <f t="shared" si="16"/>
        <v>0</v>
      </c>
      <c r="AM27" s="66">
        <f t="shared" si="16"/>
        <v>0</v>
      </c>
      <c r="AN27" s="31" t="str">
        <f t="shared" si="5"/>
        <v>SimulationStorage,2,</v>
      </c>
      <c r="AO27" s="31" t="str">
        <f t="shared" si="5"/>
        <v>AnalysisStorage,1,</v>
      </c>
      <c r="AP27" s="31" t="str">
        <f t="shared" si="5"/>
        <v>LogRuleEvaluation,0,</v>
      </c>
      <c r="AQ27" s="31" t="str">
        <f t="shared" si="5"/>
        <v>ParallelSimulations,1,</v>
      </c>
      <c r="AR27" s="31" t="str">
        <f t="shared" si="5"/>
        <v>DurationStats,0,</v>
      </c>
      <c r="AS27" s="31" t="str">
        <f t="shared" si="5"/>
        <v>AnalysisThruStep,11,</v>
      </c>
      <c r="AT27" s="31" t="str">
        <f t="shared" si="5"/>
        <v>DontAbortOnErrorsThruStep,11,</v>
      </c>
      <c r="AU27" s="31" t="str">
        <f t="shared" si="5"/>
        <v>BypassValidFileChecks,1,</v>
      </c>
      <c r="AV27" s="31" t="str">
        <f t="shared" si="5"/>
        <v>BypassInputChecks,0,</v>
      </c>
      <c r="AW27" s="31" t="str">
        <f t="shared" si="5"/>
        <v>BypassUMLHChecks,0,</v>
      </c>
      <c r="AX27" s="31" t="str">
        <f t="shared" si="5"/>
        <v>BypassCheckSimRules,0,</v>
      </c>
      <c r="AY27" s="31" t="str">
        <f t="shared" si="5"/>
        <v>BypassCheckCodeRules,0,</v>
      </c>
      <c r="BA27" s="31" t="str">
        <f t="shared" si="5"/>
        <v>StoreBEMDetails,1,</v>
      </c>
      <c r="BB27" s="31" t="str">
        <f t="shared" si="5"/>
        <v>ModelRpt_ALL,1,</v>
      </c>
      <c r="BC27" s="31" t="str">
        <f t="shared" si="5"/>
        <v>BypassOpenStudio_all,0,</v>
      </c>
      <c r="BD27" s="31" t="str">
        <f t="shared" si="6"/>
        <v>BypassOpenStudio_zp,0,</v>
      </c>
      <c r="BE27" s="31" t="str">
        <f t="shared" si="6"/>
        <v>BypassOpenStudio_zb,0,</v>
      </c>
      <c r="BF27" s="31" t="str">
        <f t="shared" si="6"/>
        <v>BypassOpenStudio_ap,0,</v>
      </c>
      <c r="BG27" s="31" t="str">
        <f t="shared" si="6"/>
        <v>BypassOpenStudio_ab,0,</v>
      </c>
      <c r="BH27" s="31" t="str">
        <f t="shared" si="6"/>
        <v>BypassOpenStudio_zp,0,</v>
      </c>
      <c r="BI27" s="31" t="str">
        <f t="shared" si="6"/>
        <v>BypassOpenStudio_zb,0,</v>
      </c>
      <c r="BJ27" s="31" t="str">
        <f t="shared" si="6"/>
        <v>BypassOpenStudio_ap,0,</v>
      </c>
      <c r="BK27" s="31" t="str">
        <f t="shared" si="20"/>
        <v>BypassOpenStudio_ab,0</v>
      </c>
    </row>
    <row r="28" spans="1:67" x14ac:dyDescent="0.25">
      <c r="A28" s="39">
        <f>L28</f>
        <v>0</v>
      </c>
      <c r="B28" s="27" t="str">
        <f t="shared" si="8"/>
        <v>Standard901Tests\.cibd</v>
      </c>
      <c r="C28" s="27" t="str">
        <f xml:space="preserve"> M$11 &amp; O28 &amp; ".cibd"</f>
        <v>BatchOut_141103_r2722_T24Std\0.cibd</v>
      </c>
      <c r="D28" s="27" t="str">
        <f t="shared" si="9"/>
        <v>BatchOut_141103_r2722_T24Std\XML\</v>
      </c>
      <c r="E28" s="9" t="str">
        <f>M28</f>
        <v>-S901G</v>
      </c>
      <c r="F28" s="22"/>
      <c r="G28" s="29"/>
      <c r="H28" s="23"/>
      <c r="I28" s="9" t="s">
        <v>11</v>
      </c>
      <c r="J28" s="9" t="str">
        <f>CONCATENATE(AN28,AO28,AP28,AQ28,AR28,AS28,AT28,AU28,AV28,AW28,AX28,AY28,AZ28,BA28,BB28,BC28,BD28,BE28,BF28,BG28,BH28,BI28,BJ28,BK28)</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8" s="15" t="s">
        <v>1</v>
      </c>
      <c r="L28" s="36">
        <f t="shared" si="18"/>
        <v>0</v>
      </c>
      <c r="M28" s="32" t="str">
        <f t="shared" si="12"/>
        <v>-S901G</v>
      </c>
      <c r="N28" s="28"/>
      <c r="O28" s="57">
        <f t="shared" si="13"/>
        <v>0</v>
      </c>
      <c r="P28" s="63">
        <f t="shared" si="19"/>
        <v>2</v>
      </c>
      <c r="Q28" s="65">
        <f t="shared" si="19"/>
        <v>1</v>
      </c>
      <c r="R28" s="65">
        <f t="shared" si="19"/>
        <v>0</v>
      </c>
      <c r="S28" s="65">
        <f t="shared" si="19"/>
        <v>1</v>
      </c>
      <c r="T28" s="65">
        <f t="shared" si="19"/>
        <v>0</v>
      </c>
      <c r="U28" s="65">
        <f t="shared" si="19"/>
        <v>11</v>
      </c>
      <c r="V28" s="65">
        <f t="shared" si="19"/>
        <v>11</v>
      </c>
      <c r="W28" s="65">
        <f t="shared" si="19"/>
        <v>1</v>
      </c>
      <c r="X28" s="65">
        <f t="shared" si="19"/>
        <v>0</v>
      </c>
      <c r="Y28" s="65">
        <f t="shared" si="19"/>
        <v>0</v>
      </c>
      <c r="Z28" s="65">
        <f t="shared" si="19"/>
        <v>0</v>
      </c>
      <c r="AA28" s="65">
        <f t="shared" si="19"/>
        <v>0</v>
      </c>
      <c r="AB28" s="65">
        <f t="shared" si="19"/>
        <v>1</v>
      </c>
      <c r="AC28" s="65">
        <f t="shared" si="15"/>
        <v>1</v>
      </c>
      <c r="AD28" s="65">
        <f t="shared" si="15"/>
        <v>1</v>
      </c>
      <c r="AE28" s="63">
        <f t="shared" si="15"/>
        <v>0</v>
      </c>
      <c r="AF28" s="64">
        <f t="shared" si="15"/>
        <v>0</v>
      </c>
      <c r="AG28" s="64">
        <f t="shared" si="15"/>
        <v>0</v>
      </c>
      <c r="AH28" s="64">
        <f t="shared" si="15"/>
        <v>0</v>
      </c>
      <c r="AI28" s="66">
        <f t="shared" si="16"/>
        <v>0</v>
      </c>
      <c r="AJ28" s="63">
        <f t="shared" si="16"/>
        <v>0</v>
      </c>
      <c r="AK28" s="64">
        <f t="shared" si="16"/>
        <v>0</v>
      </c>
      <c r="AL28" s="65">
        <f t="shared" si="16"/>
        <v>0</v>
      </c>
      <c r="AM28" s="66">
        <f t="shared" si="16"/>
        <v>0</v>
      </c>
      <c r="AN28" s="31" t="str">
        <f t="shared" si="5"/>
        <v>SimulationStorage,2,</v>
      </c>
      <c r="AO28" s="31" t="str">
        <f t="shared" si="5"/>
        <v>AnalysisStorage,1,</v>
      </c>
      <c r="AP28" s="31" t="str">
        <f t="shared" si="5"/>
        <v>LogRuleEvaluation,0,</v>
      </c>
      <c r="AQ28" s="31" t="str">
        <f t="shared" si="5"/>
        <v>ParallelSimulations,1,</v>
      </c>
      <c r="AR28" s="31" t="str">
        <f t="shared" si="5"/>
        <v>DurationStats,0,</v>
      </c>
      <c r="AS28" s="31" t="str">
        <f t="shared" si="5"/>
        <v>AnalysisThruStep,11,</v>
      </c>
      <c r="AT28" s="31" t="str">
        <f t="shared" si="5"/>
        <v>DontAbortOnErrorsThruStep,11,</v>
      </c>
      <c r="AU28" s="31" t="str">
        <f t="shared" si="5"/>
        <v>BypassValidFileChecks,1,</v>
      </c>
      <c r="AV28" s="31" t="str">
        <f t="shared" si="5"/>
        <v>BypassInputChecks,0,</v>
      </c>
      <c r="AW28" s="31" t="str">
        <f t="shared" si="5"/>
        <v>BypassUMLHChecks,0,</v>
      </c>
      <c r="AX28" s="31" t="str">
        <f t="shared" si="5"/>
        <v>BypassCheckSimRules,0,</v>
      </c>
      <c r="AY28" s="31" t="str">
        <f t="shared" si="5"/>
        <v>BypassCheckCodeRules,0,</v>
      </c>
      <c r="BA28" s="31" t="str">
        <f t="shared" si="5"/>
        <v>StoreBEMDetails,1,</v>
      </c>
      <c r="BB28" s="31" t="str">
        <f t="shared" si="5"/>
        <v>ModelRpt_ALL,1,</v>
      </c>
      <c r="BC28" s="31" t="str">
        <f t="shared" si="5"/>
        <v>BypassOpenStudio_all,0,</v>
      </c>
      <c r="BD28" s="31" t="str">
        <f t="shared" si="6"/>
        <v>BypassOpenStudio_zp,0,</v>
      </c>
      <c r="BE28" s="31" t="str">
        <f t="shared" si="6"/>
        <v>BypassOpenStudio_zb,0,</v>
      </c>
      <c r="BF28" s="31" t="str">
        <f t="shared" si="6"/>
        <v>BypassOpenStudio_ap,0,</v>
      </c>
      <c r="BG28" s="31" t="str">
        <f t="shared" si="6"/>
        <v>BypassOpenStudio_ab,0,</v>
      </c>
      <c r="BH28" s="31" t="str">
        <f t="shared" si="6"/>
        <v>BypassOpenStudio_zp,0,</v>
      </c>
      <c r="BI28" s="31" t="str">
        <f t="shared" si="6"/>
        <v>BypassOpenStudio_zb,0,</v>
      </c>
      <c r="BJ28" s="31" t="str">
        <f t="shared" si="6"/>
        <v>BypassOpenStudio_ap,0,</v>
      </c>
      <c r="BK28" s="31" t="str">
        <f>AM$12&amp;AM28</f>
        <v>BypassOpenStudio_ab,0</v>
      </c>
    </row>
    <row r="29" spans="1:67" x14ac:dyDescent="0.25">
      <c r="A29" s="39">
        <f>L29</f>
        <v>0</v>
      </c>
      <c r="B29" s="27" t="str">
        <f t="shared" si="8"/>
        <v>Standard901Tests\.cibd</v>
      </c>
      <c r="C29" s="27" t="str">
        <f xml:space="preserve"> M$11 &amp; O29 &amp; ".cibd"</f>
        <v>BatchOut_141103_r2722_T24Std\.cibd</v>
      </c>
      <c r="D29" s="27" t="str">
        <f t="shared" si="9"/>
        <v>BatchOut_141103_r2722_T24Std\XML\</v>
      </c>
      <c r="E29" s="9">
        <f>M29</f>
        <v>0</v>
      </c>
      <c r="F29" s="22"/>
      <c r="G29" s="29"/>
      <c r="H29" s="23"/>
      <c r="I29" s="9" t="s">
        <v>11</v>
      </c>
      <c r="J29" s="9" t="str">
        <f>CONCATENATE(AN29,AO29,AP29,AQ29,AR29,AS29,AT29,AU29,AV29,AW29,AX29,AY29,AZ29,BA29,BB29,BC29,BD29,BE29,BF29,BG29,BH29,BI29,BJ29,BK29)</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9" s="15" t="s">
        <v>1</v>
      </c>
      <c r="L29" s="36">
        <f t="shared" si="18"/>
        <v>0</v>
      </c>
      <c r="M29" s="32"/>
      <c r="N29" s="28"/>
      <c r="O29" s="57"/>
      <c r="P29" s="63">
        <f t="shared" si="19"/>
        <v>2</v>
      </c>
      <c r="Q29" s="65">
        <f t="shared" si="19"/>
        <v>1</v>
      </c>
      <c r="R29" s="65">
        <f t="shared" si="19"/>
        <v>0</v>
      </c>
      <c r="S29" s="65">
        <f t="shared" si="19"/>
        <v>1</v>
      </c>
      <c r="T29" s="65">
        <f t="shared" si="19"/>
        <v>0</v>
      </c>
      <c r="U29" s="65">
        <f t="shared" si="19"/>
        <v>11</v>
      </c>
      <c r="V29" s="65">
        <f t="shared" si="19"/>
        <v>11</v>
      </c>
      <c r="W29" s="65">
        <f t="shared" si="19"/>
        <v>1</v>
      </c>
      <c r="X29" s="65">
        <f t="shared" si="19"/>
        <v>0</v>
      </c>
      <c r="Y29" s="65">
        <f t="shared" si="19"/>
        <v>0</v>
      </c>
      <c r="Z29" s="65">
        <f t="shared" si="19"/>
        <v>0</v>
      </c>
      <c r="AA29" s="65">
        <f t="shared" si="19"/>
        <v>0</v>
      </c>
      <c r="AB29" s="65">
        <f t="shared" si="19"/>
        <v>1</v>
      </c>
      <c r="AC29" s="65">
        <f t="shared" si="15"/>
        <v>1</v>
      </c>
      <c r="AD29" s="65">
        <f t="shared" si="15"/>
        <v>1</v>
      </c>
      <c r="AE29" s="63">
        <f t="shared" si="15"/>
        <v>0</v>
      </c>
      <c r="AF29" s="64">
        <f t="shared" si="15"/>
        <v>0</v>
      </c>
      <c r="AG29" s="64">
        <f t="shared" si="15"/>
        <v>0</v>
      </c>
      <c r="AH29" s="64">
        <f t="shared" si="15"/>
        <v>0</v>
      </c>
      <c r="AI29" s="66">
        <f t="shared" si="16"/>
        <v>0</v>
      </c>
      <c r="AJ29" s="63">
        <f t="shared" si="16"/>
        <v>0</v>
      </c>
      <c r="AK29" s="64">
        <f t="shared" si="16"/>
        <v>0</v>
      </c>
      <c r="AL29" s="65">
        <f t="shared" si="16"/>
        <v>0</v>
      </c>
      <c r="AM29" s="66">
        <f t="shared" si="16"/>
        <v>0</v>
      </c>
      <c r="AN29" s="31" t="str">
        <f t="shared" si="5"/>
        <v>SimulationStorage,2,</v>
      </c>
      <c r="AO29" s="31" t="str">
        <f t="shared" si="5"/>
        <v>AnalysisStorage,1,</v>
      </c>
      <c r="AP29" s="31" t="str">
        <f t="shared" si="5"/>
        <v>LogRuleEvaluation,0,</v>
      </c>
      <c r="AQ29" s="31" t="str">
        <f t="shared" si="5"/>
        <v>ParallelSimulations,1,</v>
      </c>
      <c r="AR29" s="31" t="str">
        <f t="shared" si="5"/>
        <v>DurationStats,0,</v>
      </c>
      <c r="AS29" s="31" t="str">
        <f t="shared" si="5"/>
        <v>AnalysisThruStep,11,</v>
      </c>
      <c r="AT29" s="31" t="str">
        <f t="shared" si="5"/>
        <v>DontAbortOnErrorsThruStep,11,</v>
      </c>
      <c r="AU29" s="31" t="str">
        <f t="shared" si="5"/>
        <v>BypassValidFileChecks,1,</v>
      </c>
      <c r="AV29" s="31" t="str">
        <f t="shared" si="5"/>
        <v>BypassInputChecks,0,</v>
      </c>
      <c r="AW29" s="31" t="str">
        <f t="shared" si="5"/>
        <v>BypassUMLHChecks,0,</v>
      </c>
      <c r="AX29" s="31" t="str">
        <f t="shared" si="5"/>
        <v>BypassCheckSimRules,0,</v>
      </c>
      <c r="AY29" s="31" t="str">
        <f t="shared" si="5"/>
        <v>BypassCheckCodeRules,0,</v>
      </c>
      <c r="BA29" s="31" t="str">
        <f t="shared" si="6"/>
        <v>StoreBEMDetails,1,</v>
      </c>
      <c r="BB29" s="31" t="str">
        <f t="shared" si="6"/>
        <v>ModelRpt_ALL,1,</v>
      </c>
      <c r="BC29" s="31" t="str">
        <f t="shared" si="6"/>
        <v>BypassOpenStudio_all,0,</v>
      </c>
      <c r="BD29" s="31" t="str">
        <f t="shared" si="6"/>
        <v>BypassOpenStudio_zp,0,</v>
      </c>
      <c r="BE29" s="31" t="str">
        <f t="shared" si="6"/>
        <v>BypassOpenStudio_zb,0,</v>
      </c>
      <c r="BF29" s="31" t="str">
        <f t="shared" si="6"/>
        <v>BypassOpenStudio_ap,0,</v>
      </c>
      <c r="BG29" s="31" t="str">
        <f t="shared" si="6"/>
        <v>BypassOpenStudio_ab,0,</v>
      </c>
      <c r="BH29" s="31" t="str">
        <f t="shared" si="6"/>
        <v>BypassOpenStudio_zp,0,</v>
      </c>
      <c r="BI29" s="31" t="str">
        <f t="shared" si="6"/>
        <v>BypassOpenStudio_zb,0,</v>
      </c>
      <c r="BJ29" s="31" t="str">
        <f t="shared" si="6"/>
        <v>BypassOpenStudio_ap,0,</v>
      </c>
      <c r="BK29" s="31" t="str">
        <f>AM$12&amp;AM29</f>
        <v>BypassOpenStudio_ab,0</v>
      </c>
    </row>
    <row r="30" spans="1:67" x14ac:dyDescent="0.25">
      <c r="A30" s="39">
        <f t="shared" si="7"/>
        <v>0</v>
      </c>
      <c r="B30" s="27" t="str">
        <f t="shared" si="8"/>
        <v>Standard901Tests\.cibd</v>
      </c>
      <c r="C30" s="27" t="str">
        <f t="shared" si="4"/>
        <v>BatchOut_141103_r2722_T24Std\.cibd</v>
      </c>
      <c r="D30" s="27" t="str">
        <f t="shared" si="9"/>
        <v>BatchOut_141103_r2722_T24Std\XML\</v>
      </c>
      <c r="E30" s="9">
        <f>M30</f>
        <v>0</v>
      </c>
      <c r="F30" s="22"/>
      <c r="G30" s="29"/>
      <c r="H30" s="23"/>
      <c r="I30" s="9" t="s">
        <v>11</v>
      </c>
      <c r="J30"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30" s="15" t="s">
        <v>1</v>
      </c>
      <c r="L30" s="36">
        <f t="shared" si="18"/>
        <v>0</v>
      </c>
      <c r="M30" s="32"/>
      <c r="N30" s="28"/>
      <c r="O30" s="57"/>
      <c r="P30" s="63">
        <f t="shared" si="19"/>
        <v>2</v>
      </c>
      <c r="Q30" s="65">
        <f t="shared" si="19"/>
        <v>1</v>
      </c>
      <c r="R30" s="65">
        <f t="shared" si="19"/>
        <v>0</v>
      </c>
      <c r="S30" s="65">
        <f t="shared" si="19"/>
        <v>1</v>
      </c>
      <c r="T30" s="65">
        <f t="shared" si="19"/>
        <v>0</v>
      </c>
      <c r="U30" s="65">
        <f t="shared" si="19"/>
        <v>11</v>
      </c>
      <c r="V30" s="65">
        <f t="shared" si="19"/>
        <v>11</v>
      </c>
      <c r="W30" s="65">
        <f t="shared" si="19"/>
        <v>1</v>
      </c>
      <c r="X30" s="65">
        <f t="shared" si="19"/>
        <v>0</v>
      </c>
      <c r="Y30" s="65">
        <f t="shared" si="19"/>
        <v>0</v>
      </c>
      <c r="Z30" s="65">
        <f t="shared" si="19"/>
        <v>0</v>
      </c>
      <c r="AA30" s="65">
        <f t="shared" si="19"/>
        <v>0</v>
      </c>
      <c r="AB30" s="65">
        <f t="shared" si="19"/>
        <v>1</v>
      </c>
      <c r="AC30" s="65">
        <f t="shared" si="15"/>
        <v>1</v>
      </c>
      <c r="AD30" s="65">
        <f t="shared" si="15"/>
        <v>1</v>
      </c>
      <c r="AE30" s="63">
        <f t="shared" si="15"/>
        <v>0</v>
      </c>
      <c r="AF30" s="64">
        <f t="shared" si="15"/>
        <v>0</v>
      </c>
      <c r="AG30" s="64">
        <f t="shared" si="15"/>
        <v>0</v>
      </c>
      <c r="AH30" s="64">
        <f t="shared" si="15"/>
        <v>0</v>
      </c>
      <c r="AI30" s="66">
        <f t="shared" si="16"/>
        <v>0</v>
      </c>
      <c r="AJ30" s="63">
        <f t="shared" si="16"/>
        <v>0</v>
      </c>
      <c r="AK30" s="64">
        <f t="shared" si="16"/>
        <v>0</v>
      </c>
      <c r="AL30" s="65">
        <f t="shared" si="16"/>
        <v>0</v>
      </c>
      <c r="AM30" s="66">
        <f t="shared" si="16"/>
        <v>0</v>
      </c>
      <c r="AN30" s="31" t="str">
        <f t="shared" si="5"/>
        <v>SimulationStorage,2,</v>
      </c>
      <c r="AO30" s="31" t="str">
        <f t="shared" si="5"/>
        <v>AnalysisStorage,1,</v>
      </c>
      <c r="AP30" s="31" t="str">
        <f t="shared" si="5"/>
        <v>LogRuleEvaluation,0,</v>
      </c>
      <c r="AQ30" s="31" t="str">
        <f t="shared" si="5"/>
        <v>ParallelSimulations,1,</v>
      </c>
      <c r="AR30" s="31" t="str">
        <f t="shared" si="5"/>
        <v>DurationStats,0,</v>
      </c>
      <c r="AS30" s="31" t="str">
        <f t="shared" si="5"/>
        <v>AnalysisThruStep,11,</v>
      </c>
      <c r="AT30" s="31" t="str">
        <f t="shared" si="5"/>
        <v>DontAbortOnErrorsThruStep,11,</v>
      </c>
      <c r="AU30" s="31" t="str">
        <f t="shared" si="5"/>
        <v>BypassValidFileChecks,1,</v>
      </c>
      <c r="AV30" s="31" t="str">
        <f t="shared" si="5"/>
        <v>BypassInputChecks,0,</v>
      </c>
      <c r="AW30" s="31" t="str">
        <f t="shared" si="5"/>
        <v>BypassUMLHChecks,0,</v>
      </c>
      <c r="AX30" s="31" t="str">
        <f t="shared" si="5"/>
        <v>BypassCheckSimRules,0,</v>
      </c>
      <c r="AY30" s="31" t="str">
        <f t="shared" si="5"/>
        <v>BypassCheckCodeRules,0,</v>
      </c>
      <c r="BA30" s="31" t="str">
        <f t="shared" si="5"/>
        <v>StoreBEMDetails,1,</v>
      </c>
      <c r="BB30" s="31" t="str">
        <f t="shared" si="5"/>
        <v>ModelRpt_ALL,1,</v>
      </c>
      <c r="BC30" s="31" t="str">
        <f t="shared" si="5"/>
        <v>BypassOpenStudio_all,0,</v>
      </c>
      <c r="BD30" s="31" t="str">
        <f t="shared" si="6"/>
        <v>BypassOpenStudio_zp,0,</v>
      </c>
      <c r="BE30" s="31" t="str">
        <f t="shared" si="6"/>
        <v>BypassOpenStudio_zb,0,</v>
      </c>
      <c r="BF30" s="31" t="str">
        <f t="shared" si="6"/>
        <v>BypassOpenStudio_ap,0,</v>
      </c>
      <c r="BG30" s="31" t="str">
        <f t="shared" si="6"/>
        <v>BypassOpenStudio_ab,0,</v>
      </c>
      <c r="BH30" s="31" t="str">
        <f t="shared" si="6"/>
        <v>BypassOpenStudio_zp,0,</v>
      </c>
      <c r="BI30" s="31" t="str">
        <f t="shared" si="6"/>
        <v>BypassOpenStudio_zb,0,</v>
      </c>
      <c r="BJ30" s="31" t="str">
        <f t="shared" si="6"/>
        <v>BypassOpenStudio_ap,0,</v>
      </c>
      <c r="BK30" s="31" t="str">
        <f t="shared" si="20"/>
        <v>BypassOpenStudio_ab,0</v>
      </c>
    </row>
    <row r="31" spans="1:67" customFormat="1" x14ac:dyDescent="0.25">
      <c r="A31" t="s">
        <v>1</v>
      </c>
      <c r="K31" s="15"/>
      <c r="L31" s="79"/>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row>
    <row r="32" spans="1:67" x14ac:dyDescent="0.25">
      <c r="A32" s="1" t="s">
        <v>1</v>
      </c>
      <c r="B32"/>
      <c r="C32"/>
      <c r="D32" s="30"/>
      <c r="E32" s="16"/>
      <c r="F32" s="16"/>
      <c r="G32" s="16"/>
      <c r="H32" s="16"/>
      <c r="K32" s="15"/>
      <c r="L32" s="36" t="s">
        <v>176</v>
      </c>
      <c r="M32" s="78" t="s">
        <v>165</v>
      </c>
    </row>
    <row r="33" spans="1:65" x14ac:dyDescent="0.25">
      <c r="A33" s="1" t="s">
        <v>1</v>
      </c>
      <c r="B33"/>
      <c r="C33"/>
      <c r="D33" s="30"/>
      <c r="K33" s="15"/>
      <c r="L33" s="37" t="s">
        <v>45</v>
      </c>
      <c r="M33" s="53">
        <f>M7</f>
        <v>141103</v>
      </c>
    </row>
    <row r="34" spans="1:65" x14ac:dyDescent="0.25">
      <c r="A34" s="1" t="s">
        <v>1</v>
      </c>
      <c r="B34"/>
      <c r="C34"/>
      <c r="D34" s="30"/>
      <c r="K34" s="15"/>
      <c r="L34" s="14" t="s">
        <v>46</v>
      </c>
      <c r="M34" s="53" t="str">
        <f t="shared" ref="M34:M35" si="21">M8</f>
        <v>r2722</v>
      </c>
      <c r="N34" s="52"/>
    </row>
    <row r="35" spans="1:65" x14ac:dyDescent="0.25">
      <c r="A35" s="1" t="s">
        <v>1</v>
      </c>
      <c r="B35"/>
      <c r="C35"/>
      <c r="D35" s="30"/>
      <c r="E35" s="30"/>
      <c r="F35" s="30"/>
      <c r="G35" s="30"/>
      <c r="H35" s="30"/>
      <c r="I35" s="26"/>
      <c r="K35" s="15"/>
      <c r="L35" s="35" t="s">
        <v>39</v>
      </c>
      <c r="M35" s="53" t="str">
        <f t="shared" si="21"/>
        <v>BatchResults_141103_r2722.csv</v>
      </c>
      <c r="N35" s="1" t="s">
        <v>48</v>
      </c>
    </row>
    <row r="36" spans="1:65" x14ac:dyDescent="0.25">
      <c r="A36" s="1" t="s">
        <v>1</v>
      </c>
      <c r="K36" s="15"/>
      <c r="L36" s="14" t="s">
        <v>16</v>
      </c>
      <c r="M36" s="28" t="s">
        <v>166</v>
      </c>
      <c r="N36" s="1" t="s">
        <v>47</v>
      </c>
      <c r="AE36" s="104"/>
      <c r="AF36" s="104"/>
      <c r="AG36" s="104"/>
      <c r="AH36" s="104"/>
      <c r="AI36" s="104"/>
      <c r="AJ36" s="104"/>
      <c r="AK36" s="104"/>
      <c r="AL36" s="104"/>
      <c r="AM36" s="104"/>
    </row>
    <row r="37" spans="1:65" x14ac:dyDescent="0.25">
      <c r="A37" s="1" t="s">
        <v>1</v>
      </c>
      <c r="K37" s="15"/>
      <c r="L37" s="14" t="s">
        <v>17</v>
      </c>
      <c r="M37" s="54" t="str">
        <f>"BatchOut"&amp;"_"&amp;M33&amp;"_"&amp;M34&amp;"_"&amp;L32&amp;"\"</f>
        <v>BatchOut_141103_r2722_OT\</v>
      </c>
      <c r="N37" s="1" t="s">
        <v>47</v>
      </c>
    </row>
    <row r="38" spans="1:65" x14ac:dyDescent="0.25">
      <c r="A38" s="1" t="s">
        <v>1</v>
      </c>
      <c r="K38" s="15"/>
      <c r="L38" s="14" t="s">
        <v>42</v>
      </c>
      <c r="M38" s="54" t="str">
        <f>M37&amp;"XML\"</f>
        <v>BatchOut_141103_r2722_OT\XML\</v>
      </c>
      <c r="N38" s="1" t="s">
        <v>47</v>
      </c>
      <c r="R38" s="31"/>
      <c r="S38" s="31"/>
      <c r="T38" s="31"/>
      <c r="U38" s="31"/>
      <c r="V38" s="31"/>
      <c r="W38" s="31"/>
      <c r="X38" s="31"/>
      <c r="Y38" s="31"/>
      <c r="Z38" s="31"/>
      <c r="AA38" s="31"/>
      <c r="AB38" s="31"/>
      <c r="AC38" s="31"/>
      <c r="AD38" s="31"/>
      <c r="AE38" s="31"/>
      <c r="AF38" s="31"/>
      <c r="AG38" s="31"/>
      <c r="AH38" s="31"/>
      <c r="AI38" s="31"/>
      <c r="AJ38" s="31"/>
      <c r="AK38" s="31"/>
      <c r="AL38" s="31"/>
      <c r="AM38" s="31"/>
    </row>
    <row r="39" spans="1:65" s="46" customFormat="1" x14ac:dyDescent="0.25">
      <c r="A39" s="12" t="s">
        <v>1</v>
      </c>
      <c r="B39" s="8"/>
      <c r="C39" s="8"/>
      <c r="D39" s="8"/>
      <c r="E39" s="8"/>
      <c r="F39" s="19"/>
      <c r="G39" s="21"/>
      <c r="H39" s="20"/>
      <c r="I39" s="8"/>
      <c r="J39" s="8"/>
      <c r="K39" s="15"/>
      <c r="L39" s="42"/>
      <c r="M39" s="43"/>
      <c r="N39" s="40"/>
      <c r="O39" s="40"/>
      <c r="P39" s="56"/>
      <c r="Q39" s="56"/>
      <c r="R39" s="44"/>
      <c r="S39" s="44"/>
      <c r="T39" s="44"/>
      <c r="U39" s="44"/>
      <c r="V39" s="45"/>
      <c r="W39" s="44"/>
      <c r="X39" s="44"/>
      <c r="Y39" s="44"/>
      <c r="Z39" s="44"/>
      <c r="AA39" s="44"/>
      <c r="AB39" s="44"/>
      <c r="AC39" s="44"/>
      <c r="AD39" s="45"/>
      <c r="AE39" s="43"/>
      <c r="AF39" s="43"/>
      <c r="AG39" s="43"/>
      <c r="AH39" s="43"/>
      <c r="AI39" s="43"/>
      <c r="AJ39" s="43"/>
      <c r="AK39" s="43"/>
      <c r="AL39" s="43"/>
      <c r="AM39" s="43"/>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row>
    <row r="40" spans="1:65" x14ac:dyDescent="0.25">
      <c r="A40" s="39">
        <f t="shared" ref="A40:A57" si="22">L40</f>
        <v>0</v>
      </c>
      <c r="B40" s="27" t="str">
        <f>M$36&amp;N40&amp;".cibd"</f>
        <v>OtherTests\.cibd</v>
      </c>
      <c r="C40" s="27" t="str">
        <f xml:space="preserve"> M$37 &amp; O40 &amp; ".cibd"</f>
        <v>BatchOut_141103_r2722_OT\0.cibd</v>
      </c>
      <c r="D40" s="27" t="str">
        <f>$M$38</f>
        <v>BatchOut_141103_r2722_OT\XML\</v>
      </c>
      <c r="E40" s="9" t="str">
        <f>M40</f>
        <v/>
      </c>
      <c r="F40" s="22"/>
      <c r="G40" s="29"/>
      <c r="H40" s="23" t="str">
        <f>IF(F40&gt;1,1,"")</f>
        <v/>
      </c>
      <c r="I40" s="9" t="s">
        <v>11</v>
      </c>
      <c r="J40" s="9" t="str">
        <f t="shared" ref="J40:J57" si="23">CONCATENATE(AN40,AO40,AP40,AQ40,AR40,AS40,AT40,AU40,AV40,AW40,AX40,AY40,AZ40,BA40,BB40,BC40,BD40,BE40,BF40,BG40,BH40,BI40,BJ40,BK40)</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0" s="15" t="s">
        <v>1</v>
      </c>
      <c r="L40" s="36">
        <v>0</v>
      </c>
      <c r="M40" s="32" t="str">
        <f>LEFT(N40,6)&amp;IF(SUM(F40:H40)&gt;0,"_autosize","")</f>
        <v/>
      </c>
      <c r="N40" s="28"/>
      <c r="O40" s="57">
        <f t="shared" ref="O40:O55" si="24">N40</f>
        <v>0</v>
      </c>
      <c r="P40" s="36">
        <f>P16</f>
        <v>2</v>
      </c>
      <c r="Q40" s="36">
        <f t="shared" ref="Q40:AM40" si="25">Q16</f>
        <v>1</v>
      </c>
      <c r="R40" s="36">
        <f t="shared" si="25"/>
        <v>0</v>
      </c>
      <c r="S40" s="36">
        <f t="shared" si="25"/>
        <v>1</v>
      </c>
      <c r="T40" s="36">
        <f t="shared" si="25"/>
        <v>0</v>
      </c>
      <c r="U40" s="36">
        <f t="shared" si="25"/>
        <v>11</v>
      </c>
      <c r="V40" s="36">
        <f t="shared" si="25"/>
        <v>11</v>
      </c>
      <c r="W40" s="36">
        <f t="shared" si="25"/>
        <v>1</v>
      </c>
      <c r="X40" s="36">
        <f t="shared" si="25"/>
        <v>0</v>
      </c>
      <c r="Y40" s="36">
        <f t="shared" si="25"/>
        <v>0</v>
      </c>
      <c r="Z40" s="36">
        <f t="shared" si="25"/>
        <v>0</v>
      </c>
      <c r="AA40" s="36">
        <f t="shared" si="25"/>
        <v>0</v>
      </c>
      <c r="AB40" s="36">
        <f t="shared" si="25"/>
        <v>1</v>
      </c>
      <c r="AC40" s="36">
        <f t="shared" si="25"/>
        <v>1</v>
      </c>
      <c r="AD40" s="61">
        <f t="shared" si="25"/>
        <v>1</v>
      </c>
      <c r="AE40" s="63">
        <f t="shared" si="25"/>
        <v>0</v>
      </c>
      <c r="AF40" s="36">
        <f t="shared" si="25"/>
        <v>0</v>
      </c>
      <c r="AG40" s="36">
        <f t="shared" si="25"/>
        <v>0</v>
      </c>
      <c r="AH40" s="36">
        <f t="shared" si="25"/>
        <v>0</v>
      </c>
      <c r="AI40" s="61">
        <f t="shared" si="25"/>
        <v>0</v>
      </c>
      <c r="AJ40" s="63">
        <f t="shared" si="25"/>
        <v>0</v>
      </c>
      <c r="AK40" s="36">
        <f t="shared" si="25"/>
        <v>0</v>
      </c>
      <c r="AL40" s="36">
        <f t="shared" si="25"/>
        <v>0</v>
      </c>
      <c r="AM40" s="36">
        <f t="shared" si="25"/>
        <v>0</v>
      </c>
      <c r="AN40" s="31" t="str">
        <f t="shared" ref="AN40:AY57" si="26">P$12&amp;P40&amp;","</f>
        <v>SimulationStorage,2,</v>
      </c>
      <c r="AO40" s="31" t="str">
        <f t="shared" si="26"/>
        <v>AnalysisStorage,1,</v>
      </c>
      <c r="AP40" s="31" t="str">
        <f t="shared" si="26"/>
        <v>LogRuleEvaluation,0,</v>
      </c>
      <c r="AQ40" s="31" t="str">
        <f t="shared" si="26"/>
        <v>ParallelSimulations,1,</v>
      </c>
      <c r="AR40" s="31" t="str">
        <f t="shared" si="26"/>
        <v>DurationStats,0,</v>
      </c>
      <c r="AS40" s="31" t="str">
        <f t="shared" si="26"/>
        <v>AnalysisThruStep,11,</v>
      </c>
      <c r="AT40" s="31" t="str">
        <f t="shared" si="26"/>
        <v>DontAbortOnErrorsThruStep,11,</v>
      </c>
      <c r="AU40" s="31" t="str">
        <f t="shared" si="26"/>
        <v>BypassValidFileChecks,1,</v>
      </c>
      <c r="AV40" s="31" t="str">
        <f t="shared" si="26"/>
        <v>BypassInputChecks,0,</v>
      </c>
      <c r="AW40" s="31" t="str">
        <f t="shared" si="26"/>
        <v>BypassUMLHChecks,0,</v>
      </c>
      <c r="AX40" s="31" t="str">
        <f t="shared" si="26"/>
        <v>BypassCheckSimRules,0,</v>
      </c>
      <c r="AY40" s="31" t="str">
        <f t="shared" si="26"/>
        <v>BypassCheckCodeRules,0,</v>
      </c>
      <c r="BA40" s="31" t="str">
        <f t="shared" ref="BA40:BJ57" si="27">AC$12&amp;AC40&amp;","</f>
        <v>StoreBEMDetails,1,</v>
      </c>
      <c r="BB40" s="31" t="str">
        <f t="shared" si="27"/>
        <v>ModelRpt_ALL,1,</v>
      </c>
      <c r="BC40" s="31" t="str">
        <f t="shared" si="27"/>
        <v>BypassOpenStudio_all,0,</v>
      </c>
      <c r="BD40" s="31" t="str">
        <f t="shared" si="27"/>
        <v>BypassOpenStudio_zp,0,</v>
      </c>
      <c r="BE40" s="31" t="str">
        <f t="shared" si="27"/>
        <v>BypassOpenStudio_zb,0,</v>
      </c>
      <c r="BF40" s="31" t="str">
        <f t="shared" si="27"/>
        <v>BypassOpenStudio_ap,0,</v>
      </c>
      <c r="BG40" s="31" t="str">
        <f t="shared" si="27"/>
        <v>BypassOpenStudio_ab,0,</v>
      </c>
      <c r="BH40" s="31" t="str">
        <f t="shared" si="27"/>
        <v>BypassOpenStudio_zp,0,</v>
      </c>
      <c r="BI40" s="31" t="str">
        <f t="shared" si="27"/>
        <v>BypassOpenStudio_zb,0,</v>
      </c>
      <c r="BJ40" s="31" t="str">
        <f t="shared" si="27"/>
        <v>BypassOpenStudio_ap,0,</v>
      </c>
      <c r="BK40" s="31" t="str">
        <f t="shared" ref="BK40:BK57" si="28">AM$12&amp;AM40</f>
        <v>BypassOpenStudio_ab,0</v>
      </c>
    </row>
    <row r="41" spans="1:65" x14ac:dyDescent="0.25">
      <c r="A41" s="39">
        <f t="shared" si="22"/>
        <v>0</v>
      </c>
      <c r="B41" s="27" t="str">
        <f t="shared" ref="B41:B57" si="29">M$36&amp;N41&amp;".cibd"</f>
        <v>OtherTests\.cibd</v>
      </c>
      <c r="C41" s="27" t="str">
        <f t="shared" ref="C41:C57" si="30" xml:space="preserve"> M$37 &amp; O41 &amp; ".cibd"</f>
        <v>BatchOut_141103_r2722_OT\0.cibd</v>
      </c>
      <c r="D41" s="27" t="str">
        <f t="shared" ref="D41:D57" si="31">$M$38</f>
        <v>BatchOut_141103_r2722_OT\XML\</v>
      </c>
      <c r="E41" s="9" t="str">
        <f t="shared" ref="E41:E57" si="32">M41</f>
        <v/>
      </c>
      <c r="F41" s="22"/>
      <c r="G41" s="29"/>
      <c r="H41" s="23" t="str">
        <f>IF(F41&gt;1,1,"")</f>
        <v/>
      </c>
      <c r="I41" s="9" t="s">
        <v>11</v>
      </c>
      <c r="J41"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1" s="15" t="s">
        <v>1</v>
      </c>
      <c r="L41" s="36">
        <f>L40</f>
        <v>0</v>
      </c>
      <c r="M41" s="32" t="str">
        <f t="shared" ref="M41:M57" si="33">LEFT(N41,6)&amp;IF(SUM(F41:H41)&gt;0,"_autosize","")</f>
        <v/>
      </c>
      <c r="N41" s="28"/>
      <c r="O41" s="57">
        <f t="shared" si="24"/>
        <v>0</v>
      </c>
      <c r="P41" s="63">
        <f>P40</f>
        <v>2</v>
      </c>
      <c r="Q41" s="65">
        <f t="shared" ref="Q41:T41" si="34">Q40</f>
        <v>1</v>
      </c>
      <c r="R41" s="65">
        <f t="shared" si="34"/>
        <v>0</v>
      </c>
      <c r="S41" s="65">
        <f t="shared" si="34"/>
        <v>1</v>
      </c>
      <c r="T41" s="65">
        <f t="shared" si="34"/>
        <v>0</v>
      </c>
      <c r="U41" s="65">
        <f>U40</f>
        <v>11</v>
      </c>
      <c r="V41" s="65">
        <f>V40</f>
        <v>11</v>
      </c>
      <c r="W41" s="65">
        <f>W40</f>
        <v>1</v>
      </c>
      <c r="X41" s="65">
        <f t="shared" ref="X41:Y41" si="35">X40</f>
        <v>0</v>
      </c>
      <c r="Y41" s="65">
        <f t="shared" si="35"/>
        <v>0</v>
      </c>
      <c r="Z41" s="65">
        <f>Z40</f>
        <v>0</v>
      </c>
      <c r="AA41" s="65">
        <f>AA40</f>
        <v>0</v>
      </c>
      <c r="AB41" s="65">
        <f>AB40</f>
        <v>1</v>
      </c>
      <c r="AC41" s="65">
        <f t="shared" ref="AB41:AM56" si="36">AC40</f>
        <v>1</v>
      </c>
      <c r="AD41" s="61">
        <f>AD40</f>
        <v>1</v>
      </c>
      <c r="AE41" s="63">
        <f>AE40</f>
        <v>0</v>
      </c>
      <c r="AF41" s="64">
        <f>AF40</f>
        <v>0</v>
      </c>
      <c r="AG41" s="64">
        <f t="shared" ref="AG41:AI41" si="37">AG40</f>
        <v>0</v>
      </c>
      <c r="AH41" s="64">
        <f t="shared" si="37"/>
        <v>0</v>
      </c>
      <c r="AI41" s="66">
        <f t="shared" si="37"/>
        <v>0</v>
      </c>
      <c r="AJ41" s="63">
        <f>AJ40</f>
        <v>0</v>
      </c>
      <c r="AK41" s="64">
        <f>AK40</f>
        <v>0</v>
      </c>
      <c r="AL41" s="65">
        <f t="shared" ref="AL41:AM41" si="38">AL40</f>
        <v>0</v>
      </c>
      <c r="AM41" s="66">
        <f t="shared" si="38"/>
        <v>0</v>
      </c>
      <c r="AN41" s="31" t="str">
        <f t="shared" si="26"/>
        <v>SimulationStorage,2,</v>
      </c>
      <c r="AO41" s="31" t="str">
        <f t="shared" si="26"/>
        <v>AnalysisStorage,1,</v>
      </c>
      <c r="AP41" s="31" t="str">
        <f t="shared" si="26"/>
        <v>LogRuleEvaluation,0,</v>
      </c>
      <c r="AQ41" s="31" t="str">
        <f t="shared" si="26"/>
        <v>ParallelSimulations,1,</v>
      </c>
      <c r="AR41" s="31" t="str">
        <f t="shared" si="26"/>
        <v>DurationStats,0,</v>
      </c>
      <c r="AS41" s="31" t="str">
        <f t="shared" si="26"/>
        <v>AnalysisThruStep,11,</v>
      </c>
      <c r="AT41" s="31" t="str">
        <f t="shared" si="26"/>
        <v>DontAbortOnErrorsThruStep,11,</v>
      </c>
      <c r="AU41" s="31" t="str">
        <f t="shared" si="26"/>
        <v>BypassValidFileChecks,1,</v>
      </c>
      <c r="AV41" s="31" t="str">
        <f t="shared" si="26"/>
        <v>BypassInputChecks,0,</v>
      </c>
      <c r="AW41" s="31" t="str">
        <f t="shared" si="26"/>
        <v>BypassUMLHChecks,0,</v>
      </c>
      <c r="AX41" s="31" t="str">
        <f t="shared" si="26"/>
        <v>BypassCheckSimRules,0,</v>
      </c>
      <c r="AY41" s="31" t="str">
        <f t="shared" si="26"/>
        <v>BypassCheckCodeRules,0,</v>
      </c>
      <c r="BA41" s="31" t="str">
        <f t="shared" si="27"/>
        <v>StoreBEMDetails,1,</v>
      </c>
      <c r="BB41" s="31" t="str">
        <f t="shared" si="27"/>
        <v>ModelRpt_ALL,1,</v>
      </c>
      <c r="BC41" s="31" t="str">
        <f t="shared" si="27"/>
        <v>BypassOpenStudio_all,0,</v>
      </c>
      <c r="BD41" s="31" t="str">
        <f t="shared" si="27"/>
        <v>BypassOpenStudio_zp,0,</v>
      </c>
      <c r="BE41" s="31" t="str">
        <f t="shared" si="27"/>
        <v>BypassOpenStudio_zb,0,</v>
      </c>
      <c r="BF41" s="31" t="str">
        <f t="shared" si="27"/>
        <v>BypassOpenStudio_ap,0,</v>
      </c>
      <c r="BG41" s="31" t="str">
        <f t="shared" si="27"/>
        <v>BypassOpenStudio_ab,0,</v>
      </c>
      <c r="BH41" s="31" t="str">
        <f t="shared" si="27"/>
        <v>BypassOpenStudio_zp,0,</v>
      </c>
      <c r="BI41" s="31" t="str">
        <f t="shared" si="27"/>
        <v>BypassOpenStudio_zb,0,</v>
      </c>
      <c r="BJ41" s="31" t="str">
        <f t="shared" si="27"/>
        <v>BypassOpenStudio_ap,0,</v>
      </c>
      <c r="BK41" s="31" t="str">
        <f t="shared" si="28"/>
        <v>BypassOpenStudio_ab,0</v>
      </c>
    </row>
    <row r="42" spans="1:65" x14ac:dyDescent="0.25">
      <c r="A42" s="39">
        <f t="shared" si="22"/>
        <v>0</v>
      </c>
      <c r="B42" s="27" t="str">
        <f t="shared" si="29"/>
        <v>OtherTests\.cibd</v>
      </c>
      <c r="C42" s="27" t="str">
        <f t="shared" si="30"/>
        <v>BatchOut_141103_r2722_OT\0.cibd</v>
      </c>
      <c r="D42" s="27" t="str">
        <f t="shared" si="31"/>
        <v>BatchOut_141103_r2722_OT\XML\</v>
      </c>
      <c r="E42" s="9" t="str">
        <f t="shared" si="32"/>
        <v/>
      </c>
      <c r="F42" s="22"/>
      <c r="G42" s="29"/>
      <c r="H42" s="23" t="str">
        <f>IF(F42&gt;1,1,"")</f>
        <v/>
      </c>
      <c r="I42" s="9" t="s">
        <v>11</v>
      </c>
      <c r="J42"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2" s="15" t="s">
        <v>1</v>
      </c>
      <c r="L42" s="36">
        <f t="shared" ref="L42:L55" si="39">L41</f>
        <v>0</v>
      </c>
      <c r="M42" s="32" t="str">
        <f t="shared" si="33"/>
        <v/>
      </c>
      <c r="N42" s="28"/>
      <c r="O42" s="57">
        <f t="shared" si="24"/>
        <v>0</v>
      </c>
      <c r="P42" s="63">
        <f t="shared" ref="P42:AE56" si="40">P41</f>
        <v>2</v>
      </c>
      <c r="Q42" s="65">
        <f t="shared" si="40"/>
        <v>1</v>
      </c>
      <c r="R42" s="65">
        <f t="shared" si="40"/>
        <v>0</v>
      </c>
      <c r="S42" s="65">
        <f t="shared" si="40"/>
        <v>1</v>
      </c>
      <c r="T42" s="65">
        <f t="shared" si="40"/>
        <v>0</v>
      </c>
      <c r="U42" s="65">
        <f t="shared" si="40"/>
        <v>11</v>
      </c>
      <c r="V42" s="65">
        <f t="shared" si="40"/>
        <v>11</v>
      </c>
      <c r="W42" s="65">
        <f t="shared" si="40"/>
        <v>1</v>
      </c>
      <c r="X42" s="65">
        <f t="shared" si="40"/>
        <v>0</v>
      </c>
      <c r="Y42" s="65">
        <f t="shared" si="40"/>
        <v>0</v>
      </c>
      <c r="Z42" s="65">
        <f t="shared" si="40"/>
        <v>0</v>
      </c>
      <c r="AA42" s="65">
        <f t="shared" si="40"/>
        <v>0</v>
      </c>
      <c r="AB42" s="65">
        <f t="shared" si="40"/>
        <v>1</v>
      </c>
      <c r="AC42" s="65">
        <f t="shared" si="36"/>
        <v>1</v>
      </c>
      <c r="AD42" s="61">
        <f t="shared" si="36"/>
        <v>1</v>
      </c>
      <c r="AE42" s="63">
        <f t="shared" si="36"/>
        <v>0</v>
      </c>
      <c r="AF42" s="64">
        <f t="shared" si="36"/>
        <v>0</v>
      </c>
      <c r="AG42" s="64">
        <f t="shared" si="36"/>
        <v>0</v>
      </c>
      <c r="AH42" s="64">
        <f t="shared" si="36"/>
        <v>0</v>
      </c>
      <c r="AI42" s="66">
        <f t="shared" si="36"/>
        <v>0</v>
      </c>
      <c r="AJ42" s="63">
        <f t="shared" si="36"/>
        <v>0</v>
      </c>
      <c r="AK42" s="64">
        <f t="shared" si="36"/>
        <v>0</v>
      </c>
      <c r="AL42" s="65">
        <f t="shared" si="36"/>
        <v>0</v>
      </c>
      <c r="AM42" s="66">
        <f t="shared" si="36"/>
        <v>0</v>
      </c>
      <c r="AN42" s="31" t="str">
        <f t="shared" si="26"/>
        <v>SimulationStorage,2,</v>
      </c>
      <c r="AO42" s="31" t="str">
        <f t="shared" si="26"/>
        <v>AnalysisStorage,1,</v>
      </c>
      <c r="AP42" s="31" t="str">
        <f t="shared" si="26"/>
        <v>LogRuleEvaluation,0,</v>
      </c>
      <c r="AQ42" s="31" t="str">
        <f t="shared" si="26"/>
        <v>ParallelSimulations,1,</v>
      </c>
      <c r="AR42" s="31" t="str">
        <f t="shared" si="26"/>
        <v>DurationStats,0,</v>
      </c>
      <c r="AS42" s="31" t="str">
        <f t="shared" si="26"/>
        <v>AnalysisThruStep,11,</v>
      </c>
      <c r="AT42" s="31" t="str">
        <f t="shared" si="26"/>
        <v>DontAbortOnErrorsThruStep,11,</v>
      </c>
      <c r="AU42" s="31" t="str">
        <f t="shared" si="26"/>
        <v>BypassValidFileChecks,1,</v>
      </c>
      <c r="AV42" s="31" t="str">
        <f t="shared" si="26"/>
        <v>BypassInputChecks,0,</v>
      </c>
      <c r="AW42" s="31" t="str">
        <f t="shared" si="26"/>
        <v>BypassUMLHChecks,0,</v>
      </c>
      <c r="AX42" s="31" t="str">
        <f t="shared" si="26"/>
        <v>BypassCheckSimRules,0,</v>
      </c>
      <c r="AY42" s="31" t="str">
        <f t="shared" si="26"/>
        <v>BypassCheckCodeRules,0,</v>
      </c>
      <c r="BA42" s="31" t="str">
        <f t="shared" si="27"/>
        <v>StoreBEMDetails,1,</v>
      </c>
      <c r="BB42" s="31" t="str">
        <f t="shared" si="27"/>
        <v>ModelRpt_ALL,1,</v>
      </c>
      <c r="BC42" s="31" t="str">
        <f t="shared" si="27"/>
        <v>BypassOpenStudio_all,0,</v>
      </c>
      <c r="BD42" s="31" t="str">
        <f t="shared" si="27"/>
        <v>BypassOpenStudio_zp,0,</v>
      </c>
      <c r="BE42" s="31" t="str">
        <f t="shared" si="27"/>
        <v>BypassOpenStudio_zb,0,</v>
      </c>
      <c r="BF42" s="31" t="str">
        <f t="shared" si="27"/>
        <v>BypassOpenStudio_ap,0,</v>
      </c>
      <c r="BG42" s="31" t="str">
        <f t="shared" si="27"/>
        <v>BypassOpenStudio_ab,0,</v>
      </c>
      <c r="BH42" s="31" t="str">
        <f t="shared" si="27"/>
        <v>BypassOpenStudio_zp,0,</v>
      </c>
      <c r="BI42" s="31" t="str">
        <f t="shared" si="27"/>
        <v>BypassOpenStudio_zb,0,</v>
      </c>
      <c r="BJ42" s="31" t="str">
        <f t="shared" si="27"/>
        <v>BypassOpenStudio_ap,0,</v>
      </c>
      <c r="BK42" s="31" t="str">
        <f t="shared" si="28"/>
        <v>BypassOpenStudio_ab,0</v>
      </c>
    </row>
    <row r="43" spans="1:65" x14ac:dyDescent="0.25">
      <c r="A43" s="39">
        <f t="shared" si="22"/>
        <v>0</v>
      </c>
      <c r="B43" s="27" t="str">
        <f t="shared" si="29"/>
        <v>OtherTests\.cibd</v>
      </c>
      <c r="C43" s="27" t="str">
        <f t="shared" si="30"/>
        <v>BatchOut_141103_r2722_OT\0.cibd</v>
      </c>
      <c r="D43" s="27" t="str">
        <f t="shared" si="31"/>
        <v>BatchOut_141103_r2722_OT\XML\</v>
      </c>
      <c r="E43" s="9" t="str">
        <f t="shared" si="32"/>
        <v/>
      </c>
      <c r="F43" s="22"/>
      <c r="G43" s="29"/>
      <c r="H43" s="23"/>
      <c r="I43" s="9" t="s">
        <v>11</v>
      </c>
      <c r="J43"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3" s="15" t="s">
        <v>1</v>
      </c>
      <c r="L43" s="36">
        <f t="shared" si="39"/>
        <v>0</v>
      </c>
      <c r="M43" s="32" t="str">
        <f t="shared" si="33"/>
        <v/>
      </c>
      <c r="N43" s="28"/>
      <c r="O43" s="57">
        <f t="shared" si="24"/>
        <v>0</v>
      </c>
      <c r="P43" s="63">
        <f t="shared" si="40"/>
        <v>2</v>
      </c>
      <c r="Q43" s="65">
        <f t="shared" si="40"/>
        <v>1</v>
      </c>
      <c r="R43" s="65">
        <f t="shared" si="40"/>
        <v>0</v>
      </c>
      <c r="S43" s="65">
        <f t="shared" si="40"/>
        <v>1</v>
      </c>
      <c r="T43" s="65">
        <f t="shared" si="40"/>
        <v>0</v>
      </c>
      <c r="U43" s="65">
        <f t="shared" si="40"/>
        <v>11</v>
      </c>
      <c r="V43" s="65">
        <f t="shared" si="40"/>
        <v>11</v>
      </c>
      <c r="W43" s="65">
        <f t="shared" si="40"/>
        <v>1</v>
      </c>
      <c r="X43" s="65">
        <f t="shared" si="40"/>
        <v>0</v>
      </c>
      <c r="Y43" s="65">
        <f t="shared" si="40"/>
        <v>0</v>
      </c>
      <c r="Z43" s="65">
        <f t="shared" si="40"/>
        <v>0</v>
      </c>
      <c r="AA43" s="65">
        <f t="shared" si="40"/>
        <v>0</v>
      </c>
      <c r="AB43" s="65">
        <f t="shared" si="40"/>
        <v>1</v>
      </c>
      <c r="AC43" s="65">
        <f t="shared" si="36"/>
        <v>1</v>
      </c>
      <c r="AD43" s="61">
        <f t="shared" si="36"/>
        <v>1</v>
      </c>
      <c r="AE43" s="63">
        <f t="shared" si="36"/>
        <v>0</v>
      </c>
      <c r="AF43" s="64">
        <f t="shared" si="36"/>
        <v>0</v>
      </c>
      <c r="AG43" s="64">
        <f t="shared" si="36"/>
        <v>0</v>
      </c>
      <c r="AH43" s="64">
        <f t="shared" si="36"/>
        <v>0</v>
      </c>
      <c r="AI43" s="66">
        <f t="shared" si="36"/>
        <v>0</v>
      </c>
      <c r="AJ43" s="63">
        <f t="shared" si="36"/>
        <v>0</v>
      </c>
      <c r="AK43" s="64">
        <f t="shared" si="36"/>
        <v>0</v>
      </c>
      <c r="AL43" s="65">
        <f t="shared" si="36"/>
        <v>0</v>
      </c>
      <c r="AM43" s="66">
        <f t="shared" si="36"/>
        <v>0</v>
      </c>
      <c r="AN43" s="31" t="str">
        <f t="shared" si="26"/>
        <v>SimulationStorage,2,</v>
      </c>
      <c r="AO43" s="31" t="str">
        <f t="shared" si="26"/>
        <v>AnalysisStorage,1,</v>
      </c>
      <c r="AP43" s="31" t="str">
        <f t="shared" si="26"/>
        <v>LogRuleEvaluation,0,</v>
      </c>
      <c r="AQ43" s="31" t="str">
        <f t="shared" si="26"/>
        <v>ParallelSimulations,1,</v>
      </c>
      <c r="AR43" s="31" t="str">
        <f t="shared" si="26"/>
        <v>DurationStats,0,</v>
      </c>
      <c r="AS43" s="31" t="str">
        <f t="shared" si="26"/>
        <v>AnalysisThruStep,11,</v>
      </c>
      <c r="AT43" s="31" t="str">
        <f t="shared" si="26"/>
        <v>DontAbortOnErrorsThruStep,11,</v>
      </c>
      <c r="AU43" s="31" t="str">
        <f t="shared" si="26"/>
        <v>BypassValidFileChecks,1,</v>
      </c>
      <c r="AV43" s="31" t="str">
        <f t="shared" si="26"/>
        <v>BypassInputChecks,0,</v>
      </c>
      <c r="AW43" s="31" t="str">
        <f t="shared" si="26"/>
        <v>BypassUMLHChecks,0,</v>
      </c>
      <c r="AX43" s="31" t="str">
        <f t="shared" si="26"/>
        <v>BypassCheckSimRules,0,</v>
      </c>
      <c r="AY43" s="31" t="str">
        <f t="shared" si="26"/>
        <v>BypassCheckCodeRules,0,</v>
      </c>
      <c r="BA43" s="31" t="str">
        <f t="shared" si="27"/>
        <v>StoreBEMDetails,1,</v>
      </c>
      <c r="BB43" s="31" t="str">
        <f t="shared" si="27"/>
        <v>ModelRpt_ALL,1,</v>
      </c>
      <c r="BC43" s="31" t="str">
        <f t="shared" si="27"/>
        <v>BypassOpenStudio_all,0,</v>
      </c>
      <c r="BD43" s="31" t="str">
        <f t="shared" si="27"/>
        <v>BypassOpenStudio_zp,0,</v>
      </c>
      <c r="BE43" s="31" t="str">
        <f t="shared" si="27"/>
        <v>BypassOpenStudio_zb,0,</v>
      </c>
      <c r="BF43" s="31" t="str">
        <f t="shared" si="27"/>
        <v>BypassOpenStudio_ap,0,</v>
      </c>
      <c r="BG43" s="31" t="str">
        <f t="shared" si="27"/>
        <v>BypassOpenStudio_ab,0,</v>
      </c>
      <c r="BH43" s="31" t="str">
        <f t="shared" si="27"/>
        <v>BypassOpenStudio_zp,0,</v>
      </c>
      <c r="BI43" s="31" t="str">
        <f t="shared" si="27"/>
        <v>BypassOpenStudio_zb,0,</v>
      </c>
      <c r="BJ43" s="31" t="str">
        <f t="shared" si="27"/>
        <v>BypassOpenStudio_ap,0,</v>
      </c>
      <c r="BK43" s="31" t="str">
        <f t="shared" si="28"/>
        <v>BypassOpenStudio_ab,0</v>
      </c>
    </row>
    <row r="44" spans="1:65" x14ac:dyDescent="0.25">
      <c r="A44" s="39">
        <f t="shared" si="22"/>
        <v>0</v>
      </c>
      <c r="B44" s="27" t="str">
        <f t="shared" si="29"/>
        <v>OtherTests\.cibd</v>
      </c>
      <c r="C44" s="27" t="str">
        <f t="shared" si="30"/>
        <v>BatchOut_141103_r2722_OT\0.cibd</v>
      </c>
      <c r="D44" s="27" t="str">
        <f t="shared" si="31"/>
        <v>BatchOut_141103_r2722_OT\XML\</v>
      </c>
      <c r="E44" s="9" t="str">
        <f t="shared" si="32"/>
        <v/>
      </c>
      <c r="F44" s="22"/>
      <c r="G44" s="29"/>
      <c r="H44" s="23"/>
      <c r="I44" s="9" t="s">
        <v>11</v>
      </c>
      <c r="J44"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4" s="15" t="s">
        <v>1</v>
      </c>
      <c r="L44" s="36">
        <f t="shared" si="39"/>
        <v>0</v>
      </c>
      <c r="M44" s="32" t="str">
        <f t="shared" si="33"/>
        <v/>
      </c>
      <c r="N44" s="28"/>
      <c r="O44" s="57">
        <f t="shared" si="24"/>
        <v>0</v>
      </c>
      <c r="P44" s="63">
        <f t="shared" si="40"/>
        <v>2</v>
      </c>
      <c r="Q44" s="65">
        <f t="shared" si="40"/>
        <v>1</v>
      </c>
      <c r="R44" s="65">
        <f t="shared" si="40"/>
        <v>0</v>
      </c>
      <c r="S44" s="65">
        <f t="shared" si="40"/>
        <v>1</v>
      </c>
      <c r="T44" s="65">
        <f t="shared" si="40"/>
        <v>0</v>
      </c>
      <c r="U44" s="65">
        <f t="shared" si="40"/>
        <v>11</v>
      </c>
      <c r="V44" s="65">
        <f t="shared" si="40"/>
        <v>11</v>
      </c>
      <c r="W44" s="65">
        <f t="shared" si="40"/>
        <v>1</v>
      </c>
      <c r="X44" s="65">
        <f t="shared" si="40"/>
        <v>0</v>
      </c>
      <c r="Y44" s="65">
        <f t="shared" si="40"/>
        <v>0</v>
      </c>
      <c r="Z44" s="65">
        <f t="shared" si="40"/>
        <v>0</v>
      </c>
      <c r="AA44" s="65">
        <f t="shared" si="40"/>
        <v>0</v>
      </c>
      <c r="AB44" s="65">
        <f t="shared" si="40"/>
        <v>1</v>
      </c>
      <c r="AC44" s="65">
        <f t="shared" si="36"/>
        <v>1</v>
      </c>
      <c r="AD44" s="61">
        <f t="shared" si="36"/>
        <v>1</v>
      </c>
      <c r="AE44" s="63">
        <f t="shared" si="36"/>
        <v>0</v>
      </c>
      <c r="AF44" s="64">
        <f t="shared" si="36"/>
        <v>0</v>
      </c>
      <c r="AG44" s="64">
        <f t="shared" si="36"/>
        <v>0</v>
      </c>
      <c r="AH44" s="64">
        <f t="shared" si="36"/>
        <v>0</v>
      </c>
      <c r="AI44" s="66">
        <f t="shared" si="36"/>
        <v>0</v>
      </c>
      <c r="AJ44" s="63">
        <f t="shared" si="36"/>
        <v>0</v>
      </c>
      <c r="AK44" s="64">
        <f t="shared" si="36"/>
        <v>0</v>
      </c>
      <c r="AL44" s="65">
        <f t="shared" si="36"/>
        <v>0</v>
      </c>
      <c r="AM44" s="66">
        <f t="shared" si="36"/>
        <v>0</v>
      </c>
      <c r="AN44" s="31" t="str">
        <f t="shared" si="26"/>
        <v>SimulationStorage,2,</v>
      </c>
      <c r="AO44" s="31" t="str">
        <f t="shared" si="26"/>
        <v>AnalysisStorage,1,</v>
      </c>
      <c r="AP44" s="31" t="str">
        <f t="shared" si="26"/>
        <v>LogRuleEvaluation,0,</v>
      </c>
      <c r="AQ44" s="31" t="str">
        <f t="shared" si="26"/>
        <v>ParallelSimulations,1,</v>
      </c>
      <c r="AR44" s="31" t="str">
        <f t="shared" si="26"/>
        <v>DurationStats,0,</v>
      </c>
      <c r="AS44" s="31" t="str">
        <f t="shared" si="26"/>
        <v>AnalysisThruStep,11,</v>
      </c>
      <c r="AT44" s="31" t="str">
        <f t="shared" si="26"/>
        <v>DontAbortOnErrorsThruStep,11,</v>
      </c>
      <c r="AU44" s="31" t="str">
        <f t="shared" si="26"/>
        <v>BypassValidFileChecks,1,</v>
      </c>
      <c r="AV44" s="31" t="str">
        <f t="shared" si="26"/>
        <v>BypassInputChecks,0,</v>
      </c>
      <c r="AW44" s="31" t="str">
        <f t="shared" si="26"/>
        <v>BypassUMLHChecks,0,</v>
      </c>
      <c r="AX44" s="31" t="str">
        <f t="shared" si="26"/>
        <v>BypassCheckSimRules,0,</v>
      </c>
      <c r="AY44" s="31" t="str">
        <f t="shared" si="26"/>
        <v>BypassCheckCodeRules,0,</v>
      </c>
      <c r="BA44" s="31" t="str">
        <f t="shared" si="27"/>
        <v>StoreBEMDetails,1,</v>
      </c>
      <c r="BB44" s="31" t="str">
        <f t="shared" si="27"/>
        <v>ModelRpt_ALL,1,</v>
      </c>
      <c r="BC44" s="31" t="str">
        <f t="shared" si="27"/>
        <v>BypassOpenStudio_all,0,</v>
      </c>
      <c r="BD44" s="31" t="str">
        <f t="shared" si="27"/>
        <v>BypassOpenStudio_zp,0,</v>
      </c>
      <c r="BE44" s="31" t="str">
        <f t="shared" si="27"/>
        <v>BypassOpenStudio_zb,0,</v>
      </c>
      <c r="BF44" s="31" t="str">
        <f t="shared" si="27"/>
        <v>BypassOpenStudio_ap,0,</v>
      </c>
      <c r="BG44" s="31" t="str">
        <f t="shared" si="27"/>
        <v>BypassOpenStudio_ab,0,</v>
      </c>
      <c r="BH44" s="31" t="str">
        <f t="shared" si="27"/>
        <v>BypassOpenStudio_zp,0,</v>
      </c>
      <c r="BI44" s="31" t="str">
        <f t="shared" si="27"/>
        <v>BypassOpenStudio_zb,0,</v>
      </c>
      <c r="BJ44" s="31" t="str">
        <f t="shared" si="27"/>
        <v>BypassOpenStudio_ap,0,</v>
      </c>
      <c r="BK44" s="31" t="str">
        <f t="shared" si="28"/>
        <v>BypassOpenStudio_ab,0</v>
      </c>
    </row>
    <row r="45" spans="1:65" x14ac:dyDescent="0.25">
      <c r="A45" s="39">
        <f t="shared" si="22"/>
        <v>0</v>
      </c>
      <c r="B45" s="27" t="str">
        <f t="shared" si="29"/>
        <v>OtherTests\.cibd</v>
      </c>
      <c r="C45" s="27" t="str">
        <f t="shared" si="30"/>
        <v>BatchOut_141103_r2722_OT\0.cibd</v>
      </c>
      <c r="D45" s="27" t="str">
        <f t="shared" si="31"/>
        <v>BatchOut_141103_r2722_OT\XML\</v>
      </c>
      <c r="E45" s="9" t="str">
        <f t="shared" si="32"/>
        <v/>
      </c>
      <c r="F45" s="22"/>
      <c r="G45" s="29"/>
      <c r="H45" s="23" t="str">
        <f>IF(F45&gt;1,1,"")</f>
        <v/>
      </c>
      <c r="I45" s="9" t="s">
        <v>11</v>
      </c>
      <c r="J45"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5" s="15" t="s">
        <v>1</v>
      </c>
      <c r="L45" s="36">
        <f t="shared" si="39"/>
        <v>0</v>
      </c>
      <c r="M45" s="32" t="str">
        <f t="shared" si="33"/>
        <v/>
      </c>
      <c r="N45" s="28"/>
      <c r="O45" s="57">
        <f t="shared" si="24"/>
        <v>0</v>
      </c>
      <c r="P45" s="63">
        <f t="shared" si="40"/>
        <v>2</v>
      </c>
      <c r="Q45" s="65">
        <f t="shared" si="40"/>
        <v>1</v>
      </c>
      <c r="R45" s="65">
        <f t="shared" si="40"/>
        <v>0</v>
      </c>
      <c r="S45" s="65">
        <f t="shared" si="40"/>
        <v>1</v>
      </c>
      <c r="T45" s="65">
        <f t="shared" si="40"/>
        <v>0</v>
      </c>
      <c r="U45" s="65">
        <f t="shared" si="40"/>
        <v>11</v>
      </c>
      <c r="V45" s="65">
        <f t="shared" si="40"/>
        <v>11</v>
      </c>
      <c r="W45" s="65">
        <f t="shared" si="40"/>
        <v>1</v>
      </c>
      <c r="X45" s="65">
        <f t="shared" si="40"/>
        <v>0</v>
      </c>
      <c r="Y45" s="65">
        <f t="shared" si="40"/>
        <v>0</v>
      </c>
      <c r="Z45" s="65">
        <f t="shared" si="40"/>
        <v>0</v>
      </c>
      <c r="AA45" s="65">
        <f t="shared" si="40"/>
        <v>0</v>
      </c>
      <c r="AB45" s="65">
        <f t="shared" si="40"/>
        <v>1</v>
      </c>
      <c r="AC45" s="65">
        <f t="shared" si="36"/>
        <v>1</v>
      </c>
      <c r="AD45" s="61">
        <f t="shared" si="36"/>
        <v>1</v>
      </c>
      <c r="AE45" s="63">
        <f t="shared" si="36"/>
        <v>0</v>
      </c>
      <c r="AF45" s="64">
        <f t="shared" si="36"/>
        <v>0</v>
      </c>
      <c r="AG45" s="64">
        <f t="shared" si="36"/>
        <v>0</v>
      </c>
      <c r="AH45" s="64">
        <f t="shared" si="36"/>
        <v>0</v>
      </c>
      <c r="AI45" s="66">
        <f t="shared" si="36"/>
        <v>0</v>
      </c>
      <c r="AJ45" s="63">
        <f t="shared" si="36"/>
        <v>0</v>
      </c>
      <c r="AK45" s="64">
        <f t="shared" si="36"/>
        <v>0</v>
      </c>
      <c r="AL45" s="65">
        <f t="shared" si="36"/>
        <v>0</v>
      </c>
      <c r="AM45" s="66">
        <f t="shared" si="36"/>
        <v>0</v>
      </c>
      <c r="AN45" s="31" t="str">
        <f t="shared" si="26"/>
        <v>SimulationStorage,2,</v>
      </c>
      <c r="AO45" s="31" t="str">
        <f t="shared" si="26"/>
        <v>AnalysisStorage,1,</v>
      </c>
      <c r="AP45" s="31" t="str">
        <f t="shared" si="26"/>
        <v>LogRuleEvaluation,0,</v>
      </c>
      <c r="AQ45" s="31" t="str">
        <f t="shared" si="26"/>
        <v>ParallelSimulations,1,</v>
      </c>
      <c r="AR45" s="31" t="str">
        <f t="shared" si="26"/>
        <v>DurationStats,0,</v>
      </c>
      <c r="AS45" s="31" t="str">
        <f t="shared" si="26"/>
        <v>AnalysisThruStep,11,</v>
      </c>
      <c r="AT45" s="31" t="str">
        <f t="shared" si="26"/>
        <v>DontAbortOnErrorsThruStep,11,</v>
      </c>
      <c r="AU45" s="31" t="str">
        <f t="shared" si="26"/>
        <v>BypassValidFileChecks,1,</v>
      </c>
      <c r="AV45" s="31" t="str">
        <f t="shared" si="26"/>
        <v>BypassInputChecks,0,</v>
      </c>
      <c r="AW45" s="31" t="str">
        <f t="shared" si="26"/>
        <v>BypassUMLHChecks,0,</v>
      </c>
      <c r="AX45" s="31" t="str">
        <f t="shared" si="26"/>
        <v>BypassCheckSimRules,0,</v>
      </c>
      <c r="AY45" s="31" t="str">
        <f t="shared" si="26"/>
        <v>BypassCheckCodeRules,0,</v>
      </c>
      <c r="BA45" s="31" t="str">
        <f t="shared" si="27"/>
        <v>StoreBEMDetails,1,</v>
      </c>
      <c r="BB45" s="31" t="str">
        <f t="shared" si="27"/>
        <v>ModelRpt_ALL,1,</v>
      </c>
      <c r="BC45" s="31" t="str">
        <f t="shared" si="27"/>
        <v>BypassOpenStudio_all,0,</v>
      </c>
      <c r="BD45" s="31" t="str">
        <f t="shared" si="27"/>
        <v>BypassOpenStudio_zp,0,</v>
      </c>
      <c r="BE45" s="31" t="str">
        <f t="shared" si="27"/>
        <v>BypassOpenStudio_zb,0,</v>
      </c>
      <c r="BF45" s="31" t="str">
        <f t="shared" si="27"/>
        <v>BypassOpenStudio_ap,0,</v>
      </c>
      <c r="BG45" s="31" t="str">
        <f t="shared" si="27"/>
        <v>BypassOpenStudio_ab,0,</v>
      </c>
      <c r="BH45" s="31" t="str">
        <f t="shared" si="27"/>
        <v>BypassOpenStudio_zp,0,</v>
      </c>
      <c r="BI45" s="31" t="str">
        <f t="shared" si="27"/>
        <v>BypassOpenStudio_zb,0,</v>
      </c>
      <c r="BJ45" s="31" t="str">
        <f t="shared" si="27"/>
        <v>BypassOpenStudio_ap,0,</v>
      </c>
      <c r="BK45" s="31" t="str">
        <f t="shared" si="28"/>
        <v>BypassOpenStudio_ab,0</v>
      </c>
    </row>
    <row r="46" spans="1:65" x14ac:dyDescent="0.25">
      <c r="A46" s="39">
        <f t="shared" si="22"/>
        <v>0</v>
      </c>
      <c r="B46" s="27" t="str">
        <f t="shared" si="29"/>
        <v>OtherTests\.cibd</v>
      </c>
      <c r="C46" s="27" t="str">
        <f t="shared" si="30"/>
        <v>BatchOut_141103_r2722_OT\0.cibd</v>
      </c>
      <c r="D46" s="27" t="str">
        <f t="shared" si="31"/>
        <v>BatchOut_141103_r2722_OT\XML\</v>
      </c>
      <c r="E46" s="9">
        <f t="shared" si="32"/>
        <v>0</v>
      </c>
      <c r="F46" s="22"/>
      <c r="G46" s="29"/>
      <c r="H46" s="23"/>
      <c r="I46" s="9" t="s">
        <v>11</v>
      </c>
      <c r="J46"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6" s="15" t="s">
        <v>1</v>
      </c>
      <c r="L46" s="36">
        <f t="shared" si="39"/>
        <v>0</v>
      </c>
      <c r="M46" s="32">
        <f>N46</f>
        <v>0</v>
      </c>
      <c r="N46" s="28"/>
      <c r="O46" s="57">
        <f t="shared" si="24"/>
        <v>0</v>
      </c>
      <c r="P46" s="63">
        <f t="shared" si="40"/>
        <v>2</v>
      </c>
      <c r="Q46" s="65">
        <f t="shared" si="40"/>
        <v>1</v>
      </c>
      <c r="R46" s="65">
        <f t="shared" si="40"/>
        <v>0</v>
      </c>
      <c r="S46" s="65">
        <f t="shared" si="40"/>
        <v>1</v>
      </c>
      <c r="T46" s="65">
        <f t="shared" si="40"/>
        <v>0</v>
      </c>
      <c r="U46" s="65">
        <f t="shared" si="40"/>
        <v>11</v>
      </c>
      <c r="V46" s="65">
        <f t="shared" si="40"/>
        <v>11</v>
      </c>
      <c r="W46" s="65">
        <f t="shared" si="40"/>
        <v>1</v>
      </c>
      <c r="X46" s="65">
        <f t="shared" si="40"/>
        <v>0</v>
      </c>
      <c r="Y46" s="65">
        <f t="shared" si="40"/>
        <v>0</v>
      </c>
      <c r="Z46" s="65">
        <f t="shared" si="40"/>
        <v>0</v>
      </c>
      <c r="AA46" s="65">
        <f t="shared" si="40"/>
        <v>0</v>
      </c>
      <c r="AB46" s="65">
        <f t="shared" si="40"/>
        <v>1</v>
      </c>
      <c r="AC46" s="65">
        <f t="shared" si="36"/>
        <v>1</v>
      </c>
      <c r="AD46" s="61">
        <f t="shared" si="36"/>
        <v>1</v>
      </c>
      <c r="AE46" s="63">
        <f t="shared" si="36"/>
        <v>0</v>
      </c>
      <c r="AF46" s="64">
        <f t="shared" si="36"/>
        <v>0</v>
      </c>
      <c r="AG46" s="64">
        <f t="shared" si="36"/>
        <v>0</v>
      </c>
      <c r="AH46" s="64">
        <f t="shared" si="36"/>
        <v>0</v>
      </c>
      <c r="AI46" s="66">
        <f t="shared" si="36"/>
        <v>0</v>
      </c>
      <c r="AJ46" s="63">
        <f t="shared" si="36"/>
        <v>0</v>
      </c>
      <c r="AK46" s="64">
        <f t="shared" si="36"/>
        <v>0</v>
      </c>
      <c r="AL46" s="65">
        <f t="shared" si="36"/>
        <v>0</v>
      </c>
      <c r="AM46" s="66">
        <f t="shared" si="36"/>
        <v>0</v>
      </c>
      <c r="AN46" s="31" t="str">
        <f t="shared" si="26"/>
        <v>SimulationStorage,2,</v>
      </c>
      <c r="AO46" s="31" t="str">
        <f t="shared" si="26"/>
        <v>AnalysisStorage,1,</v>
      </c>
      <c r="AP46" s="31" t="str">
        <f t="shared" si="26"/>
        <v>LogRuleEvaluation,0,</v>
      </c>
      <c r="AQ46" s="31" t="str">
        <f t="shared" si="26"/>
        <v>ParallelSimulations,1,</v>
      </c>
      <c r="AR46" s="31" t="str">
        <f t="shared" si="26"/>
        <v>DurationStats,0,</v>
      </c>
      <c r="AS46" s="31" t="str">
        <f t="shared" si="26"/>
        <v>AnalysisThruStep,11,</v>
      </c>
      <c r="AT46" s="31" t="str">
        <f t="shared" si="26"/>
        <v>DontAbortOnErrorsThruStep,11,</v>
      </c>
      <c r="AU46" s="31" t="str">
        <f t="shared" si="26"/>
        <v>BypassValidFileChecks,1,</v>
      </c>
      <c r="AV46" s="31" t="str">
        <f t="shared" si="26"/>
        <v>BypassInputChecks,0,</v>
      </c>
      <c r="AW46" s="31" t="str">
        <f t="shared" si="26"/>
        <v>BypassUMLHChecks,0,</v>
      </c>
      <c r="AX46" s="31" t="str">
        <f t="shared" si="26"/>
        <v>BypassCheckSimRules,0,</v>
      </c>
      <c r="AY46" s="31" t="str">
        <f t="shared" si="26"/>
        <v>BypassCheckCodeRules,0,</v>
      </c>
      <c r="BA46" s="31" t="str">
        <f t="shared" si="27"/>
        <v>StoreBEMDetails,1,</v>
      </c>
      <c r="BB46" s="31" t="str">
        <f t="shared" si="27"/>
        <v>ModelRpt_ALL,1,</v>
      </c>
      <c r="BC46" s="31" t="str">
        <f t="shared" si="27"/>
        <v>BypassOpenStudio_all,0,</v>
      </c>
      <c r="BD46" s="31" t="str">
        <f t="shared" si="27"/>
        <v>BypassOpenStudio_zp,0,</v>
      </c>
      <c r="BE46" s="31" t="str">
        <f t="shared" si="27"/>
        <v>BypassOpenStudio_zb,0,</v>
      </c>
      <c r="BF46" s="31" t="str">
        <f t="shared" si="27"/>
        <v>BypassOpenStudio_ap,0,</v>
      </c>
      <c r="BG46" s="31" t="str">
        <f t="shared" si="27"/>
        <v>BypassOpenStudio_ab,0,</v>
      </c>
      <c r="BH46" s="31" t="str">
        <f t="shared" si="27"/>
        <v>BypassOpenStudio_zp,0,</v>
      </c>
      <c r="BI46" s="31" t="str">
        <f t="shared" si="27"/>
        <v>BypassOpenStudio_zb,0,</v>
      </c>
      <c r="BJ46" s="31" t="str">
        <f t="shared" si="27"/>
        <v>BypassOpenStudio_ap,0,</v>
      </c>
      <c r="BK46" s="31" t="str">
        <f t="shared" si="28"/>
        <v>BypassOpenStudio_ab,0</v>
      </c>
    </row>
    <row r="47" spans="1:65" x14ac:dyDescent="0.25">
      <c r="A47" s="39">
        <f t="shared" si="22"/>
        <v>0</v>
      </c>
      <c r="B47" s="27" t="str">
        <f t="shared" si="29"/>
        <v>OtherTests\.cibd</v>
      </c>
      <c r="C47" s="27" t="str">
        <f t="shared" si="30"/>
        <v>BatchOut_141103_r2722_OT\0.cibd</v>
      </c>
      <c r="D47" s="27" t="str">
        <f t="shared" si="31"/>
        <v>BatchOut_141103_r2722_OT\XML\</v>
      </c>
      <c r="E47" s="9">
        <f t="shared" si="32"/>
        <v>0</v>
      </c>
      <c r="F47" s="22"/>
      <c r="G47" s="29"/>
      <c r="H47" s="23" t="str">
        <f>IF(F47&gt;1,1,"")</f>
        <v/>
      </c>
      <c r="I47" s="9" t="s">
        <v>11</v>
      </c>
      <c r="J47"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7" s="15" t="s">
        <v>1</v>
      </c>
      <c r="L47" s="36">
        <f t="shared" si="39"/>
        <v>0</v>
      </c>
      <c r="M47" s="32">
        <f t="shared" ref="M47:M55" si="41">N47</f>
        <v>0</v>
      </c>
      <c r="N47" s="28"/>
      <c r="O47" s="57">
        <f t="shared" si="24"/>
        <v>0</v>
      </c>
      <c r="P47" s="63">
        <f t="shared" si="40"/>
        <v>2</v>
      </c>
      <c r="Q47" s="65">
        <f t="shared" si="40"/>
        <v>1</v>
      </c>
      <c r="R47" s="65">
        <f t="shared" si="40"/>
        <v>0</v>
      </c>
      <c r="S47" s="65">
        <f t="shared" si="40"/>
        <v>1</v>
      </c>
      <c r="T47" s="65">
        <f t="shared" si="40"/>
        <v>0</v>
      </c>
      <c r="U47" s="65">
        <f t="shared" si="40"/>
        <v>11</v>
      </c>
      <c r="V47" s="65">
        <f t="shared" si="40"/>
        <v>11</v>
      </c>
      <c r="W47" s="65">
        <f t="shared" si="40"/>
        <v>1</v>
      </c>
      <c r="X47" s="65">
        <f t="shared" si="40"/>
        <v>0</v>
      </c>
      <c r="Y47" s="65">
        <f t="shared" si="40"/>
        <v>0</v>
      </c>
      <c r="Z47" s="65">
        <f t="shared" si="40"/>
        <v>0</v>
      </c>
      <c r="AA47" s="65">
        <f t="shared" si="40"/>
        <v>0</v>
      </c>
      <c r="AB47" s="65">
        <f t="shared" si="40"/>
        <v>1</v>
      </c>
      <c r="AC47" s="65">
        <f t="shared" si="36"/>
        <v>1</v>
      </c>
      <c r="AD47" s="61">
        <f t="shared" si="36"/>
        <v>1</v>
      </c>
      <c r="AE47" s="63">
        <f t="shared" si="36"/>
        <v>0</v>
      </c>
      <c r="AF47" s="64">
        <f t="shared" si="36"/>
        <v>0</v>
      </c>
      <c r="AG47" s="64">
        <f t="shared" si="36"/>
        <v>0</v>
      </c>
      <c r="AH47" s="64">
        <f t="shared" si="36"/>
        <v>0</v>
      </c>
      <c r="AI47" s="66">
        <f t="shared" si="36"/>
        <v>0</v>
      </c>
      <c r="AJ47" s="63">
        <f t="shared" si="36"/>
        <v>0</v>
      </c>
      <c r="AK47" s="64">
        <f t="shared" si="36"/>
        <v>0</v>
      </c>
      <c r="AL47" s="65">
        <f t="shared" si="36"/>
        <v>0</v>
      </c>
      <c r="AM47" s="66">
        <f t="shared" si="36"/>
        <v>0</v>
      </c>
      <c r="AN47" s="31" t="str">
        <f t="shared" si="26"/>
        <v>SimulationStorage,2,</v>
      </c>
      <c r="AO47" s="31" t="str">
        <f t="shared" si="26"/>
        <v>AnalysisStorage,1,</v>
      </c>
      <c r="AP47" s="31" t="str">
        <f t="shared" si="26"/>
        <v>LogRuleEvaluation,0,</v>
      </c>
      <c r="AQ47" s="31" t="str">
        <f t="shared" si="26"/>
        <v>ParallelSimulations,1,</v>
      </c>
      <c r="AR47" s="31" t="str">
        <f t="shared" si="26"/>
        <v>DurationStats,0,</v>
      </c>
      <c r="AS47" s="31" t="str">
        <f t="shared" si="26"/>
        <v>AnalysisThruStep,11,</v>
      </c>
      <c r="AT47" s="31" t="str">
        <f t="shared" si="26"/>
        <v>DontAbortOnErrorsThruStep,11,</v>
      </c>
      <c r="AU47" s="31" t="str">
        <f t="shared" si="26"/>
        <v>BypassValidFileChecks,1,</v>
      </c>
      <c r="AV47" s="31" t="str">
        <f t="shared" si="26"/>
        <v>BypassInputChecks,0,</v>
      </c>
      <c r="AW47" s="31" t="str">
        <f t="shared" si="26"/>
        <v>BypassUMLHChecks,0,</v>
      </c>
      <c r="AX47" s="31" t="str">
        <f t="shared" si="26"/>
        <v>BypassCheckSimRules,0,</v>
      </c>
      <c r="AY47" s="31" t="str">
        <f t="shared" si="26"/>
        <v>BypassCheckCodeRules,0,</v>
      </c>
      <c r="BA47" s="31" t="str">
        <f t="shared" si="27"/>
        <v>StoreBEMDetails,1,</v>
      </c>
      <c r="BB47" s="31" t="str">
        <f t="shared" si="27"/>
        <v>ModelRpt_ALL,1,</v>
      </c>
      <c r="BC47" s="31" t="str">
        <f t="shared" si="27"/>
        <v>BypassOpenStudio_all,0,</v>
      </c>
      <c r="BD47" s="31" t="str">
        <f t="shared" si="27"/>
        <v>BypassOpenStudio_zp,0,</v>
      </c>
      <c r="BE47" s="31" t="str">
        <f t="shared" si="27"/>
        <v>BypassOpenStudio_zb,0,</v>
      </c>
      <c r="BF47" s="31" t="str">
        <f t="shared" si="27"/>
        <v>BypassOpenStudio_ap,0,</v>
      </c>
      <c r="BG47" s="31" t="str">
        <f t="shared" si="27"/>
        <v>BypassOpenStudio_ab,0,</v>
      </c>
      <c r="BH47" s="31" t="str">
        <f t="shared" si="27"/>
        <v>BypassOpenStudio_zp,0,</v>
      </c>
      <c r="BI47" s="31" t="str">
        <f t="shared" si="27"/>
        <v>BypassOpenStudio_zb,0,</v>
      </c>
      <c r="BJ47" s="31" t="str">
        <f t="shared" si="27"/>
        <v>BypassOpenStudio_ap,0,</v>
      </c>
      <c r="BK47" s="31" t="str">
        <f t="shared" si="28"/>
        <v>BypassOpenStudio_ab,0</v>
      </c>
    </row>
    <row r="48" spans="1:65" x14ac:dyDescent="0.25">
      <c r="A48" s="39">
        <f t="shared" si="22"/>
        <v>0</v>
      </c>
      <c r="B48" s="27" t="str">
        <f t="shared" si="29"/>
        <v>OtherTests\.cibd</v>
      </c>
      <c r="C48" s="27" t="str">
        <f t="shared" si="30"/>
        <v>BatchOut_141103_r2722_OT\0.cibd</v>
      </c>
      <c r="D48" s="27" t="str">
        <f t="shared" si="31"/>
        <v>BatchOut_141103_r2722_OT\XML\</v>
      </c>
      <c r="E48" s="9">
        <f t="shared" si="32"/>
        <v>0</v>
      </c>
      <c r="F48" s="22"/>
      <c r="G48" s="29"/>
      <c r="H48" s="23"/>
      <c r="I48" s="9" t="s">
        <v>11</v>
      </c>
      <c r="J48"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8" s="15" t="s">
        <v>1</v>
      </c>
      <c r="L48" s="36">
        <f t="shared" si="39"/>
        <v>0</v>
      </c>
      <c r="M48" s="32">
        <f t="shared" si="41"/>
        <v>0</v>
      </c>
      <c r="N48" s="28"/>
      <c r="O48" s="57">
        <f t="shared" si="24"/>
        <v>0</v>
      </c>
      <c r="P48" s="63">
        <f t="shared" si="40"/>
        <v>2</v>
      </c>
      <c r="Q48" s="65">
        <f t="shared" si="40"/>
        <v>1</v>
      </c>
      <c r="R48" s="65">
        <f t="shared" si="40"/>
        <v>0</v>
      </c>
      <c r="S48" s="65">
        <f t="shared" si="40"/>
        <v>1</v>
      </c>
      <c r="T48" s="65">
        <f t="shared" si="40"/>
        <v>0</v>
      </c>
      <c r="U48" s="65">
        <f t="shared" si="40"/>
        <v>11</v>
      </c>
      <c r="V48" s="65">
        <f t="shared" si="40"/>
        <v>11</v>
      </c>
      <c r="W48" s="65">
        <f t="shared" si="40"/>
        <v>1</v>
      </c>
      <c r="X48" s="65">
        <f t="shared" si="40"/>
        <v>0</v>
      </c>
      <c r="Y48" s="65">
        <f t="shared" si="40"/>
        <v>0</v>
      </c>
      <c r="Z48" s="65">
        <f t="shared" si="40"/>
        <v>0</v>
      </c>
      <c r="AA48" s="65">
        <f t="shared" si="40"/>
        <v>0</v>
      </c>
      <c r="AB48" s="65">
        <f t="shared" si="40"/>
        <v>1</v>
      </c>
      <c r="AC48" s="65">
        <f t="shared" si="36"/>
        <v>1</v>
      </c>
      <c r="AD48" s="61">
        <f t="shared" si="36"/>
        <v>1</v>
      </c>
      <c r="AE48" s="63">
        <f t="shared" si="36"/>
        <v>0</v>
      </c>
      <c r="AF48" s="64">
        <f t="shared" si="36"/>
        <v>0</v>
      </c>
      <c r="AG48" s="64">
        <f t="shared" si="36"/>
        <v>0</v>
      </c>
      <c r="AH48" s="64">
        <f t="shared" si="36"/>
        <v>0</v>
      </c>
      <c r="AI48" s="66">
        <f t="shared" si="36"/>
        <v>0</v>
      </c>
      <c r="AJ48" s="63">
        <f t="shared" si="36"/>
        <v>0</v>
      </c>
      <c r="AK48" s="64">
        <f t="shared" si="36"/>
        <v>0</v>
      </c>
      <c r="AL48" s="65">
        <f t="shared" si="36"/>
        <v>0</v>
      </c>
      <c r="AM48" s="66">
        <f t="shared" si="36"/>
        <v>0</v>
      </c>
      <c r="AN48" s="31" t="str">
        <f t="shared" si="26"/>
        <v>SimulationStorage,2,</v>
      </c>
      <c r="AO48" s="31" t="str">
        <f t="shared" si="26"/>
        <v>AnalysisStorage,1,</v>
      </c>
      <c r="AP48" s="31" t="str">
        <f t="shared" si="26"/>
        <v>LogRuleEvaluation,0,</v>
      </c>
      <c r="AQ48" s="31" t="str">
        <f t="shared" si="26"/>
        <v>ParallelSimulations,1,</v>
      </c>
      <c r="AR48" s="31" t="str">
        <f t="shared" si="26"/>
        <v>DurationStats,0,</v>
      </c>
      <c r="AS48" s="31" t="str">
        <f t="shared" si="26"/>
        <v>AnalysisThruStep,11,</v>
      </c>
      <c r="AT48" s="31" t="str">
        <f t="shared" si="26"/>
        <v>DontAbortOnErrorsThruStep,11,</v>
      </c>
      <c r="AU48" s="31" t="str">
        <f t="shared" si="26"/>
        <v>BypassValidFileChecks,1,</v>
      </c>
      <c r="AV48" s="31" t="str">
        <f t="shared" si="26"/>
        <v>BypassInputChecks,0,</v>
      </c>
      <c r="AW48" s="31" t="str">
        <f t="shared" si="26"/>
        <v>BypassUMLHChecks,0,</v>
      </c>
      <c r="AX48" s="31" t="str">
        <f t="shared" si="26"/>
        <v>BypassCheckSimRules,0,</v>
      </c>
      <c r="AY48" s="31" t="str">
        <f t="shared" si="26"/>
        <v>BypassCheckCodeRules,0,</v>
      </c>
      <c r="BA48" s="31" t="str">
        <f t="shared" si="27"/>
        <v>StoreBEMDetails,1,</v>
      </c>
      <c r="BB48" s="31" t="str">
        <f t="shared" si="27"/>
        <v>ModelRpt_ALL,1,</v>
      </c>
      <c r="BC48" s="31" t="str">
        <f t="shared" si="27"/>
        <v>BypassOpenStudio_all,0,</v>
      </c>
      <c r="BD48" s="31" t="str">
        <f t="shared" si="27"/>
        <v>BypassOpenStudio_zp,0,</v>
      </c>
      <c r="BE48" s="31" t="str">
        <f t="shared" si="27"/>
        <v>BypassOpenStudio_zb,0,</v>
      </c>
      <c r="BF48" s="31" t="str">
        <f t="shared" si="27"/>
        <v>BypassOpenStudio_ap,0,</v>
      </c>
      <c r="BG48" s="31" t="str">
        <f t="shared" si="27"/>
        <v>BypassOpenStudio_ab,0,</v>
      </c>
      <c r="BH48" s="31" t="str">
        <f t="shared" si="27"/>
        <v>BypassOpenStudio_zp,0,</v>
      </c>
      <c r="BI48" s="31" t="str">
        <f t="shared" si="27"/>
        <v>BypassOpenStudio_zb,0,</v>
      </c>
      <c r="BJ48" s="31" t="str">
        <f t="shared" si="27"/>
        <v>BypassOpenStudio_ap,0,</v>
      </c>
      <c r="BK48" s="31" t="str">
        <f t="shared" si="28"/>
        <v>BypassOpenStudio_ab,0</v>
      </c>
    </row>
    <row r="49" spans="1:65" x14ac:dyDescent="0.25">
      <c r="A49" s="39">
        <f t="shared" si="22"/>
        <v>0</v>
      </c>
      <c r="B49" s="27" t="str">
        <f t="shared" si="29"/>
        <v>OtherTests\.cibd</v>
      </c>
      <c r="C49" s="27" t="str">
        <f t="shared" si="30"/>
        <v>BatchOut_141103_r2722_OT\0.cibd</v>
      </c>
      <c r="D49" s="27" t="str">
        <f t="shared" si="31"/>
        <v>BatchOut_141103_r2722_OT\XML\</v>
      </c>
      <c r="E49" s="9">
        <f t="shared" si="32"/>
        <v>0</v>
      </c>
      <c r="F49" s="22"/>
      <c r="G49" s="29"/>
      <c r="H49" s="23"/>
      <c r="I49" s="9" t="s">
        <v>11</v>
      </c>
      <c r="J49"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9" s="15" t="s">
        <v>1</v>
      </c>
      <c r="L49" s="36">
        <f>L48</f>
        <v>0</v>
      </c>
      <c r="M49" s="32">
        <f t="shared" si="41"/>
        <v>0</v>
      </c>
      <c r="N49" s="28"/>
      <c r="O49" s="57">
        <f t="shared" si="24"/>
        <v>0</v>
      </c>
      <c r="P49" s="63">
        <f t="shared" si="40"/>
        <v>2</v>
      </c>
      <c r="Q49" s="65">
        <f t="shared" si="40"/>
        <v>1</v>
      </c>
      <c r="R49" s="65">
        <f t="shared" si="40"/>
        <v>0</v>
      </c>
      <c r="S49" s="65">
        <f t="shared" si="40"/>
        <v>1</v>
      </c>
      <c r="T49" s="65">
        <f t="shared" si="40"/>
        <v>0</v>
      </c>
      <c r="U49" s="65">
        <f t="shared" si="40"/>
        <v>11</v>
      </c>
      <c r="V49" s="65">
        <f t="shared" si="40"/>
        <v>11</v>
      </c>
      <c r="W49" s="65">
        <f t="shared" si="40"/>
        <v>1</v>
      </c>
      <c r="X49" s="65">
        <f t="shared" si="40"/>
        <v>0</v>
      </c>
      <c r="Y49" s="65">
        <f t="shared" si="40"/>
        <v>0</v>
      </c>
      <c r="Z49" s="65">
        <f t="shared" si="40"/>
        <v>0</v>
      </c>
      <c r="AA49" s="65">
        <f t="shared" si="40"/>
        <v>0</v>
      </c>
      <c r="AB49" s="65">
        <f t="shared" si="40"/>
        <v>1</v>
      </c>
      <c r="AC49" s="65">
        <f t="shared" si="40"/>
        <v>1</v>
      </c>
      <c r="AD49" s="61">
        <f t="shared" si="40"/>
        <v>1</v>
      </c>
      <c r="AE49" s="63">
        <f t="shared" si="40"/>
        <v>0</v>
      </c>
      <c r="AF49" s="64">
        <f t="shared" si="36"/>
        <v>0</v>
      </c>
      <c r="AG49" s="64">
        <f t="shared" si="36"/>
        <v>0</v>
      </c>
      <c r="AH49" s="64">
        <f t="shared" si="36"/>
        <v>0</v>
      </c>
      <c r="AI49" s="66">
        <f t="shared" si="36"/>
        <v>0</v>
      </c>
      <c r="AJ49" s="63">
        <f t="shared" si="36"/>
        <v>0</v>
      </c>
      <c r="AK49" s="64">
        <f t="shared" si="36"/>
        <v>0</v>
      </c>
      <c r="AL49" s="65">
        <f t="shared" si="36"/>
        <v>0</v>
      </c>
      <c r="AM49" s="66">
        <f t="shared" si="36"/>
        <v>0</v>
      </c>
      <c r="AN49" s="31" t="str">
        <f t="shared" si="26"/>
        <v>SimulationStorage,2,</v>
      </c>
      <c r="AO49" s="31" t="str">
        <f t="shared" si="26"/>
        <v>AnalysisStorage,1,</v>
      </c>
      <c r="AP49" s="31" t="str">
        <f t="shared" si="26"/>
        <v>LogRuleEvaluation,0,</v>
      </c>
      <c r="AQ49" s="31" t="str">
        <f t="shared" si="26"/>
        <v>ParallelSimulations,1,</v>
      </c>
      <c r="AR49" s="31" t="str">
        <f t="shared" si="26"/>
        <v>DurationStats,0,</v>
      </c>
      <c r="AS49" s="31" t="str">
        <f t="shared" si="26"/>
        <v>AnalysisThruStep,11,</v>
      </c>
      <c r="AT49" s="31" t="str">
        <f t="shared" si="26"/>
        <v>DontAbortOnErrorsThruStep,11,</v>
      </c>
      <c r="AU49" s="31" t="str">
        <f t="shared" si="26"/>
        <v>BypassValidFileChecks,1,</v>
      </c>
      <c r="AV49" s="31" t="str">
        <f t="shared" si="26"/>
        <v>BypassInputChecks,0,</v>
      </c>
      <c r="AW49" s="31" t="str">
        <f t="shared" si="26"/>
        <v>BypassUMLHChecks,0,</v>
      </c>
      <c r="AX49" s="31" t="str">
        <f t="shared" si="26"/>
        <v>BypassCheckSimRules,0,</v>
      </c>
      <c r="AY49" s="31" t="str">
        <f t="shared" si="26"/>
        <v>BypassCheckCodeRules,0,</v>
      </c>
      <c r="BA49" s="31" t="str">
        <f t="shared" si="27"/>
        <v>StoreBEMDetails,1,</v>
      </c>
      <c r="BB49" s="31" t="str">
        <f t="shared" si="27"/>
        <v>ModelRpt_ALL,1,</v>
      </c>
      <c r="BC49" s="31" t="str">
        <f t="shared" si="27"/>
        <v>BypassOpenStudio_all,0,</v>
      </c>
      <c r="BD49" s="31" t="str">
        <f t="shared" si="27"/>
        <v>BypassOpenStudio_zp,0,</v>
      </c>
      <c r="BE49" s="31" t="str">
        <f t="shared" si="27"/>
        <v>BypassOpenStudio_zb,0,</v>
      </c>
      <c r="BF49" s="31" t="str">
        <f t="shared" si="27"/>
        <v>BypassOpenStudio_ap,0,</v>
      </c>
      <c r="BG49" s="31" t="str">
        <f t="shared" si="27"/>
        <v>BypassOpenStudio_ab,0,</v>
      </c>
      <c r="BH49" s="31" t="str">
        <f t="shared" si="27"/>
        <v>BypassOpenStudio_zp,0,</v>
      </c>
      <c r="BI49" s="31" t="str">
        <f t="shared" si="27"/>
        <v>BypassOpenStudio_zb,0,</v>
      </c>
      <c r="BJ49" s="31" t="str">
        <f t="shared" si="27"/>
        <v>BypassOpenStudio_ap,0,</v>
      </c>
      <c r="BK49" s="31" t="str">
        <f t="shared" si="28"/>
        <v>BypassOpenStudio_ab,0</v>
      </c>
    </row>
    <row r="50" spans="1:65" x14ac:dyDescent="0.25">
      <c r="A50" s="39">
        <f t="shared" si="22"/>
        <v>0</v>
      </c>
      <c r="B50" s="27" t="str">
        <f t="shared" si="29"/>
        <v>OtherTests\.cibd</v>
      </c>
      <c r="C50" s="27" t="str">
        <f t="shared" si="30"/>
        <v>BatchOut_141103_r2722_OT\0.cibd</v>
      </c>
      <c r="D50" s="27" t="str">
        <f t="shared" si="31"/>
        <v>BatchOut_141103_r2722_OT\XML\</v>
      </c>
      <c r="E50" s="9">
        <f t="shared" si="32"/>
        <v>0</v>
      </c>
      <c r="F50" s="22"/>
      <c r="G50" s="29"/>
      <c r="H50" s="23"/>
      <c r="I50" s="9" t="s">
        <v>11</v>
      </c>
      <c r="J50"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0" s="15" t="s">
        <v>1</v>
      </c>
      <c r="L50" s="36">
        <f t="shared" si="39"/>
        <v>0</v>
      </c>
      <c r="M50" s="32">
        <f t="shared" si="41"/>
        <v>0</v>
      </c>
      <c r="N50" s="28"/>
      <c r="O50" s="57">
        <f t="shared" si="24"/>
        <v>0</v>
      </c>
      <c r="P50" s="63">
        <f t="shared" si="40"/>
        <v>2</v>
      </c>
      <c r="Q50" s="65">
        <f t="shared" si="40"/>
        <v>1</v>
      </c>
      <c r="R50" s="65">
        <f t="shared" si="40"/>
        <v>0</v>
      </c>
      <c r="S50" s="65">
        <f t="shared" si="40"/>
        <v>1</v>
      </c>
      <c r="T50" s="65">
        <f t="shared" si="40"/>
        <v>0</v>
      </c>
      <c r="U50" s="65">
        <f t="shared" si="40"/>
        <v>11</v>
      </c>
      <c r="V50" s="65">
        <f t="shared" si="40"/>
        <v>11</v>
      </c>
      <c r="W50" s="65">
        <f t="shared" si="40"/>
        <v>1</v>
      </c>
      <c r="X50" s="65">
        <f t="shared" si="40"/>
        <v>0</v>
      </c>
      <c r="Y50" s="65">
        <f t="shared" si="40"/>
        <v>0</v>
      </c>
      <c r="Z50" s="65">
        <f t="shared" si="40"/>
        <v>0</v>
      </c>
      <c r="AA50" s="65">
        <f t="shared" si="40"/>
        <v>0</v>
      </c>
      <c r="AB50" s="65">
        <f t="shared" si="40"/>
        <v>1</v>
      </c>
      <c r="AC50" s="65">
        <f t="shared" si="36"/>
        <v>1</v>
      </c>
      <c r="AD50" s="61">
        <f t="shared" si="36"/>
        <v>1</v>
      </c>
      <c r="AE50" s="63">
        <f t="shared" si="36"/>
        <v>0</v>
      </c>
      <c r="AF50" s="64">
        <f t="shared" si="36"/>
        <v>0</v>
      </c>
      <c r="AG50" s="64">
        <f t="shared" si="36"/>
        <v>0</v>
      </c>
      <c r="AH50" s="64">
        <f t="shared" si="36"/>
        <v>0</v>
      </c>
      <c r="AI50" s="66">
        <f t="shared" si="36"/>
        <v>0</v>
      </c>
      <c r="AJ50" s="63">
        <f t="shared" si="36"/>
        <v>0</v>
      </c>
      <c r="AK50" s="64">
        <f t="shared" si="36"/>
        <v>0</v>
      </c>
      <c r="AL50" s="65">
        <f t="shared" si="36"/>
        <v>0</v>
      </c>
      <c r="AM50" s="66">
        <f t="shared" si="36"/>
        <v>0</v>
      </c>
      <c r="AN50" s="31" t="str">
        <f t="shared" si="26"/>
        <v>SimulationStorage,2,</v>
      </c>
      <c r="AO50" s="31" t="str">
        <f t="shared" si="26"/>
        <v>AnalysisStorage,1,</v>
      </c>
      <c r="AP50" s="31" t="str">
        <f t="shared" si="26"/>
        <v>LogRuleEvaluation,0,</v>
      </c>
      <c r="AQ50" s="31" t="str">
        <f t="shared" si="26"/>
        <v>ParallelSimulations,1,</v>
      </c>
      <c r="AR50" s="31" t="str">
        <f t="shared" si="26"/>
        <v>DurationStats,0,</v>
      </c>
      <c r="AS50" s="31" t="str">
        <f t="shared" si="26"/>
        <v>AnalysisThruStep,11,</v>
      </c>
      <c r="AT50" s="31" t="str">
        <f t="shared" si="26"/>
        <v>DontAbortOnErrorsThruStep,11,</v>
      </c>
      <c r="AU50" s="31" t="str">
        <f t="shared" si="26"/>
        <v>BypassValidFileChecks,1,</v>
      </c>
      <c r="AV50" s="31" t="str">
        <f t="shared" si="26"/>
        <v>BypassInputChecks,0,</v>
      </c>
      <c r="AW50" s="31" t="str">
        <f t="shared" si="26"/>
        <v>BypassUMLHChecks,0,</v>
      </c>
      <c r="AX50" s="31" t="str">
        <f t="shared" si="26"/>
        <v>BypassCheckSimRules,0,</v>
      </c>
      <c r="AY50" s="31" t="str">
        <f t="shared" si="26"/>
        <v>BypassCheckCodeRules,0,</v>
      </c>
      <c r="BA50" s="31" t="str">
        <f t="shared" si="27"/>
        <v>StoreBEMDetails,1,</v>
      </c>
      <c r="BB50" s="31" t="str">
        <f t="shared" si="27"/>
        <v>ModelRpt_ALL,1,</v>
      </c>
      <c r="BC50" s="31" t="str">
        <f t="shared" si="27"/>
        <v>BypassOpenStudio_all,0,</v>
      </c>
      <c r="BD50" s="31" t="str">
        <f t="shared" si="27"/>
        <v>BypassOpenStudio_zp,0,</v>
      </c>
      <c r="BE50" s="31" t="str">
        <f t="shared" si="27"/>
        <v>BypassOpenStudio_zb,0,</v>
      </c>
      <c r="BF50" s="31" t="str">
        <f t="shared" si="27"/>
        <v>BypassOpenStudio_ap,0,</v>
      </c>
      <c r="BG50" s="31" t="str">
        <f t="shared" si="27"/>
        <v>BypassOpenStudio_ab,0,</v>
      </c>
      <c r="BH50" s="31" t="str">
        <f t="shared" si="27"/>
        <v>BypassOpenStudio_zp,0,</v>
      </c>
      <c r="BI50" s="31" t="str">
        <f t="shared" si="27"/>
        <v>BypassOpenStudio_zb,0,</v>
      </c>
      <c r="BJ50" s="31" t="str">
        <f t="shared" si="27"/>
        <v>BypassOpenStudio_ap,0,</v>
      </c>
      <c r="BK50" s="31" t="str">
        <f t="shared" si="28"/>
        <v>BypassOpenStudio_ab,0</v>
      </c>
    </row>
    <row r="51" spans="1:65" x14ac:dyDescent="0.25">
      <c r="A51" s="39">
        <f t="shared" si="22"/>
        <v>0</v>
      </c>
      <c r="B51" s="27" t="str">
        <f t="shared" si="29"/>
        <v>OtherTests\.cibd</v>
      </c>
      <c r="C51" s="27" t="str">
        <f t="shared" si="30"/>
        <v>BatchOut_141103_r2722_OT\0.cibd</v>
      </c>
      <c r="D51" s="27" t="str">
        <f t="shared" si="31"/>
        <v>BatchOut_141103_r2722_OT\XML\</v>
      </c>
      <c r="E51" s="9">
        <f t="shared" si="32"/>
        <v>0</v>
      </c>
      <c r="F51" s="22"/>
      <c r="G51" s="29"/>
      <c r="H51" s="23" t="str">
        <f>IF(F51&gt;1,1,"")</f>
        <v/>
      </c>
      <c r="I51" s="9" t="s">
        <v>11</v>
      </c>
      <c r="J51"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1" s="15" t="s">
        <v>1</v>
      </c>
      <c r="L51" s="36">
        <f t="shared" si="39"/>
        <v>0</v>
      </c>
      <c r="M51" s="32">
        <f t="shared" si="41"/>
        <v>0</v>
      </c>
      <c r="N51" s="28"/>
      <c r="O51" s="57">
        <f t="shared" si="24"/>
        <v>0</v>
      </c>
      <c r="P51" s="63">
        <f t="shared" si="40"/>
        <v>2</v>
      </c>
      <c r="Q51" s="65">
        <f t="shared" si="40"/>
        <v>1</v>
      </c>
      <c r="R51" s="65">
        <f t="shared" si="40"/>
        <v>0</v>
      </c>
      <c r="S51" s="65">
        <f t="shared" si="40"/>
        <v>1</v>
      </c>
      <c r="T51" s="65">
        <f t="shared" si="40"/>
        <v>0</v>
      </c>
      <c r="U51" s="65">
        <f t="shared" si="40"/>
        <v>11</v>
      </c>
      <c r="V51" s="65">
        <f t="shared" si="40"/>
        <v>11</v>
      </c>
      <c r="W51" s="65">
        <f t="shared" si="40"/>
        <v>1</v>
      </c>
      <c r="X51" s="65">
        <f t="shared" si="40"/>
        <v>0</v>
      </c>
      <c r="Y51" s="65">
        <f t="shared" si="40"/>
        <v>0</v>
      </c>
      <c r="Z51" s="65">
        <f t="shared" si="40"/>
        <v>0</v>
      </c>
      <c r="AA51" s="65">
        <f t="shared" si="40"/>
        <v>0</v>
      </c>
      <c r="AB51" s="65">
        <f t="shared" si="40"/>
        <v>1</v>
      </c>
      <c r="AC51" s="65">
        <f t="shared" si="36"/>
        <v>1</v>
      </c>
      <c r="AD51" s="61">
        <f t="shared" si="36"/>
        <v>1</v>
      </c>
      <c r="AE51" s="63">
        <f t="shared" si="36"/>
        <v>0</v>
      </c>
      <c r="AF51" s="64">
        <f t="shared" si="36"/>
        <v>0</v>
      </c>
      <c r="AG51" s="64">
        <f t="shared" si="36"/>
        <v>0</v>
      </c>
      <c r="AH51" s="64">
        <f t="shared" si="36"/>
        <v>0</v>
      </c>
      <c r="AI51" s="66">
        <f t="shared" si="36"/>
        <v>0</v>
      </c>
      <c r="AJ51" s="63">
        <f t="shared" si="36"/>
        <v>0</v>
      </c>
      <c r="AK51" s="64">
        <f t="shared" si="36"/>
        <v>0</v>
      </c>
      <c r="AL51" s="65">
        <f t="shared" si="36"/>
        <v>0</v>
      </c>
      <c r="AM51" s="66">
        <f t="shared" si="36"/>
        <v>0</v>
      </c>
      <c r="AN51" s="31" t="str">
        <f t="shared" si="26"/>
        <v>SimulationStorage,2,</v>
      </c>
      <c r="AO51" s="31" t="str">
        <f t="shared" si="26"/>
        <v>AnalysisStorage,1,</v>
      </c>
      <c r="AP51" s="31" t="str">
        <f t="shared" si="26"/>
        <v>LogRuleEvaluation,0,</v>
      </c>
      <c r="AQ51" s="31" t="str">
        <f t="shared" si="26"/>
        <v>ParallelSimulations,1,</v>
      </c>
      <c r="AR51" s="31" t="str">
        <f t="shared" si="26"/>
        <v>DurationStats,0,</v>
      </c>
      <c r="AS51" s="31" t="str">
        <f t="shared" si="26"/>
        <v>AnalysisThruStep,11,</v>
      </c>
      <c r="AT51" s="31" t="str">
        <f t="shared" si="26"/>
        <v>DontAbortOnErrorsThruStep,11,</v>
      </c>
      <c r="AU51" s="31" t="str">
        <f t="shared" si="26"/>
        <v>BypassValidFileChecks,1,</v>
      </c>
      <c r="AV51" s="31" t="str">
        <f t="shared" si="26"/>
        <v>BypassInputChecks,0,</v>
      </c>
      <c r="AW51" s="31" t="str">
        <f t="shared" si="26"/>
        <v>BypassUMLHChecks,0,</v>
      </c>
      <c r="AX51" s="31" t="str">
        <f t="shared" si="26"/>
        <v>BypassCheckSimRules,0,</v>
      </c>
      <c r="AY51" s="31" t="str">
        <f t="shared" si="26"/>
        <v>BypassCheckCodeRules,0,</v>
      </c>
      <c r="BA51" s="31" t="str">
        <f t="shared" si="27"/>
        <v>StoreBEMDetails,1,</v>
      </c>
      <c r="BB51" s="31" t="str">
        <f t="shared" si="27"/>
        <v>ModelRpt_ALL,1,</v>
      </c>
      <c r="BC51" s="31" t="str">
        <f t="shared" si="27"/>
        <v>BypassOpenStudio_all,0,</v>
      </c>
      <c r="BD51" s="31" t="str">
        <f t="shared" si="27"/>
        <v>BypassOpenStudio_zp,0,</v>
      </c>
      <c r="BE51" s="31" t="str">
        <f t="shared" si="27"/>
        <v>BypassOpenStudio_zb,0,</v>
      </c>
      <c r="BF51" s="31" t="str">
        <f t="shared" si="27"/>
        <v>BypassOpenStudio_ap,0,</v>
      </c>
      <c r="BG51" s="31" t="str">
        <f t="shared" si="27"/>
        <v>BypassOpenStudio_ab,0,</v>
      </c>
      <c r="BH51" s="31" t="str">
        <f t="shared" si="27"/>
        <v>BypassOpenStudio_zp,0,</v>
      </c>
      <c r="BI51" s="31" t="str">
        <f t="shared" si="27"/>
        <v>BypassOpenStudio_zb,0,</v>
      </c>
      <c r="BJ51" s="31" t="str">
        <f t="shared" si="27"/>
        <v>BypassOpenStudio_ap,0,</v>
      </c>
      <c r="BK51" s="31" t="str">
        <f t="shared" si="28"/>
        <v>BypassOpenStudio_ab,0</v>
      </c>
    </row>
    <row r="52" spans="1:65" x14ac:dyDescent="0.25">
      <c r="A52" s="39">
        <f t="shared" si="22"/>
        <v>0</v>
      </c>
      <c r="B52" s="27" t="str">
        <f t="shared" si="29"/>
        <v>OtherTests\.cibd</v>
      </c>
      <c r="C52" s="27" t="str">
        <f t="shared" si="30"/>
        <v>BatchOut_141103_r2722_OT\0.cibd</v>
      </c>
      <c r="D52" s="27" t="str">
        <f t="shared" si="31"/>
        <v>BatchOut_141103_r2722_OT\XML\</v>
      </c>
      <c r="E52" s="9">
        <f t="shared" si="32"/>
        <v>0</v>
      </c>
      <c r="F52" s="22"/>
      <c r="G52" s="29"/>
      <c r="H52" s="23"/>
      <c r="I52" s="9" t="s">
        <v>11</v>
      </c>
      <c r="J52"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2" s="15" t="s">
        <v>1</v>
      </c>
      <c r="L52" s="36">
        <f t="shared" si="39"/>
        <v>0</v>
      </c>
      <c r="M52" s="32">
        <f t="shared" si="41"/>
        <v>0</v>
      </c>
      <c r="N52" s="28"/>
      <c r="O52" s="57">
        <f t="shared" si="24"/>
        <v>0</v>
      </c>
      <c r="P52" s="63">
        <f t="shared" si="40"/>
        <v>2</v>
      </c>
      <c r="Q52" s="65">
        <f t="shared" si="40"/>
        <v>1</v>
      </c>
      <c r="R52" s="65">
        <f t="shared" si="40"/>
        <v>0</v>
      </c>
      <c r="S52" s="65">
        <f t="shared" si="40"/>
        <v>1</v>
      </c>
      <c r="T52" s="65">
        <f t="shared" si="40"/>
        <v>0</v>
      </c>
      <c r="U52" s="65">
        <f t="shared" si="40"/>
        <v>11</v>
      </c>
      <c r="V52" s="65">
        <f t="shared" si="40"/>
        <v>11</v>
      </c>
      <c r="W52" s="65">
        <f t="shared" si="40"/>
        <v>1</v>
      </c>
      <c r="X52" s="65">
        <f t="shared" si="40"/>
        <v>0</v>
      </c>
      <c r="Y52" s="65">
        <f t="shared" si="40"/>
        <v>0</v>
      </c>
      <c r="Z52" s="65">
        <f t="shared" si="40"/>
        <v>0</v>
      </c>
      <c r="AA52" s="65">
        <f t="shared" si="40"/>
        <v>0</v>
      </c>
      <c r="AB52" s="65">
        <f t="shared" si="40"/>
        <v>1</v>
      </c>
      <c r="AC52" s="65">
        <f t="shared" si="36"/>
        <v>1</v>
      </c>
      <c r="AD52" s="61">
        <f t="shared" si="36"/>
        <v>1</v>
      </c>
      <c r="AE52" s="63">
        <f t="shared" si="36"/>
        <v>0</v>
      </c>
      <c r="AF52" s="64">
        <f t="shared" si="36"/>
        <v>0</v>
      </c>
      <c r="AG52" s="64">
        <f t="shared" si="36"/>
        <v>0</v>
      </c>
      <c r="AH52" s="64">
        <f t="shared" si="36"/>
        <v>0</v>
      </c>
      <c r="AI52" s="66">
        <f t="shared" si="36"/>
        <v>0</v>
      </c>
      <c r="AJ52" s="63">
        <f t="shared" si="36"/>
        <v>0</v>
      </c>
      <c r="AK52" s="64">
        <f t="shared" si="36"/>
        <v>0</v>
      </c>
      <c r="AL52" s="65">
        <f t="shared" si="36"/>
        <v>0</v>
      </c>
      <c r="AM52" s="66">
        <f t="shared" si="36"/>
        <v>0</v>
      </c>
      <c r="AN52" s="31" t="str">
        <f t="shared" si="26"/>
        <v>SimulationStorage,2,</v>
      </c>
      <c r="AO52" s="31" t="str">
        <f t="shared" si="26"/>
        <v>AnalysisStorage,1,</v>
      </c>
      <c r="AP52" s="31" t="str">
        <f t="shared" si="26"/>
        <v>LogRuleEvaluation,0,</v>
      </c>
      <c r="AQ52" s="31" t="str">
        <f t="shared" si="26"/>
        <v>ParallelSimulations,1,</v>
      </c>
      <c r="AR52" s="31" t="str">
        <f t="shared" si="26"/>
        <v>DurationStats,0,</v>
      </c>
      <c r="AS52" s="31" t="str">
        <f t="shared" si="26"/>
        <v>AnalysisThruStep,11,</v>
      </c>
      <c r="AT52" s="31" t="str">
        <f t="shared" si="26"/>
        <v>DontAbortOnErrorsThruStep,11,</v>
      </c>
      <c r="AU52" s="31" t="str">
        <f t="shared" si="26"/>
        <v>BypassValidFileChecks,1,</v>
      </c>
      <c r="AV52" s="31" t="str">
        <f t="shared" si="26"/>
        <v>BypassInputChecks,0,</v>
      </c>
      <c r="AW52" s="31" t="str">
        <f t="shared" si="26"/>
        <v>BypassUMLHChecks,0,</v>
      </c>
      <c r="AX52" s="31" t="str">
        <f t="shared" si="26"/>
        <v>BypassCheckSimRules,0,</v>
      </c>
      <c r="AY52" s="31" t="str">
        <f t="shared" si="26"/>
        <v>BypassCheckCodeRules,0,</v>
      </c>
      <c r="BA52" s="31" t="str">
        <f t="shared" si="27"/>
        <v>StoreBEMDetails,1,</v>
      </c>
      <c r="BB52" s="31" t="str">
        <f t="shared" si="27"/>
        <v>ModelRpt_ALL,1,</v>
      </c>
      <c r="BC52" s="31" t="str">
        <f t="shared" si="27"/>
        <v>BypassOpenStudio_all,0,</v>
      </c>
      <c r="BD52" s="31" t="str">
        <f t="shared" si="27"/>
        <v>BypassOpenStudio_zp,0,</v>
      </c>
      <c r="BE52" s="31" t="str">
        <f t="shared" si="27"/>
        <v>BypassOpenStudio_zb,0,</v>
      </c>
      <c r="BF52" s="31" t="str">
        <f t="shared" si="27"/>
        <v>BypassOpenStudio_ap,0,</v>
      </c>
      <c r="BG52" s="31" t="str">
        <f t="shared" si="27"/>
        <v>BypassOpenStudio_ab,0,</v>
      </c>
      <c r="BH52" s="31" t="str">
        <f t="shared" si="27"/>
        <v>BypassOpenStudio_zp,0,</v>
      </c>
      <c r="BI52" s="31" t="str">
        <f t="shared" si="27"/>
        <v>BypassOpenStudio_zb,0,</v>
      </c>
      <c r="BJ52" s="31" t="str">
        <f t="shared" si="27"/>
        <v>BypassOpenStudio_ap,0,</v>
      </c>
      <c r="BK52" s="31" t="str">
        <f t="shared" si="28"/>
        <v>BypassOpenStudio_ab,0</v>
      </c>
    </row>
    <row r="53" spans="1:65" x14ac:dyDescent="0.25">
      <c r="A53" s="39">
        <f t="shared" si="22"/>
        <v>0</v>
      </c>
      <c r="B53" s="27" t="str">
        <f t="shared" si="29"/>
        <v>OtherTests\.cibd</v>
      </c>
      <c r="C53" s="27" t="str">
        <f t="shared" si="30"/>
        <v>BatchOut_141103_r2722_OT\0.cibd</v>
      </c>
      <c r="D53" s="27" t="str">
        <f t="shared" si="31"/>
        <v>BatchOut_141103_r2722_OT\XML\</v>
      </c>
      <c r="E53" s="9">
        <f t="shared" si="32"/>
        <v>0</v>
      </c>
      <c r="F53" s="22"/>
      <c r="G53" s="29"/>
      <c r="H53" s="23"/>
      <c r="I53" s="9" t="s">
        <v>11</v>
      </c>
      <c r="J53"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3" s="15" t="s">
        <v>1</v>
      </c>
      <c r="L53" s="36">
        <f t="shared" si="39"/>
        <v>0</v>
      </c>
      <c r="M53" s="32">
        <f t="shared" si="41"/>
        <v>0</v>
      </c>
      <c r="N53" s="28"/>
      <c r="O53" s="57">
        <f t="shared" si="24"/>
        <v>0</v>
      </c>
      <c r="P53" s="63">
        <f t="shared" si="40"/>
        <v>2</v>
      </c>
      <c r="Q53" s="65">
        <f t="shared" si="40"/>
        <v>1</v>
      </c>
      <c r="R53" s="65">
        <f t="shared" si="40"/>
        <v>0</v>
      </c>
      <c r="S53" s="65">
        <f t="shared" si="40"/>
        <v>1</v>
      </c>
      <c r="T53" s="65">
        <f t="shared" si="40"/>
        <v>0</v>
      </c>
      <c r="U53" s="65">
        <f t="shared" si="40"/>
        <v>11</v>
      </c>
      <c r="V53" s="65">
        <f t="shared" si="40"/>
        <v>11</v>
      </c>
      <c r="W53" s="65">
        <f t="shared" si="40"/>
        <v>1</v>
      </c>
      <c r="X53" s="65">
        <f t="shared" si="40"/>
        <v>0</v>
      </c>
      <c r="Y53" s="65">
        <f t="shared" si="40"/>
        <v>0</v>
      </c>
      <c r="Z53" s="65">
        <f t="shared" si="40"/>
        <v>0</v>
      </c>
      <c r="AA53" s="65">
        <f t="shared" si="40"/>
        <v>0</v>
      </c>
      <c r="AB53" s="65">
        <f t="shared" si="40"/>
        <v>1</v>
      </c>
      <c r="AC53" s="65">
        <f t="shared" si="36"/>
        <v>1</v>
      </c>
      <c r="AD53" s="61">
        <f t="shared" si="36"/>
        <v>1</v>
      </c>
      <c r="AE53" s="63">
        <f t="shared" si="36"/>
        <v>0</v>
      </c>
      <c r="AF53" s="64">
        <f t="shared" si="36"/>
        <v>0</v>
      </c>
      <c r="AG53" s="64">
        <f t="shared" si="36"/>
        <v>0</v>
      </c>
      <c r="AH53" s="64">
        <f t="shared" si="36"/>
        <v>0</v>
      </c>
      <c r="AI53" s="66">
        <f t="shared" si="36"/>
        <v>0</v>
      </c>
      <c r="AJ53" s="63">
        <f t="shared" si="36"/>
        <v>0</v>
      </c>
      <c r="AK53" s="64">
        <f t="shared" si="36"/>
        <v>0</v>
      </c>
      <c r="AL53" s="65">
        <f t="shared" si="36"/>
        <v>0</v>
      </c>
      <c r="AM53" s="66">
        <f t="shared" si="36"/>
        <v>0</v>
      </c>
      <c r="AN53" s="31" t="str">
        <f t="shared" si="26"/>
        <v>SimulationStorage,2,</v>
      </c>
      <c r="AO53" s="31" t="str">
        <f t="shared" si="26"/>
        <v>AnalysisStorage,1,</v>
      </c>
      <c r="AP53" s="31" t="str">
        <f t="shared" si="26"/>
        <v>LogRuleEvaluation,0,</v>
      </c>
      <c r="AQ53" s="31" t="str">
        <f t="shared" si="26"/>
        <v>ParallelSimulations,1,</v>
      </c>
      <c r="AR53" s="31" t="str">
        <f t="shared" si="26"/>
        <v>DurationStats,0,</v>
      </c>
      <c r="AS53" s="31" t="str">
        <f t="shared" si="26"/>
        <v>AnalysisThruStep,11,</v>
      </c>
      <c r="AT53" s="31" t="str">
        <f t="shared" si="26"/>
        <v>DontAbortOnErrorsThruStep,11,</v>
      </c>
      <c r="AU53" s="31" t="str">
        <f t="shared" si="26"/>
        <v>BypassValidFileChecks,1,</v>
      </c>
      <c r="AV53" s="31" t="str">
        <f t="shared" si="26"/>
        <v>BypassInputChecks,0,</v>
      </c>
      <c r="AW53" s="31" t="str">
        <f t="shared" si="26"/>
        <v>BypassUMLHChecks,0,</v>
      </c>
      <c r="AX53" s="31" t="str">
        <f t="shared" si="26"/>
        <v>BypassCheckSimRules,0,</v>
      </c>
      <c r="AY53" s="31" t="str">
        <f t="shared" si="26"/>
        <v>BypassCheckCodeRules,0,</v>
      </c>
      <c r="BA53" s="31" t="str">
        <f t="shared" si="27"/>
        <v>StoreBEMDetails,1,</v>
      </c>
      <c r="BB53" s="31" t="str">
        <f t="shared" si="27"/>
        <v>ModelRpt_ALL,1,</v>
      </c>
      <c r="BC53" s="31" t="str">
        <f t="shared" si="27"/>
        <v>BypassOpenStudio_all,0,</v>
      </c>
      <c r="BD53" s="31" t="str">
        <f t="shared" si="27"/>
        <v>BypassOpenStudio_zp,0,</v>
      </c>
      <c r="BE53" s="31" t="str">
        <f t="shared" si="27"/>
        <v>BypassOpenStudio_zb,0,</v>
      </c>
      <c r="BF53" s="31" t="str">
        <f t="shared" si="27"/>
        <v>BypassOpenStudio_ap,0,</v>
      </c>
      <c r="BG53" s="31" t="str">
        <f t="shared" si="27"/>
        <v>BypassOpenStudio_ab,0,</v>
      </c>
      <c r="BH53" s="31" t="str">
        <f t="shared" si="27"/>
        <v>BypassOpenStudio_zp,0,</v>
      </c>
      <c r="BI53" s="31" t="str">
        <f t="shared" si="27"/>
        <v>BypassOpenStudio_zb,0,</v>
      </c>
      <c r="BJ53" s="31" t="str">
        <f t="shared" si="27"/>
        <v>BypassOpenStudio_ap,0,</v>
      </c>
      <c r="BK53" s="31" t="str">
        <f t="shared" si="28"/>
        <v>BypassOpenStudio_ab,0</v>
      </c>
    </row>
    <row r="54" spans="1:65" x14ac:dyDescent="0.25">
      <c r="A54" s="39">
        <f t="shared" si="22"/>
        <v>0</v>
      </c>
      <c r="B54" s="27" t="str">
        <f t="shared" si="29"/>
        <v>OtherTests\.cibd</v>
      </c>
      <c r="C54" s="27" t="str">
        <f t="shared" si="30"/>
        <v>BatchOut_141103_r2722_OT\0.cibd</v>
      </c>
      <c r="D54" s="27" t="str">
        <f t="shared" si="31"/>
        <v>BatchOut_141103_r2722_OT\XML\</v>
      </c>
      <c r="E54" s="9">
        <f t="shared" si="32"/>
        <v>0</v>
      </c>
      <c r="F54" s="22"/>
      <c r="G54" s="29"/>
      <c r="H54" s="23" t="str">
        <f>IF(F54&gt;1,1,"")</f>
        <v/>
      </c>
      <c r="I54" s="9" t="s">
        <v>11</v>
      </c>
      <c r="J54"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4" s="15" t="s">
        <v>1</v>
      </c>
      <c r="L54" s="36">
        <f t="shared" si="39"/>
        <v>0</v>
      </c>
      <c r="M54" s="32">
        <f t="shared" si="41"/>
        <v>0</v>
      </c>
      <c r="N54" s="28"/>
      <c r="O54" s="57">
        <f t="shared" si="24"/>
        <v>0</v>
      </c>
      <c r="P54" s="63">
        <f t="shared" si="40"/>
        <v>2</v>
      </c>
      <c r="Q54" s="65">
        <f t="shared" si="40"/>
        <v>1</v>
      </c>
      <c r="R54" s="65">
        <f t="shared" si="40"/>
        <v>0</v>
      </c>
      <c r="S54" s="65">
        <f t="shared" si="40"/>
        <v>1</v>
      </c>
      <c r="T54" s="65">
        <f t="shared" si="40"/>
        <v>0</v>
      </c>
      <c r="U54" s="65">
        <f t="shared" si="40"/>
        <v>11</v>
      </c>
      <c r="V54" s="65">
        <f t="shared" si="40"/>
        <v>11</v>
      </c>
      <c r="W54" s="65">
        <f t="shared" si="40"/>
        <v>1</v>
      </c>
      <c r="X54" s="65">
        <f t="shared" si="40"/>
        <v>0</v>
      </c>
      <c r="Y54" s="65">
        <f t="shared" si="40"/>
        <v>0</v>
      </c>
      <c r="Z54" s="65">
        <f t="shared" si="40"/>
        <v>0</v>
      </c>
      <c r="AA54" s="65">
        <f t="shared" si="40"/>
        <v>0</v>
      </c>
      <c r="AB54" s="65">
        <f t="shared" si="40"/>
        <v>1</v>
      </c>
      <c r="AC54" s="65">
        <f t="shared" si="40"/>
        <v>1</v>
      </c>
      <c r="AD54" s="61">
        <f t="shared" si="40"/>
        <v>1</v>
      </c>
      <c r="AE54" s="63">
        <f t="shared" si="40"/>
        <v>0</v>
      </c>
      <c r="AF54" s="64">
        <f t="shared" si="36"/>
        <v>0</v>
      </c>
      <c r="AG54" s="64">
        <f t="shared" si="36"/>
        <v>0</v>
      </c>
      <c r="AH54" s="64">
        <f t="shared" si="36"/>
        <v>0</v>
      </c>
      <c r="AI54" s="66">
        <f t="shared" si="36"/>
        <v>0</v>
      </c>
      <c r="AJ54" s="63">
        <f t="shared" si="36"/>
        <v>0</v>
      </c>
      <c r="AK54" s="64">
        <f t="shared" si="36"/>
        <v>0</v>
      </c>
      <c r="AL54" s="65">
        <f t="shared" si="36"/>
        <v>0</v>
      </c>
      <c r="AM54" s="66">
        <f t="shared" si="36"/>
        <v>0</v>
      </c>
      <c r="AN54" s="31" t="str">
        <f t="shared" si="26"/>
        <v>SimulationStorage,2,</v>
      </c>
      <c r="AO54" s="31" t="str">
        <f t="shared" si="26"/>
        <v>AnalysisStorage,1,</v>
      </c>
      <c r="AP54" s="31" t="str">
        <f t="shared" si="26"/>
        <v>LogRuleEvaluation,0,</v>
      </c>
      <c r="AQ54" s="31" t="str">
        <f t="shared" si="26"/>
        <v>ParallelSimulations,1,</v>
      </c>
      <c r="AR54" s="31" t="str">
        <f t="shared" si="26"/>
        <v>DurationStats,0,</v>
      </c>
      <c r="AS54" s="31" t="str">
        <f t="shared" si="26"/>
        <v>AnalysisThruStep,11,</v>
      </c>
      <c r="AT54" s="31" t="str">
        <f t="shared" si="26"/>
        <v>DontAbortOnErrorsThruStep,11,</v>
      </c>
      <c r="AU54" s="31" t="str">
        <f t="shared" si="26"/>
        <v>BypassValidFileChecks,1,</v>
      </c>
      <c r="AV54" s="31" t="str">
        <f t="shared" si="26"/>
        <v>BypassInputChecks,0,</v>
      </c>
      <c r="AW54" s="31" t="str">
        <f t="shared" si="26"/>
        <v>BypassUMLHChecks,0,</v>
      </c>
      <c r="AX54" s="31" t="str">
        <f t="shared" si="26"/>
        <v>BypassCheckSimRules,0,</v>
      </c>
      <c r="AY54" s="31" t="str">
        <f t="shared" si="26"/>
        <v>BypassCheckCodeRules,0,</v>
      </c>
      <c r="BA54" s="31" t="str">
        <f t="shared" si="27"/>
        <v>StoreBEMDetails,1,</v>
      </c>
      <c r="BB54" s="31" t="str">
        <f t="shared" si="27"/>
        <v>ModelRpt_ALL,1,</v>
      </c>
      <c r="BC54" s="31" t="str">
        <f t="shared" si="27"/>
        <v>BypassOpenStudio_all,0,</v>
      </c>
      <c r="BD54" s="31" t="str">
        <f t="shared" si="27"/>
        <v>BypassOpenStudio_zp,0,</v>
      </c>
      <c r="BE54" s="31" t="str">
        <f t="shared" si="27"/>
        <v>BypassOpenStudio_zb,0,</v>
      </c>
      <c r="BF54" s="31" t="str">
        <f t="shared" si="27"/>
        <v>BypassOpenStudio_ap,0,</v>
      </c>
      <c r="BG54" s="31" t="str">
        <f t="shared" si="27"/>
        <v>BypassOpenStudio_ab,0,</v>
      </c>
      <c r="BH54" s="31" t="str">
        <f t="shared" si="27"/>
        <v>BypassOpenStudio_zp,0,</v>
      </c>
      <c r="BI54" s="31" t="str">
        <f t="shared" si="27"/>
        <v>BypassOpenStudio_zb,0,</v>
      </c>
      <c r="BJ54" s="31" t="str">
        <f t="shared" si="27"/>
        <v>BypassOpenStudio_ap,0,</v>
      </c>
      <c r="BK54" s="31" t="str">
        <f t="shared" si="28"/>
        <v>BypassOpenStudio_ab,0</v>
      </c>
    </row>
    <row r="55" spans="1:65" x14ac:dyDescent="0.25">
      <c r="A55" s="39">
        <f t="shared" si="22"/>
        <v>0</v>
      </c>
      <c r="B55" s="27" t="str">
        <f t="shared" si="29"/>
        <v>OtherTests\.cibd</v>
      </c>
      <c r="C55" s="27" t="str">
        <f t="shared" si="30"/>
        <v>BatchOut_141103_r2722_OT\0.cibd</v>
      </c>
      <c r="D55" s="27" t="str">
        <f t="shared" si="31"/>
        <v>BatchOut_141103_r2722_OT\XML\</v>
      </c>
      <c r="E55" s="9">
        <f t="shared" si="32"/>
        <v>0</v>
      </c>
      <c r="F55" s="22"/>
      <c r="G55" s="29"/>
      <c r="H55" s="23"/>
      <c r="I55" s="9" t="s">
        <v>11</v>
      </c>
      <c r="J55"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5" s="15" t="s">
        <v>1</v>
      </c>
      <c r="L55" s="36">
        <f t="shared" si="39"/>
        <v>0</v>
      </c>
      <c r="M55" s="32">
        <f t="shared" si="41"/>
        <v>0</v>
      </c>
      <c r="N55" s="32"/>
      <c r="O55" s="57">
        <f t="shared" si="24"/>
        <v>0</v>
      </c>
      <c r="P55" s="63">
        <f t="shared" si="40"/>
        <v>2</v>
      </c>
      <c r="Q55" s="65">
        <f t="shared" si="40"/>
        <v>1</v>
      </c>
      <c r="R55" s="65">
        <f t="shared" si="40"/>
        <v>0</v>
      </c>
      <c r="S55" s="65">
        <f t="shared" si="40"/>
        <v>1</v>
      </c>
      <c r="T55" s="65">
        <f t="shared" si="40"/>
        <v>0</v>
      </c>
      <c r="U55" s="65">
        <f t="shared" si="40"/>
        <v>11</v>
      </c>
      <c r="V55" s="65">
        <f t="shared" si="40"/>
        <v>11</v>
      </c>
      <c r="W55" s="65">
        <f t="shared" si="40"/>
        <v>1</v>
      </c>
      <c r="X55" s="65">
        <f t="shared" si="40"/>
        <v>0</v>
      </c>
      <c r="Y55" s="65">
        <f t="shared" si="40"/>
        <v>0</v>
      </c>
      <c r="Z55" s="65">
        <f t="shared" si="40"/>
        <v>0</v>
      </c>
      <c r="AA55" s="65">
        <f t="shared" si="40"/>
        <v>0</v>
      </c>
      <c r="AB55" s="65">
        <f t="shared" si="36"/>
        <v>1</v>
      </c>
      <c r="AC55" s="65">
        <f t="shared" si="36"/>
        <v>1</v>
      </c>
      <c r="AD55" s="61">
        <f t="shared" si="36"/>
        <v>1</v>
      </c>
      <c r="AE55" s="63">
        <f t="shared" si="36"/>
        <v>0</v>
      </c>
      <c r="AF55" s="64">
        <f t="shared" si="36"/>
        <v>0</v>
      </c>
      <c r="AG55" s="64">
        <f t="shared" si="36"/>
        <v>0</v>
      </c>
      <c r="AH55" s="64">
        <f t="shared" si="36"/>
        <v>0</v>
      </c>
      <c r="AI55" s="66">
        <f t="shared" si="36"/>
        <v>0</v>
      </c>
      <c r="AJ55" s="63">
        <f t="shared" si="36"/>
        <v>0</v>
      </c>
      <c r="AK55" s="64">
        <f t="shared" si="36"/>
        <v>0</v>
      </c>
      <c r="AL55" s="65">
        <f t="shared" si="36"/>
        <v>0</v>
      </c>
      <c r="AM55" s="66">
        <f t="shared" si="36"/>
        <v>0</v>
      </c>
      <c r="AN55" s="31" t="str">
        <f t="shared" si="26"/>
        <v>SimulationStorage,2,</v>
      </c>
      <c r="AO55" s="31" t="str">
        <f t="shared" si="26"/>
        <v>AnalysisStorage,1,</v>
      </c>
      <c r="AP55" s="31" t="str">
        <f t="shared" si="26"/>
        <v>LogRuleEvaluation,0,</v>
      </c>
      <c r="AQ55" s="31" t="str">
        <f t="shared" si="26"/>
        <v>ParallelSimulations,1,</v>
      </c>
      <c r="AR55" s="31" t="str">
        <f t="shared" si="26"/>
        <v>DurationStats,0,</v>
      </c>
      <c r="AS55" s="31" t="str">
        <f t="shared" si="26"/>
        <v>AnalysisThruStep,11,</v>
      </c>
      <c r="AT55" s="31" t="str">
        <f t="shared" si="26"/>
        <v>DontAbortOnErrorsThruStep,11,</v>
      </c>
      <c r="AU55" s="31" t="str">
        <f t="shared" si="26"/>
        <v>BypassValidFileChecks,1,</v>
      </c>
      <c r="AV55" s="31" t="str">
        <f t="shared" si="26"/>
        <v>BypassInputChecks,0,</v>
      </c>
      <c r="AW55" s="31" t="str">
        <f t="shared" si="26"/>
        <v>BypassUMLHChecks,0,</v>
      </c>
      <c r="AX55" s="31" t="str">
        <f t="shared" si="26"/>
        <v>BypassCheckSimRules,0,</v>
      </c>
      <c r="AY55" s="31" t="str">
        <f t="shared" si="26"/>
        <v>BypassCheckCodeRules,0,</v>
      </c>
      <c r="BA55" s="31" t="str">
        <f t="shared" si="27"/>
        <v>StoreBEMDetails,1,</v>
      </c>
      <c r="BB55" s="31" t="str">
        <f t="shared" si="27"/>
        <v>ModelRpt_ALL,1,</v>
      </c>
      <c r="BC55" s="31" t="str">
        <f t="shared" si="27"/>
        <v>BypassOpenStudio_all,0,</v>
      </c>
      <c r="BD55" s="31" t="str">
        <f t="shared" si="27"/>
        <v>BypassOpenStudio_zp,0,</v>
      </c>
      <c r="BE55" s="31" t="str">
        <f t="shared" si="27"/>
        <v>BypassOpenStudio_zb,0,</v>
      </c>
      <c r="BF55" s="31" t="str">
        <f t="shared" si="27"/>
        <v>BypassOpenStudio_ap,0,</v>
      </c>
      <c r="BG55" s="31" t="str">
        <f t="shared" si="27"/>
        <v>BypassOpenStudio_ab,0,</v>
      </c>
      <c r="BH55" s="31" t="str">
        <f t="shared" si="27"/>
        <v>BypassOpenStudio_zp,0,</v>
      </c>
      <c r="BI55" s="31" t="str">
        <f t="shared" si="27"/>
        <v>BypassOpenStudio_zb,0,</v>
      </c>
      <c r="BJ55" s="31" t="str">
        <f t="shared" si="27"/>
        <v>BypassOpenStudio_ap,0,</v>
      </c>
      <c r="BK55" s="31" t="str">
        <f t="shared" si="28"/>
        <v>BypassOpenStudio_ab,0</v>
      </c>
    </row>
    <row r="56" spans="1:65" x14ac:dyDescent="0.25">
      <c r="A56" s="39">
        <f t="shared" si="22"/>
        <v>0</v>
      </c>
      <c r="B56" s="27" t="str">
        <f t="shared" si="29"/>
        <v>OtherTests\.cibd</v>
      </c>
      <c r="C56" s="27" t="str">
        <f t="shared" si="30"/>
        <v>BatchOut_141103_r2722_OT\.cibd</v>
      </c>
      <c r="D56" s="27" t="str">
        <f t="shared" si="31"/>
        <v>BatchOut_141103_r2722_OT\XML\</v>
      </c>
      <c r="E56" s="9" t="str">
        <f t="shared" si="32"/>
        <v/>
      </c>
      <c r="F56" s="22"/>
      <c r="G56" s="29"/>
      <c r="H56" s="23"/>
      <c r="I56" s="9" t="s">
        <v>11</v>
      </c>
      <c r="J56"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6" s="15" t="s">
        <v>1</v>
      </c>
      <c r="L56" s="36">
        <v>0</v>
      </c>
      <c r="M56" s="32" t="str">
        <f t="shared" ref="M56" si="42">LEFT(N56,6)&amp;IF(SUM(F56:H56)&gt;0,"_autosize","")</f>
        <v/>
      </c>
      <c r="N56" s="28"/>
      <c r="O56" s="57"/>
      <c r="P56" s="63">
        <f t="shared" si="40"/>
        <v>2</v>
      </c>
      <c r="Q56" s="65">
        <f t="shared" si="40"/>
        <v>1</v>
      </c>
      <c r="R56" s="65">
        <f t="shared" si="40"/>
        <v>0</v>
      </c>
      <c r="S56" s="65">
        <f t="shared" si="40"/>
        <v>1</v>
      </c>
      <c r="T56" s="65">
        <f t="shared" si="40"/>
        <v>0</v>
      </c>
      <c r="U56" s="65">
        <f t="shared" si="40"/>
        <v>11</v>
      </c>
      <c r="V56" s="65">
        <f t="shared" si="40"/>
        <v>11</v>
      </c>
      <c r="W56" s="65">
        <f t="shared" si="40"/>
        <v>1</v>
      </c>
      <c r="X56" s="65">
        <f t="shared" si="40"/>
        <v>0</v>
      </c>
      <c r="Y56" s="65">
        <f t="shared" si="40"/>
        <v>0</v>
      </c>
      <c r="Z56" s="65">
        <f t="shared" si="40"/>
        <v>0</v>
      </c>
      <c r="AA56" s="65">
        <f t="shared" si="40"/>
        <v>0</v>
      </c>
      <c r="AB56" s="65">
        <f t="shared" si="36"/>
        <v>1</v>
      </c>
      <c r="AC56" s="65">
        <f t="shared" si="36"/>
        <v>1</v>
      </c>
      <c r="AD56" s="61">
        <f t="shared" si="36"/>
        <v>1</v>
      </c>
      <c r="AE56" s="63">
        <f t="shared" si="36"/>
        <v>0</v>
      </c>
      <c r="AF56" s="64">
        <f t="shared" si="36"/>
        <v>0</v>
      </c>
      <c r="AG56" s="64">
        <f t="shared" si="36"/>
        <v>0</v>
      </c>
      <c r="AH56" s="64">
        <f t="shared" si="36"/>
        <v>0</v>
      </c>
      <c r="AI56" s="66">
        <f t="shared" si="36"/>
        <v>0</v>
      </c>
      <c r="AJ56" s="63">
        <f t="shared" si="36"/>
        <v>0</v>
      </c>
      <c r="AK56" s="64">
        <f t="shared" si="36"/>
        <v>0</v>
      </c>
      <c r="AL56" s="65">
        <f t="shared" si="36"/>
        <v>0</v>
      </c>
      <c r="AM56" s="66">
        <f t="shared" si="36"/>
        <v>0</v>
      </c>
      <c r="AN56" s="31" t="str">
        <f t="shared" si="26"/>
        <v>SimulationStorage,2,</v>
      </c>
      <c r="AO56" s="31" t="str">
        <f t="shared" si="26"/>
        <v>AnalysisStorage,1,</v>
      </c>
      <c r="AP56" s="31" t="str">
        <f t="shared" si="26"/>
        <v>LogRuleEvaluation,0,</v>
      </c>
      <c r="AQ56" s="31" t="str">
        <f t="shared" si="26"/>
        <v>ParallelSimulations,1,</v>
      </c>
      <c r="AR56" s="31" t="str">
        <f t="shared" si="26"/>
        <v>DurationStats,0,</v>
      </c>
      <c r="AS56" s="31" t="str">
        <f t="shared" si="26"/>
        <v>AnalysisThruStep,11,</v>
      </c>
      <c r="AT56" s="31" t="str">
        <f t="shared" si="26"/>
        <v>DontAbortOnErrorsThruStep,11,</v>
      </c>
      <c r="AU56" s="31" t="str">
        <f t="shared" si="26"/>
        <v>BypassValidFileChecks,1,</v>
      </c>
      <c r="AV56" s="31" t="str">
        <f t="shared" si="26"/>
        <v>BypassInputChecks,0,</v>
      </c>
      <c r="AW56" s="31" t="str">
        <f t="shared" si="26"/>
        <v>BypassUMLHChecks,0,</v>
      </c>
      <c r="AX56" s="31" t="str">
        <f t="shared" si="26"/>
        <v>BypassCheckSimRules,0,</v>
      </c>
      <c r="AY56" s="31" t="str">
        <f t="shared" si="26"/>
        <v>BypassCheckCodeRules,0,</v>
      </c>
      <c r="BA56" s="31" t="str">
        <f t="shared" si="27"/>
        <v>StoreBEMDetails,1,</v>
      </c>
      <c r="BB56" s="31" t="str">
        <f t="shared" si="27"/>
        <v>ModelRpt_ALL,1,</v>
      </c>
      <c r="BC56" s="31" t="str">
        <f t="shared" si="27"/>
        <v>BypassOpenStudio_all,0,</v>
      </c>
      <c r="BD56" s="31" t="str">
        <f t="shared" si="27"/>
        <v>BypassOpenStudio_zp,0,</v>
      </c>
      <c r="BE56" s="31" t="str">
        <f t="shared" si="27"/>
        <v>BypassOpenStudio_zb,0,</v>
      </c>
      <c r="BF56" s="31" t="str">
        <f t="shared" si="27"/>
        <v>BypassOpenStudio_ap,0,</v>
      </c>
      <c r="BG56" s="31" t="str">
        <f t="shared" si="27"/>
        <v>BypassOpenStudio_ab,0,</v>
      </c>
      <c r="BH56" s="31" t="str">
        <f t="shared" si="27"/>
        <v>BypassOpenStudio_zp,0,</v>
      </c>
      <c r="BI56" s="31" t="str">
        <f t="shared" si="27"/>
        <v>BypassOpenStudio_zb,0,</v>
      </c>
      <c r="BJ56" s="31" t="str">
        <f t="shared" si="27"/>
        <v>BypassOpenStudio_ap,0,</v>
      </c>
      <c r="BK56" s="31" t="str">
        <f t="shared" si="28"/>
        <v>BypassOpenStudio_ab,0</v>
      </c>
    </row>
    <row r="57" spans="1:65" x14ac:dyDescent="0.25">
      <c r="A57" s="39">
        <f t="shared" si="22"/>
        <v>0</v>
      </c>
      <c r="B57" s="27" t="str">
        <f t="shared" si="29"/>
        <v>OtherTests\.cibd</v>
      </c>
      <c r="C57" s="27" t="str">
        <f t="shared" si="30"/>
        <v>BatchOut_141103_r2722_OT\.cibd</v>
      </c>
      <c r="D57" s="27" t="str">
        <f t="shared" si="31"/>
        <v>BatchOut_141103_r2722_OT\XML\</v>
      </c>
      <c r="E57" s="9" t="str">
        <f t="shared" si="32"/>
        <v/>
      </c>
      <c r="F57" s="22"/>
      <c r="G57" s="29"/>
      <c r="H57" s="23"/>
      <c r="I57" s="9" t="s">
        <v>11</v>
      </c>
      <c r="J57"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7" s="15" t="s">
        <v>1</v>
      </c>
      <c r="L57" s="36">
        <v>0</v>
      </c>
      <c r="M57" s="32" t="str">
        <f t="shared" si="33"/>
        <v/>
      </c>
      <c r="N57" s="28"/>
      <c r="O57" s="57"/>
      <c r="P57" s="63">
        <f t="shared" ref="P57:AM57" si="43">P53</f>
        <v>2</v>
      </c>
      <c r="Q57" s="65">
        <f t="shared" si="43"/>
        <v>1</v>
      </c>
      <c r="R57" s="65">
        <f t="shared" si="43"/>
        <v>0</v>
      </c>
      <c r="S57" s="65">
        <f t="shared" si="43"/>
        <v>1</v>
      </c>
      <c r="T57" s="65">
        <f t="shared" si="43"/>
        <v>0</v>
      </c>
      <c r="U57" s="65">
        <f t="shared" si="43"/>
        <v>11</v>
      </c>
      <c r="V57" s="65">
        <f t="shared" si="43"/>
        <v>11</v>
      </c>
      <c r="W57" s="65">
        <f t="shared" si="43"/>
        <v>1</v>
      </c>
      <c r="X57" s="65">
        <f t="shared" si="43"/>
        <v>0</v>
      </c>
      <c r="Y57" s="65">
        <f t="shared" si="43"/>
        <v>0</v>
      </c>
      <c r="Z57" s="65">
        <f t="shared" si="43"/>
        <v>0</v>
      </c>
      <c r="AA57" s="65">
        <f t="shared" si="43"/>
        <v>0</v>
      </c>
      <c r="AB57" s="65">
        <f t="shared" si="43"/>
        <v>1</v>
      </c>
      <c r="AC57" s="65">
        <f t="shared" si="43"/>
        <v>1</v>
      </c>
      <c r="AD57" s="61">
        <f t="shared" si="43"/>
        <v>1</v>
      </c>
      <c r="AE57" s="63">
        <f t="shared" si="43"/>
        <v>0</v>
      </c>
      <c r="AF57" s="64">
        <f t="shared" si="43"/>
        <v>0</v>
      </c>
      <c r="AG57" s="64">
        <f t="shared" si="43"/>
        <v>0</v>
      </c>
      <c r="AH57" s="64">
        <f t="shared" si="43"/>
        <v>0</v>
      </c>
      <c r="AI57" s="66">
        <f t="shared" si="43"/>
        <v>0</v>
      </c>
      <c r="AJ57" s="63">
        <f t="shared" si="43"/>
        <v>0</v>
      </c>
      <c r="AK57" s="64">
        <f t="shared" si="43"/>
        <v>0</v>
      </c>
      <c r="AL57" s="65">
        <f t="shared" si="43"/>
        <v>0</v>
      </c>
      <c r="AM57" s="66">
        <f t="shared" si="43"/>
        <v>0</v>
      </c>
      <c r="AN57" s="31" t="str">
        <f t="shared" si="26"/>
        <v>SimulationStorage,2,</v>
      </c>
      <c r="AO57" s="31" t="str">
        <f t="shared" si="26"/>
        <v>AnalysisStorage,1,</v>
      </c>
      <c r="AP57" s="31" t="str">
        <f t="shared" si="26"/>
        <v>LogRuleEvaluation,0,</v>
      </c>
      <c r="AQ57" s="31" t="str">
        <f t="shared" si="26"/>
        <v>ParallelSimulations,1,</v>
      </c>
      <c r="AR57" s="31" t="str">
        <f t="shared" si="26"/>
        <v>DurationStats,0,</v>
      </c>
      <c r="AS57" s="31" t="str">
        <f t="shared" si="26"/>
        <v>AnalysisThruStep,11,</v>
      </c>
      <c r="AT57" s="31" t="str">
        <f t="shared" si="26"/>
        <v>DontAbortOnErrorsThruStep,11,</v>
      </c>
      <c r="AU57" s="31" t="str">
        <f t="shared" si="26"/>
        <v>BypassValidFileChecks,1,</v>
      </c>
      <c r="AV57" s="31" t="str">
        <f t="shared" si="26"/>
        <v>BypassInputChecks,0,</v>
      </c>
      <c r="AW57" s="31" t="str">
        <f t="shared" si="26"/>
        <v>BypassUMLHChecks,0,</v>
      </c>
      <c r="AX57" s="31" t="str">
        <f t="shared" si="26"/>
        <v>BypassCheckSimRules,0,</v>
      </c>
      <c r="AY57" s="31" t="str">
        <f t="shared" si="26"/>
        <v>BypassCheckCodeRules,0,</v>
      </c>
      <c r="BA57" s="31" t="str">
        <f t="shared" si="27"/>
        <v>StoreBEMDetails,1,</v>
      </c>
      <c r="BB57" s="31" t="str">
        <f t="shared" si="27"/>
        <v>ModelRpt_ALL,1,</v>
      </c>
      <c r="BC57" s="31" t="str">
        <f t="shared" si="27"/>
        <v>BypassOpenStudio_all,0,</v>
      </c>
      <c r="BD57" s="31" t="str">
        <f t="shared" si="27"/>
        <v>BypassOpenStudio_zp,0,</v>
      </c>
      <c r="BE57" s="31" t="str">
        <f t="shared" si="27"/>
        <v>BypassOpenStudio_zb,0,</v>
      </c>
      <c r="BF57" s="31" t="str">
        <f t="shared" si="27"/>
        <v>BypassOpenStudio_ap,0,</v>
      </c>
      <c r="BG57" s="31" t="str">
        <f t="shared" si="27"/>
        <v>BypassOpenStudio_ab,0,</v>
      </c>
      <c r="BH57" s="31" t="str">
        <f t="shared" si="27"/>
        <v>BypassOpenStudio_zp,0,</v>
      </c>
      <c r="BI57" s="31" t="str">
        <f t="shared" si="27"/>
        <v>BypassOpenStudio_zb,0,</v>
      </c>
      <c r="BJ57" s="31" t="str">
        <f t="shared" si="27"/>
        <v>BypassOpenStudio_ap,0,</v>
      </c>
      <c r="BK57" s="31" t="str">
        <f t="shared" si="28"/>
        <v>BypassOpenStudio_ab,0</v>
      </c>
    </row>
    <row r="58" spans="1:65" customFormat="1" x14ac:dyDescent="0.25">
      <c r="A58" t="s">
        <v>1</v>
      </c>
      <c r="K58" s="15"/>
      <c r="L58" s="79"/>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row>
    <row r="59" spans="1:65" x14ac:dyDescent="0.25">
      <c r="A59" s="1" t="s">
        <v>1</v>
      </c>
      <c r="B59"/>
      <c r="C59"/>
      <c r="D59" s="30"/>
      <c r="E59" s="16"/>
      <c r="F59" s="16"/>
      <c r="G59" s="16"/>
      <c r="H59" s="16"/>
      <c r="K59" s="15"/>
      <c r="L59" s="36" t="s">
        <v>185</v>
      </c>
      <c r="M59" t="s">
        <v>184</v>
      </c>
    </row>
    <row r="60" spans="1:65" x14ac:dyDescent="0.25">
      <c r="A60" s="1" t="s">
        <v>1</v>
      </c>
      <c r="B60"/>
      <c r="C60"/>
      <c r="D60" s="30"/>
      <c r="K60" s="15"/>
      <c r="L60" s="37" t="s">
        <v>45</v>
      </c>
      <c r="M60" s="53">
        <f>M7</f>
        <v>141103</v>
      </c>
    </row>
    <row r="61" spans="1:65" x14ac:dyDescent="0.25">
      <c r="A61" s="1" t="s">
        <v>1</v>
      </c>
      <c r="B61"/>
      <c r="C61"/>
      <c r="D61" s="30"/>
      <c r="K61" s="15"/>
      <c r="L61" s="14" t="s">
        <v>46</v>
      </c>
      <c r="M61" s="53" t="str">
        <f>M8</f>
        <v>r2722</v>
      </c>
      <c r="N61" s="52"/>
    </row>
    <row r="62" spans="1:65" x14ac:dyDescent="0.25">
      <c r="A62" s="1" t="s">
        <v>1</v>
      </c>
      <c r="B62"/>
      <c r="C62"/>
      <c r="D62" s="30"/>
      <c r="E62" s="30"/>
      <c r="F62" s="30"/>
      <c r="G62" s="30"/>
      <c r="H62" s="30"/>
      <c r="I62" s="26"/>
      <c r="K62" s="15"/>
      <c r="L62" s="35" t="s">
        <v>39</v>
      </c>
      <c r="M62" s="54" t="str">
        <f>M9</f>
        <v>BatchResults_141103_r2722.csv</v>
      </c>
      <c r="N62" s="1" t="s">
        <v>48</v>
      </c>
    </row>
    <row r="63" spans="1:65" x14ac:dyDescent="0.25">
      <c r="A63" s="1" t="s">
        <v>1</v>
      </c>
      <c r="K63" s="15"/>
      <c r="L63" s="14" t="s">
        <v>16</v>
      </c>
      <c r="M63" s="28" t="s">
        <v>53</v>
      </c>
      <c r="N63" s="1" t="s">
        <v>47</v>
      </c>
      <c r="AE63" s="104"/>
      <c r="AF63" s="104"/>
      <c r="AG63" s="104"/>
      <c r="AH63" s="104"/>
      <c r="AI63" s="104"/>
      <c r="AJ63" s="104"/>
      <c r="AK63" s="104"/>
      <c r="AL63" s="104"/>
      <c r="AM63" s="104"/>
    </row>
    <row r="64" spans="1:65" x14ac:dyDescent="0.25">
      <c r="A64" s="1" t="s">
        <v>1</v>
      </c>
      <c r="K64" s="15"/>
      <c r="L64" s="14" t="s">
        <v>17</v>
      </c>
      <c r="M64" s="54" t="str">
        <f>"BatchOut"&amp;"_"&amp;M60&amp;"_"&amp;M61&amp;"_"&amp;L59&amp;"\"</f>
        <v>BatchOut_141103_r2722_RIc\</v>
      </c>
      <c r="N64" s="1" t="s">
        <v>47</v>
      </c>
    </row>
    <row r="65" spans="1:65" x14ac:dyDescent="0.25">
      <c r="A65" s="1" t="s">
        <v>1</v>
      </c>
      <c r="K65" s="15"/>
      <c r="L65" s="14" t="s">
        <v>42</v>
      </c>
      <c r="M65" s="54" t="str">
        <f>M64&amp;"XML\"</f>
        <v>BatchOut_141103_r2722_RIc\XML\</v>
      </c>
      <c r="N65" s="1" t="s">
        <v>47</v>
      </c>
      <c r="R65" s="31"/>
      <c r="S65" s="31"/>
      <c r="T65" s="31"/>
      <c r="U65" s="31"/>
      <c r="V65" s="31"/>
      <c r="W65" s="31"/>
      <c r="X65" s="31"/>
      <c r="Y65" s="31"/>
      <c r="Z65" s="31"/>
      <c r="AA65" s="31"/>
      <c r="AB65" s="31"/>
      <c r="AC65" s="31"/>
      <c r="AD65" s="31"/>
      <c r="AE65" s="31"/>
      <c r="AF65" s="31"/>
      <c r="AG65" s="31"/>
      <c r="AH65" s="31"/>
      <c r="AI65" s="31"/>
      <c r="AJ65" s="31"/>
      <c r="AK65" s="31"/>
      <c r="AL65" s="31"/>
      <c r="AM65" s="31"/>
    </row>
    <row r="66" spans="1:65" s="46" customFormat="1" x14ac:dyDescent="0.25">
      <c r="A66" s="12" t="s">
        <v>1</v>
      </c>
      <c r="B66" s="8"/>
      <c r="C66" s="8"/>
      <c r="D66" s="8"/>
      <c r="E66" s="8"/>
      <c r="F66" s="19"/>
      <c r="G66" s="21"/>
      <c r="H66" s="20"/>
      <c r="I66" s="8"/>
      <c r="J66" s="8"/>
      <c r="K66" s="15"/>
      <c r="L66" s="42"/>
      <c r="M66" s="43"/>
      <c r="N66" s="40"/>
      <c r="O66" s="40"/>
      <c r="P66" s="56"/>
      <c r="Q66" s="56"/>
      <c r="R66" s="44"/>
      <c r="S66" s="44"/>
      <c r="T66" s="44"/>
      <c r="U66" s="44"/>
      <c r="V66" s="45"/>
      <c r="W66" s="44"/>
      <c r="X66" s="44"/>
      <c r="Y66" s="44"/>
      <c r="Z66" s="44"/>
      <c r="AA66" s="44"/>
      <c r="AB66" s="44"/>
      <c r="AC66" s="44"/>
      <c r="AD66" s="45"/>
      <c r="AE66" s="43"/>
      <c r="AF66" s="43"/>
      <c r="AG66" s="43"/>
      <c r="AH66" s="43"/>
      <c r="AI66" s="43"/>
      <c r="AJ66" s="43"/>
      <c r="AK66" s="43"/>
      <c r="AL66" s="43"/>
      <c r="AM66" s="43"/>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row>
    <row r="67" spans="1:65" x14ac:dyDescent="0.25">
      <c r="A67" s="39">
        <f t="shared" ref="A67:A99" si="44">L67</f>
        <v>0</v>
      </c>
      <c r="B67" s="27" t="str">
        <f>M$63&amp;N67&amp;"\"&amp;N67&amp;".cibd"</f>
        <v>RulesetImplementationTests\\.cibd</v>
      </c>
      <c r="C67" s="27" t="str">
        <f xml:space="preserve"> M$64 &amp; O67 &amp; ".cibd"</f>
        <v>BatchOut_141103_r2722_RIc\0.cibd</v>
      </c>
      <c r="D67" s="27" t="str">
        <f>$M$65</f>
        <v>BatchOut_141103_r2722_RIc\XML\</v>
      </c>
      <c r="E67" s="9" t="e">
        <f>M67</f>
        <v>#VALUE!</v>
      </c>
      <c r="F67" s="22"/>
      <c r="G67" s="29"/>
      <c r="H67" s="23" t="str">
        <f>IF(F67&gt;1,1,"")</f>
        <v/>
      </c>
      <c r="I67" s="9" t="s">
        <v>11</v>
      </c>
      <c r="J67" s="9" t="str">
        <f t="shared" ref="J67:J99" si="45">CONCATENATE(AN67,AO67,AP67,AQ67,AR67,AS67,AT67,AU67,AV67,AW67,AX67,AY67,AZ67,BA67,BB67,BC67,BD67,BE67,BF67,BG67,BH67,BI67,BJ67,BK67)</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67" s="15" t="s">
        <v>1</v>
      </c>
      <c r="L67" s="36">
        <v>0</v>
      </c>
      <c r="M67" s="32" t="e">
        <f>LEFT(N67,SEARCH("-",N67))&amp;RIGHT(N67,5)</f>
        <v>#VALUE!</v>
      </c>
      <c r="N67" s="28"/>
      <c r="O67" s="57">
        <f t="shared" ref="O67:O79" si="46">N67</f>
        <v>0</v>
      </c>
      <c r="P67" s="72">
        <f t="shared" ref="P67:AM67" si="47">P16</f>
        <v>2</v>
      </c>
      <c r="Q67" s="73">
        <f t="shared" si="47"/>
        <v>1</v>
      </c>
      <c r="R67" s="73">
        <f t="shared" si="47"/>
        <v>0</v>
      </c>
      <c r="S67" s="73">
        <f t="shared" si="47"/>
        <v>1</v>
      </c>
      <c r="T67" s="73">
        <f t="shared" si="47"/>
        <v>0</v>
      </c>
      <c r="U67" s="73">
        <f t="shared" si="47"/>
        <v>11</v>
      </c>
      <c r="V67" s="73">
        <f t="shared" si="47"/>
        <v>11</v>
      </c>
      <c r="W67" s="73">
        <f t="shared" si="47"/>
        <v>1</v>
      </c>
      <c r="X67" s="73">
        <f t="shared" si="47"/>
        <v>0</v>
      </c>
      <c r="Y67" s="73">
        <f t="shared" si="47"/>
        <v>0</v>
      </c>
      <c r="Z67" s="73">
        <f t="shared" si="47"/>
        <v>0</v>
      </c>
      <c r="AA67" s="73">
        <f t="shared" si="47"/>
        <v>0</v>
      </c>
      <c r="AB67" s="73">
        <f t="shared" si="47"/>
        <v>1</v>
      </c>
      <c r="AC67" s="73">
        <f t="shared" si="47"/>
        <v>1</v>
      </c>
      <c r="AD67" s="74">
        <f t="shared" si="47"/>
        <v>1</v>
      </c>
      <c r="AE67" s="72">
        <f t="shared" si="47"/>
        <v>0</v>
      </c>
      <c r="AF67" s="75">
        <f t="shared" si="47"/>
        <v>0</v>
      </c>
      <c r="AG67" s="75">
        <f t="shared" si="47"/>
        <v>0</v>
      </c>
      <c r="AH67" s="73">
        <f t="shared" si="47"/>
        <v>0</v>
      </c>
      <c r="AI67" s="76">
        <f t="shared" si="47"/>
        <v>0</v>
      </c>
      <c r="AJ67" s="72">
        <f t="shared" si="47"/>
        <v>0</v>
      </c>
      <c r="AK67" s="75">
        <f t="shared" si="47"/>
        <v>0</v>
      </c>
      <c r="AL67" s="73">
        <f t="shared" si="47"/>
        <v>0</v>
      </c>
      <c r="AM67" s="76">
        <f t="shared" si="47"/>
        <v>0</v>
      </c>
      <c r="AN67" s="31" t="str">
        <f t="shared" ref="AN67:AY88" si="48">P$12&amp;P67&amp;","</f>
        <v>SimulationStorage,2,</v>
      </c>
      <c r="AO67" s="31" t="str">
        <f t="shared" si="48"/>
        <v>AnalysisStorage,1,</v>
      </c>
      <c r="AP67" s="31" t="str">
        <f t="shared" si="48"/>
        <v>LogRuleEvaluation,0,</v>
      </c>
      <c r="AQ67" s="31" t="str">
        <f t="shared" si="48"/>
        <v>ParallelSimulations,1,</v>
      </c>
      <c r="AR67" s="31" t="str">
        <f t="shared" si="48"/>
        <v>DurationStats,0,</v>
      </c>
      <c r="AS67" s="31" t="str">
        <f t="shared" si="48"/>
        <v>AnalysisThruStep,11,</v>
      </c>
      <c r="AT67" s="31" t="str">
        <f t="shared" si="48"/>
        <v>DontAbortOnErrorsThruStep,11,</v>
      </c>
      <c r="AU67" s="31" t="str">
        <f t="shared" si="48"/>
        <v>BypassValidFileChecks,1,</v>
      </c>
      <c r="AV67" s="31" t="str">
        <f t="shared" si="48"/>
        <v>BypassInputChecks,0,</v>
      </c>
      <c r="AW67" s="31" t="str">
        <f t="shared" si="48"/>
        <v>BypassUMLHChecks,0,</v>
      </c>
      <c r="AX67" s="31" t="str">
        <f t="shared" si="48"/>
        <v>BypassCheckSimRules,0,</v>
      </c>
      <c r="AY67" s="31" t="str">
        <f t="shared" si="48"/>
        <v>BypassCheckCodeRules,0,</v>
      </c>
      <c r="BA67" s="31" t="str">
        <f t="shared" ref="BA67:BJ92" si="49">AC$12&amp;AC67&amp;","</f>
        <v>StoreBEMDetails,1,</v>
      </c>
      <c r="BB67" s="31" t="str">
        <f t="shared" si="49"/>
        <v>ModelRpt_ALL,1,</v>
      </c>
      <c r="BC67" s="31" t="str">
        <f t="shared" si="49"/>
        <v>BypassOpenStudio_all,0,</v>
      </c>
      <c r="BD67" s="31" t="str">
        <f t="shared" si="49"/>
        <v>BypassOpenStudio_zp,0,</v>
      </c>
      <c r="BE67" s="31" t="str">
        <f t="shared" si="49"/>
        <v>BypassOpenStudio_zb,0,</v>
      </c>
      <c r="BF67" s="31" t="str">
        <f t="shared" si="49"/>
        <v>BypassOpenStudio_ap,0,</v>
      </c>
      <c r="BG67" s="31" t="str">
        <f t="shared" si="49"/>
        <v>BypassOpenStudio_ab,0,</v>
      </c>
      <c r="BH67" s="31" t="str">
        <f t="shared" si="49"/>
        <v>BypassOpenStudio_zp,0,</v>
      </c>
      <c r="BI67" s="31" t="str">
        <f t="shared" si="49"/>
        <v>BypassOpenStudio_zb,0,</v>
      </c>
      <c r="BJ67" s="31" t="str">
        <f t="shared" si="49"/>
        <v>BypassOpenStudio_ap,0,</v>
      </c>
      <c r="BK67" s="31" t="str">
        <f t="shared" ref="BK67:BK99" si="50">AM$12&amp;AM67</f>
        <v>BypassOpenStudio_ab,0</v>
      </c>
    </row>
    <row r="68" spans="1:65" x14ac:dyDescent="0.25">
      <c r="A68" s="39">
        <f t="shared" si="44"/>
        <v>0</v>
      </c>
      <c r="B68" s="27" t="str">
        <f t="shared" ref="B68:B99" si="51">M$63&amp;N68&amp;"\"&amp;N68&amp;".cibd"</f>
        <v>RulesetImplementationTests\\.cibd</v>
      </c>
      <c r="C68" s="27" t="str">
        <f t="shared" ref="C68:C99" si="52" xml:space="preserve"> M$64 &amp; O68 &amp; ".cibd"</f>
        <v>BatchOut_141103_r2722_RIc\0.cibd</v>
      </c>
      <c r="D68" s="27" t="str">
        <f t="shared" ref="D68:D99" si="53">$M$65</f>
        <v>BatchOut_141103_r2722_RIc\XML\</v>
      </c>
      <c r="E68" s="9" t="e">
        <f t="shared" ref="E68:E99" si="54">M68</f>
        <v>#VALUE!</v>
      </c>
      <c r="F68" s="22"/>
      <c r="G68" s="29"/>
      <c r="H68" s="23" t="str">
        <f>IF(F68&gt;1,1,"")</f>
        <v/>
      </c>
      <c r="I68" s="9" t="s">
        <v>11</v>
      </c>
      <c r="J68"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68" s="15" t="s">
        <v>1</v>
      </c>
      <c r="L68" s="36">
        <f>L67</f>
        <v>0</v>
      </c>
      <c r="M68" s="32" t="e">
        <f>LEFT(N68,SEARCH("-",N68))&amp;RIGHT(N68,5)</f>
        <v>#VALUE!</v>
      </c>
      <c r="N68" s="28"/>
      <c r="O68" s="57">
        <f t="shared" si="46"/>
        <v>0</v>
      </c>
      <c r="P68" s="63">
        <f>P67</f>
        <v>2</v>
      </c>
      <c r="Q68" s="65">
        <f t="shared" ref="Q68:U83" si="55">Q67</f>
        <v>1</v>
      </c>
      <c r="R68" s="65">
        <f t="shared" si="55"/>
        <v>0</v>
      </c>
      <c r="S68" s="65">
        <f t="shared" si="55"/>
        <v>1</v>
      </c>
      <c r="T68" s="65">
        <f t="shared" si="55"/>
        <v>0</v>
      </c>
      <c r="U68" s="65">
        <f>U67</f>
        <v>11</v>
      </c>
      <c r="V68" s="65">
        <v>11</v>
      </c>
      <c r="W68" s="65">
        <f>W67</f>
        <v>1</v>
      </c>
      <c r="X68" s="65">
        <f t="shared" ref="X68:Y68" si="56">X67</f>
        <v>0</v>
      </c>
      <c r="Y68" s="65">
        <f t="shared" si="56"/>
        <v>0</v>
      </c>
      <c r="Z68" s="65">
        <f>Z67</f>
        <v>0</v>
      </c>
      <c r="AA68" s="65">
        <f>AA67</f>
        <v>0</v>
      </c>
      <c r="AB68" s="65">
        <f>AB67</f>
        <v>1</v>
      </c>
      <c r="AC68" s="65">
        <f t="shared" ref="AC68:AC99" si="57">AC67</f>
        <v>1</v>
      </c>
      <c r="AD68" s="61">
        <v>1</v>
      </c>
      <c r="AE68" s="63">
        <f>AE67</f>
        <v>0</v>
      </c>
      <c r="AF68" s="64">
        <f>AF67</f>
        <v>0</v>
      </c>
      <c r="AG68" s="64">
        <f t="shared" ref="AG68:AM83" si="58">AG67</f>
        <v>0</v>
      </c>
      <c r="AH68" s="64">
        <f t="shared" si="58"/>
        <v>0</v>
      </c>
      <c r="AI68" s="66">
        <f t="shared" si="58"/>
        <v>0</v>
      </c>
      <c r="AJ68" s="63">
        <f>AJ67</f>
        <v>0</v>
      </c>
      <c r="AK68" s="64">
        <f>AK67</f>
        <v>0</v>
      </c>
      <c r="AL68" s="65">
        <f t="shared" ref="AL68:AM68" si="59">AL67</f>
        <v>0</v>
      </c>
      <c r="AM68" s="66">
        <f t="shared" si="59"/>
        <v>0</v>
      </c>
      <c r="AN68" s="31" t="str">
        <f t="shared" si="48"/>
        <v>SimulationStorage,2,</v>
      </c>
      <c r="AO68" s="31" t="str">
        <f t="shared" si="48"/>
        <v>AnalysisStorage,1,</v>
      </c>
      <c r="AP68" s="31" t="str">
        <f t="shared" si="48"/>
        <v>LogRuleEvaluation,0,</v>
      </c>
      <c r="AQ68" s="31" t="str">
        <f t="shared" si="48"/>
        <v>ParallelSimulations,1,</v>
      </c>
      <c r="AR68" s="31" t="str">
        <f t="shared" si="48"/>
        <v>DurationStats,0,</v>
      </c>
      <c r="AS68" s="31" t="str">
        <f t="shared" si="48"/>
        <v>AnalysisThruStep,11,</v>
      </c>
      <c r="AT68" s="31" t="str">
        <f t="shared" si="48"/>
        <v>DontAbortOnErrorsThruStep,11,</v>
      </c>
      <c r="AU68" s="31" t="str">
        <f t="shared" si="48"/>
        <v>BypassValidFileChecks,1,</v>
      </c>
      <c r="AV68" s="31" t="str">
        <f t="shared" si="48"/>
        <v>BypassInputChecks,0,</v>
      </c>
      <c r="AW68" s="31" t="str">
        <f t="shared" si="48"/>
        <v>BypassUMLHChecks,0,</v>
      </c>
      <c r="AX68" s="31" t="str">
        <f t="shared" si="48"/>
        <v>BypassCheckSimRules,0,</v>
      </c>
      <c r="AY68" s="31" t="str">
        <f t="shared" si="48"/>
        <v>BypassCheckCodeRules,0,</v>
      </c>
      <c r="BA68" s="31" t="str">
        <f t="shared" si="49"/>
        <v>StoreBEMDetails,1,</v>
      </c>
      <c r="BB68" s="31" t="str">
        <f t="shared" si="49"/>
        <v>ModelRpt_ALL,1,</v>
      </c>
      <c r="BC68" s="31" t="str">
        <f t="shared" si="49"/>
        <v>BypassOpenStudio_all,0,</v>
      </c>
      <c r="BD68" s="31" t="str">
        <f t="shared" si="49"/>
        <v>BypassOpenStudio_zp,0,</v>
      </c>
      <c r="BE68" s="31" t="str">
        <f t="shared" si="49"/>
        <v>BypassOpenStudio_zb,0,</v>
      </c>
      <c r="BF68" s="31" t="str">
        <f t="shared" si="49"/>
        <v>BypassOpenStudio_ap,0,</v>
      </c>
      <c r="BG68" s="31" t="str">
        <f t="shared" si="49"/>
        <v>BypassOpenStudio_ab,0,</v>
      </c>
      <c r="BH68" s="31" t="str">
        <f t="shared" si="49"/>
        <v>BypassOpenStudio_zp,0,</v>
      </c>
      <c r="BI68" s="31" t="str">
        <f t="shared" si="49"/>
        <v>BypassOpenStudio_zb,0,</v>
      </c>
      <c r="BJ68" s="31" t="str">
        <f t="shared" si="49"/>
        <v>BypassOpenStudio_ap,0,</v>
      </c>
      <c r="BK68" s="31" t="str">
        <f t="shared" si="50"/>
        <v>BypassOpenStudio_ab,0</v>
      </c>
    </row>
    <row r="69" spans="1:65" x14ac:dyDescent="0.25">
      <c r="A69" s="39">
        <f t="shared" si="44"/>
        <v>0</v>
      </c>
      <c r="B69" s="27" t="str">
        <f t="shared" si="51"/>
        <v>RulesetImplementationTests\\.cibd</v>
      </c>
      <c r="C69" s="27" t="str">
        <f t="shared" si="52"/>
        <v>BatchOut_141103_r2722_RIc\0.cibd</v>
      </c>
      <c r="D69" s="27" t="str">
        <f t="shared" si="53"/>
        <v>BatchOut_141103_r2722_RIc\XML\</v>
      </c>
      <c r="E69" s="9" t="e">
        <f t="shared" si="54"/>
        <v>#VALUE!</v>
      </c>
      <c r="F69" s="22"/>
      <c r="G69" s="29"/>
      <c r="H69" s="23" t="str">
        <f>IF(F69&gt;1,1,"")</f>
        <v/>
      </c>
      <c r="I69" s="9" t="s">
        <v>11</v>
      </c>
      <c r="J69"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69" s="15" t="s">
        <v>1</v>
      </c>
      <c r="L69" s="36">
        <f t="shared" ref="L69:L99" si="60">L68</f>
        <v>0</v>
      </c>
      <c r="M69" s="32" t="e">
        <f>LEFT(N69,SEARCH("-",N69))&amp;RIGHT(N69,5)</f>
        <v>#VALUE!</v>
      </c>
      <c r="N69" s="28"/>
      <c r="O69" s="57">
        <f t="shared" si="46"/>
        <v>0</v>
      </c>
      <c r="P69" s="63">
        <f t="shared" ref="P69:U84" si="61">P68</f>
        <v>2</v>
      </c>
      <c r="Q69" s="65">
        <f t="shared" si="55"/>
        <v>1</v>
      </c>
      <c r="R69" s="65">
        <f t="shared" si="55"/>
        <v>0</v>
      </c>
      <c r="S69" s="65">
        <f t="shared" si="55"/>
        <v>1</v>
      </c>
      <c r="T69" s="65">
        <f t="shared" si="55"/>
        <v>0</v>
      </c>
      <c r="U69" s="65">
        <f t="shared" si="55"/>
        <v>11</v>
      </c>
      <c r="V69" s="65">
        <v>11</v>
      </c>
      <c r="W69" s="65">
        <f t="shared" ref="W69:AB84" si="62">W68</f>
        <v>1</v>
      </c>
      <c r="X69" s="65">
        <f t="shared" si="62"/>
        <v>0</v>
      </c>
      <c r="Y69" s="65">
        <f t="shared" si="62"/>
        <v>0</v>
      </c>
      <c r="Z69" s="65">
        <f t="shared" si="62"/>
        <v>0</v>
      </c>
      <c r="AA69" s="65">
        <f t="shared" si="62"/>
        <v>0</v>
      </c>
      <c r="AB69" s="65">
        <f t="shared" si="62"/>
        <v>1</v>
      </c>
      <c r="AC69" s="65">
        <f t="shared" si="57"/>
        <v>1</v>
      </c>
      <c r="AD69" s="61">
        <v>1</v>
      </c>
      <c r="AE69" s="63">
        <f t="shared" ref="AE69:AM84" si="63">AE68</f>
        <v>0</v>
      </c>
      <c r="AF69" s="64">
        <f t="shared" si="63"/>
        <v>0</v>
      </c>
      <c r="AG69" s="64">
        <f t="shared" si="58"/>
        <v>0</v>
      </c>
      <c r="AH69" s="64">
        <f t="shared" si="58"/>
        <v>0</v>
      </c>
      <c r="AI69" s="66">
        <f t="shared" si="58"/>
        <v>0</v>
      </c>
      <c r="AJ69" s="63">
        <f t="shared" si="58"/>
        <v>0</v>
      </c>
      <c r="AK69" s="64">
        <f t="shared" si="58"/>
        <v>0</v>
      </c>
      <c r="AL69" s="65">
        <f t="shared" si="58"/>
        <v>0</v>
      </c>
      <c r="AM69" s="66">
        <f t="shared" si="58"/>
        <v>0</v>
      </c>
      <c r="AN69" s="31" t="str">
        <f t="shared" si="48"/>
        <v>SimulationStorage,2,</v>
      </c>
      <c r="AO69" s="31" t="str">
        <f t="shared" si="48"/>
        <v>AnalysisStorage,1,</v>
      </c>
      <c r="AP69" s="31" t="str">
        <f t="shared" si="48"/>
        <v>LogRuleEvaluation,0,</v>
      </c>
      <c r="AQ69" s="31" t="str">
        <f t="shared" si="48"/>
        <v>ParallelSimulations,1,</v>
      </c>
      <c r="AR69" s="31" t="str">
        <f t="shared" si="48"/>
        <v>DurationStats,0,</v>
      </c>
      <c r="AS69" s="31" t="str">
        <f t="shared" si="48"/>
        <v>AnalysisThruStep,11,</v>
      </c>
      <c r="AT69" s="31" t="str">
        <f t="shared" si="48"/>
        <v>DontAbortOnErrorsThruStep,11,</v>
      </c>
      <c r="AU69" s="31" t="str">
        <f t="shared" si="48"/>
        <v>BypassValidFileChecks,1,</v>
      </c>
      <c r="AV69" s="31" t="str">
        <f t="shared" si="48"/>
        <v>BypassInputChecks,0,</v>
      </c>
      <c r="AW69" s="31" t="str">
        <f t="shared" si="48"/>
        <v>BypassUMLHChecks,0,</v>
      </c>
      <c r="AX69" s="31" t="str">
        <f t="shared" si="48"/>
        <v>BypassCheckSimRules,0,</v>
      </c>
      <c r="AY69" s="31" t="str">
        <f t="shared" si="48"/>
        <v>BypassCheckCodeRules,0,</v>
      </c>
      <c r="BA69" s="31" t="str">
        <f t="shared" si="49"/>
        <v>StoreBEMDetails,1,</v>
      </c>
      <c r="BB69" s="31" t="str">
        <f t="shared" si="49"/>
        <v>ModelRpt_ALL,1,</v>
      </c>
      <c r="BC69" s="31" t="str">
        <f t="shared" si="49"/>
        <v>BypassOpenStudio_all,0,</v>
      </c>
      <c r="BD69" s="31" t="str">
        <f t="shared" si="49"/>
        <v>BypassOpenStudio_zp,0,</v>
      </c>
      <c r="BE69" s="31" t="str">
        <f t="shared" si="49"/>
        <v>BypassOpenStudio_zb,0,</v>
      </c>
      <c r="BF69" s="31" t="str">
        <f t="shared" si="49"/>
        <v>BypassOpenStudio_ap,0,</v>
      </c>
      <c r="BG69" s="31" t="str">
        <f t="shared" si="49"/>
        <v>BypassOpenStudio_ab,0,</v>
      </c>
      <c r="BH69" s="31" t="str">
        <f t="shared" si="49"/>
        <v>BypassOpenStudio_zp,0,</v>
      </c>
      <c r="BI69" s="31" t="str">
        <f t="shared" si="49"/>
        <v>BypassOpenStudio_zb,0,</v>
      </c>
      <c r="BJ69" s="31" t="str">
        <f t="shared" si="49"/>
        <v>BypassOpenStudio_ap,0,</v>
      </c>
      <c r="BK69" s="31" t="str">
        <f t="shared" si="50"/>
        <v>BypassOpenStudio_ab,0</v>
      </c>
    </row>
    <row r="70" spans="1:65" x14ac:dyDescent="0.25">
      <c r="A70" s="39">
        <f t="shared" si="44"/>
        <v>0</v>
      </c>
      <c r="B70" s="27" t="str">
        <f t="shared" si="51"/>
        <v>RulesetImplementationTests\\.cibd</v>
      </c>
      <c r="C70" s="27" t="str">
        <f t="shared" si="52"/>
        <v>BatchOut_141103_r2722_RIc\0.cibd</v>
      </c>
      <c r="D70" s="27" t="str">
        <f t="shared" si="53"/>
        <v>BatchOut_141103_r2722_RIc\XML\</v>
      </c>
      <c r="E70" s="9" t="e">
        <f t="shared" si="54"/>
        <v>#VALUE!</v>
      </c>
      <c r="F70" s="22"/>
      <c r="G70" s="29"/>
      <c r="H70" s="23"/>
      <c r="I70" s="9" t="s">
        <v>11</v>
      </c>
      <c r="J70"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0" s="15" t="s">
        <v>1</v>
      </c>
      <c r="L70" s="36">
        <f t="shared" si="60"/>
        <v>0</v>
      </c>
      <c r="M70" s="32" t="e">
        <f t="shared" ref="M70:M79" si="64">LEFT(N70,SEARCH("-",N70))&amp;RIGHT(N70,5)</f>
        <v>#VALUE!</v>
      </c>
      <c r="N70" s="28"/>
      <c r="O70" s="57">
        <f t="shared" si="46"/>
        <v>0</v>
      </c>
      <c r="P70" s="63">
        <f t="shared" si="61"/>
        <v>2</v>
      </c>
      <c r="Q70" s="65">
        <f t="shared" si="55"/>
        <v>1</v>
      </c>
      <c r="R70" s="65">
        <f t="shared" si="55"/>
        <v>0</v>
      </c>
      <c r="S70" s="65">
        <f t="shared" si="55"/>
        <v>1</v>
      </c>
      <c r="T70" s="65">
        <f t="shared" si="55"/>
        <v>0</v>
      </c>
      <c r="U70" s="65">
        <f t="shared" si="55"/>
        <v>11</v>
      </c>
      <c r="V70" s="65">
        <v>11</v>
      </c>
      <c r="W70" s="65">
        <f t="shared" si="62"/>
        <v>1</v>
      </c>
      <c r="X70" s="65">
        <f t="shared" si="62"/>
        <v>0</v>
      </c>
      <c r="Y70" s="65">
        <f t="shared" si="62"/>
        <v>0</v>
      </c>
      <c r="Z70" s="65">
        <f t="shared" si="62"/>
        <v>0</v>
      </c>
      <c r="AA70" s="65">
        <f t="shared" si="62"/>
        <v>0</v>
      </c>
      <c r="AB70" s="65">
        <f t="shared" si="62"/>
        <v>1</v>
      </c>
      <c r="AC70" s="65">
        <f t="shared" si="57"/>
        <v>1</v>
      </c>
      <c r="AD70" s="61">
        <v>1</v>
      </c>
      <c r="AE70" s="63">
        <f t="shared" si="63"/>
        <v>0</v>
      </c>
      <c r="AF70" s="64">
        <f t="shared" si="63"/>
        <v>0</v>
      </c>
      <c r="AG70" s="64">
        <f t="shared" si="58"/>
        <v>0</v>
      </c>
      <c r="AH70" s="64">
        <f t="shared" si="58"/>
        <v>0</v>
      </c>
      <c r="AI70" s="66">
        <f t="shared" si="58"/>
        <v>0</v>
      </c>
      <c r="AJ70" s="63">
        <f t="shared" si="58"/>
        <v>0</v>
      </c>
      <c r="AK70" s="64">
        <f t="shared" si="58"/>
        <v>0</v>
      </c>
      <c r="AL70" s="65">
        <f t="shared" si="58"/>
        <v>0</v>
      </c>
      <c r="AM70" s="66">
        <f t="shared" si="58"/>
        <v>0</v>
      </c>
      <c r="AN70" s="31" t="str">
        <f t="shared" si="48"/>
        <v>SimulationStorage,2,</v>
      </c>
      <c r="AO70" s="31" t="str">
        <f t="shared" si="48"/>
        <v>AnalysisStorage,1,</v>
      </c>
      <c r="AP70" s="31" t="str">
        <f t="shared" si="48"/>
        <v>LogRuleEvaluation,0,</v>
      </c>
      <c r="AQ70" s="31" t="str">
        <f t="shared" si="48"/>
        <v>ParallelSimulations,1,</v>
      </c>
      <c r="AR70" s="31" t="str">
        <f t="shared" si="48"/>
        <v>DurationStats,0,</v>
      </c>
      <c r="AS70" s="31" t="str">
        <f t="shared" si="48"/>
        <v>AnalysisThruStep,11,</v>
      </c>
      <c r="AT70" s="31" t="str">
        <f t="shared" si="48"/>
        <v>DontAbortOnErrorsThruStep,11,</v>
      </c>
      <c r="AU70" s="31" t="str">
        <f t="shared" si="48"/>
        <v>BypassValidFileChecks,1,</v>
      </c>
      <c r="AV70" s="31" t="str">
        <f t="shared" si="48"/>
        <v>BypassInputChecks,0,</v>
      </c>
      <c r="AW70" s="31" t="str">
        <f t="shared" si="48"/>
        <v>BypassUMLHChecks,0,</v>
      </c>
      <c r="AX70" s="31" t="str">
        <f t="shared" si="48"/>
        <v>BypassCheckSimRules,0,</v>
      </c>
      <c r="AY70" s="31" t="str">
        <f t="shared" si="48"/>
        <v>BypassCheckCodeRules,0,</v>
      </c>
      <c r="BA70" s="31" t="str">
        <f t="shared" si="49"/>
        <v>StoreBEMDetails,1,</v>
      </c>
      <c r="BB70" s="31" t="str">
        <f t="shared" si="49"/>
        <v>ModelRpt_ALL,1,</v>
      </c>
      <c r="BC70" s="31" t="str">
        <f t="shared" si="49"/>
        <v>BypassOpenStudio_all,0,</v>
      </c>
      <c r="BD70" s="31" t="str">
        <f t="shared" si="49"/>
        <v>BypassOpenStudio_zp,0,</v>
      </c>
      <c r="BE70" s="31" t="str">
        <f t="shared" si="49"/>
        <v>BypassOpenStudio_zb,0,</v>
      </c>
      <c r="BF70" s="31" t="str">
        <f t="shared" si="49"/>
        <v>BypassOpenStudio_ap,0,</v>
      </c>
      <c r="BG70" s="31" t="str">
        <f t="shared" si="49"/>
        <v>BypassOpenStudio_ab,0,</v>
      </c>
      <c r="BH70" s="31" t="str">
        <f t="shared" si="49"/>
        <v>BypassOpenStudio_zp,0,</v>
      </c>
      <c r="BI70" s="31" t="str">
        <f t="shared" si="49"/>
        <v>BypassOpenStudio_zb,0,</v>
      </c>
      <c r="BJ70" s="31" t="str">
        <f t="shared" si="49"/>
        <v>BypassOpenStudio_ap,0,</v>
      </c>
      <c r="BK70" s="31" t="str">
        <f t="shared" si="50"/>
        <v>BypassOpenStudio_ab,0</v>
      </c>
    </row>
    <row r="71" spans="1:65" x14ac:dyDescent="0.25">
      <c r="A71" s="39">
        <f t="shared" si="44"/>
        <v>0</v>
      </c>
      <c r="B71" s="27" t="str">
        <f t="shared" si="51"/>
        <v>RulesetImplementationTests\\.cibd</v>
      </c>
      <c r="C71" s="27" t="str">
        <f t="shared" si="52"/>
        <v>BatchOut_141103_r2722_RIc\0.cibd</v>
      </c>
      <c r="D71" s="27" t="str">
        <f t="shared" si="53"/>
        <v>BatchOut_141103_r2722_RIc\XML\</v>
      </c>
      <c r="E71" s="9" t="e">
        <f t="shared" si="54"/>
        <v>#VALUE!</v>
      </c>
      <c r="F71" s="22"/>
      <c r="G71" s="29"/>
      <c r="H71" s="23"/>
      <c r="I71" s="9" t="s">
        <v>11</v>
      </c>
      <c r="J71"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1" s="15" t="s">
        <v>1</v>
      </c>
      <c r="L71" s="36">
        <f t="shared" si="60"/>
        <v>0</v>
      </c>
      <c r="M71" s="32" t="e">
        <f t="shared" si="64"/>
        <v>#VALUE!</v>
      </c>
      <c r="N71" s="28"/>
      <c r="O71" s="57">
        <f t="shared" si="46"/>
        <v>0</v>
      </c>
      <c r="P71" s="63">
        <f t="shared" si="61"/>
        <v>2</v>
      </c>
      <c r="Q71" s="65">
        <f t="shared" si="55"/>
        <v>1</v>
      </c>
      <c r="R71" s="65">
        <f t="shared" si="55"/>
        <v>0</v>
      </c>
      <c r="S71" s="65">
        <f t="shared" si="55"/>
        <v>1</v>
      </c>
      <c r="T71" s="65">
        <f t="shared" si="55"/>
        <v>0</v>
      </c>
      <c r="U71" s="65">
        <f t="shared" si="55"/>
        <v>11</v>
      </c>
      <c r="V71" s="65">
        <v>11</v>
      </c>
      <c r="W71" s="65">
        <f t="shared" si="62"/>
        <v>1</v>
      </c>
      <c r="X71" s="65">
        <f t="shared" si="62"/>
        <v>0</v>
      </c>
      <c r="Y71" s="65">
        <f t="shared" si="62"/>
        <v>0</v>
      </c>
      <c r="Z71" s="65">
        <f t="shared" si="62"/>
        <v>0</v>
      </c>
      <c r="AA71" s="65">
        <f t="shared" si="62"/>
        <v>0</v>
      </c>
      <c r="AB71" s="65">
        <f t="shared" si="62"/>
        <v>1</v>
      </c>
      <c r="AC71" s="65">
        <f t="shared" si="57"/>
        <v>1</v>
      </c>
      <c r="AD71" s="61">
        <v>1</v>
      </c>
      <c r="AE71" s="63">
        <f t="shared" si="63"/>
        <v>0</v>
      </c>
      <c r="AF71" s="64">
        <f t="shared" si="63"/>
        <v>0</v>
      </c>
      <c r="AG71" s="64">
        <f t="shared" si="58"/>
        <v>0</v>
      </c>
      <c r="AH71" s="64">
        <f t="shared" si="58"/>
        <v>0</v>
      </c>
      <c r="AI71" s="66">
        <f t="shared" si="58"/>
        <v>0</v>
      </c>
      <c r="AJ71" s="63">
        <f t="shared" si="58"/>
        <v>0</v>
      </c>
      <c r="AK71" s="64">
        <f t="shared" si="58"/>
        <v>0</v>
      </c>
      <c r="AL71" s="65">
        <f t="shared" si="58"/>
        <v>0</v>
      </c>
      <c r="AM71" s="66">
        <f t="shared" si="58"/>
        <v>0</v>
      </c>
      <c r="AN71" s="31" t="str">
        <f t="shared" si="48"/>
        <v>SimulationStorage,2,</v>
      </c>
      <c r="AO71" s="31" t="str">
        <f t="shared" si="48"/>
        <v>AnalysisStorage,1,</v>
      </c>
      <c r="AP71" s="31" t="str">
        <f t="shared" si="48"/>
        <v>LogRuleEvaluation,0,</v>
      </c>
      <c r="AQ71" s="31" t="str">
        <f t="shared" si="48"/>
        <v>ParallelSimulations,1,</v>
      </c>
      <c r="AR71" s="31" t="str">
        <f t="shared" si="48"/>
        <v>DurationStats,0,</v>
      </c>
      <c r="AS71" s="31" t="str">
        <f t="shared" si="48"/>
        <v>AnalysisThruStep,11,</v>
      </c>
      <c r="AT71" s="31" t="str">
        <f t="shared" si="48"/>
        <v>DontAbortOnErrorsThruStep,11,</v>
      </c>
      <c r="AU71" s="31" t="str">
        <f t="shared" si="48"/>
        <v>BypassValidFileChecks,1,</v>
      </c>
      <c r="AV71" s="31" t="str">
        <f t="shared" si="48"/>
        <v>BypassInputChecks,0,</v>
      </c>
      <c r="AW71" s="31" t="str">
        <f t="shared" si="48"/>
        <v>BypassUMLHChecks,0,</v>
      </c>
      <c r="AX71" s="31" t="str">
        <f t="shared" si="48"/>
        <v>BypassCheckSimRules,0,</v>
      </c>
      <c r="AY71" s="31" t="str">
        <f t="shared" si="48"/>
        <v>BypassCheckCodeRules,0,</v>
      </c>
      <c r="BA71" s="31" t="str">
        <f t="shared" si="49"/>
        <v>StoreBEMDetails,1,</v>
      </c>
      <c r="BB71" s="31" t="str">
        <f t="shared" si="49"/>
        <v>ModelRpt_ALL,1,</v>
      </c>
      <c r="BC71" s="31" t="str">
        <f t="shared" si="49"/>
        <v>BypassOpenStudio_all,0,</v>
      </c>
      <c r="BD71" s="31" t="str">
        <f t="shared" si="49"/>
        <v>BypassOpenStudio_zp,0,</v>
      </c>
      <c r="BE71" s="31" t="str">
        <f t="shared" si="49"/>
        <v>BypassOpenStudio_zb,0,</v>
      </c>
      <c r="BF71" s="31" t="str">
        <f t="shared" si="49"/>
        <v>BypassOpenStudio_ap,0,</v>
      </c>
      <c r="BG71" s="31" t="str">
        <f t="shared" si="49"/>
        <v>BypassOpenStudio_ab,0,</v>
      </c>
      <c r="BH71" s="31" t="str">
        <f t="shared" si="49"/>
        <v>BypassOpenStudio_zp,0,</v>
      </c>
      <c r="BI71" s="31" t="str">
        <f t="shared" si="49"/>
        <v>BypassOpenStudio_zb,0,</v>
      </c>
      <c r="BJ71" s="31" t="str">
        <f t="shared" si="49"/>
        <v>BypassOpenStudio_ap,0,</v>
      </c>
      <c r="BK71" s="31" t="str">
        <f t="shared" si="50"/>
        <v>BypassOpenStudio_ab,0</v>
      </c>
    </row>
    <row r="72" spans="1:65" x14ac:dyDescent="0.25">
      <c r="A72" s="39">
        <f t="shared" si="44"/>
        <v>0</v>
      </c>
      <c r="B72" s="27" t="str">
        <f t="shared" si="51"/>
        <v>RulesetImplementationTests\\.cibd</v>
      </c>
      <c r="C72" s="27" t="str">
        <f t="shared" si="52"/>
        <v>BatchOut_141103_r2722_RIc\0.cibd</v>
      </c>
      <c r="D72" s="27" t="str">
        <f t="shared" si="53"/>
        <v>BatchOut_141103_r2722_RIc\XML\</v>
      </c>
      <c r="E72" s="9" t="e">
        <f t="shared" si="54"/>
        <v>#VALUE!</v>
      </c>
      <c r="F72" s="22"/>
      <c r="G72" s="29"/>
      <c r="H72" s="23" t="str">
        <f>IF(F72&gt;1,1,"")</f>
        <v/>
      </c>
      <c r="I72" s="9" t="s">
        <v>11</v>
      </c>
      <c r="J72"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2" s="15" t="s">
        <v>1</v>
      </c>
      <c r="L72" s="36">
        <f t="shared" si="60"/>
        <v>0</v>
      </c>
      <c r="M72" s="32" t="e">
        <f t="shared" si="64"/>
        <v>#VALUE!</v>
      </c>
      <c r="N72" s="28"/>
      <c r="O72" s="57">
        <f t="shared" si="46"/>
        <v>0</v>
      </c>
      <c r="P72" s="63">
        <f t="shared" si="61"/>
        <v>2</v>
      </c>
      <c r="Q72" s="65">
        <f t="shared" si="55"/>
        <v>1</v>
      </c>
      <c r="R72" s="65">
        <f t="shared" si="55"/>
        <v>0</v>
      </c>
      <c r="S72" s="65">
        <f t="shared" si="55"/>
        <v>1</v>
      </c>
      <c r="T72" s="65">
        <f t="shared" si="55"/>
        <v>0</v>
      </c>
      <c r="U72" s="65">
        <f t="shared" si="55"/>
        <v>11</v>
      </c>
      <c r="V72" s="65">
        <v>11</v>
      </c>
      <c r="W72" s="65">
        <f t="shared" si="62"/>
        <v>1</v>
      </c>
      <c r="X72" s="65">
        <f t="shared" si="62"/>
        <v>0</v>
      </c>
      <c r="Y72" s="65">
        <f t="shared" si="62"/>
        <v>0</v>
      </c>
      <c r="Z72" s="65">
        <f t="shared" si="62"/>
        <v>0</v>
      </c>
      <c r="AA72" s="65">
        <f t="shared" si="62"/>
        <v>0</v>
      </c>
      <c r="AB72" s="65">
        <f t="shared" si="62"/>
        <v>1</v>
      </c>
      <c r="AC72" s="65">
        <f t="shared" si="57"/>
        <v>1</v>
      </c>
      <c r="AD72" s="61">
        <v>1</v>
      </c>
      <c r="AE72" s="63">
        <f t="shared" si="63"/>
        <v>0</v>
      </c>
      <c r="AF72" s="64">
        <f t="shared" si="63"/>
        <v>0</v>
      </c>
      <c r="AG72" s="64">
        <f t="shared" si="58"/>
        <v>0</v>
      </c>
      <c r="AH72" s="64">
        <f t="shared" si="58"/>
        <v>0</v>
      </c>
      <c r="AI72" s="66">
        <f t="shared" si="58"/>
        <v>0</v>
      </c>
      <c r="AJ72" s="63">
        <f t="shared" si="58"/>
        <v>0</v>
      </c>
      <c r="AK72" s="64">
        <f t="shared" si="58"/>
        <v>0</v>
      </c>
      <c r="AL72" s="65">
        <f t="shared" si="58"/>
        <v>0</v>
      </c>
      <c r="AM72" s="66">
        <f t="shared" si="58"/>
        <v>0</v>
      </c>
      <c r="AN72" s="31" t="str">
        <f t="shared" si="48"/>
        <v>SimulationStorage,2,</v>
      </c>
      <c r="AO72" s="31" t="str">
        <f t="shared" si="48"/>
        <v>AnalysisStorage,1,</v>
      </c>
      <c r="AP72" s="31" t="str">
        <f t="shared" si="48"/>
        <v>LogRuleEvaluation,0,</v>
      </c>
      <c r="AQ72" s="31" t="str">
        <f t="shared" si="48"/>
        <v>ParallelSimulations,1,</v>
      </c>
      <c r="AR72" s="31" t="str">
        <f t="shared" si="48"/>
        <v>DurationStats,0,</v>
      </c>
      <c r="AS72" s="31" t="str">
        <f t="shared" si="48"/>
        <v>AnalysisThruStep,11,</v>
      </c>
      <c r="AT72" s="31" t="str">
        <f t="shared" si="48"/>
        <v>DontAbortOnErrorsThruStep,11,</v>
      </c>
      <c r="AU72" s="31" t="str">
        <f t="shared" si="48"/>
        <v>BypassValidFileChecks,1,</v>
      </c>
      <c r="AV72" s="31" t="str">
        <f t="shared" si="48"/>
        <v>BypassInputChecks,0,</v>
      </c>
      <c r="AW72" s="31" t="str">
        <f t="shared" si="48"/>
        <v>BypassUMLHChecks,0,</v>
      </c>
      <c r="AX72" s="31" t="str">
        <f t="shared" si="48"/>
        <v>BypassCheckSimRules,0,</v>
      </c>
      <c r="AY72" s="31" t="str">
        <f t="shared" si="48"/>
        <v>BypassCheckCodeRules,0,</v>
      </c>
      <c r="BA72" s="31" t="str">
        <f t="shared" si="49"/>
        <v>StoreBEMDetails,1,</v>
      </c>
      <c r="BB72" s="31" t="str">
        <f t="shared" si="49"/>
        <v>ModelRpt_ALL,1,</v>
      </c>
      <c r="BC72" s="31" t="str">
        <f t="shared" si="49"/>
        <v>BypassOpenStudio_all,0,</v>
      </c>
      <c r="BD72" s="31" t="str">
        <f t="shared" si="49"/>
        <v>BypassOpenStudio_zp,0,</v>
      </c>
      <c r="BE72" s="31" t="str">
        <f t="shared" si="49"/>
        <v>BypassOpenStudio_zb,0,</v>
      </c>
      <c r="BF72" s="31" t="str">
        <f t="shared" si="49"/>
        <v>BypassOpenStudio_ap,0,</v>
      </c>
      <c r="BG72" s="31" t="str">
        <f t="shared" si="49"/>
        <v>BypassOpenStudio_ab,0,</v>
      </c>
      <c r="BH72" s="31" t="str">
        <f t="shared" si="49"/>
        <v>BypassOpenStudio_zp,0,</v>
      </c>
      <c r="BI72" s="31" t="str">
        <f t="shared" si="49"/>
        <v>BypassOpenStudio_zb,0,</v>
      </c>
      <c r="BJ72" s="31" t="str">
        <f t="shared" si="49"/>
        <v>BypassOpenStudio_ap,0,</v>
      </c>
      <c r="BK72" s="31" t="str">
        <f t="shared" si="50"/>
        <v>BypassOpenStudio_ab,0</v>
      </c>
    </row>
    <row r="73" spans="1:65" x14ac:dyDescent="0.25">
      <c r="A73" s="39">
        <f t="shared" si="44"/>
        <v>0</v>
      </c>
      <c r="B73" s="27" t="str">
        <f t="shared" si="51"/>
        <v>RulesetImplementationTests\\.cibd</v>
      </c>
      <c r="C73" s="27" t="str">
        <f t="shared" si="52"/>
        <v>BatchOut_141103_r2722_RIc\0.cibd</v>
      </c>
      <c r="D73" s="27" t="str">
        <f t="shared" si="53"/>
        <v>BatchOut_141103_r2722_RIc\XML\</v>
      </c>
      <c r="E73" s="9" t="e">
        <f t="shared" si="54"/>
        <v>#VALUE!</v>
      </c>
      <c r="F73" s="22"/>
      <c r="G73" s="29"/>
      <c r="H73" s="23"/>
      <c r="I73" s="9" t="s">
        <v>11</v>
      </c>
      <c r="J73"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3" s="15" t="s">
        <v>1</v>
      </c>
      <c r="L73" s="36">
        <f t="shared" si="60"/>
        <v>0</v>
      </c>
      <c r="M73" s="32" t="e">
        <f t="shared" si="64"/>
        <v>#VALUE!</v>
      </c>
      <c r="N73" s="28"/>
      <c r="O73" s="57">
        <f t="shared" si="46"/>
        <v>0</v>
      </c>
      <c r="P73" s="63">
        <f t="shared" si="61"/>
        <v>2</v>
      </c>
      <c r="Q73" s="65">
        <f t="shared" si="55"/>
        <v>1</v>
      </c>
      <c r="R73" s="65">
        <f t="shared" si="55"/>
        <v>0</v>
      </c>
      <c r="S73" s="65">
        <f t="shared" si="55"/>
        <v>1</v>
      </c>
      <c r="T73" s="65">
        <f t="shared" si="55"/>
        <v>0</v>
      </c>
      <c r="U73" s="65">
        <f t="shared" si="55"/>
        <v>11</v>
      </c>
      <c r="V73" s="65">
        <v>11</v>
      </c>
      <c r="W73" s="65">
        <f t="shared" si="62"/>
        <v>1</v>
      </c>
      <c r="X73" s="65">
        <f t="shared" si="62"/>
        <v>0</v>
      </c>
      <c r="Y73" s="65">
        <f t="shared" si="62"/>
        <v>0</v>
      </c>
      <c r="Z73" s="65">
        <f t="shared" si="62"/>
        <v>0</v>
      </c>
      <c r="AA73" s="65">
        <f t="shared" si="62"/>
        <v>0</v>
      </c>
      <c r="AB73" s="65">
        <f t="shared" si="62"/>
        <v>1</v>
      </c>
      <c r="AC73" s="65">
        <f t="shared" si="57"/>
        <v>1</v>
      </c>
      <c r="AD73" s="61">
        <v>1</v>
      </c>
      <c r="AE73" s="63">
        <f t="shared" si="63"/>
        <v>0</v>
      </c>
      <c r="AF73" s="64">
        <f t="shared" si="63"/>
        <v>0</v>
      </c>
      <c r="AG73" s="64">
        <f t="shared" si="58"/>
        <v>0</v>
      </c>
      <c r="AH73" s="64">
        <f t="shared" si="58"/>
        <v>0</v>
      </c>
      <c r="AI73" s="66">
        <f t="shared" si="58"/>
        <v>0</v>
      </c>
      <c r="AJ73" s="63">
        <f t="shared" si="58"/>
        <v>0</v>
      </c>
      <c r="AK73" s="64">
        <f t="shared" si="58"/>
        <v>0</v>
      </c>
      <c r="AL73" s="65">
        <f t="shared" si="58"/>
        <v>0</v>
      </c>
      <c r="AM73" s="66">
        <f t="shared" si="58"/>
        <v>0</v>
      </c>
      <c r="AN73" s="31" t="str">
        <f t="shared" si="48"/>
        <v>SimulationStorage,2,</v>
      </c>
      <c r="AO73" s="31" t="str">
        <f t="shared" si="48"/>
        <v>AnalysisStorage,1,</v>
      </c>
      <c r="AP73" s="31" t="str">
        <f t="shared" si="48"/>
        <v>LogRuleEvaluation,0,</v>
      </c>
      <c r="AQ73" s="31" t="str">
        <f t="shared" si="48"/>
        <v>ParallelSimulations,1,</v>
      </c>
      <c r="AR73" s="31" t="str">
        <f t="shared" si="48"/>
        <v>DurationStats,0,</v>
      </c>
      <c r="AS73" s="31" t="str">
        <f t="shared" si="48"/>
        <v>AnalysisThruStep,11,</v>
      </c>
      <c r="AT73" s="31" t="str">
        <f t="shared" si="48"/>
        <v>DontAbortOnErrorsThruStep,11,</v>
      </c>
      <c r="AU73" s="31" t="str">
        <f t="shared" si="48"/>
        <v>BypassValidFileChecks,1,</v>
      </c>
      <c r="AV73" s="31" t="str">
        <f t="shared" si="48"/>
        <v>BypassInputChecks,0,</v>
      </c>
      <c r="AW73" s="31" t="str">
        <f t="shared" si="48"/>
        <v>BypassUMLHChecks,0,</v>
      </c>
      <c r="AX73" s="31" t="str">
        <f t="shared" si="48"/>
        <v>BypassCheckSimRules,0,</v>
      </c>
      <c r="AY73" s="31" t="str">
        <f t="shared" si="48"/>
        <v>BypassCheckCodeRules,0,</v>
      </c>
      <c r="BA73" s="31" t="str">
        <f t="shared" si="49"/>
        <v>StoreBEMDetails,1,</v>
      </c>
      <c r="BB73" s="31" t="str">
        <f t="shared" si="49"/>
        <v>ModelRpt_ALL,1,</v>
      </c>
      <c r="BC73" s="31" t="str">
        <f t="shared" si="49"/>
        <v>BypassOpenStudio_all,0,</v>
      </c>
      <c r="BD73" s="31" t="str">
        <f t="shared" si="49"/>
        <v>BypassOpenStudio_zp,0,</v>
      </c>
      <c r="BE73" s="31" t="str">
        <f t="shared" si="49"/>
        <v>BypassOpenStudio_zb,0,</v>
      </c>
      <c r="BF73" s="31" t="str">
        <f t="shared" si="49"/>
        <v>BypassOpenStudio_ap,0,</v>
      </c>
      <c r="BG73" s="31" t="str">
        <f t="shared" si="49"/>
        <v>BypassOpenStudio_ab,0,</v>
      </c>
      <c r="BH73" s="31" t="str">
        <f t="shared" si="49"/>
        <v>BypassOpenStudio_zp,0,</v>
      </c>
      <c r="BI73" s="31" t="str">
        <f t="shared" si="49"/>
        <v>BypassOpenStudio_zb,0,</v>
      </c>
      <c r="BJ73" s="31" t="str">
        <f t="shared" si="49"/>
        <v>BypassOpenStudio_ap,0,</v>
      </c>
      <c r="BK73" s="31" t="str">
        <f t="shared" si="50"/>
        <v>BypassOpenStudio_ab,0</v>
      </c>
    </row>
    <row r="74" spans="1:65" x14ac:dyDescent="0.25">
      <c r="A74" s="39">
        <f t="shared" si="44"/>
        <v>0</v>
      </c>
      <c r="B74" s="27" t="str">
        <f t="shared" si="51"/>
        <v>RulesetImplementationTests\\.cibd</v>
      </c>
      <c r="C74" s="27" t="str">
        <f t="shared" si="52"/>
        <v>BatchOut_141103_r2722_RIc\0.cibd</v>
      </c>
      <c r="D74" s="27" t="str">
        <f t="shared" si="53"/>
        <v>BatchOut_141103_r2722_RIc\XML\</v>
      </c>
      <c r="E74" s="9" t="e">
        <f t="shared" si="54"/>
        <v>#VALUE!</v>
      </c>
      <c r="F74" s="22"/>
      <c r="G74" s="29"/>
      <c r="H74" s="23" t="str">
        <f>IF(F74&gt;1,1,"")</f>
        <v/>
      </c>
      <c r="I74" s="9" t="s">
        <v>11</v>
      </c>
      <c r="J74"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4" s="15" t="s">
        <v>1</v>
      </c>
      <c r="L74" s="36">
        <f t="shared" si="60"/>
        <v>0</v>
      </c>
      <c r="M74" s="32" t="e">
        <f t="shared" si="64"/>
        <v>#VALUE!</v>
      </c>
      <c r="N74" s="28"/>
      <c r="O74" s="57">
        <f t="shared" si="46"/>
        <v>0</v>
      </c>
      <c r="P74" s="63">
        <f t="shared" si="61"/>
        <v>2</v>
      </c>
      <c r="Q74" s="65">
        <f t="shared" si="55"/>
        <v>1</v>
      </c>
      <c r="R74" s="65">
        <f t="shared" si="55"/>
        <v>0</v>
      </c>
      <c r="S74" s="65">
        <f t="shared" si="55"/>
        <v>1</v>
      </c>
      <c r="T74" s="65">
        <f t="shared" si="55"/>
        <v>0</v>
      </c>
      <c r="U74" s="65">
        <f t="shared" si="55"/>
        <v>11</v>
      </c>
      <c r="V74" s="65">
        <v>11</v>
      </c>
      <c r="W74" s="65">
        <f t="shared" si="62"/>
        <v>1</v>
      </c>
      <c r="X74" s="65">
        <f t="shared" si="62"/>
        <v>0</v>
      </c>
      <c r="Y74" s="65">
        <f t="shared" si="62"/>
        <v>0</v>
      </c>
      <c r="Z74" s="65">
        <f t="shared" si="62"/>
        <v>0</v>
      </c>
      <c r="AA74" s="65">
        <f t="shared" si="62"/>
        <v>0</v>
      </c>
      <c r="AB74" s="65">
        <f t="shared" si="62"/>
        <v>1</v>
      </c>
      <c r="AC74" s="65">
        <f t="shared" si="57"/>
        <v>1</v>
      </c>
      <c r="AD74" s="61">
        <v>1</v>
      </c>
      <c r="AE74" s="63">
        <f t="shared" si="63"/>
        <v>0</v>
      </c>
      <c r="AF74" s="64">
        <f t="shared" si="63"/>
        <v>0</v>
      </c>
      <c r="AG74" s="64">
        <f t="shared" si="58"/>
        <v>0</v>
      </c>
      <c r="AH74" s="64">
        <f t="shared" si="58"/>
        <v>0</v>
      </c>
      <c r="AI74" s="66">
        <f t="shared" si="58"/>
        <v>0</v>
      </c>
      <c r="AJ74" s="63">
        <f t="shared" si="58"/>
        <v>0</v>
      </c>
      <c r="AK74" s="64">
        <f t="shared" si="58"/>
        <v>0</v>
      </c>
      <c r="AL74" s="65">
        <f t="shared" si="58"/>
        <v>0</v>
      </c>
      <c r="AM74" s="66">
        <f t="shared" si="58"/>
        <v>0</v>
      </c>
      <c r="AN74" s="31" t="str">
        <f t="shared" si="48"/>
        <v>SimulationStorage,2,</v>
      </c>
      <c r="AO74" s="31" t="str">
        <f t="shared" si="48"/>
        <v>AnalysisStorage,1,</v>
      </c>
      <c r="AP74" s="31" t="str">
        <f t="shared" si="48"/>
        <v>LogRuleEvaluation,0,</v>
      </c>
      <c r="AQ74" s="31" t="str">
        <f t="shared" si="48"/>
        <v>ParallelSimulations,1,</v>
      </c>
      <c r="AR74" s="31" t="str">
        <f t="shared" si="48"/>
        <v>DurationStats,0,</v>
      </c>
      <c r="AS74" s="31" t="str">
        <f t="shared" si="48"/>
        <v>AnalysisThruStep,11,</v>
      </c>
      <c r="AT74" s="31" t="str">
        <f t="shared" si="48"/>
        <v>DontAbortOnErrorsThruStep,11,</v>
      </c>
      <c r="AU74" s="31" t="str">
        <f t="shared" si="48"/>
        <v>BypassValidFileChecks,1,</v>
      </c>
      <c r="AV74" s="31" t="str">
        <f t="shared" si="48"/>
        <v>BypassInputChecks,0,</v>
      </c>
      <c r="AW74" s="31" t="str">
        <f t="shared" si="48"/>
        <v>BypassUMLHChecks,0,</v>
      </c>
      <c r="AX74" s="31" t="str">
        <f t="shared" si="48"/>
        <v>BypassCheckSimRules,0,</v>
      </c>
      <c r="AY74" s="31" t="str">
        <f t="shared" si="48"/>
        <v>BypassCheckCodeRules,0,</v>
      </c>
      <c r="BA74" s="31" t="str">
        <f t="shared" si="49"/>
        <v>StoreBEMDetails,1,</v>
      </c>
      <c r="BB74" s="31" t="str">
        <f t="shared" si="49"/>
        <v>ModelRpt_ALL,1,</v>
      </c>
      <c r="BC74" s="31" t="str">
        <f t="shared" si="49"/>
        <v>BypassOpenStudio_all,0,</v>
      </c>
      <c r="BD74" s="31" t="str">
        <f t="shared" si="49"/>
        <v>BypassOpenStudio_zp,0,</v>
      </c>
      <c r="BE74" s="31" t="str">
        <f t="shared" si="49"/>
        <v>BypassOpenStudio_zb,0,</v>
      </c>
      <c r="BF74" s="31" t="str">
        <f t="shared" si="49"/>
        <v>BypassOpenStudio_ap,0,</v>
      </c>
      <c r="BG74" s="31" t="str">
        <f t="shared" si="49"/>
        <v>BypassOpenStudio_ab,0,</v>
      </c>
      <c r="BH74" s="31" t="str">
        <f t="shared" si="49"/>
        <v>BypassOpenStudio_zp,0,</v>
      </c>
      <c r="BI74" s="31" t="str">
        <f t="shared" si="49"/>
        <v>BypassOpenStudio_zb,0,</v>
      </c>
      <c r="BJ74" s="31" t="str">
        <f t="shared" si="49"/>
        <v>BypassOpenStudio_ap,0,</v>
      </c>
      <c r="BK74" s="31" t="str">
        <f t="shared" si="50"/>
        <v>BypassOpenStudio_ab,0</v>
      </c>
    </row>
    <row r="75" spans="1:65" x14ac:dyDescent="0.25">
      <c r="A75" s="39">
        <f t="shared" si="44"/>
        <v>0</v>
      </c>
      <c r="B75" s="27" t="str">
        <f t="shared" si="51"/>
        <v>RulesetImplementationTests\\.cibd</v>
      </c>
      <c r="C75" s="27" t="str">
        <f t="shared" si="52"/>
        <v>BatchOut_141103_r2722_RIc\0.cibd</v>
      </c>
      <c r="D75" s="27" t="str">
        <f t="shared" si="53"/>
        <v>BatchOut_141103_r2722_RIc\XML\</v>
      </c>
      <c r="E75" s="9" t="e">
        <f t="shared" si="54"/>
        <v>#VALUE!</v>
      </c>
      <c r="F75" s="22"/>
      <c r="G75" s="29"/>
      <c r="H75" s="23"/>
      <c r="I75" s="9" t="s">
        <v>11</v>
      </c>
      <c r="J75"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5" s="15" t="s">
        <v>1</v>
      </c>
      <c r="L75" s="36">
        <f t="shared" si="60"/>
        <v>0</v>
      </c>
      <c r="M75" s="32" t="e">
        <f t="shared" si="64"/>
        <v>#VALUE!</v>
      </c>
      <c r="N75" s="28"/>
      <c r="O75" s="57">
        <f t="shared" si="46"/>
        <v>0</v>
      </c>
      <c r="P75" s="63">
        <f t="shared" si="61"/>
        <v>2</v>
      </c>
      <c r="Q75" s="65">
        <f t="shared" si="55"/>
        <v>1</v>
      </c>
      <c r="R75" s="65">
        <f t="shared" si="55"/>
        <v>0</v>
      </c>
      <c r="S75" s="65">
        <f t="shared" si="55"/>
        <v>1</v>
      </c>
      <c r="T75" s="65">
        <f t="shared" si="55"/>
        <v>0</v>
      </c>
      <c r="U75" s="65">
        <f t="shared" si="55"/>
        <v>11</v>
      </c>
      <c r="V75" s="65">
        <v>11</v>
      </c>
      <c r="W75" s="65">
        <f t="shared" si="62"/>
        <v>1</v>
      </c>
      <c r="X75" s="65">
        <f t="shared" si="62"/>
        <v>0</v>
      </c>
      <c r="Y75" s="65">
        <f t="shared" si="62"/>
        <v>0</v>
      </c>
      <c r="Z75" s="65">
        <f t="shared" si="62"/>
        <v>0</v>
      </c>
      <c r="AA75" s="65">
        <f t="shared" si="62"/>
        <v>0</v>
      </c>
      <c r="AB75" s="65">
        <f t="shared" si="62"/>
        <v>1</v>
      </c>
      <c r="AC75" s="65">
        <f t="shared" si="57"/>
        <v>1</v>
      </c>
      <c r="AD75" s="61">
        <v>1</v>
      </c>
      <c r="AE75" s="63">
        <f t="shared" si="63"/>
        <v>0</v>
      </c>
      <c r="AF75" s="64">
        <f t="shared" si="63"/>
        <v>0</v>
      </c>
      <c r="AG75" s="64">
        <f t="shared" si="58"/>
        <v>0</v>
      </c>
      <c r="AH75" s="64">
        <f t="shared" si="58"/>
        <v>0</v>
      </c>
      <c r="AI75" s="66">
        <f t="shared" si="58"/>
        <v>0</v>
      </c>
      <c r="AJ75" s="63">
        <f t="shared" si="58"/>
        <v>0</v>
      </c>
      <c r="AK75" s="64">
        <f t="shared" si="58"/>
        <v>0</v>
      </c>
      <c r="AL75" s="65">
        <f t="shared" si="58"/>
        <v>0</v>
      </c>
      <c r="AM75" s="66">
        <f t="shared" si="58"/>
        <v>0</v>
      </c>
      <c r="AN75" s="31" t="str">
        <f t="shared" si="48"/>
        <v>SimulationStorage,2,</v>
      </c>
      <c r="AO75" s="31" t="str">
        <f t="shared" si="48"/>
        <v>AnalysisStorage,1,</v>
      </c>
      <c r="AP75" s="31" t="str">
        <f t="shared" si="48"/>
        <v>LogRuleEvaluation,0,</v>
      </c>
      <c r="AQ75" s="31" t="str">
        <f t="shared" si="48"/>
        <v>ParallelSimulations,1,</v>
      </c>
      <c r="AR75" s="31" t="str">
        <f t="shared" si="48"/>
        <v>DurationStats,0,</v>
      </c>
      <c r="AS75" s="31" t="str">
        <f t="shared" si="48"/>
        <v>AnalysisThruStep,11,</v>
      </c>
      <c r="AT75" s="31" t="str">
        <f t="shared" si="48"/>
        <v>DontAbortOnErrorsThruStep,11,</v>
      </c>
      <c r="AU75" s="31" t="str">
        <f t="shared" si="48"/>
        <v>BypassValidFileChecks,1,</v>
      </c>
      <c r="AV75" s="31" t="str">
        <f t="shared" si="48"/>
        <v>BypassInputChecks,0,</v>
      </c>
      <c r="AW75" s="31" t="str">
        <f t="shared" si="48"/>
        <v>BypassUMLHChecks,0,</v>
      </c>
      <c r="AX75" s="31" t="str">
        <f t="shared" si="48"/>
        <v>BypassCheckSimRules,0,</v>
      </c>
      <c r="AY75" s="31" t="str">
        <f t="shared" si="48"/>
        <v>BypassCheckCodeRules,0,</v>
      </c>
      <c r="BA75" s="31" t="str">
        <f t="shared" si="49"/>
        <v>StoreBEMDetails,1,</v>
      </c>
      <c r="BB75" s="31" t="str">
        <f t="shared" si="49"/>
        <v>ModelRpt_ALL,1,</v>
      </c>
      <c r="BC75" s="31" t="str">
        <f t="shared" si="49"/>
        <v>BypassOpenStudio_all,0,</v>
      </c>
      <c r="BD75" s="31" t="str">
        <f t="shared" si="49"/>
        <v>BypassOpenStudio_zp,0,</v>
      </c>
      <c r="BE75" s="31" t="str">
        <f t="shared" si="49"/>
        <v>BypassOpenStudio_zb,0,</v>
      </c>
      <c r="BF75" s="31" t="str">
        <f t="shared" si="49"/>
        <v>BypassOpenStudio_ap,0,</v>
      </c>
      <c r="BG75" s="31" t="str">
        <f t="shared" si="49"/>
        <v>BypassOpenStudio_ab,0,</v>
      </c>
      <c r="BH75" s="31" t="str">
        <f t="shared" si="49"/>
        <v>BypassOpenStudio_zp,0,</v>
      </c>
      <c r="BI75" s="31" t="str">
        <f t="shared" si="49"/>
        <v>BypassOpenStudio_zb,0,</v>
      </c>
      <c r="BJ75" s="31" t="str">
        <f t="shared" si="49"/>
        <v>BypassOpenStudio_ap,0,</v>
      </c>
      <c r="BK75" s="31" t="str">
        <f t="shared" si="50"/>
        <v>BypassOpenStudio_ab,0</v>
      </c>
    </row>
    <row r="76" spans="1:65" x14ac:dyDescent="0.25">
      <c r="A76" s="39">
        <f t="shared" si="44"/>
        <v>0</v>
      </c>
      <c r="B76" s="27" t="str">
        <f t="shared" si="51"/>
        <v>RulesetImplementationTests\\.cibd</v>
      </c>
      <c r="C76" s="27" t="str">
        <f t="shared" si="52"/>
        <v>BatchOut_141103_r2722_RIc\0.cibd</v>
      </c>
      <c r="D76" s="27" t="str">
        <f t="shared" si="53"/>
        <v>BatchOut_141103_r2722_RIc\XML\</v>
      </c>
      <c r="E76" s="9" t="e">
        <f t="shared" si="54"/>
        <v>#VALUE!</v>
      </c>
      <c r="F76" s="22"/>
      <c r="G76" s="29"/>
      <c r="H76" s="23"/>
      <c r="I76" s="9" t="s">
        <v>11</v>
      </c>
      <c r="J76"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6" s="15" t="s">
        <v>1</v>
      </c>
      <c r="L76" s="36">
        <f t="shared" si="60"/>
        <v>0</v>
      </c>
      <c r="M76" s="32" t="e">
        <f t="shared" si="64"/>
        <v>#VALUE!</v>
      </c>
      <c r="N76" s="28"/>
      <c r="O76" s="57">
        <f t="shared" si="46"/>
        <v>0</v>
      </c>
      <c r="P76" s="63">
        <f t="shared" si="61"/>
        <v>2</v>
      </c>
      <c r="Q76" s="65">
        <f t="shared" si="55"/>
        <v>1</v>
      </c>
      <c r="R76" s="65">
        <f t="shared" si="55"/>
        <v>0</v>
      </c>
      <c r="S76" s="65">
        <f t="shared" si="55"/>
        <v>1</v>
      </c>
      <c r="T76" s="65">
        <f t="shared" si="55"/>
        <v>0</v>
      </c>
      <c r="U76" s="65">
        <f t="shared" si="55"/>
        <v>11</v>
      </c>
      <c r="V76" s="65">
        <v>11</v>
      </c>
      <c r="W76" s="65">
        <f t="shared" si="62"/>
        <v>1</v>
      </c>
      <c r="X76" s="65">
        <f t="shared" si="62"/>
        <v>0</v>
      </c>
      <c r="Y76" s="65">
        <f t="shared" si="62"/>
        <v>0</v>
      </c>
      <c r="Z76" s="65">
        <f t="shared" si="62"/>
        <v>0</v>
      </c>
      <c r="AA76" s="65">
        <f t="shared" si="62"/>
        <v>0</v>
      </c>
      <c r="AB76" s="65">
        <f t="shared" si="62"/>
        <v>1</v>
      </c>
      <c r="AC76" s="65">
        <f t="shared" si="57"/>
        <v>1</v>
      </c>
      <c r="AD76" s="61">
        <v>1</v>
      </c>
      <c r="AE76" s="63">
        <f t="shared" si="63"/>
        <v>0</v>
      </c>
      <c r="AF76" s="64">
        <f t="shared" si="63"/>
        <v>0</v>
      </c>
      <c r="AG76" s="64">
        <f t="shared" si="58"/>
        <v>0</v>
      </c>
      <c r="AH76" s="64">
        <f t="shared" si="58"/>
        <v>0</v>
      </c>
      <c r="AI76" s="66">
        <f t="shared" si="58"/>
        <v>0</v>
      </c>
      <c r="AJ76" s="63">
        <f t="shared" si="58"/>
        <v>0</v>
      </c>
      <c r="AK76" s="64">
        <f t="shared" si="58"/>
        <v>0</v>
      </c>
      <c r="AL76" s="65">
        <f t="shared" si="58"/>
        <v>0</v>
      </c>
      <c r="AM76" s="66">
        <f t="shared" si="58"/>
        <v>0</v>
      </c>
      <c r="AN76" s="31" t="str">
        <f t="shared" si="48"/>
        <v>SimulationStorage,2,</v>
      </c>
      <c r="AO76" s="31" t="str">
        <f t="shared" si="48"/>
        <v>AnalysisStorage,1,</v>
      </c>
      <c r="AP76" s="31" t="str">
        <f t="shared" si="48"/>
        <v>LogRuleEvaluation,0,</v>
      </c>
      <c r="AQ76" s="31" t="str">
        <f t="shared" si="48"/>
        <v>ParallelSimulations,1,</v>
      </c>
      <c r="AR76" s="31" t="str">
        <f t="shared" si="48"/>
        <v>DurationStats,0,</v>
      </c>
      <c r="AS76" s="31" t="str">
        <f t="shared" si="48"/>
        <v>AnalysisThruStep,11,</v>
      </c>
      <c r="AT76" s="31" t="str">
        <f t="shared" si="48"/>
        <v>DontAbortOnErrorsThruStep,11,</v>
      </c>
      <c r="AU76" s="31" t="str">
        <f t="shared" si="48"/>
        <v>BypassValidFileChecks,1,</v>
      </c>
      <c r="AV76" s="31" t="str">
        <f t="shared" si="48"/>
        <v>BypassInputChecks,0,</v>
      </c>
      <c r="AW76" s="31" t="str">
        <f t="shared" si="48"/>
        <v>BypassUMLHChecks,0,</v>
      </c>
      <c r="AX76" s="31" t="str">
        <f t="shared" si="48"/>
        <v>BypassCheckSimRules,0,</v>
      </c>
      <c r="AY76" s="31" t="str">
        <f t="shared" si="48"/>
        <v>BypassCheckCodeRules,0,</v>
      </c>
      <c r="BA76" s="31" t="str">
        <f t="shared" si="49"/>
        <v>StoreBEMDetails,1,</v>
      </c>
      <c r="BB76" s="31" t="str">
        <f t="shared" si="49"/>
        <v>ModelRpt_ALL,1,</v>
      </c>
      <c r="BC76" s="31" t="str">
        <f t="shared" si="49"/>
        <v>BypassOpenStudio_all,0,</v>
      </c>
      <c r="BD76" s="31" t="str">
        <f t="shared" si="49"/>
        <v>BypassOpenStudio_zp,0,</v>
      </c>
      <c r="BE76" s="31" t="str">
        <f t="shared" si="49"/>
        <v>BypassOpenStudio_zb,0,</v>
      </c>
      <c r="BF76" s="31" t="str">
        <f t="shared" si="49"/>
        <v>BypassOpenStudio_ap,0,</v>
      </c>
      <c r="BG76" s="31" t="str">
        <f t="shared" si="49"/>
        <v>BypassOpenStudio_ab,0,</v>
      </c>
      <c r="BH76" s="31" t="str">
        <f t="shared" si="49"/>
        <v>BypassOpenStudio_zp,0,</v>
      </c>
      <c r="BI76" s="31" t="str">
        <f t="shared" si="49"/>
        <v>BypassOpenStudio_zb,0,</v>
      </c>
      <c r="BJ76" s="31" t="str">
        <f t="shared" si="49"/>
        <v>BypassOpenStudio_ap,0,</v>
      </c>
      <c r="BK76" s="31" t="str">
        <f t="shared" si="50"/>
        <v>BypassOpenStudio_ab,0</v>
      </c>
    </row>
    <row r="77" spans="1:65" x14ac:dyDescent="0.25">
      <c r="A77" s="39">
        <f t="shared" si="44"/>
        <v>0</v>
      </c>
      <c r="B77" s="27" t="str">
        <f t="shared" si="51"/>
        <v>RulesetImplementationTests\\.cibd</v>
      </c>
      <c r="C77" s="27" t="str">
        <f t="shared" si="52"/>
        <v>BatchOut_141103_r2722_RIc\0.cibd</v>
      </c>
      <c r="D77" s="27" t="str">
        <f t="shared" si="53"/>
        <v>BatchOut_141103_r2722_RIc\XML\</v>
      </c>
      <c r="E77" s="9" t="e">
        <f t="shared" si="54"/>
        <v>#VALUE!</v>
      </c>
      <c r="F77" s="22"/>
      <c r="G77" s="29"/>
      <c r="H77" s="23" t="str">
        <f>IF(F77&gt;1,1,"")</f>
        <v/>
      </c>
      <c r="I77" s="9" t="s">
        <v>11</v>
      </c>
      <c r="J77"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7" s="15" t="s">
        <v>1</v>
      </c>
      <c r="L77" s="36">
        <f t="shared" si="60"/>
        <v>0</v>
      </c>
      <c r="M77" s="32" t="e">
        <f t="shared" si="64"/>
        <v>#VALUE!</v>
      </c>
      <c r="N77" s="28"/>
      <c r="O77" s="57">
        <f t="shared" si="46"/>
        <v>0</v>
      </c>
      <c r="P77" s="63">
        <f t="shared" si="61"/>
        <v>2</v>
      </c>
      <c r="Q77" s="65">
        <f t="shared" si="55"/>
        <v>1</v>
      </c>
      <c r="R77" s="65">
        <f t="shared" si="55"/>
        <v>0</v>
      </c>
      <c r="S77" s="65">
        <f t="shared" si="55"/>
        <v>1</v>
      </c>
      <c r="T77" s="65">
        <f t="shared" si="55"/>
        <v>0</v>
      </c>
      <c r="U77" s="65">
        <f t="shared" si="55"/>
        <v>11</v>
      </c>
      <c r="V77" s="65">
        <v>11</v>
      </c>
      <c r="W77" s="65">
        <f t="shared" si="62"/>
        <v>1</v>
      </c>
      <c r="X77" s="65">
        <f t="shared" si="62"/>
        <v>0</v>
      </c>
      <c r="Y77" s="65">
        <f t="shared" si="62"/>
        <v>0</v>
      </c>
      <c r="Z77" s="65">
        <f t="shared" si="62"/>
        <v>0</v>
      </c>
      <c r="AA77" s="65">
        <f t="shared" si="62"/>
        <v>0</v>
      </c>
      <c r="AB77" s="65">
        <f t="shared" si="62"/>
        <v>1</v>
      </c>
      <c r="AC77" s="65">
        <f t="shared" si="57"/>
        <v>1</v>
      </c>
      <c r="AD77" s="61">
        <v>1</v>
      </c>
      <c r="AE77" s="63">
        <f t="shared" si="63"/>
        <v>0</v>
      </c>
      <c r="AF77" s="64">
        <f t="shared" si="63"/>
        <v>0</v>
      </c>
      <c r="AG77" s="64">
        <f t="shared" si="58"/>
        <v>0</v>
      </c>
      <c r="AH77" s="64">
        <f t="shared" si="58"/>
        <v>0</v>
      </c>
      <c r="AI77" s="66">
        <f t="shared" si="58"/>
        <v>0</v>
      </c>
      <c r="AJ77" s="63">
        <f t="shared" si="58"/>
        <v>0</v>
      </c>
      <c r="AK77" s="64">
        <f t="shared" si="58"/>
        <v>0</v>
      </c>
      <c r="AL77" s="65">
        <f t="shared" si="58"/>
        <v>0</v>
      </c>
      <c r="AM77" s="66">
        <f t="shared" si="58"/>
        <v>0</v>
      </c>
      <c r="AN77" s="31" t="str">
        <f t="shared" si="48"/>
        <v>SimulationStorage,2,</v>
      </c>
      <c r="AO77" s="31" t="str">
        <f t="shared" si="48"/>
        <v>AnalysisStorage,1,</v>
      </c>
      <c r="AP77" s="31" t="str">
        <f t="shared" si="48"/>
        <v>LogRuleEvaluation,0,</v>
      </c>
      <c r="AQ77" s="31" t="str">
        <f t="shared" si="48"/>
        <v>ParallelSimulations,1,</v>
      </c>
      <c r="AR77" s="31" t="str">
        <f t="shared" si="48"/>
        <v>DurationStats,0,</v>
      </c>
      <c r="AS77" s="31" t="str">
        <f t="shared" si="48"/>
        <v>AnalysisThruStep,11,</v>
      </c>
      <c r="AT77" s="31" t="str">
        <f t="shared" si="48"/>
        <v>DontAbortOnErrorsThruStep,11,</v>
      </c>
      <c r="AU77" s="31" t="str">
        <f t="shared" si="48"/>
        <v>BypassValidFileChecks,1,</v>
      </c>
      <c r="AV77" s="31" t="str">
        <f t="shared" si="48"/>
        <v>BypassInputChecks,0,</v>
      </c>
      <c r="AW77" s="31" t="str">
        <f t="shared" si="48"/>
        <v>BypassUMLHChecks,0,</v>
      </c>
      <c r="AX77" s="31" t="str">
        <f t="shared" si="48"/>
        <v>BypassCheckSimRules,0,</v>
      </c>
      <c r="AY77" s="31" t="str">
        <f t="shared" si="48"/>
        <v>BypassCheckCodeRules,0,</v>
      </c>
      <c r="BA77" s="31" t="str">
        <f t="shared" si="49"/>
        <v>StoreBEMDetails,1,</v>
      </c>
      <c r="BB77" s="31" t="str">
        <f t="shared" si="49"/>
        <v>ModelRpt_ALL,1,</v>
      </c>
      <c r="BC77" s="31" t="str">
        <f t="shared" si="49"/>
        <v>BypassOpenStudio_all,0,</v>
      </c>
      <c r="BD77" s="31" t="str">
        <f t="shared" si="49"/>
        <v>BypassOpenStudio_zp,0,</v>
      </c>
      <c r="BE77" s="31" t="str">
        <f t="shared" si="49"/>
        <v>BypassOpenStudio_zb,0,</v>
      </c>
      <c r="BF77" s="31" t="str">
        <f t="shared" si="49"/>
        <v>BypassOpenStudio_ap,0,</v>
      </c>
      <c r="BG77" s="31" t="str">
        <f t="shared" si="49"/>
        <v>BypassOpenStudio_ab,0,</v>
      </c>
      <c r="BH77" s="31" t="str">
        <f t="shared" si="49"/>
        <v>BypassOpenStudio_zp,0,</v>
      </c>
      <c r="BI77" s="31" t="str">
        <f t="shared" si="49"/>
        <v>BypassOpenStudio_zb,0,</v>
      </c>
      <c r="BJ77" s="31" t="str">
        <f t="shared" si="49"/>
        <v>BypassOpenStudio_ap,0,</v>
      </c>
      <c r="BK77" s="31" t="str">
        <f t="shared" si="50"/>
        <v>BypassOpenStudio_ab,0</v>
      </c>
    </row>
    <row r="78" spans="1:65" x14ac:dyDescent="0.25">
      <c r="A78" s="39">
        <f t="shared" si="44"/>
        <v>0</v>
      </c>
      <c r="B78" s="27" t="str">
        <f t="shared" si="51"/>
        <v>RulesetImplementationTests\\.cibd</v>
      </c>
      <c r="C78" s="27" t="str">
        <f t="shared" si="52"/>
        <v>BatchOut_141103_r2722_RIc\0.cibd</v>
      </c>
      <c r="D78" s="27" t="str">
        <f t="shared" si="53"/>
        <v>BatchOut_141103_r2722_RIc\XML\</v>
      </c>
      <c r="E78" s="9" t="e">
        <f t="shared" si="54"/>
        <v>#VALUE!</v>
      </c>
      <c r="F78" s="22"/>
      <c r="G78" s="29"/>
      <c r="H78" s="23" t="str">
        <f>IF(F78&gt;1,1,"")</f>
        <v/>
      </c>
      <c r="I78" s="9" t="s">
        <v>11</v>
      </c>
      <c r="J78"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8" s="15" t="s">
        <v>1</v>
      </c>
      <c r="L78" s="36">
        <f t="shared" si="60"/>
        <v>0</v>
      </c>
      <c r="M78" s="32" t="e">
        <f t="shared" si="64"/>
        <v>#VALUE!</v>
      </c>
      <c r="N78" s="28"/>
      <c r="O78" s="57">
        <f t="shared" si="46"/>
        <v>0</v>
      </c>
      <c r="P78" s="63">
        <f t="shared" si="61"/>
        <v>2</v>
      </c>
      <c r="Q78" s="65">
        <f t="shared" si="55"/>
        <v>1</v>
      </c>
      <c r="R78" s="65">
        <f t="shared" si="55"/>
        <v>0</v>
      </c>
      <c r="S78" s="65">
        <f t="shared" si="55"/>
        <v>1</v>
      </c>
      <c r="T78" s="65">
        <f t="shared" si="55"/>
        <v>0</v>
      </c>
      <c r="U78" s="65">
        <f t="shared" si="55"/>
        <v>11</v>
      </c>
      <c r="V78" s="65">
        <v>11</v>
      </c>
      <c r="W78" s="65">
        <f t="shared" si="62"/>
        <v>1</v>
      </c>
      <c r="X78" s="65">
        <f t="shared" si="62"/>
        <v>0</v>
      </c>
      <c r="Y78" s="65">
        <f t="shared" si="62"/>
        <v>0</v>
      </c>
      <c r="Z78" s="65">
        <f t="shared" si="62"/>
        <v>0</v>
      </c>
      <c r="AA78" s="65">
        <f t="shared" si="62"/>
        <v>0</v>
      </c>
      <c r="AB78" s="65">
        <f t="shared" si="62"/>
        <v>1</v>
      </c>
      <c r="AC78" s="65">
        <f t="shared" si="57"/>
        <v>1</v>
      </c>
      <c r="AD78" s="61">
        <v>1</v>
      </c>
      <c r="AE78" s="63">
        <f t="shared" si="63"/>
        <v>0</v>
      </c>
      <c r="AF78" s="64">
        <f t="shared" si="63"/>
        <v>0</v>
      </c>
      <c r="AG78" s="64">
        <f t="shared" si="58"/>
        <v>0</v>
      </c>
      <c r="AH78" s="64">
        <f t="shared" si="58"/>
        <v>0</v>
      </c>
      <c r="AI78" s="66">
        <f t="shared" si="58"/>
        <v>0</v>
      </c>
      <c r="AJ78" s="63">
        <f t="shared" si="58"/>
        <v>0</v>
      </c>
      <c r="AK78" s="64">
        <f t="shared" si="58"/>
        <v>0</v>
      </c>
      <c r="AL78" s="65">
        <f t="shared" si="58"/>
        <v>0</v>
      </c>
      <c r="AM78" s="66">
        <f t="shared" si="58"/>
        <v>0</v>
      </c>
      <c r="AN78" s="31" t="str">
        <f t="shared" si="48"/>
        <v>SimulationStorage,2,</v>
      </c>
      <c r="AO78" s="31" t="str">
        <f t="shared" si="48"/>
        <v>AnalysisStorage,1,</v>
      </c>
      <c r="AP78" s="31" t="str">
        <f t="shared" si="48"/>
        <v>LogRuleEvaluation,0,</v>
      </c>
      <c r="AQ78" s="31" t="str">
        <f t="shared" si="48"/>
        <v>ParallelSimulations,1,</v>
      </c>
      <c r="AR78" s="31" t="str">
        <f t="shared" si="48"/>
        <v>DurationStats,0,</v>
      </c>
      <c r="AS78" s="31" t="str">
        <f t="shared" si="48"/>
        <v>AnalysisThruStep,11,</v>
      </c>
      <c r="AT78" s="31" t="str">
        <f t="shared" si="48"/>
        <v>DontAbortOnErrorsThruStep,11,</v>
      </c>
      <c r="AU78" s="31" t="str">
        <f t="shared" si="48"/>
        <v>BypassValidFileChecks,1,</v>
      </c>
      <c r="AV78" s="31" t="str">
        <f t="shared" si="48"/>
        <v>BypassInputChecks,0,</v>
      </c>
      <c r="AW78" s="31" t="str">
        <f t="shared" si="48"/>
        <v>BypassUMLHChecks,0,</v>
      </c>
      <c r="AX78" s="31" t="str">
        <f t="shared" si="48"/>
        <v>BypassCheckSimRules,0,</v>
      </c>
      <c r="AY78" s="31" t="str">
        <f t="shared" si="48"/>
        <v>BypassCheckCodeRules,0,</v>
      </c>
      <c r="BA78" s="31" t="str">
        <f t="shared" si="49"/>
        <v>StoreBEMDetails,1,</v>
      </c>
      <c r="BB78" s="31" t="str">
        <f t="shared" si="49"/>
        <v>ModelRpt_ALL,1,</v>
      </c>
      <c r="BC78" s="31" t="str">
        <f t="shared" si="49"/>
        <v>BypassOpenStudio_all,0,</v>
      </c>
      <c r="BD78" s="31" t="str">
        <f t="shared" si="49"/>
        <v>BypassOpenStudio_zp,0,</v>
      </c>
      <c r="BE78" s="31" t="str">
        <f t="shared" si="49"/>
        <v>BypassOpenStudio_zb,0,</v>
      </c>
      <c r="BF78" s="31" t="str">
        <f t="shared" si="49"/>
        <v>BypassOpenStudio_ap,0,</v>
      </c>
      <c r="BG78" s="31" t="str">
        <f t="shared" si="49"/>
        <v>BypassOpenStudio_ab,0,</v>
      </c>
      <c r="BH78" s="31" t="str">
        <f t="shared" si="49"/>
        <v>BypassOpenStudio_zp,0,</v>
      </c>
      <c r="BI78" s="31" t="str">
        <f t="shared" si="49"/>
        <v>BypassOpenStudio_zb,0,</v>
      </c>
      <c r="BJ78" s="31" t="str">
        <f t="shared" si="49"/>
        <v>BypassOpenStudio_ap,0,</v>
      </c>
      <c r="BK78" s="31" t="str">
        <f t="shared" si="50"/>
        <v>BypassOpenStudio_ab,0</v>
      </c>
    </row>
    <row r="79" spans="1:65" x14ac:dyDescent="0.25">
      <c r="A79" s="39">
        <f t="shared" si="44"/>
        <v>0</v>
      </c>
      <c r="B79" s="27" t="str">
        <f t="shared" si="51"/>
        <v>RulesetImplementationTests\\.cibd</v>
      </c>
      <c r="C79" s="27" t="str">
        <f t="shared" si="52"/>
        <v>BatchOut_141103_r2722_RIc\0.cibd</v>
      </c>
      <c r="D79" s="27" t="str">
        <f t="shared" si="53"/>
        <v>BatchOut_141103_r2722_RIc\XML\</v>
      </c>
      <c r="E79" s="9" t="e">
        <f t="shared" si="54"/>
        <v>#VALUE!</v>
      </c>
      <c r="F79" s="22"/>
      <c r="G79" s="29"/>
      <c r="H79" s="23" t="str">
        <f>IF(F79&gt;1,1,"")</f>
        <v/>
      </c>
      <c r="I79" s="9" t="s">
        <v>11</v>
      </c>
      <c r="J79"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9" s="15" t="s">
        <v>1</v>
      </c>
      <c r="L79" s="36">
        <f t="shared" si="60"/>
        <v>0</v>
      </c>
      <c r="M79" s="32" t="e">
        <f t="shared" si="64"/>
        <v>#VALUE!</v>
      </c>
      <c r="N79" s="28"/>
      <c r="O79" s="57">
        <f t="shared" si="46"/>
        <v>0</v>
      </c>
      <c r="P79" s="63">
        <f t="shared" si="61"/>
        <v>2</v>
      </c>
      <c r="Q79" s="65">
        <f t="shared" si="55"/>
        <v>1</v>
      </c>
      <c r="R79" s="65">
        <f t="shared" si="55"/>
        <v>0</v>
      </c>
      <c r="S79" s="65">
        <f t="shared" si="55"/>
        <v>1</v>
      </c>
      <c r="T79" s="65">
        <f t="shared" si="55"/>
        <v>0</v>
      </c>
      <c r="U79" s="65">
        <f t="shared" si="55"/>
        <v>11</v>
      </c>
      <c r="V79" s="65">
        <v>11</v>
      </c>
      <c r="W79" s="65">
        <f t="shared" si="62"/>
        <v>1</v>
      </c>
      <c r="X79" s="65">
        <f t="shared" si="62"/>
        <v>0</v>
      </c>
      <c r="Y79" s="65">
        <f t="shared" si="62"/>
        <v>0</v>
      </c>
      <c r="Z79" s="65">
        <f t="shared" si="62"/>
        <v>0</v>
      </c>
      <c r="AA79" s="65">
        <f t="shared" si="62"/>
        <v>0</v>
      </c>
      <c r="AB79" s="65">
        <f t="shared" si="62"/>
        <v>1</v>
      </c>
      <c r="AC79" s="65">
        <f t="shared" si="57"/>
        <v>1</v>
      </c>
      <c r="AD79" s="61">
        <v>1</v>
      </c>
      <c r="AE79" s="63">
        <f t="shared" si="63"/>
        <v>0</v>
      </c>
      <c r="AF79" s="64">
        <f t="shared" si="63"/>
        <v>0</v>
      </c>
      <c r="AG79" s="64">
        <f t="shared" si="58"/>
        <v>0</v>
      </c>
      <c r="AH79" s="64">
        <f t="shared" si="58"/>
        <v>0</v>
      </c>
      <c r="AI79" s="66">
        <f t="shared" si="58"/>
        <v>0</v>
      </c>
      <c r="AJ79" s="63">
        <f t="shared" si="58"/>
        <v>0</v>
      </c>
      <c r="AK79" s="64">
        <f t="shared" si="58"/>
        <v>0</v>
      </c>
      <c r="AL79" s="65">
        <f t="shared" si="58"/>
        <v>0</v>
      </c>
      <c r="AM79" s="66">
        <f t="shared" si="58"/>
        <v>0</v>
      </c>
      <c r="AN79" s="31" t="str">
        <f t="shared" si="48"/>
        <v>SimulationStorage,2,</v>
      </c>
      <c r="AO79" s="31" t="str">
        <f t="shared" si="48"/>
        <v>AnalysisStorage,1,</v>
      </c>
      <c r="AP79" s="31" t="str">
        <f t="shared" si="48"/>
        <v>LogRuleEvaluation,0,</v>
      </c>
      <c r="AQ79" s="31" t="str">
        <f t="shared" si="48"/>
        <v>ParallelSimulations,1,</v>
      </c>
      <c r="AR79" s="31" t="str">
        <f t="shared" si="48"/>
        <v>DurationStats,0,</v>
      </c>
      <c r="AS79" s="31" t="str">
        <f t="shared" si="48"/>
        <v>AnalysisThruStep,11,</v>
      </c>
      <c r="AT79" s="31" t="str">
        <f t="shared" si="48"/>
        <v>DontAbortOnErrorsThruStep,11,</v>
      </c>
      <c r="AU79" s="31" t="str">
        <f t="shared" si="48"/>
        <v>BypassValidFileChecks,1,</v>
      </c>
      <c r="AV79" s="31" t="str">
        <f t="shared" si="48"/>
        <v>BypassInputChecks,0,</v>
      </c>
      <c r="AW79" s="31" t="str">
        <f t="shared" si="48"/>
        <v>BypassUMLHChecks,0,</v>
      </c>
      <c r="AX79" s="31" t="str">
        <f t="shared" si="48"/>
        <v>BypassCheckSimRules,0,</v>
      </c>
      <c r="AY79" s="31" t="str">
        <f t="shared" si="48"/>
        <v>BypassCheckCodeRules,0,</v>
      </c>
      <c r="BA79" s="31" t="str">
        <f t="shared" si="49"/>
        <v>StoreBEMDetails,1,</v>
      </c>
      <c r="BB79" s="31" t="str">
        <f t="shared" si="49"/>
        <v>ModelRpt_ALL,1,</v>
      </c>
      <c r="BC79" s="31" t="str">
        <f t="shared" si="49"/>
        <v>BypassOpenStudio_all,0,</v>
      </c>
      <c r="BD79" s="31" t="str">
        <f t="shared" si="49"/>
        <v>BypassOpenStudio_zp,0,</v>
      </c>
      <c r="BE79" s="31" t="str">
        <f t="shared" si="49"/>
        <v>BypassOpenStudio_zb,0,</v>
      </c>
      <c r="BF79" s="31" t="str">
        <f t="shared" si="49"/>
        <v>BypassOpenStudio_ap,0,</v>
      </c>
      <c r="BG79" s="31" t="str">
        <f t="shared" si="49"/>
        <v>BypassOpenStudio_ab,0,</v>
      </c>
      <c r="BH79" s="31" t="str">
        <f t="shared" si="49"/>
        <v>BypassOpenStudio_zp,0,</v>
      </c>
      <c r="BI79" s="31" t="str">
        <f t="shared" si="49"/>
        <v>BypassOpenStudio_zb,0,</v>
      </c>
      <c r="BJ79" s="31" t="str">
        <f t="shared" si="49"/>
        <v>BypassOpenStudio_ap,0,</v>
      </c>
      <c r="BK79" s="31" t="str">
        <f t="shared" si="50"/>
        <v>BypassOpenStudio_ab,0</v>
      </c>
    </row>
    <row r="80" spans="1:65" x14ac:dyDescent="0.25">
      <c r="A80" s="39">
        <f t="shared" si="44"/>
        <v>0</v>
      </c>
      <c r="B80" s="27" t="str">
        <f t="shared" si="51"/>
        <v>RulesetImplementationTests\\.cibd</v>
      </c>
      <c r="C80" s="27" t="str">
        <f t="shared" si="52"/>
        <v>BatchOut_141103_r2722_RIc\0.cibd</v>
      </c>
      <c r="D80" s="27" t="str">
        <f t="shared" si="53"/>
        <v>BatchOut_141103_r2722_RIc\XML\</v>
      </c>
      <c r="E80" s="9" t="e">
        <f t="shared" si="54"/>
        <v>#VALUE!</v>
      </c>
      <c r="F80" s="22"/>
      <c r="G80" s="29"/>
      <c r="H80" s="23"/>
      <c r="I80" s="9" t="s">
        <v>11</v>
      </c>
      <c r="J80"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0" s="15" t="s">
        <v>1</v>
      </c>
      <c r="L80" s="36">
        <f t="shared" si="60"/>
        <v>0</v>
      </c>
      <c r="M80" s="32" t="e">
        <f>LEFT(N80,SEARCH("-",N80))&amp;RIGHT(N80,5)</f>
        <v>#VALUE!</v>
      </c>
      <c r="N80" s="28"/>
      <c r="O80" s="57">
        <f>N80</f>
        <v>0</v>
      </c>
      <c r="P80" s="63">
        <f t="shared" si="61"/>
        <v>2</v>
      </c>
      <c r="Q80" s="65">
        <f t="shared" si="55"/>
        <v>1</v>
      </c>
      <c r="R80" s="65">
        <f t="shared" si="55"/>
        <v>0</v>
      </c>
      <c r="S80" s="65">
        <f t="shared" si="55"/>
        <v>1</v>
      </c>
      <c r="T80" s="65">
        <f t="shared" si="55"/>
        <v>0</v>
      </c>
      <c r="U80" s="65">
        <f t="shared" si="55"/>
        <v>11</v>
      </c>
      <c r="V80" s="65">
        <v>11</v>
      </c>
      <c r="W80" s="65">
        <f t="shared" si="62"/>
        <v>1</v>
      </c>
      <c r="X80" s="65">
        <f t="shared" si="62"/>
        <v>0</v>
      </c>
      <c r="Y80" s="65">
        <f t="shared" si="62"/>
        <v>0</v>
      </c>
      <c r="Z80" s="65">
        <f t="shared" si="62"/>
        <v>0</v>
      </c>
      <c r="AA80" s="65">
        <f t="shared" si="62"/>
        <v>0</v>
      </c>
      <c r="AB80" s="65">
        <f t="shared" si="62"/>
        <v>1</v>
      </c>
      <c r="AC80" s="65">
        <f t="shared" si="57"/>
        <v>1</v>
      </c>
      <c r="AD80" s="61">
        <v>1</v>
      </c>
      <c r="AE80" s="63">
        <f t="shared" si="63"/>
        <v>0</v>
      </c>
      <c r="AF80" s="64">
        <f t="shared" si="63"/>
        <v>0</v>
      </c>
      <c r="AG80" s="64">
        <f t="shared" si="58"/>
        <v>0</v>
      </c>
      <c r="AH80" s="64">
        <f t="shared" si="58"/>
        <v>0</v>
      </c>
      <c r="AI80" s="66">
        <f t="shared" si="58"/>
        <v>0</v>
      </c>
      <c r="AJ80" s="63">
        <f t="shared" si="58"/>
        <v>0</v>
      </c>
      <c r="AK80" s="64">
        <f t="shared" si="58"/>
        <v>0</v>
      </c>
      <c r="AL80" s="65">
        <f t="shared" si="58"/>
        <v>0</v>
      </c>
      <c r="AM80" s="66">
        <f t="shared" si="58"/>
        <v>0</v>
      </c>
      <c r="AN80" s="31" t="str">
        <f t="shared" si="48"/>
        <v>SimulationStorage,2,</v>
      </c>
      <c r="AO80" s="31" t="str">
        <f t="shared" si="48"/>
        <v>AnalysisStorage,1,</v>
      </c>
      <c r="AP80" s="31" t="str">
        <f t="shared" si="48"/>
        <v>LogRuleEvaluation,0,</v>
      </c>
      <c r="AQ80" s="31" t="str">
        <f t="shared" si="48"/>
        <v>ParallelSimulations,1,</v>
      </c>
      <c r="AR80" s="31" t="str">
        <f t="shared" si="48"/>
        <v>DurationStats,0,</v>
      </c>
      <c r="AS80" s="31" t="str">
        <f t="shared" si="48"/>
        <v>AnalysisThruStep,11,</v>
      </c>
      <c r="AT80" s="31" t="str">
        <f t="shared" si="48"/>
        <v>DontAbortOnErrorsThruStep,11,</v>
      </c>
      <c r="AU80" s="31" t="str">
        <f t="shared" si="48"/>
        <v>BypassValidFileChecks,1,</v>
      </c>
      <c r="AV80" s="31" t="str">
        <f t="shared" si="48"/>
        <v>BypassInputChecks,0,</v>
      </c>
      <c r="AW80" s="31" t="str">
        <f t="shared" si="48"/>
        <v>BypassUMLHChecks,0,</v>
      </c>
      <c r="AX80" s="31" t="str">
        <f t="shared" si="48"/>
        <v>BypassCheckSimRules,0,</v>
      </c>
      <c r="AY80" s="31" t="str">
        <f t="shared" si="48"/>
        <v>BypassCheckCodeRules,0,</v>
      </c>
      <c r="BA80" s="31" t="str">
        <f t="shared" si="49"/>
        <v>StoreBEMDetails,1,</v>
      </c>
      <c r="BB80" s="31" t="str">
        <f t="shared" si="49"/>
        <v>ModelRpt_ALL,1,</v>
      </c>
      <c r="BC80" s="31" t="str">
        <f t="shared" si="49"/>
        <v>BypassOpenStudio_all,0,</v>
      </c>
      <c r="BD80" s="31" t="str">
        <f t="shared" si="49"/>
        <v>BypassOpenStudio_zp,0,</v>
      </c>
      <c r="BE80" s="31" t="str">
        <f t="shared" si="49"/>
        <v>BypassOpenStudio_zb,0,</v>
      </c>
      <c r="BF80" s="31" t="str">
        <f t="shared" si="49"/>
        <v>BypassOpenStudio_ap,0,</v>
      </c>
      <c r="BG80" s="31" t="str">
        <f t="shared" si="49"/>
        <v>BypassOpenStudio_ab,0,</v>
      </c>
      <c r="BH80" s="31" t="str">
        <f t="shared" si="49"/>
        <v>BypassOpenStudio_zp,0,</v>
      </c>
      <c r="BI80" s="31" t="str">
        <f t="shared" si="49"/>
        <v>BypassOpenStudio_zb,0,</v>
      </c>
      <c r="BJ80" s="31" t="str">
        <f t="shared" si="49"/>
        <v>BypassOpenStudio_ap,0,</v>
      </c>
      <c r="BK80" s="31" t="str">
        <f t="shared" si="50"/>
        <v>BypassOpenStudio_ab,0</v>
      </c>
    </row>
    <row r="81" spans="1:63" x14ac:dyDescent="0.25">
      <c r="A81" s="39">
        <f t="shared" si="44"/>
        <v>0</v>
      </c>
      <c r="B81" s="27" t="str">
        <f t="shared" si="51"/>
        <v>RulesetImplementationTests\\.cibd</v>
      </c>
      <c r="C81" s="27" t="str">
        <f t="shared" si="52"/>
        <v>BatchOut_141103_r2722_RIc\0.cibd</v>
      </c>
      <c r="D81" s="27" t="str">
        <f t="shared" si="53"/>
        <v>BatchOut_141103_r2722_RIc\XML\</v>
      </c>
      <c r="E81" s="9" t="e">
        <f t="shared" si="54"/>
        <v>#VALUE!</v>
      </c>
      <c r="F81" s="22"/>
      <c r="G81" s="29"/>
      <c r="H81" s="23"/>
      <c r="I81" s="9" t="s">
        <v>11</v>
      </c>
      <c r="J81"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1" s="15" t="s">
        <v>1</v>
      </c>
      <c r="L81" s="36">
        <f t="shared" si="60"/>
        <v>0</v>
      </c>
      <c r="M81" s="32" t="e">
        <f>LEFT(N81,SEARCH("-",N81))&amp;RIGHT(N81,5)</f>
        <v>#VALUE!</v>
      </c>
      <c r="N81" s="28"/>
      <c r="O81" s="57">
        <f>N81</f>
        <v>0</v>
      </c>
      <c r="P81" s="63">
        <f t="shared" si="61"/>
        <v>2</v>
      </c>
      <c r="Q81" s="65">
        <f t="shared" si="55"/>
        <v>1</v>
      </c>
      <c r="R81" s="65">
        <f t="shared" si="55"/>
        <v>0</v>
      </c>
      <c r="S81" s="65">
        <f t="shared" si="55"/>
        <v>1</v>
      </c>
      <c r="T81" s="65">
        <f t="shared" si="55"/>
        <v>0</v>
      </c>
      <c r="U81" s="65">
        <f t="shared" si="55"/>
        <v>11</v>
      </c>
      <c r="V81" s="65">
        <v>11</v>
      </c>
      <c r="W81" s="65">
        <f t="shared" si="62"/>
        <v>1</v>
      </c>
      <c r="X81" s="65">
        <f t="shared" si="62"/>
        <v>0</v>
      </c>
      <c r="Y81" s="65">
        <f t="shared" si="62"/>
        <v>0</v>
      </c>
      <c r="Z81" s="65">
        <f t="shared" si="62"/>
        <v>0</v>
      </c>
      <c r="AA81" s="65">
        <f t="shared" si="62"/>
        <v>0</v>
      </c>
      <c r="AB81" s="65">
        <f t="shared" si="62"/>
        <v>1</v>
      </c>
      <c r="AC81" s="65">
        <f t="shared" si="57"/>
        <v>1</v>
      </c>
      <c r="AD81" s="61">
        <v>1</v>
      </c>
      <c r="AE81" s="63">
        <f t="shared" si="63"/>
        <v>0</v>
      </c>
      <c r="AF81" s="64">
        <f t="shared" si="63"/>
        <v>0</v>
      </c>
      <c r="AG81" s="64">
        <f t="shared" si="58"/>
        <v>0</v>
      </c>
      <c r="AH81" s="64">
        <f t="shared" si="58"/>
        <v>0</v>
      </c>
      <c r="AI81" s="66">
        <f t="shared" si="58"/>
        <v>0</v>
      </c>
      <c r="AJ81" s="63">
        <f t="shared" si="58"/>
        <v>0</v>
      </c>
      <c r="AK81" s="64">
        <f t="shared" si="58"/>
        <v>0</v>
      </c>
      <c r="AL81" s="65">
        <f t="shared" si="58"/>
        <v>0</v>
      </c>
      <c r="AM81" s="66">
        <f t="shared" si="58"/>
        <v>0</v>
      </c>
      <c r="AN81" s="31" t="str">
        <f t="shared" si="48"/>
        <v>SimulationStorage,2,</v>
      </c>
      <c r="AO81" s="31" t="str">
        <f t="shared" si="48"/>
        <v>AnalysisStorage,1,</v>
      </c>
      <c r="AP81" s="31" t="str">
        <f t="shared" si="48"/>
        <v>LogRuleEvaluation,0,</v>
      </c>
      <c r="AQ81" s="31" t="str">
        <f t="shared" si="48"/>
        <v>ParallelSimulations,1,</v>
      </c>
      <c r="AR81" s="31" t="str">
        <f t="shared" si="48"/>
        <v>DurationStats,0,</v>
      </c>
      <c r="AS81" s="31" t="str">
        <f t="shared" si="48"/>
        <v>AnalysisThruStep,11,</v>
      </c>
      <c r="AT81" s="31" t="str">
        <f t="shared" si="48"/>
        <v>DontAbortOnErrorsThruStep,11,</v>
      </c>
      <c r="AU81" s="31" t="str">
        <f t="shared" si="48"/>
        <v>BypassValidFileChecks,1,</v>
      </c>
      <c r="AV81" s="31" t="str">
        <f t="shared" si="48"/>
        <v>BypassInputChecks,0,</v>
      </c>
      <c r="AW81" s="31" t="str">
        <f t="shared" si="48"/>
        <v>BypassUMLHChecks,0,</v>
      </c>
      <c r="AX81" s="31" t="str">
        <f t="shared" si="48"/>
        <v>BypassCheckSimRules,0,</v>
      </c>
      <c r="AY81" s="31" t="str">
        <f t="shared" si="48"/>
        <v>BypassCheckCodeRules,0,</v>
      </c>
      <c r="BA81" s="31" t="str">
        <f t="shared" si="49"/>
        <v>StoreBEMDetails,1,</v>
      </c>
      <c r="BB81" s="31" t="str">
        <f t="shared" si="49"/>
        <v>ModelRpt_ALL,1,</v>
      </c>
      <c r="BC81" s="31" t="str">
        <f t="shared" si="49"/>
        <v>BypassOpenStudio_all,0,</v>
      </c>
      <c r="BD81" s="31" t="str">
        <f t="shared" si="49"/>
        <v>BypassOpenStudio_zp,0,</v>
      </c>
      <c r="BE81" s="31" t="str">
        <f t="shared" si="49"/>
        <v>BypassOpenStudio_zb,0,</v>
      </c>
      <c r="BF81" s="31" t="str">
        <f t="shared" si="49"/>
        <v>BypassOpenStudio_ap,0,</v>
      </c>
      <c r="BG81" s="31" t="str">
        <f t="shared" si="49"/>
        <v>BypassOpenStudio_ab,0,</v>
      </c>
      <c r="BH81" s="31" t="str">
        <f t="shared" si="49"/>
        <v>BypassOpenStudio_zp,0,</v>
      </c>
      <c r="BI81" s="31" t="str">
        <f t="shared" si="49"/>
        <v>BypassOpenStudio_zb,0,</v>
      </c>
      <c r="BJ81" s="31" t="str">
        <f t="shared" si="49"/>
        <v>BypassOpenStudio_ap,0,</v>
      </c>
      <c r="BK81" s="31" t="str">
        <f t="shared" si="50"/>
        <v>BypassOpenStudio_ab,0</v>
      </c>
    </row>
    <row r="82" spans="1:63" x14ac:dyDescent="0.25">
      <c r="A82" s="39">
        <f t="shared" si="44"/>
        <v>0</v>
      </c>
      <c r="B82" s="27" t="str">
        <f t="shared" si="51"/>
        <v>RulesetImplementationTests\\.cibd</v>
      </c>
      <c r="C82" s="27" t="str">
        <f t="shared" si="52"/>
        <v>BatchOut_141103_r2722_RIc\0.cibd</v>
      </c>
      <c r="D82" s="27" t="str">
        <f t="shared" si="53"/>
        <v>BatchOut_141103_r2722_RIc\XML\</v>
      </c>
      <c r="E82" s="9" t="e">
        <f t="shared" si="54"/>
        <v>#VALUE!</v>
      </c>
      <c r="F82" s="22"/>
      <c r="G82" s="29"/>
      <c r="H82" s="23"/>
      <c r="I82" s="9" t="s">
        <v>11</v>
      </c>
      <c r="J82"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2" s="15" t="s">
        <v>1</v>
      </c>
      <c r="L82" s="36">
        <f t="shared" si="60"/>
        <v>0</v>
      </c>
      <c r="M82" s="32" t="e">
        <f t="shared" ref="M82:M95" si="65">LEFT(N82,SEARCH("-",N82))&amp;RIGHT(N82,5)</f>
        <v>#VALUE!</v>
      </c>
      <c r="N82" s="28"/>
      <c r="O82" s="57">
        <f t="shared" ref="O82:O95" si="66">N82</f>
        <v>0</v>
      </c>
      <c r="P82" s="63">
        <f t="shared" si="61"/>
        <v>2</v>
      </c>
      <c r="Q82" s="65">
        <f t="shared" si="55"/>
        <v>1</v>
      </c>
      <c r="R82" s="65">
        <f t="shared" si="55"/>
        <v>0</v>
      </c>
      <c r="S82" s="65">
        <f t="shared" si="55"/>
        <v>1</v>
      </c>
      <c r="T82" s="65">
        <f t="shared" si="55"/>
        <v>0</v>
      </c>
      <c r="U82" s="65">
        <f t="shared" si="55"/>
        <v>11</v>
      </c>
      <c r="V82" s="65">
        <v>11</v>
      </c>
      <c r="W82" s="65">
        <f t="shared" si="62"/>
        <v>1</v>
      </c>
      <c r="X82" s="65">
        <f t="shared" si="62"/>
        <v>0</v>
      </c>
      <c r="Y82" s="65">
        <f t="shared" si="62"/>
        <v>0</v>
      </c>
      <c r="Z82" s="65">
        <f t="shared" si="62"/>
        <v>0</v>
      </c>
      <c r="AA82" s="65">
        <f t="shared" si="62"/>
        <v>0</v>
      </c>
      <c r="AB82" s="65">
        <f t="shared" si="62"/>
        <v>1</v>
      </c>
      <c r="AC82" s="65">
        <f t="shared" si="57"/>
        <v>1</v>
      </c>
      <c r="AD82" s="61">
        <v>1</v>
      </c>
      <c r="AE82" s="63">
        <f t="shared" si="63"/>
        <v>0</v>
      </c>
      <c r="AF82" s="64">
        <f t="shared" si="63"/>
        <v>0</v>
      </c>
      <c r="AG82" s="64">
        <f t="shared" si="58"/>
        <v>0</v>
      </c>
      <c r="AH82" s="64">
        <f t="shared" si="58"/>
        <v>0</v>
      </c>
      <c r="AI82" s="66">
        <f t="shared" si="58"/>
        <v>0</v>
      </c>
      <c r="AJ82" s="63">
        <f t="shared" si="58"/>
        <v>0</v>
      </c>
      <c r="AK82" s="64">
        <f t="shared" si="58"/>
        <v>0</v>
      </c>
      <c r="AL82" s="65">
        <f t="shared" si="58"/>
        <v>0</v>
      </c>
      <c r="AM82" s="66">
        <f t="shared" si="58"/>
        <v>0</v>
      </c>
      <c r="AN82" s="31" t="str">
        <f t="shared" si="48"/>
        <v>SimulationStorage,2,</v>
      </c>
      <c r="AO82" s="31" t="str">
        <f t="shared" si="48"/>
        <v>AnalysisStorage,1,</v>
      </c>
      <c r="AP82" s="31" t="str">
        <f t="shared" si="48"/>
        <v>LogRuleEvaluation,0,</v>
      </c>
      <c r="AQ82" s="31" t="str">
        <f t="shared" si="48"/>
        <v>ParallelSimulations,1,</v>
      </c>
      <c r="AR82" s="31" t="str">
        <f t="shared" si="48"/>
        <v>DurationStats,0,</v>
      </c>
      <c r="AS82" s="31" t="str">
        <f t="shared" si="48"/>
        <v>AnalysisThruStep,11,</v>
      </c>
      <c r="AT82" s="31" t="str">
        <f t="shared" si="48"/>
        <v>DontAbortOnErrorsThruStep,11,</v>
      </c>
      <c r="AU82" s="31" t="str">
        <f t="shared" si="48"/>
        <v>BypassValidFileChecks,1,</v>
      </c>
      <c r="AV82" s="31" t="str">
        <f t="shared" si="48"/>
        <v>BypassInputChecks,0,</v>
      </c>
      <c r="AW82" s="31" t="str">
        <f t="shared" si="48"/>
        <v>BypassUMLHChecks,0,</v>
      </c>
      <c r="AX82" s="31" t="str">
        <f t="shared" si="48"/>
        <v>BypassCheckSimRules,0,</v>
      </c>
      <c r="AY82" s="31" t="str">
        <f t="shared" si="48"/>
        <v>BypassCheckCodeRules,0,</v>
      </c>
      <c r="BA82" s="31" t="str">
        <f t="shared" si="49"/>
        <v>StoreBEMDetails,1,</v>
      </c>
      <c r="BB82" s="31" t="str">
        <f t="shared" si="49"/>
        <v>ModelRpt_ALL,1,</v>
      </c>
      <c r="BC82" s="31" t="str">
        <f t="shared" si="49"/>
        <v>BypassOpenStudio_all,0,</v>
      </c>
      <c r="BD82" s="31" t="str">
        <f t="shared" si="49"/>
        <v>BypassOpenStudio_zp,0,</v>
      </c>
      <c r="BE82" s="31" t="str">
        <f t="shared" si="49"/>
        <v>BypassOpenStudio_zb,0,</v>
      </c>
      <c r="BF82" s="31" t="str">
        <f t="shared" si="49"/>
        <v>BypassOpenStudio_ap,0,</v>
      </c>
      <c r="BG82" s="31" t="str">
        <f t="shared" si="49"/>
        <v>BypassOpenStudio_ab,0,</v>
      </c>
      <c r="BH82" s="31" t="str">
        <f t="shared" si="49"/>
        <v>BypassOpenStudio_zp,0,</v>
      </c>
      <c r="BI82" s="31" t="str">
        <f t="shared" si="49"/>
        <v>BypassOpenStudio_zb,0,</v>
      </c>
      <c r="BJ82" s="31" t="str">
        <f t="shared" si="49"/>
        <v>BypassOpenStudio_ap,0,</v>
      </c>
      <c r="BK82" s="31" t="str">
        <f t="shared" si="50"/>
        <v>BypassOpenStudio_ab,0</v>
      </c>
    </row>
    <row r="83" spans="1:63" x14ac:dyDescent="0.25">
      <c r="A83" s="39">
        <f t="shared" si="44"/>
        <v>0</v>
      </c>
      <c r="B83" s="27" t="str">
        <f t="shared" si="51"/>
        <v>RulesetImplementationTests\\.cibd</v>
      </c>
      <c r="C83" s="27" t="str">
        <f t="shared" si="52"/>
        <v>BatchOut_141103_r2722_RIc\0.cibd</v>
      </c>
      <c r="D83" s="27" t="str">
        <f t="shared" si="53"/>
        <v>BatchOut_141103_r2722_RIc\XML\</v>
      </c>
      <c r="E83" s="9" t="e">
        <f t="shared" si="54"/>
        <v>#VALUE!</v>
      </c>
      <c r="F83" s="22"/>
      <c r="G83" s="29"/>
      <c r="H83" s="23"/>
      <c r="I83" s="9" t="s">
        <v>11</v>
      </c>
      <c r="J83"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3" s="15" t="s">
        <v>1</v>
      </c>
      <c r="L83" s="36">
        <f t="shared" si="60"/>
        <v>0</v>
      </c>
      <c r="M83" s="32" t="e">
        <f>LEFT(N83,SEARCH("-",N83))&amp;RIGHT(N83,5)</f>
        <v>#VALUE!</v>
      </c>
      <c r="N83" s="28"/>
      <c r="O83" s="57">
        <f t="shared" si="66"/>
        <v>0</v>
      </c>
      <c r="P83" s="63">
        <f t="shared" si="61"/>
        <v>2</v>
      </c>
      <c r="Q83" s="65">
        <f t="shared" si="55"/>
        <v>1</v>
      </c>
      <c r="R83" s="65">
        <f t="shared" si="55"/>
        <v>0</v>
      </c>
      <c r="S83" s="65">
        <f t="shared" si="55"/>
        <v>1</v>
      </c>
      <c r="T83" s="65">
        <f t="shared" si="55"/>
        <v>0</v>
      </c>
      <c r="U83" s="65">
        <f t="shared" si="55"/>
        <v>11</v>
      </c>
      <c r="V83" s="65">
        <v>11</v>
      </c>
      <c r="W83" s="65">
        <f t="shared" si="62"/>
        <v>1</v>
      </c>
      <c r="X83" s="65">
        <f t="shared" si="62"/>
        <v>0</v>
      </c>
      <c r="Y83" s="65">
        <f t="shared" si="62"/>
        <v>0</v>
      </c>
      <c r="Z83" s="65">
        <f t="shared" si="62"/>
        <v>0</v>
      </c>
      <c r="AA83" s="65">
        <f t="shared" si="62"/>
        <v>0</v>
      </c>
      <c r="AB83" s="65">
        <f t="shared" si="62"/>
        <v>1</v>
      </c>
      <c r="AC83" s="65">
        <f t="shared" si="57"/>
        <v>1</v>
      </c>
      <c r="AD83" s="61">
        <v>1</v>
      </c>
      <c r="AE83" s="63">
        <f t="shared" si="63"/>
        <v>0</v>
      </c>
      <c r="AF83" s="64">
        <f t="shared" si="63"/>
        <v>0</v>
      </c>
      <c r="AG83" s="64">
        <f t="shared" si="58"/>
        <v>0</v>
      </c>
      <c r="AH83" s="64">
        <f t="shared" si="58"/>
        <v>0</v>
      </c>
      <c r="AI83" s="66">
        <f t="shared" si="58"/>
        <v>0</v>
      </c>
      <c r="AJ83" s="63">
        <f t="shared" si="58"/>
        <v>0</v>
      </c>
      <c r="AK83" s="64">
        <f t="shared" si="58"/>
        <v>0</v>
      </c>
      <c r="AL83" s="65">
        <f t="shared" si="58"/>
        <v>0</v>
      </c>
      <c r="AM83" s="66">
        <f t="shared" si="58"/>
        <v>0</v>
      </c>
      <c r="AN83" s="31" t="str">
        <f t="shared" si="48"/>
        <v>SimulationStorage,2,</v>
      </c>
      <c r="AO83" s="31" t="str">
        <f t="shared" si="48"/>
        <v>AnalysisStorage,1,</v>
      </c>
      <c r="AP83" s="31" t="str">
        <f t="shared" si="48"/>
        <v>LogRuleEvaluation,0,</v>
      </c>
      <c r="AQ83" s="31" t="str">
        <f t="shared" si="48"/>
        <v>ParallelSimulations,1,</v>
      </c>
      <c r="AR83" s="31" t="str">
        <f t="shared" si="48"/>
        <v>DurationStats,0,</v>
      </c>
      <c r="AS83" s="31" t="str">
        <f t="shared" si="48"/>
        <v>AnalysisThruStep,11,</v>
      </c>
      <c r="AT83" s="31" t="str">
        <f t="shared" si="48"/>
        <v>DontAbortOnErrorsThruStep,11,</v>
      </c>
      <c r="AU83" s="31" t="str">
        <f t="shared" si="48"/>
        <v>BypassValidFileChecks,1,</v>
      </c>
      <c r="AV83" s="31" t="str">
        <f t="shared" si="48"/>
        <v>BypassInputChecks,0,</v>
      </c>
      <c r="AW83" s="31" t="str">
        <f t="shared" si="48"/>
        <v>BypassUMLHChecks,0,</v>
      </c>
      <c r="AX83" s="31" t="str">
        <f t="shared" si="48"/>
        <v>BypassCheckSimRules,0,</v>
      </c>
      <c r="AY83" s="31" t="str">
        <f t="shared" si="48"/>
        <v>BypassCheckCodeRules,0,</v>
      </c>
      <c r="BA83" s="31" t="str">
        <f t="shared" si="49"/>
        <v>StoreBEMDetails,1,</v>
      </c>
      <c r="BB83" s="31" t="str">
        <f t="shared" si="49"/>
        <v>ModelRpt_ALL,1,</v>
      </c>
      <c r="BC83" s="31" t="str">
        <f t="shared" si="49"/>
        <v>BypassOpenStudio_all,0,</v>
      </c>
      <c r="BD83" s="31" t="str">
        <f t="shared" si="49"/>
        <v>BypassOpenStudio_zp,0,</v>
      </c>
      <c r="BE83" s="31" t="str">
        <f t="shared" si="49"/>
        <v>BypassOpenStudio_zb,0,</v>
      </c>
      <c r="BF83" s="31" t="str">
        <f t="shared" si="49"/>
        <v>BypassOpenStudio_ap,0,</v>
      </c>
      <c r="BG83" s="31" t="str">
        <f t="shared" si="49"/>
        <v>BypassOpenStudio_ab,0,</v>
      </c>
      <c r="BH83" s="31" t="str">
        <f t="shared" si="49"/>
        <v>BypassOpenStudio_zp,0,</v>
      </c>
      <c r="BI83" s="31" t="str">
        <f t="shared" si="49"/>
        <v>BypassOpenStudio_zb,0,</v>
      </c>
      <c r="BJ83" s="31" t="str">
        <f t="shared" si="49"/>
        <v>BypassOpenStudio_ap,0,</v>
      </c>
      <c r="BK83" s="31" t="str">
        <f t="shared" si="50"/>
        <v>BypassOpenStudio_ab,0</v>
      </c>
    </row>
    <row r="84" spans="1:63" x14ac:dyDescent="0.25">
      <c r="A84" s="39">
        <f t="shared" si="44"/>
        <v>0</v>
      </c>
      <c r="B84" s="27" t="str">
        <f t="shared" si="51"/>
        <v>RulesetImplementationTests\\.cibd</v>
      </c>
      <c r="C84" s="27" t="str">
        <f t="shared" si="52"/>
        <v>BatchOut_141103_r2722_RIc\0.cibd</v>
      </c>
      <c r="D84" s="27" t="str">
        <f t="shared" si="53"/>
        <v>BatchOut_141103_r2722_RIc\XML\</v>
      </c>
      <c r="E84" s="9" t="e">
        <f t="shared" si="54"/>
        <v>#VALUE!</v>
      </c>
      <c r="F84" s="22"/>
      <c r="G84" s="29"/>
      <c r="H84" s="23"/>
      <c r="I84" s="9" t="s">
        <v>11</v>
      </c>
      <c r="J84"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4" s="15" t="s">
        <v>1</v>
      </c>
      <c r="L84" s="36">
        <f t="shared" si="60"/>
        <v>0</v>
      </c>
      <c r="M84" s="32" t="e">
        <f>LEFT(N84,SEARCH("-",N84))&amp;RIGHT(N84,5)</f>
        <v>#VALUE!</v>
      </c>
      <c r="N84" s="28"/>
      <c r="O84" s="57">
        <f t="shared" si="66"/>
        <v>0</v>
      </c>
      <c r="P84" s="63">
        <f t="shared" si="61"/>
        <v>2</v>
      </c>
      <c r="Q84" s="65">
        <f t="shared" si="61"/>
        <v>1</v>
      </c>
      <c r="R84" s="65">
        <f t="shared" si="61"/>
        <v>0</v>
      </c>
      <c r="S84" s="65">
        <f t="shared" si="61"/>
        <v>1</v>
      </c>
      <c r="T84" s="65">
        <f t="shared" si="61"/>
        <v>0</v>
      </c>
      <c r="U84" s="65">
        <f t="shared" si="61"/>
        <v>11</v>
      </c>
      <c r="V84" s="65">
        <v>11</v>
      </c>
      <c r="W84" s="65">
        <f t="shared" si="62"/>
        <v>1</v>
      </c>
      <c r="X84" s="65">
        <f t="shared" si="62"/>
        <v>0</v>
      </c>
      <c r="Y84" s="65">
        <f t="shared" si="62"/>
        <v>0</v>
      </c>
      <c r="Z84" s="65">
        <f t="shared" si="62"/>
        <v>0</v>
      </c>
      <c r="AA84" s="65">
        <f t="shared" si="62"/>
        <v>0</v>
      </c>
      <c r="AB84" s="65">
        <f t="shared" si="62"/>
        <v>1</v>
      </c>
      <c r="AC84" s="65">
        <f t="shared" si="57"/>
        <v>1</v>
      </c>
      <c r="AD84" s="61">
        <v>1</v>
      </c>
      <c r="AE84" s="63">
        <f t="shared" si="63"/>
        <v>0</v>
      </c>
      <c r="AF84" s="64">
        <f t="shared" si="63"/>
        <v>0</v>
      </c>
      <c r="AG84" s="64">
        <f t="shared" si="63"/>
        <v>0</v>
      </c>
      <c r="AH84" s="64">
        <f t="shared" si="63"/>
        <v>0</v>
      </c>
      <c r="AI84" s="66">
        <f t="shared" si="63"/>
        <v>0</v>
      </c>
      <c r="AJ84" s="63">
        <f t="shared" si="63"/>
        <v>0</v>
      </c>
      <c r="AK84" s="64">
        <f t="shared" si="63"/>
        <v>0</v>
      </c>
      <c r="AL84" s="65">
        <f t="shared" si="63"/>
        <v>0</v>
      </c>
      <c r="AM84" s="66">
        <f t="shared" si="63"/>
        <v>0</v>
      </c>
      <c r="AN84" s="31" t="str">
        <f t="shared" si="48"/>
        <v>SimulationStorage,2,</v>
      </c>
      <c r="AO84" s="31" t="str">
        <f t="shared" si="48"/>
        <v>AnalysisStorage,1,</v>
      </c>
      <c r="AP84" s="31" t="str">
        <f t="shared" si="48"/>
        <v>LogRuleEvaluation,0,</v>
      </c>
      <c r="AQ84" s="31" t="str">
        <f t="shared" si="48"/>
        <v>ParallelSimulations,1,</v>
      </c>
      <c r="AR84" s="31" t="str">
        <f t="shared" si="48"/>
        <v>DurationStats,0,</v>
      </c>
      <c r="AS84" s="31" t="str">
        <f t="shared" si="48"/>
        <v>AnalysisThruStep,11,</v>
      </c>
      <c r="AT84" s="31" t="str">
        <f t="shared" si="48"/>
        <v>DontAbortOnErrorsThruStep,11,</v>
      </c>
      <c r="AU84" s="31" t="str">
        <f t="shared" si="48"/>
        <v>BypassValidFileChecks,1,</v>
      </c>
      <c r="AV84" s="31" t="str">
        <f t="shared" si="48"/>
        <v>BypassInputChecks,0,</v>
      </c>
      <c r="AW84" s="31" t="str">
        <f t="shared" si="48"/>
        <v>BypassUMLHChecks,0,</v>
      </c>
      <c r="AX84" s="31" t="str">
        <f t="shared" si="48"/>
        <v>BypassCheckSimRules,0,</v>
      </c>
      <c r="AY84" s="31" t="str">
        <f t="shared" si="48"/>
        <v>BypassCheckCodeRules,0,</v>
      </c>
      <c r="BA84" s="31" t="str">
        <f t="shared" si="49"/>
        <v>StoreBEMDetails,1,</v>
      </c>
      <c r="BB84" s="31" t="str">
        <f t="shared" si="49"/>
        <v>ModelRpt_ALL,1,</v>
      </c>
      <c r="BC84" s="31" t="str">
        <f t="shared" si="49"/>
        <v>BypassOpenStudio_all,0,</v>
      </c>
      <c r="BD84" s="31" t="str">
        <f t="shared" si="49"/>
        <v>BypassOpenStudio_zp,0,</v>
      </c>
      <c r="BE84" s="31" t="str">
        <f t="shared" si="49"/>
        <v>BypassOpenStudio_zb,0,</v>
      </c>
      <c r="BF84" s="31" t="str">
        <f t="shared" si="49"/>
        <v>BypassOpenStudio_ap,0,</v>
      </c>
      <c r="BG84" s="31" t="str">
        <f t="shared" si="49"/>
        <v>BypassOpenStudio_ab,0,</v>
      </c>
      <c r="BH84" s="31" t="str">
        <f t="shared" si="49"/>
        <v>BypassOpenStudio_zp,0,</v>
      </c>
      <c r="BI84" s="31" t="str">
        <f t="shared" si="49"/>
        <v>BypassOpenStudio_zb,0,</v>
      </c>
      <c r="BJ84" s="31" t="str">
        <f t="shared" si="49"/>
        <v>BypassOpenStudio_ap,0,</v>
      </c>
      <c r="BK84" s="31" t="str">
        <f t="shared" si="50"/>
        <v>BypassOpenStudio_ab,0</v>
      </c>
    </row>
    <row r="85" spans="1:63" x14ac:dyDescent="0.25">
      <c r="A85" s="39">
        <f t="shared" si="44"/>
        <v>0</v>
      </c>
      <c r="B85" s="27" t="str">
        <f t="shared" si="51"/>
        <v>RulesetImplementationTests\\.cibd</v>
      </c>
      <c r="C85" s="27" t="str">
        <f t="shared" si="52"/>
        <v>BatchOut_141103_r2722_RIc\0.cibd</v>
      </c>
      <c r="D85" s="27" t="str">
        <f t="shared" si="53"/>
        <v>BatchOut_141103_r2722_RIc\XML\</v>
      </c>
      <c r="E85" s="9" t="e">
        <f t="shared" si="54"/>
        <v>#VALUE!</v>
      </c>
      <c r="F85" s="22"/>
      <c r="G85" s="29"/>
      <c r="H85" s="23"/>
      <c r="I85" s="9" t="s">
        <v>11</v>
      </c>
      <c r="J85"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5" s="15" t="s">
        <v>1</v>
      </c>
      <c r="L85" s="36">
        <f t="shared" si="60"/>
        <v>0</v>
      </c>
      <c r="M85" s="32" t="e">
        <f>LEFT(N85,SEARCH("-",N85))&amp;RIGHT(N85,5)</f>
        <v>#VALUE!</v>
      </c>
      <c r="N85" s="28"/>
      <c r="O85" s="57">
        <f t="shared" si="66"/>
        <v>0</v>
      </c>
      <c r="P85" s="63">
        <f t="shared" ref="P85:U99" si="67">P84</f>
        <v>2</v>
      </c>
      <c r="Q85" s="65">
        <f t="shared" si="67"/>
        <v>1</v>
      </c>
      <c r="R85" s="65">
        <f t="shared" si="67"/>
        <v>0</v>
      </c>
      <c r="S85" s="65">
        <f t="shared" si="67"/>
        <v>1</v>
      </c>
      <c r="T85" s="65">
        <f t="shared" si="67"/>
        <v>0</v>
      </c>
      <c r="U85" s="65">
        <f t="shared" si="67"/>
        <v>11</v>
      </c>
      <c r="V85" s="65">
        <v>11</v>
      </c>
      <c r="W85" s="65">
        <f t="shared" ref="W85:AB99" si="68">W84</f>
        <v>1</v>
      </c>
      <c r="X85" s="65">
        <f t="shared" si="68"/>
        <v>0</v>
      </c>
      <c r="Y85" s="65">
        <f t="shared" si="68"/>
        <v>0</v>
      </c>
      <c r="Z85" s="65">
        <f t="shared" si="68"/>
        <v>0</v>
      </c>
      <c r="AA85" s="65">
        <f t="shared" si="68"/>
        <v>0</v>
      </c>
      <c r="AB85" s="65">
        <f t="shared" si="68"/>
        <v>1</v>
      </c>
      <c r="AC85" s="65">
        <f t="shared" si="57"/>
        <v>1</v>
      </c>
      <c r="AD85" s="61">
        <v>1</v>
      </c>
      <c r="AE85" s="63">
        <f t="shared" ref="AE85:AM99" si="69">AE84</f>
        <v>0</v>
      </c>
      <c r="AF85" s="64">
        <f t="shared" si="69"/>
        <v>0</v>
      </c>
      <c r="AG85" s="64">
        <f t="shared" si="69"/>
        <v>0</v>
      </c>
      <c r="AH85" s="64">
        <f t="shared" si="69"/>
        <v>0</v>
      </c>
      <c r="AI85" s="66">
        <f t="shared" si="69"/>
        <v>0</v>
      </c>
      <c r="AJ85" s="63">
        <f t="shared" si="69"/>
        <v>0</v>
      </c>
      <c r="AK85" s="64">
        <f t="shared" si="69"/>
        <v>0</v>
      </c>
      <c r="AL85" s="65">
        <f t="shared" si="69"/>
        <v>0</v>
      </c>
      <c r="AM85" s="66">
        <f t="shared" si="69"/>
        <v>0</v>
      </c>
      <c r="AN85" s="31" t="str">
        <f t="shared" si="48"/>
        <v>SimulationStorage,2,</v>
      </c>
      <c r="AO85" s="31" t="str">
        <f t="shared" si="48"/>
        <v>AnalysisStorage,1,</v>
      </c>
      <c r="AP85" s="31" t="str">
        <f t="shared" si="48"/>
        <v>LogRuleEvaluation,0,</v>
      </c>
      <c r="AQ85" s="31" t="str">
        <f t="shared" si="48"/>
        <v>ParallelSimulations,1,</v>
      </c>
      <c r="AR85" s="31" t="str">
        <f t="shared" si="48"/>
        <v>DurationStats,0,</v>
      </c>
      <c r="AS85" s="31" t="str">
        <f t="shared" si="48"/>
        <v>AnalysisThruStep,11,</v>
      </c>
      <c r="AT85" s="31" t="str">
        <f t="shared" si="48"/>
        <v>DontAbortOnErrorsThruStep,11,</v>
      </c>
      <c r="AU85" s="31" t="str">
        <f t="shared" si="48"/>
        <v>BypassValidFileChecks,1,</v>
      </c>
      <c r="AV85" s="31" t="str">
        <f t="shared" si="48"/>
        <v>BypassInputChecks,0,</v>
      </c>
      <c r="AW85" s="31" t="str">
        <f t="shared" si="48"/>
        <v>BypassUMLHChecks,0,</v>
      </c>
      <c r="AX85" s="31" t="str">
        <f t="shared" si="48"/>
        <v>BypassCheckSimRules,0,</v>
      </c>
      <c r="AY85" s="31" t="str">
        <f t="shared" si="48"/>
        <v>BypassCheckCodeRules,0,</v>
      </c>
      <c r="BA85" s="31" t="str">
        <f t="shared" si="49"/>
        <v>StoreBEMDetails,1,</v>
      </c>
      <c r="BB85" s="31" t="str">
        <f t="shared" si="49"/>
        <v>ModelRpt_ALL,1,</v>
      </c>
      <c r="BC85" s="31" t="str">
        <f t="shared" si="49"/>
        <v>BypassOpenStudio_all,0,</v>
      </c>
      <c r="BD85" s="31" t="str">
        <f t="shared" si="49"/>
        <v>BypassOpenStudio_zp,0,</v>
      </c>
      <c r="BE85" s="31" t="str">
        <f t="shared" si="49"/>
        <v>BypassOpenStudio_zb,0,</v>
      </c>
      <c r="BF85" s="31" t="str">
        <f t="shared" si="49"/>
        <v>BypassOpenStudio_ap,0,</v>
      </c>
      <c r="BG85" s="31" t="str">
        <f t="shared" si="49"/>
        <v>BypassOpenStudio_ab,0,</v>
      </c>
      <c r="BH85" s="31" t="str">
        <f t="shared" si="49"/>
        <v>BypassOpenStudio_zp,0,</v>
      </c>
      <c r="BI85" s="31" t="str">
        <f t="shared" si="49"/>
        <v>BypassOpenStudio_zb,0,</v>
      </c>
      <c r="BJ85" s="31" t="str">
        <f t="shared" si="49"/>
        <v>BypassOpenStudio_ap,0,</v>
      </c>
      <c r="BK85" s="31" t="str">
        <f t="shared" si="50"/>
        <v>BypassOpenStudio_ab,0</v>
      </c>
    </row>
    <row r="86" spans="1:63" x14ac:dyDescent="0.25">
      <c r="A86" s="39">
        <f t="shared" si="44"/>
        <v>0</v>
      </c>
      <c r="B86" s="27" t="str">
        <f t="shared" si="51"/>
        <v>RulesetImplementationTests\\.cibd</v>
      </c>
      <c r="C86" s="27" t="str">
        <f t="shared" si="52"/>
        <v>BatchOut_141103_r2722_RIc\0.cibd</v>
      </c>
      <c r="D86" s="27" t="str">
        <f t="shared" si="53"/>
        <v>BatchOut_141103_r2722_RIc\XML\</v>
      </c>
      <c r="E86" s="9" t="e">
        <f t="shared" si="54"/>
        <v>#VALUE!</v>
      </c>
      <c r="F86" s="22"/>
      <c r="G86" s="29"/>
      <c r="H86" s="23"/>
      <c r="I86" s="9" t="s">
        <v>11</v>
      </c>
      <c r="J86"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6" s="15" t="s">
        <v>1</v>
      </c>
      <c r="L86" s="36">
        <f t="shared" si="60"/>
        <v>0</v>
      </c>
      <c r="M86" s="32" t="e">
        <f t="shared" ref="M86:M90" si="70">LEFT(N86,SEARCH("-",N86))&amp;RIGHT(N86,5)</f>
        <v>#VALUE!</v>
      </c>
      <c r="N86" s="28"/>
      <c r="O86" s="57">
        <f t="shared" si="66"/>
        <v>0</v>
      </c>
      <c r="P86" s="63">
        <f t="shared" si="67"/>
        <v>2</v>
      </c>
      <c r="Q86" s="65">
        <f t="shared" si="67"/>
        <v>1</v>
      </c>
      <c r="R86" s="65">
        <f t="shared" si="67"/>
        <v>0</v>
      </c>
      <c r="S86" s="65">
        <f t="shared" si="67"/>
        <v>1</v>
      </c>
      <c r="T86" s="65">
        <f t="shared" si="67"/>
        <v>0</v>
      </c>
      <c r="U86" s="65">
        <f t="shared" si="67"/>
        <v>11</v>
      </c>
      <c r="V86" s="65">
        <v>11</v>
      </c>
      <c r="W86" s="65">
        <f t="shared" si="68"/>
        <v>1</v>
      </c>
      <c r="X86" s="65">
        <f t="shared" si="68"/>
        <v>0</v>
      </c>
      <c r="Y86" s="65">
        <f t="shared" si="68"/>
        <v>0</v>
      </c>
      <c r="Z86" s="65">
        <f t="shared" si="68"/>
        <v>0</v>
      </c>
      <c r="AA86" s="65">
        <f t="shared" si="68"/>
        <v>0</v>
      </c>
      <c r="AB86" s="65">
        <f t="shared" si="68"/>
        <v>1</v>
      </c>
      <c r="AC86" s="65">
        <f t="shared" si="57"/>
        <v>1</v>
      </c>
      <c r="AD86" s="61">
        <v>1</v>
      </c>
      <c r="AE86" s="63">
        <f t="shared" si="69"/>
        <v>0</v>
      </c>
      <c r="AF86" s="64">
        <f t="shared" si="69"/>
        <v>0</v>
      </c>
      <c r="AG86" s="64">
        <f t="shared" si="69"/>
        <v>0</v>
      </c>
      <c r="AH86" s="64">
        <f t="shared" si="69"/>
        <v>0</v>
      </c>
      <c r="AI86" s="66">
        <f t="shared" si="69"/>
        <v>0</v>
      </c>
      <c r="AJ86" s="63">
        <f t="shared" si="69"/>
        <v>0</v>
      </c>
      <c r="AK86" s="64">
        <f t="shared" si="69"/>
        <v>0</v>
      </c>
      <c r="AL86" s="65">
        <f t="shared" si="69"/>
        <v>0</v>
      </c>
      <c r="AM86" s="66">
        <f t="shared" si="69"/>
        <v>0</v>
      </c>
      <c r="AN86" s="31" t="str">
        <f t="shared" si="48"/>
        <v>SimulationStorage,2,</v>
      </c>
      <c r="AO86" s="31" t="str">
        <f t="shared" si="48"/>
        <v>AnalysisStorage,1,</v>
      </c>
      <c r="AP86" s="31" t="str">
        <f t="shared" si="48"/>
        <v>LogRuleEvaluation,0,</v>
      </c>
      <c r="AQ86" s="31" t="str">
        <f t="shared" si="48"/>
        <v>ParallelSimulations,1,</v>
      </c>
      <c r="AR86" s="31" t="str">
        <f t="shared" si="48"/>
        <v>DurationStats,0,</v>
      </c>
      <c r="AS86" s="31" t="str">
        <f t="shared" si="48"/>
        <v>AnalysisThruStep,11,</v>
      </c>
      <c r="AT86" s="31" t="str">
        <f t="shared" si="48"/>
        <v>DontAbortOnErrorsThruStep,11,</v>
      </c>
      <c r="AU86" s="31" t="str">
        <f t="shared" si="48"/>
        <v>BypassValidFileChecks,1,</v>
      </c>
      <c r="AV86" s="31" t="str">
        <f t="shared" si="48"/>
        <v>BypassInputChecks,0,</v>
      </c>
      <c r="AW86" s="31" t="str">
        <f t="shared" si="48"/>
        <v>BypassUMLHChecks,0,</v>
      </c>
      <c r="AX86" s="31" t="str">
        <f t="shared" si="48"/>
        <v>BypassCheckSimRules,0,</v>
      </c>
      <c r="AY86" s="31" t="str">
        <f t="shared" si="48"/>
        <v>BypassCheckCodeRules,0,</v>
      </c>
      <c r="BA86" s="31" t="str">
        <f t="shared" si="49"/>
        <v>StoreBEMDetails,1,</v>
      </c>
      <c r="BB86" s="31" t="str">
        <f t="shared" si="49"/>
        <v>ModelRpt_ALL,1,</v>
      </c>
      <c r="BC86" s="31" t="str">
        <f t="shared" si="49"/>
        <v>BypassOpenStudio_all,0,</v>
      </c>
      <c r="BD86" s="31" t="str">
        <f t="shared" si="49"/>
        <v>BypassOpenStudio_zp,0,</v>
      </c>
      <c r="BE86" s="31" t="str">
        <f t="shared" si="49"/>
        <v>BypassOpenStudio_zb,0,</v>
      </c>
      <c r="BF86" s="31" t="str">
        <f t="shared" si="49"/>
        <v>BypassOpenStudio_ap,0,</v>
      </c>
      <c r="BG86" s="31" t="str">
        <f t="shared" si="49"/>
        <v>BypassOpenStudio_ab,0,</v>
      </c>
      <c r="BH86" s="31" t="str">
        <f t="shared" si="49"/>
        <v>BypassOpenStudio_zp,0,</v>
      </c>
      <c r="BI86" s="31" t="str">
        <f t="shared" si="49"/>
        <v>BypassOpenStudio_zb,0,</v>
      </c>
      <c r="BJ86" s="31" t="str">
        <f t="shared" si="49"/>
        <v>BypassOpenStudio_ap,0,</v>
      </c>
      <c r="BK86" s="31" t="str">
        <f t="shared" si="50"/>
        <v>BypassOpenStudio_ab,0</v>
      </c>
    </row>
    <row r="87" spans="1:63" x14ac:dyDescent="0.25">
      <c r="A87" s="39">
        <f t="shared" si="44"/>
        <v>0</v>
      </c>
      <c r="B87" s="27" t="str">
        <f t="shared" si="51"/>
        <v>RulesetImplementationTests\\.cibd</v>
      </c>
      <c r="C87" s="27" t="str">
        <f t="shared" si="52"/>
        <v>BatchOut_141103_r2722_RIc\0.cibd</v>
      </c>
      <c r="D87" s="27" t="str">
        <f t="shared" si="53"/>
        <v>BatchOut_141103_r2722_RIc\XML\</v>
      </c>
      <c r="E87" s="9" t="e">
        <f t="shared" si="54"/>
        <v>#VALUE!</v>
      </c>
      <c r="F87" s="22"/>
      <c r="G87" s="29"/>
      <c r="H87" s="23"/>
      <c r="I87" s="9" t="s">
        <v>11</v>
      </c>
      <c r="J87"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7" s="15" t="s">
        <v>1</v>
      </c>
      <c r="L87" s="36">
        <f t="shared" si="60"/>
        <v>0</v>
      </c>
      <c r="M87" s="32" t="e">
        <f t="shared" si="70"/>
        <v>#VALUE!</v>
      </c>
      <c r="N87" s="28"/>
      <c r="O87" s="57">
        <f t="shared" si="66"/>
        <v>0</v>
      </c>
      <c r="P87" s="63">
        <f t="shared" si="67"/>
        <v>2</v>
      </c>
      <c r="Q87" s="65">
        <f t="shared" si="67"/>
        <v>1</v>
      </c>
      <c r="R87" s="65">
        <f t="shared" si="67"/>
        <v>0</v>
      </c>
      <c r="S87" s="65">
        <f t="shared" si="67"/>
        <v>1</v>
      </c>
      <c r="T87" s="65">
        <f t="shared" si="67"/>
        <v>0</v>
      </c>
      <c r="U87" s="65">
        <f t="shared" si="67"/>
        <v>11</v>
      </c>
      <c r="V87" s="65">
        <v>11</v>
      </c>
      <c r="W87" s="65">
        <f t="shared" si="68"/>
        <v>1</v>
      </c>
      <c r="X87" s="65">
        <f t="shared" si="68"/>
        <v>0</v>
      </c>
      <c r="Y87" s="65">
        <f t="shared" si="68"/>
        <v>0</v>
      </c>
      <c r="Z87" s="65">
        <f t="shared" si="68"/>
        <v>0</v>
      </c>
      <c r="AA87" s="65">
        <f t="shared" si="68"/>
        <v>0</v>
      </c>
      <c r="AB87" s="65">
        <f t="shared" si="68"/>
        <v>1</v>
      </c>
      <c r="AC87" s="65">
        <f t="shared" si="57"/>
        <v>1</v>
      </c>
      <c r="AD87" s="61">
        <v>1</v>
      </c>
      <c r="AE87" s="63">
        <f t="shared" si="69"/>
        <v>0</v>
      </c>
      <c r="AF87" s="64">
        <f t="shared" si="69"/>
        <v>0</v>
      </c>
      <c r="AG87" s="64">
        <f t="shared" si="69"/>
        <v>0</v>
      </c>
      <c r="AH87" s="64">
        <f t="shared" si="69"/>
        <v>0</v>
      </c>
      <c r="AI87" s="66">
        <f t="shared" si="69"/>
        <v>0</v>
      </c>
      <c r="AJ87" s="63">
        <f t="shared" si="69"/>
        <v>0</v>
      </c>
      <c r="AK87" s="64">
        <f t="shared" si="69"/>
        <v>0</v>
      </c>
      <c r="AL87" s="65">
        <f t="shared" si="69"/>
        <v>0</v>
      </c>
      <c r="AM87" s="66">
        <f t="shared" si="69"/>
        <v>0</v>
      </c>
      <c r="AN87" s="31" t="str">
        <f t="shared" si="48"/>
        <v>SimulationStorage,2,</v>
      </c>
      <c r="AO87" s="31" t="str">
        <f t="shared" si="48"/>
        <v>AnalysisStorage,1,</v>
      </c>
      <c r="AP87" s="31" t="str">
        <f t="shared" si="48"/>
        <v>LogRuleEvaluation,0,</v>
      </c>
      <c r="AQ87" s="31" t="str">
        <f t="shared" si="48"/>
        <v>ParallelSimulations,1,</v>
      </c>
      <c r="AR87" s="31" t="str">
        <f t="shared" si="48"/>
        <v>DurationStats,0,</v>
      </c>
      <c r="AS87" s="31" t="str">
        <f t="shared" si="48"/>
        <v>AnalysisThruStep,11,</v>
      </c>
      <c r="AT87" s="31" t="str">
        <f t="shared" si="48"/>
        <v>DontAbortOnErrorsThruStep,11,</v>
      </c>
      <c r="AU87" s="31" t="str">
        <f t="shared" si="48"/>
        <v>BypassValidFileChecks,1,</v>
      </c>
      <c r="AV87" s="31" t="str">
        <f t="shared" si="48"/>
        <v>BypassInputChecks,0,</v>
      </c>
      <c r="AW87" s="31" t="str">
        <f t="shared" si="48"/>
        <v>BypassUMLHChecks,0,</v>
      </c>
      <c r="AX87" s="31" t="str">
        <f t="shared" si="48"/>
        <v>BypassCheckSimRules,0,</v>
      </c>
      <c r="AY87" s="31" t="str">
        <f t="shared" si="48"/>
        <v>BypassCheckCodeRules,0,</v>
      </c>
      <c r="BA87" s="31" t="str">
        <f t="shared" si="49"/>
        <v>StoreBEMDetails,1,</v>
      </c>
      <c r="BB87" s="31" t="str">
        <f t="shared" si="49"/>
        <v>ModelRpt_ALL,1,</v>
      </c>
      <c r="BC87" s="31" t="str">
        <f t="shared" si="49"/>
        <v>BypassOpenStudio_all,0,</v>
      </c>
      <c r="BD87" s="31" t="str">
        <f t="shared" si="49"/>
        <v>BypassOpenStudio_zp,0,</v>
      </c>
      <c r="BE87" s="31" t="str">
        <f t="shared" si="49"/>
        <v>BypassOpenStudio_zb,0,</v>
      </c>
      <c r="BF87" s="31" t="str">
        <f t="shared" si="49"/>
        <v>BypassOpenStudio_ap,0,</v>
      </c>
      <c r="BG87" s="31" t="str">
        <f t="shared" si="49"/>
        <v>BypassOpenStudio_ab,0,</v>
      </c>
      <c r="BH87" s="31" t="str">
        <f t="shared" si="49"/>
        <v>BypassOpenStudio_zp,0,</v>
      </c>
      <c r="BI87" s="31" t="str">
        <f t="shared" si="49"/>
        <v>BypassOpenStudio_zb,0,</v>
      </c>
      <c r="BJ87" s="31" t="str">
        <f t="shared" si="49"/>
        <v>BypassOpenStudio_ap,0,</v>
      </c>
      <c r="BK87" s="31" t="str">
        <f t="shared" si="50"/>
        <v>BypassOpenStudio_ab,0</v>
      </c>
    </row>
    <row r="88" spans="1:63" x14ac:dyDescent="0.25">
      <c r="A88" s="39">
        <f t="shared" si="44"/>
        <v>0</v>
      </c>
      <c r="B88" s="27" t="str">
        <f t="shared" si="51"/>
        <v>RulesetImplementationTests\\.cibd</v>
      </c>
      <c r="C88" s="27" t="str">
        <f t="shared" si="52"/>
        <v>BatchOut_141103_r2722_RIc\0.cibd</v>
      </c>
      <c r="D88" s="27" t="str">
        <f t="shared" si="53"/>
        <v>BatchOut_141103_r2722_RIc\XML\</v>
      </c>
      <c r="E88" s="9" t="e">
        <f t="shared" si="54"/>
        <v>#VALUE!</v>
      </c>
      <c r="F88" s="22"/>
      <c r="G88" s="29"/>
      <c r="H88" s="23"/>
      <c r="I88" s="9" t="s">
        <v>11</v>
      </c>
      <c r="J88"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8" s="15" t="s">
        <v>1</v>
      </c>
      <c r="L88" s="36">
        <f t="shared" si="60"/>
        <v>0</v>
      </c>
      <c r="M88" s="32" t="e">
        <f t="shared" si="70"/>
        <v>#VALUE!</v>
      </c>
      <c r="N88" s="28"/>
      <c r="O88" s="57">
        <f t="shared" si="66"/>
        <v>0</v>
      </c>
      <c r="P88" s="63">
        <f t="shared" si="67"/>
        <v>2</v>
      </c>
      <c r="Q88" s="65">
        <f t="shared" si="67"/>
        <v>1</v>
      </c>
      <c r="R88" s="65">
        <f t="shared" si="67"/>
        <v>0</v>
      </c>
      <c r="S88" s="65">
        <f t="shared" si="67"/>
        <v>1</v>
      </c>
      <c r="T88" s="65">
        <f t="shared" si="67"/>
        <v>0</v>
      </c>
      <c r="U88" s="65">
        <f t="shared" si="67"/>
        <v>11</v>
      </c>
      <c r="V88" s="65">
        <v>11</v>
      </c>
      <c r="W88" s="65">
        <f t="shared" si="68"/>
        <v>1</v>
      </c>
      <c r="X88" s="65">
        <f t="shared" si="68"/>
        <v>0</v>
      </c>
      <c r="Y88" s="65">
        <f t="shared" si="68"/>
        <v>0</v>
      </c>
      <c r="Z88" s="65">
        <f t="shared" si="68"/>
        <v>0</v>
      </c>
      <c r="AA88" s="65">
        <f t="shared" si="68"/>
        <v>0</v>
      </c>
      <c r="AB88" s="65">
        <f t="shared" si="68"/>
        <v>1</v>
      </c>
      <c r="AC88" s="65">
        <f t="shared" si="57"/>
        <v>1</v>
      </c>
      <c r="AD88" s="61">
        <v>1</v>
      </c>
      <c r="AE88" s="63">
        <f t="shared" si="69"/>
        <v>0</v>
      </c>
      <c r="AF88" s="64">
        <f t="shared" si="69"/>
        <v>0</v>
      </c>
      <c r="AG88" s="64">
        <f t="shared" si="69"/>
        <v>0</v>
      </c>
      <c r="AH88" s="64">
        <f t="shared" si="69"/>
        <v>0</v>
      </c>
      <c r="AI88" s="66">
        <f t="shared" si="69"/>
        <v>0</v>
      </c>
      <c r="AJ88" s="63">
        <f t="shared" si="69"/>
        <v>0</v>
      </c>
      <c r="AK88" s="64">
        <f t="shared" si="69"/>
        <v>0</v>
      </c>
      <c r="AL88" s="65">
        <f t="shared" si="69"/>
        <v>0</v>
      </c>
      <c r="AM88" s="66">
        <f t="shared" si="69"/>
        <v>0</v>
      </c>
      <c r="AN88" s="31" t="str">
        <f t="shared" si="48"/>
        <v>SimulationStorage,2,</v>
      </c>
      <c r="AO88" s="31" t="str">
        <f t="shared" si="48"/>
        <v>AnalysisStorage,1,</v>
      </c>
      <c r="AP88" s="31" t="str">
        <f t="shared" si="48"/>
        <v>LogRuleEvaluation,0,</v>
      </c>
      <c r="AQ88" s="31" t="str">
        <f t="shared" ref="AQ88:AY99" si="71">S$12&amp;S88&amp;","</f>
        <v>ParallelSimulations,1,</v>
      </c>
      <c r="AR88" s="31" t="str">
        <f t="shared" si="71"/>
        <v>DurationStats,0,</v>
      </c>
      <c r="AS88" s="31" t="str">
        <f t="shared" si="71"/>
        <v>AnalysisThruStep,11,</v>
      </c>
      <c r="AT88" s="31" t="str">
        <f t="shared" si="71"/>
        <v>DontAbortOnErrorsThruStep,11,</v>
      </c>
      <c r="AU88" s="31" t="str">
        <f t="shared" si="71"/>
        <v>BypassValidFileChecks,1,</v>
      </c>
      <c r="AV88" s="31" t="str">
        <f t="shared" si="71"/>
        <v>BypassInputChecks,0,</v>
      </c>
      <c r="AW88" s="31" t="str">
        <f t="shared" si="71"/>
        <v>BypassUMLHChecks,0,</v>
      </c>
      <c r="AX88" s="31" t="str">
        <f t="shared" si="71"/>
        <v>BypassCheckSimRules,0,</v>
      </c>
      <c r="AY88" s="31" t="str">
        <f t="shared" si="71"/>
        <v>BypassCheckCodeRules,0,</v>
      </c>
      <c r="BA88" s="31" t="str">
        <f t="shared" si="49"/>
        <v>StoreBEMDetails,1,</v>
      </c>
      <c r="BB88" s="31" t="str">
        <f t="shared" si="49"/>
        <v>ModelRpt_ALL,1,</v>
      </c>
      <c r="BC88" s="31" t="str">
        <f t="shared" si="49"/>
        <v>BypassOpenStudio_all,0,</v>
      </c>
      <c r="BD88" s="31" t="str">
        <f t="shared" si="49"/>
        <v>BypassOpenStudio_zp,0,</v>
      </c>
      <c r="BE88" s="31" t="str">
        <f t="shared" si="49"/>
        <v>BypassOpenStudio_zb,0,</v>
      </c>
      <c r="BF88" s="31" t="str">
        <f t="shared" si="49"/>
        <v>BypassOpenStudio_ap,0,</v>
      </c>
      <c r="BG88" s="31" t="str">
        <f t="shared" si="49"/>
        <v>BypassOpenStudio_ab,0,</v>
      </c>
      <c r="BH88" s="31" t="str">
        <f t="shared" si="49"/>
        <v>BypassOpenStudio_zp,0,</v>
      </c>
      <c r="BI88" s="31" t="str">
        <f t="shared" si="49"/>
        <v>BypassOpenStudio_zb,0,</v>
      </c>
      <c r="BJ88" s="31" t="str">
        <f t="shared" si="49"/>
        <v>BypassOpenStudio_ap,0,</v>
      </c>
      <c r="BK88" s="31" t="str">
        <f t="shared" si="50"/>
        <v>BypassOpenStudio_ab,0</v>
      </c>
    </row>
    <row r="89" spans="1:63" x14ac:dyDescent="0.25">
      <c r="A89" s="39">
        <f t="shared" si="44"/>
        <v>0</v>
      </c>
      <c r="B89" s="27" t="str">
        <f t="shared" si="51"/>
        <v>RulesetImplementationTests\\.cibd</v>
      </c>
      <c r="C89" s="27" t="str">
        <f t="shared" si="52"/>
        <v>BatchOut_141103_r2722_RIc\0.cibd</v>
      </c>
      <c r="D89" s="27" t="str">
        <f t="shared" si="53"/>
        <v>BatchOut_141103_r2722_RIc\XML\</v>
      </c>
      <c r="E89" s="9" t="e">
        <f t="shared" si="54"/>
        <v>#VALUE!</v>
      </c>
      <c r="F89" s="22"/>
      <c r="G89" s="29"/>
      <c r="H89" s="23"/>
      <c r="I89" s="9" t="s">
        <v>11</v>
      </c>
      <c r="J89"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9" s="15" t="s">
        <v>1</v>
      </c>
      <c r="L89" s="36">
        <f t="shared" si="60"/>
        <v>0</v>
      </c>
      <c r="M89" s="32" t="e">
        <f t="shared" si="70"/>
        <v>#VALUE!</v>
      </c>
      <c r="N89" s="28"/>
      <c r="O89" s="57">
        <f t="shared" si="66"/>
        <v>0</v>
      </c>
      <c r="P89" s="63">
        <f t="shared" si="67"/>
        <v>2</v>
      </c>
      <c r="Q89" s="65">
        <f t="shared" si="67"/>
        <v>1</v>
      </c>
      <c r="R89" s="65">
        <f t="shared" si="67"/>
        <v>0</v>
      </c>
      <c r="S89" s="65">
        <f t="shared" si="67"/>
        <v>1</v>
      </c>
      <c r="T89" s="65">
        <f t="shared" si="67"/>
        <v>0</v>
      </c>
      <c r="U89" s="65">
        <f t="shared" si="67"/>
        <v>11</v>
      </c>
      <c r="V89" s="65">
        <v>11</v>
      </c>
      <c r="W89" s="65">
        <f t="shared" si="68"/>
        <v>1</v>
      </c>
      <c r="X89" s="65">
        <f t="shared" si="68"/>
        <v>0</v>
      </c>
      <c r="Y89" s="65">
        <f t="shared" si="68"/>
        <v>0</v>
      </c>
      <c r="Z89" s="65">
        <f t="shared" si="68"/>
        <v>0</v>
      </c>
      <c r="AA89" s="65">
        <f t="shared" si="68"/>
        <v>0</v>
      </c>
      <c r="AB89" s="65">
        <f t="shared" si="68"/>
        <v>1</v>
      </c>
      <c r="AC89" s="65">
        <f t="shared" si="57"/>
        <v>1</v>
      </c>
      <c r="AD89" s="61">
        <v>1</v>
      </c>
      <c r="AE89" s="63">
        <f t="shared" si="69"/>
        <v>0</v>
      </c>
      <c r="AF89" s="64">
        <f t="shared" si="69"/>
        <v>0</v>
      </c>
      <c r="AG89" s="64">
        <f t="shared" si="69"/>
        <v>0</v>
      </c>
      <c r="AH89" s="64">
        <f t="shared" si="69"/>
        <v>0</v>
      </c>
      <c r="AI89" s="66">
        <f t="shared" si="69"/>
        <v>0</v>
      </c>
      <c r="AJ89" s="63">
        <f t="shared" si="69"/>
        <v>0</v>
      </c>
      <c r="AK89" s="64">
        <f t="shared" si="69"/>
        <v>0</v>
      </c>
      <c r="AL89" s="65">
        <f t="shared" si="69"/>
        <v>0</v>
      </c>
      <c r="AM89" s="66">
        <f t="shared" si="69"/>
        <v>0</v>
      </c>
      <c r="AN89" s="31" t="str">
        <f t="shared" ref="AN89:AP99" si="72">P$12&amp;P89&amp;","</f>
        <v>SimulationStorage,2,</v>
      </c>
      <c r="AO89" s="31" t="str">
        <f t="shared" si="72"/>
        <v>AnalysisStorage,1,</v>
      </c>
      <c r="AP89" s="31" t="str">
        <f t="shared" si="72"/>
        <v>LogRuleEvaluation,0,</v>
      </c>
      <c r="AQ89" s="31" t="str">
        <f t="shared" si="71"/>
        <v>ParallelSimulations,1,</v>
      </c>
      <c r="AR89" s="31" t="str">
        <f t="shared" si="71"/>
        <v>DurationStats,0,</v>
      </c>
      <c r="AS89" s="31" t="str">
        <f t="shared" si="71"/>
        <v>AnalysisThruStep,11,</v>
      </c>
      <c r="AT89" s="31" t="str">
        <f t="shared" si="71"/>
        <v>DontAbortOnErrorsThruStep,11,</v>
      </c>
      <c r="AU89" s="31" t="str">
        <f t="shared" si="71"/>
        <v>BypassValidFileChecks,1,</v>
      </c>
      <c r="AV89" s="31" t="str">
        <f t="shared" si="71"/>
        <v>BypassInputChecks,0,</v>
      </c>
      <c r="AW89" s="31" t="str">
        <f t="shared" si="71"/>
        <v>BypassUMLHChecks,0,</v>
      </c>
      <c r="AX89" s="31" t="str">
        <f t="shared" si="71"/>
        <v>BypassCheckSimRules,0,</v>
      </c>
      <c r="AY89" s="31" t="str">
        <f t="shared" si="71"/>
        <v>BypassCheckCodeRules,0,</v>
      </c>
      <c r="BA89" s="31" t="str">
        <f t="shared" si="49"/>
        <v>StoreBEMDetails,1,</v>
      </c>
      <c r="BB89" s="31" t="str">
        <f t="shared" si="49"/>
        <v>ModelRpt_ALL,1,</v>
      </c>
      <c r="BC89" s="31" t="str">
        <f t="shared" si="49"/>
        <v>BypassOpenStudio_all,0,</v>
      </c>
      <c r="BD89" s="31" t="str">
        <f t="shared" si="49"/>
        <v>BypassOpenStudio_zp,0,</v>
      </c>
      <c r="BE89" s="31" t="str">
        <f t="shared" si="49"/>
        <v>BypassOpenStudio_zb,0,</v>
      </c>
      <c r="BF89" s="31" t="str">
        <f t="shared" si="49"/>
        <v>BypassOpenStudio_ap,0,</v>
      </c>
      <c r="BG89" s="31" t="str">
        <f t="shared" si="49"/>
        <v>BypassOpenStudio_ab,0,</v>
      </c>
      <c r="BH89" s="31" t="str">
        <f t="shared" si="49"/>
        <v>BypassOpenStudio_zp,0,</v>
      </c>
      <c r="BI89" s="31" t="str">
        <f t="shared" si="49"/>
        <v>BypassOpenStudio_zb,0,</v>
      </c>
      <c r="BJ89" s="31" t="str">
        <f t="shared" si="49"/>
        <v>BypassOpenStudio_ap,0,</v>
      </c>
      <c r="BK89" s="31" t="str">
        <f t="shared" si="50"/>
        <v>BypassOpenStudio_ab,0</v>
      </c>
    </row>
    <row r="90" spans="1:63" x14ac:dyDescent="0.25">
      <c r="A90" s="39">
        <f t="shared" si="44"/>
        <v>0</v>
      </c>
      <c r="B90" s="27" t="str">
        <f t="shared" si="51"/>
        <v>RulesetImplementationTests\\.cibd</v>
      </c>
      <c r="C90" s="27" t="str">
        <f t="shared" si="52"/>
        <v>BatchOut_141103_r2722_RIc\0.cibd</v>
      </c>
      <c r="D90" s="27" t="str">
        <f t="shared" si="53"/>
        <v>BatchOut_141103_r2722_RIc\XML\</v>
      </c>
      <c r="E90" s="9" t="e">
        <f t="shared" si="54"/>
        <v>#VALUE!</v>
      </c>
      <c r="F90" s="22"/>
      <c r="G90" s="29"/>
      <c r="H90" s="23"/>
      <c r="I90" s="9" t="s">
        <v>11</v>
      </c>
      <c r="J90"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0" s="15" t="s">
        <v>1</v>
      </c>
      <c r="L90" s="36">
        <f t="shared" si="60"/>
        <v>0</v>
      </c>
      <c r="M90" s="32" t="e">
        <f t="shared" si="70"/>
        <v>#VALUE!</v>
      </c>
      <c r="N90" s="28"/>
      <c r="O90" s="57">
        <f t="shared" si="66"/>
        <v>0</v>
      </c>
      <c r="P90" s="63">
        <f t="shared" si="67"/>
        <v>2</v>
      </c>
      <c r="Q90" s="65">
        <f t="shared" si="67"/>
        <v>1</v>
      </c>
      <c r="R90" s="65">
        <f t="shared" si="67"/>
        <v>0</v>
      </c>
      <c r="S90" s="65">
        <f t="shared" si="67"/>
        <v>1</v>
      </c>
      <c r="T90" s="65">
        <f t="shared" si="67"/>
        <v>0</v>
      </c>
      <c r="U90" s="65">
        <f t="shared" si="67"/>
        <v>11</v>
      </c>
      <c r="V90" s="65">
        <v>11</v>
      </c>
      <c r="W90" s="65">
        <f t="shared" si="68"/>
        <v>1</v>
      </c>
      <c r="X90" s="65">
        <f t="shared" si="68"/>
        <v>0</v>
      </c>
      <c r="Y90" s="65">
        <f t="shared" si="68"/>
        <v>0</v>
      </c>
      <c r="Z90" s="65">
        <f t="shared" si="68"/>
        <v>0</v>
      </c>
      <c r="AA90" s="65">
        <f t="shared" si="68"/>
        <v>0</v>
      </c>
      <c r="AB90" s="65">
        <f t="shared" si="68"/>
        <v>1</v>
      </c>
      <c r="AC90" s="65">
        <f t="shared" si="57"/>
        <v>1</v>
      </c>
      <c r="AD90" s="61">
        <v>1</v>
      </c>
      <c r="AE90" s="63">
        <f t="shared" si="69"/>
        <v>0</v>
      </c>
      <c r="AF90" s="64">
        <f t="shared" si="69"/>
        <v>0</v>
      </c>
      <c r="AG90" s="64">
        <f t="shared" si="69"/>
        <v>0</v>
      </c>
      <c r="AH90" s="64">
        <f t="shared" si="69"/>
        <v>0</v>
      </c>
      <c r="AI90" s="66">
        <f t="shared" si="69"/>
        <v>0</v>
      </c>
      <c r="AJ90" s="63">
        <f t="shared" si="69"/>
        <v>0</v>
      </c>
      <c r="AK90" s="64">
        <f t="shared" si="69"/>
        <v>0</v>
      </c>
      <c r="AL90" s="65">
        <f t="shared" si="69"/>
        <v>0</v>
      </c>
      <c r="AM90" s="66">
        <f t="shared" si="69"/>
        <v>0</v>
      </c>
      <c r="AN90" s="31" t="str">
        <f t="shared" si="72"/>
        <v>SimulationStorage,2,</v>
      </c>
      <c r="AO90" s="31" t="str">
        <f t="shared" si="72"/>
        <v>AnalysisStorage,1,</v>
      </c>
      <c r="AP90" s="31" t="str">
        <f t="shared" si="72"/>
        <v>LogRuleEvaluation,0,</v>
      </c>
      <c r="AQ90" s="31" t="str">
        <f t="shared" si="71"/>
        <v>ParallelSimulations,1,</v>
      </c>
      <c r="AR90" s="31" t="str">
        <f t="shared" si="71"/>
        <v>DurationStats,0,</v>
      </c>
      <c r="AS90" s="31" t="str">
        <f t="shared" si="71"/>
        <v>AnalysisThruStep,11,</v>
      </c>
      <c r="AT90" s="31" t="str">
        <f t="shared" si="71"/>
        <v>DontAbortOnErrorsThruStep,11,</v>
      </c>
      <c r="AU90" s="31" t="str">
        <f t="shared" si="71"/>
        <v>BypassValidFileChecks,1,</v>
      </c>
      <c r="AV90" s="31" t="str">
        <f t="shared" si="71"/>
        <v>BypassInputChecks,0,</v>
      </c>
      <c r="AW90" s="31" t="str">
        <f t="shared" si="71"/>
        <v>BypassUMLHChecks,0,</v>
      </c>
      <c r="AX90" s="31" t="str">
        <f t="shared" si="71"/>
        <v>BypassCheckSimRules,0,</v>
      </c>
      <c r="AY90" s="31" t="str">
        <f t="shared" si="71"/>
        <v>BypassCheckCodeRules,0,</v>
      </c>
      <c r="BA90" s="31" t="str">
        <f t="shared" si="49"/>
        <v>StoreBEMDetails,1,</v>
      </c>
      <c r="BB90" s="31" t="str">
        <f t="shared" si="49"/>
        <v>ModelRpt_ALL,1,</v>
      </c>
      <c r="BC90" s="31" t="str">
        <f t="shared" si="49"/>
        <v>BypassOpenStudio_all,0,</v>
      </c>
      <c r="BD90" s="31" t="str">
        <f t="shared" si="49"/>
        <v>BypassOpenStudio_zp,0,</v>
      </c>
      <c r="BE90" s="31" t="str">
        <f t="shared" si="49"/>
        <v>BypassOpenStudio_zb,0,</v>
      </c>
      <c r="BF90" s="31" t="str">
        <f t="shared" si="49"/>
        <v>BypassOpenStudio_ap,0,</v>
      </c>
      <c r="BG90" s="31" t="str">
        <f t="shared" si="49"/>
        <v>BypassOpenStudio_ab,0,</v>
      </c>
      <c r="BH90" s="31" t="str">
        <f t="shared" si="49"/>
        <v>BypassOpenStudio_zp,0,</v>
      </c>
      <c r="BI90" s="31" t="str">
        <f t="shared" si="49"/>
        <v>BypassOpenStudio_zb,0,</v>
      </c>
      <c r="BJ90" s="31" t="str">
        <f t="shared" si="49"/>
        <v>BypassOpenStudio_ap,0,</v>
      </c>
      <c r="BK90" s="31" t="str">
        <f t="shared" si="50"/>
        <v>BypassOpenStudio_ab,0</v>
      </c>
    </row>
    <row r="91" spans="1:63" x14ac:dyDescent="0.25">
      <c r="A91" s="39">
        <f t="shared" si="44"/>
        <v>0</v>
      </c>
      <c r="B91" s="27" t="str">
        <f t="shared" si="51"/>
        <v>RulesetImplementationTests\\.cibd</v>
      </c>
      <c r="C91" s="27" t="str">
        <f t="shared" si="52"/>
        <v>BatchOut_141103_r2722_RIc\0.cibd</v>
      </c>
      <c r="D91" s="27" t="str">
        <f t="shared" si="53"/>
        <v>BatchOut_141103_r2722_RIc\XML\</v>
      </c>
      <c r="E91" s="9" t="e">
        <f t="shared" si="54"/>
        <v>#VALUE!</v>
      </c>
      <c r="F91" s="22"/>
      <c r="G91" s="29"/>
      <c r="H91" s="23"/>
      <c r="I91" s="9" t="s">
        <v>11</v>
      </c>
      <c r="J91"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1" s="15" t="s">
        <v>1</v>
      </c>
      <c r="L91" s="36">
        <f t="shared" si="60"/>
        <v>0</v>
      </c>
      <c r="M91" s="32" t="e">
        <f t="shared" si="65"/>
        <v>#VALUE!</v>
      </c>
      <c r="N91" s="28"/>
      <c r="O91" s="57">
        <f t="shared" si="66"/>
        <v>0</v>
      </c>
      <c r="P91" s="63">
        <f t="shared" si="67"/>
        <v>2</v>
      </c>
      <c r="Q91" s="65">
        <f t="shared" si="67"/>
        <v>1</v>
      </c>
      <c r="R91" s="65">
        <f t="shared" si="67"/>
        <v>0</v>
      </c>
      <c r="S91" s="65">
        <f t="shared" si="67"/>
        <v>1</v>
      </c>
      <c r="T91" s="65">
        <f t="shared" si="67"/>
        <v>0</v>
      </c>
      <c r="U91" s="65">
        <f t="shared" si="67"/>
        <v>11</v>
      </c>
      <c r="V91" s="65">
        <v>11</v>
      </c>
      <c r="W91" s="65">
        <f t="shared" si="68"/>
        <v>1</v>
      </c>
      <c r="X91" s="65">
        <f t="shared" si="68"/>
        <v>0</v>
      </c>
      <c r="Y91" s="65">
        <f t="shared" si="68"/>
        <v>0</v>
      </c>
      <c r="Z91" s="65">
        <f t="shared" si="68"/>
        <v>0</v>
      </c>
      <c r="AA91" s="65">
        <f t="shared" si="68"/>
        <v>0</v>
      </c>
      <c r="AB91" s="65">
        <f t="shared" si="68"/>
        <v>1</v>
      </c>
      <c r="AC91" s="65">
        <f t="shared" si="57"/>
        <v>1</v>
      </c>
      <c r="AD91" s="61">
        <v>1</v>
      </c>
      <c r="AE91" s="63">
        <f t="shared" si="69"/>
        <v>0</v>
      </c>
      <c r="AF91" s="64">
        <f t="shared" si="69"/>
        <v>0</v>
      </c>
      <c r="AG91" s="64">
        <f t="shared" si="69"/>
        <v>0</v>
      </c>
      <c r="AH91" s="64">
        <f t="shared" si="69"/>
        <v>0</v>
      </c>
      <c r="AI91" s="66">
        <f t="shared" si="69"/>
        <v>0</v>
      </c>
      <c r="AJ91" s="63">
        <f t="shared" si="69"/>
        <v>0</v>
      </c>
      <c r="AK91" s="64">
        <f t="shared" si="69"/>
        <v>0</v>
      </c>
      <c r="AL91" s="65">
        <f t="shared" si="69"/>
        <v>0</v>
      </c>
      <c r="AM91" s="66">
        <f t="shared" si="69"/>
        <v>0</v>
      </c>
      <c r="AN91" s="31" t="str">
        <f t="shared" si="72"/>
        <v>SimulationStorage,2,</v>
      </c>
      <c r="AO91" s="31" t="str">
        <f t="shared" si="72"/>
        <v>AnalysisStorage,1,</v>
      </c>
      <c r="AP91" s="31" t="str">
        <f t="shared" si="72"/>
        <v>LogRuleEvaluation,0,</v>
      </c>
      <c r="AQ91" s="31" t="str">
        <f t="shared" si="71"/>
        <v>ParallelSimulations,1,</v>
      </c>
      <c r="AR91" s="31" t="str">
        <f t="shared" si="71"/>
        <v>DurationStats,0,</v>
      </c>
      <c r="AS91" s="31" t="str">
        <f t="shared" si="71"/>
        <v>AnalysisThruStep,11,</v>
      </c>
      <c r="AT91" s="31" t="str">
        <f t="shared" si="71"/>
        <v>DontAbortOnErrorsThruStep,11,</v>
      </c>
      <c r="AU91" s="31" t="str">
        <f t="shared" si="71"/>
        <v>BypassValidFileChecks,1,</v>
      </c>
      <c r="AV91" s="31" t="str">
        <f t="shared" si="71"/>
        <v>BypassInputChecks,0,</v>
      </c>
      <c r="AW91" s="31" t="str">
        <f t="shared" si="71"/>
        <v>BypassUMLHChecks,0,</v>
      </c>
      <c r="AX91" s="31" t="str">
        <f t="shared" si="71"/>
        <v>BypassCheckSimRules,0,</v>
      </c>
      <c r="AY91" s="31" t="str">
        <f t="shared" si="71"/>
        <v>BypassCheckCodeRules,0,</v>
      </c>
      <c r="BA91" s="31" t="str">
        <f t="shared" si="49"/>
        <v>StoreBEMDetails,1,</v>
      </c>
      <c r="BB91" s="31" t="str">
        <f t="shared" si="49"/>
        <v>ModelRpt_ALL,1,</v>
      </c>
      <c r="BC91" s="31" t="str">
        <f t="shared" si="49"/>
        <v>BypassOpenStudio_all,0,</v>
      </c>
      <c r="BD91" s="31" t="str">
        <f t="shared" si="49"/>
        <v>BypassOpenStudio_zp,0,</v>
      </c>
      <c r="BE91" s="31" t="str">
        <f t="shared" si="49"/>
        <v>BypassOpenStudio_zb,0,</v>
      </c>
      <c r="BF91" s="31" t="str">
        <f t="shared" si="49"/>
        <v>BypassOpenStudio_ap,0,</v>
      </c>
      <c r="BG91" s="31" t="str">
        <f t="shared" si="49"/>
        <v>BypassOpenStudio_ab,0,</v>
      </c>
      <c r="BH91" s="31" t="str">
        <f t="shared" si="49"/>
        <v>BypassOpenStudio_zp,0,</v>
      </c>
      <c r="BI91" s="31" t="str">
        <f t="shared" si="49"/>
        <v>BypassOpenStudio_zb,0,</v>
      </c>
      <c r="BJ91" s="31" t="str">
        <f t="shared" si="49"/>
        <v>BypassOpenStudio_ap,0,</v>
      </c>
      <c r="BK91" s="31" t="str">
        <f t="shared" si="50"/>
        <v>BypassOpenStudio_ab,0</v>
      </c>
    </row>
    <row r="92" spans="1:63" x14ac:dyDescent="0.25">
      <c r="A92" s="39">
        <f t="shared" si="44"/>
        <v>0</v>
      </c>
      <c r="B92" s="27" t="str">
        <f t="shared" si="51"/>
        <v>RulesetImplementationTests\\.cibd</v>
      </c>
      <c r="C92" s="27" t="str">
        <f t="shared" si="52"/>
        <v>BatchOut_141103_r2722_RIc\0.cibd</v>
      </c>
      <c r="D92" s="27" t="str">
        <f t="shared" si="53"/>
        <v>BatchOut_141103_r2722_RIc\XML\</v>
      </c>
      <c r="E92" s="9" t="e">
        <f t="shared" si="54"/>
        <v>#VALUE!</v>
      </c>
      <c r="F92" s="22"/>
      <c r="G92" s="29"/>
      <c r="H92" s="23"/>
      <c r="I92" s="9" t="s">
        <v>11</v>
      </c>
      <c r="J92"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2" s="15" t="s">
        <v>1</v>
      </c>
      <c r="L92" s="36">
        <f t="shared" si="60"/>
        <v>0</v>
      </c>
      <c r="M92" s="32" t="e">
        <f t="shared" si="65"/>
        <v>#VALUE!</v>
      </c>
      <c r="N92" s="28"/>
      <c r="O92" s="57">
        <f t="shared" si="66"/>
        <v>0</v>
      </c>
      <c r="P92" s="63">
        <f t="shared" si="67"/>
        <v>2</v>
      </c>
      <c r="Q92" s="65">
        <f t="shared" si="67"/>
        <v>1</v>
      </c>
      <c r="R92" s="65">
        <f t="shared" si="67"/>
        <v>0</v>
      </c>
      <c r="S92" s="65">
        <f t="shared" si="67"/>
        <v>1</v>
      </c>
      <c r="T92" s="65">
        <f t="shared" si="67"/>
        <v>0</v>
      </c>
      <c r="U92" s="65">
        <f t="shared" si="67"/>
        <v>11</v>
      </c>
      <c r="V92" s="65">
        <v>11</v>
      </c>
      <c r="W92" s="65">
        <f t="shared" si="68"/>
        <v>1</v>
      </c>
      <c r="X92" s="65">
        <f t="shared" si="68"/>
        <v>0</v>
      </c>
      <c r="Y92" s="65">
        <f t="shared" si="68"/>
        <v>0</v>
      </c>
      <c r="Z92" s="65">
        <f t="shared" si="68"/>
        <v>0</v>
      </c>
      <c r="AA92" s="65">
        <f t="shared" si="68"/>
        <v>0</v>
      </c>
      <c r="AB92" s="65">
        <f t="shared" si="68"/>
        <v>1</v>
      </c>
      <c r="AC92" s="65">
        <f t="shared" si="57"/>
        <v>1</v>
      </c>
      <c r="AD92" s="61">
        <v>1</v>
      </c>
      <c r="AE92" s="63">
        <f t="shared" si="69"/>
        <v>0</v>
      </c>
      <c r="AF92" s="64">
        <f t="shared" si="69"/>
        <v>0</v>
      </c>
      <c r="AG92" s="64">
        <f t="shared" si="69"/>
        <v>0</v>
      </c>
      <c r="AH92" s="64">
        <f t="shared" si="69"/>
        <v>0</v>
      </c>
      <c r="AI92" s="66">
        <f t="shared" si="69"/>
        <v>0</v>
      </c>
      <c r="AJ92" s="63">
        <f t="shared" si="69"/>
        <v>0</v>
      </c>
      <c r="AK92" s="64">
        <f t="shared" si="69"/>
        <v>0</v>
      </c>
      <c r="AL92" s="65">
        <f t="shared" si="69"/>
        <v>0</v>
      </c>
      <c r="AM92" s="66">
        <f t="shared" si="69"/>
        <v>0</v>
      </c>
      <c r="AN92" s="31" t="str">
        <f t="shared" si="72"/>
        <v>SimulationStorage,2,</v>
      </c>
      <c r="AO92" s="31" t="str">
        <f t="shared" si="72"/>
        <v>AnalysisStorage,1,</v>
      </c>
      <c r="AP92" s="31" t="str">
        <f t="shared" si="72"/>
        <v>LogRuleEvaluation,0,</v>
      </c>
      <c r="AQ92" s="31" t="str">
        <f t="shared" si="71"/>
        <v>ParallelSimulations,1,</v>
      </c>
      <c r="AR92" s="31" t="str">
        <f t="shared" si="71"/>
        <v>DurationStats,0,</v>
      </c>
      <c r="AS92" s="31" t="str">
        <f t="shared" si="71"/>
        <v>AnalysisThruStep,11,</v>
      </c>
      <c r="AT92" s="31" t="str">
        <f t="shared" si="71"/>
        <v>DontAbortOnErrorsThruStep,11,</v>
      </c>
      <c r="AU92" s="31" t="str">
        <f t="shared" si="71"/>
        <v>BypassValidFileChecks,1,</v>
      </c>
      <c r="AV92" s="31" t="str">
        <f t="shared" si="71"/>
        <v>BypassInputChecks,0,</v>
      </c>
      <c r="AW92" s="31" t="str">
        <f t="shared" si="71"/>
        <v>BypassUMLHChecks,0,</v>
      </c>
      <c r="AX92" s="31" t="str">
        <f t="shared" si="71"/>
        <v>BypassCheckSimRules,0,</v>
      </c>
      <c r="AY92" s="31" t="str">
        <f t="shared" si="71"/>
        <v>BypassCheckCodeRules,0,</v>
      </c>
      <c r="BA92" s="31" t="str">
        <f t="shared" si="49"/>
        <v>StoreBEMDetails,1,</v>
      </c>
      <c r="BB92" s="31" t="str">
        <f t="shared" si="49"/>
        <v>ModelRpt_ALL,1,</v>
      </c>
      <c r="BC92" s="31" t="str">
        <f t="shared" si="49"/>
        <v>BypassOpenStudio_all,0,</v>
      </c>
      <c r="BD92" s="31" t="str">
        <f t="shared" si="49"/>
        <v>BypassOpenStudio_zp,0,</v>
      </c>
      <c r="BE92" s="31" t="str">
        <f t="shared" si="49"/>
        <v>BypassOpenStudio_zb,0,</v>
      </c>
      <c r="BF92" s="31" t="str">
        <f t="shared" ref="BF92:BJ99" si="73">AH$12&amp;AH92&amp;","</f>
        <v>BypassOpenStudio_ap,0,</v>
      </c>
      <c r="BG92" s="31" t="str">
        <f t="shared" si="73"/>
        <v>BypassOpenStudio_ab,0,</v>
      </c>
      <c r="BH92" s="31" t="str">
        <f t="shared" si="73"/>
        <v>BypassOpenStudio_zp,0,</v>
      </c>
      <c r="BI92" s="31" t="str">
        <f t="shared" si="73"/>
        <v>BypassOpenStudio_zb,0,</v>
      </c>
      <c r="BJ92" s="31" t="str">
        <f t="shared" si="73"/>
        <v>BypassOpenStudio_ap,0,</v>
      </c>
      <c r="BK92" s="31" t="str">
        <f t="shared" si="50"/>
        <v>BypassOpenStudio_ab,0</v>
      </c>
    </row>
    <row r="93" spans="1:63" x14ac:dyDescent="0.25">
      <c r="A93" s="39">
        <f t="shared" si="44"/>
        <v>0</v>
      </c>
      <c r="B93" s="27" t="str">
        <f t="shared" si="51"/>
        <v>RulesetImplementationTests\\.cibd</v>
      </c>
      <c r="C93" s="27" t="str">
        <f t="shared" si="52"/>
        <v>BatchOut_141103_r2722_RIc\0.cibd</v>
      </c>
      <c r="D93" s="27" t="str">
        <f t="shared" si="53"/>
        <v>BatchOut_141103_r2722_RIc\XML\</v>
      </c>
      <c r="E93" s="9" t="e">
        <f t="shared" si="54"/>
        <v>#VALUE!</v>
      </c>
      <c r="F93" s="22"/>
      <c r="G93" s="29"/>
      <c r="H93" s="23"/>
      <c r="I93" s="9" t="s">
        <v>11</v>
      </c>
      <c r="J93"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3" s="15" t="s">
        <v>1</v>
      </c>
      <c r="L93" s="36">
        <f t="shared" si="60"/>
        <v>0</v>
      </c>
      <c r="M93" s="32" t="e">
        <f t="shared" si="65"/>
        <v>#VALUE!</v>
      </c>
      <c r="N93" s="28"/>
      <c r="O93" s="57">
        <f t="shared" si="66"/>
        <v>0</v>
      </c>
      <c r="P93" s="63">
        <f t="shared" si="67"/>
        <v>2</v>
      </c>
      <c r="Q93" s="65">
        <f t="shared" si="67"/>
        <v>1</v>
      </c>
      <c r="R93" s="65">
        <f t="shared" si="67"/>
        <v>0</v>
      </c>
      <c r="S93" s="65">
        <f t="shared" si="67"/>
        <v>1</v>
      </c>
      <c r="T93" s="65">
        <f t="shared" si="67"/>
        <v>0</v>
      </c>
      <c r="U93" s="65">
        <f t="shared" si="67"/>
        <v>11</v>
      </c>
      <c r="V93" s="65">
        <v>11</v>
      </c>
      <c r="W93" s="65">
        <f t="shared" si="68"/>
        <v>1</v>
      </c>
      <c r="X93" s="65">
        <f t="shared" si="68"/>
        <v>0</v>
      </c>
      <c r="Y93" s="65">
        <f t="shared" si="68"/>
        <v>0</v>
      </c>
      <c r="Z93" s="65">
        <f t="shared" si="68"/>
        <v>0</v>
      </c>
      <c r="AA93" s="65">
        <f t="shared" si="68"/>
        <v>0</v>
      </c>
      <c r="AB93" s="65">
        <f t="shared" si="68"/>
        <v>1</v>
      </c>
      <c r="AC93" s="65">
        <f t="shared" si="57"/>
        <v>1</v>
      </c>
      <c r="AD93" s="61">
        <v>1</v>
      </c>
      <c r="AE93" s="63">
        <f t="shared" si="69"/>
        <v>0</v>
      </c>
      <c r="AF93" s="64">
        <f t="shared" si="69"/>
        <v>0</v>
      </c>
      <c r="AG93" s="64">
        <f t="shared" si="69"/>
        <v>0</v>
      </c>
      <c r="AH93" s="64">
        <f t="shared" si="69"/>
        <v>0</v>
      </c>
      <c r="AI93" s="66">
        <f t="shared" si="69"/>
        <v>0</v>
      </c>
      <c r="AJ93" s="63">
        <f t="shared" si="69"/>
        <v>0</v>
      </c>
      <c r="AK93" s="64">
        <f t="shared" si="69"/>
        <v>0</v>
      </c>
      <c r="AL93" s="65">
        <f t="shared" si="69"/>
        <v>0</v>
      </c>
      <c r="AM93" s="66">
        <f t="shared" si="69"/>
        <v>0</v>
      </c>
      <c r="AN93" s="31" t="str">
        <f t="shared" si="72"/>
        <v>SimulationStorage,2,</v>
      </c>
      <c r="AO93" s="31" t="str">
        <f t="shared" si="72"/>
        <v>AnalysisStorage,1,</v>
      </c>
      <c r="AP93" s="31" t="str">
        <f t="shared" si="72"/>
        <v>LogRuleEvaluation,0,</v>
      </c>
      <c r="AQ93" s="31" t="str">
        <f t="shared" si="71"/>
        <v>ParallelSimulations,1,</v>
      </c>
      <c r="AR93" s="31" t="str">
        <f t="shared" si="71"/>
        <v>DurationStats,0,</v>
      </c>
      <c r="AS93" s="31" t="str">
        <f t="shared" si="71"/>
        <v>AnalysisThruStep,11,</v>
      </c>
      <c r="AT93" s="31" t="str">
        <f t="shared" si="71"/>
        <v>DontAbortOnErrorsThruStep,11,</v>
      </c>
      <c r="AU93" s="31" t="str">
        <f t="shared" si="71"/>
        <v>BypassValidFileChecks,1,</v>
      </c>
      <c r="AV93" s="31" t="str">
        <f t="shared" si="71"/>
        <v>BypassInputChecks,0,</v>
      </c>
      <c r="AW93" s="31" t="str">
        <f t="shared" si="71"/>
        <v>BypassUMLHChecks,0,</v>
      </c>
      <c r="AX93" s="31" t="str">
        <f t="shared" si="71"/>
        <v>BypassCheckSimRules,0,</v>
      </c>
      <c r="AY93" s="31" t="str">
        <f t="shared" si="71"/>
        <v>BypassCheckCodeRules,0,</v>
      </c>
      <c r="BA93" s="31" t="str">
        <f t="shared" ref="BA93:BE99" si="74">AC$12&amp;AC93&amp;","</f>
        <v>StoreBEMDetails,1,</v>
      </c>
      <c r="BB93" s="31" t="str">
        <f t="shared" si="74"/>
        <v>ModelRpt_ALL,1,</v>
      </c>
      <c r="BC93" s="31" t="str">
        <f t="shared" si="74"/>
        <v>BypassOpenStudio_all,0,</v>
      </c>
      <c r="BD93" s="31" t="str">
        <f t="shared" si="74"/>
        <v>BypassOpenStudio_zp,0,</v>
      </c>
      <c r="BE93" s="31" t="str">
        <f t="shared" si="74"/>
        <v>BypassOpenStudio_zb,0,</v>
      </c>
      <c r="BF93" s="31" t="str">
        <f t="shared" si="73"/>
        <v>BypassOpenStudio_ap,0,</v>
      </c>
      <c r="BG93" s="31" t="str">
        <f t="shared" si="73"/>
        <v>BypassOpenStudio_ab,0,</v>
      </c>
      <c r="BH93" s="31" t="str">
        <f t="shared" si="73"/>
        <v>BypassOpenStudio_zp,0,</v>
      </c>
      <c r="BI93" s="31" t="str">
        <f t="shared" si="73"/>
        <v>BypassOpenStudio_zb,0,</v>
      </c>
      <c r="BJ93" s="31" t="str">
        <f t="shared" si="73"/>
        <v>BypassOpenStudio_ap,0,</v>
      </c>
      <c r="BK93" s="31" t="str">
        <f t="shared" si="50"/>
        <v>BypassOpenStudio_ab,0</v>
      </c>
    </row>
    <row r="94" spans="1:63" x14ac:dyDescent="0.25">
      <c r="A94" s="39">
        <f t="shared" si="44"/>
        <v>0</v>
      </c>
      <c r="B94" s="27" t="str">
        <f t="shared" si="51"/>
        <v>RulesetImplementationTests\\.cibd</v>
      </c>
      <c r="C94" s="27" t="str">
        <f t="shared" si="52"/>
        <v>BatchOut_141103_r2722_RIc\0.cibd</v>
      </c>
      <c r="D94" s="27" t="str">
        <f t="shared" si="53"/>
        <v>BatchOut_141103_r2722_RIc\XML\</v>
      </c>
      <c r="E94" s="9" t="e">
        <f t="shared" si="54"/>
        <v>#VALUE!</v>
      </c>
      <c r="F94" s="22"/>
      <c r="G94" s="29"/>
      <c r="H94" s="23"/>
      <c r="I94" s="9" t="s">
        <v>11</v>
      </c>
      <c r="J94"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4" s="15" t="s">
        <v>1</v>
      </c>
      <c r="L94" s="36">
        <f t="shared" si="60"/>
        <v>0</v>
      </c>
      <c r="M94" s="32" t="e">
        <f t="shared" si="65"/>
        <v>#VALUE!</v>
      </c>
      <c r="N94" s="28"/>
      <c r="O94" s="57">
        <f t="shared" si="66"/>
        <v>0</v>
      </c>
      <c r="P94" s="63">
        <f t="shared" si="67"/>
        <v>2</v>
      </c>
      <c r="Q94" s="65">
        <f t="shared" si="67"/>
        <v>1</v>
      </c>
      <c r="R94" s="65">
        <f t="shared" si="67"/>
        <v>0</v>
      </c>
      <c r="S94" s="65">
        <f t="shared" si="67"/>
        <v>1</v>
      </c>
      <c r="T94" s="65">
        <f t="shared" si="67"/>
        <v>0</v>
      </c>
      <c r="U94" s="65">
        <f t="shared" si="67"/>
        <v>11</v>
      </c>
      <c r="V94" s="65">
        <v>11</v>
      </c>
      <c r="W94" s="65">
        <f t="shared" si="68"/>
        <v>1</v>
      </c>
      <c r="X94" s="65">
        <f t="shared" si="68"/>
        <v>0</v>
      </c>
      <c r="Y94" s="65">
        <f t="shared" si="68"/>
        <v>0</v>
      </c>
      <c r="Z94" s="65">
        <f t="shared" si="68"/>
        <v>0</v>
      </c>
      <c r="AA94" s="65">
        <f t="shared" si="68"/>
        <v>0</v>
      </c>
      <c r="AB94" s="65">
        <f t="shared" si="68"/>
        <v>1</v>
      </c>
      <c r="AC94" s="65">
        <f t="shared" si="57"/>
        <v>1</v>
      </c>
      <c r="AD94" s="61">
        <v>1</v>
      </c>
      <c r="AE94" s="63">
        <f t="shared" si="69"/>
        <v>0</v>
      </c>
      <c r="AF94" s="64">
        <f t="shared" si="69"/>
        <v>0</v>
      </c>
      <c r="AG94" s="64">
        <f t="shared" si="69"/>
        <v>0</v>
      </c>
      <c r="AH94" s="64">
        <f t="shared" si="69"/>
        <v>0</v>
      </c>
      <c r="AI94" s="66">
        <f t="shared" si="69"/>
        <v>0</v>
      </c>
      <c r="AJ94" s="63">
        <f t="shared" si="69"/>
        <v>0</v>
      </c>
      <c r="AK94" s="64">
        <f t="shared" si="69"/>
        <v>0</v>
      </c>
      <c r="AL94" s="65">
        <f t="shared" si="69"/>
        <v>0</v>
      </c>
      <c r="AM94" s="66">
        <f t="shared" si="69"/>
        <v>0</v>
      </c>
      <c r="AN94" s="31" t="str">
        <f t="shared" si="72"/>
        <v>SimulationStorage,2,</v>
      </c>
      <c r="AO94" s="31" t="str">
        <f t="shared" si="72"/>
        <v>AnalysisStorage,1,</v>
      </c>
      <c r="AP94" s="31" t="str">
        <f t="shared" si="72"/>
        <v>LogRuleEvaluation,0,</v>
      </c>
      <c r="AQ94" s="31" t="str">
        <f t="shared" si="71"/>
        <v>ParallelSimulations,1,</v>
      </c>
      <c r="AR94" s="31" t="str">
        <f t="shared" si="71"/>
        <v>DurationStats,0,</v>
      </c>
      <c r="AS94" s="31" t="str">
        <f t="shared" si="71"/>
        <v>AnalysisThruStep,11,</v>
      </c>
      <c r="AT94" s="31" t="str">
        <f t="shared" si="71"/>
        <v>DontAbortOnErrorsThruStep,11,</v>
      </c>
      <c r="AU94" s="31" t="str">
        <f t="shared" si="71"/>
        <v>BypassValidFileChecks,1,</v>
      </c>
      <c r="AV94" s="31" t="str">
        <f t="shared" si="71"/>
        <v>BypassInputChecks,0,</v>
      </c>
      <c r="AW94" s="31" t="str">
        <f t="shared" si="71"/>
        <v>BypassUMLHChecks,0,</v>
      </c>
      <c r="AX94" s="31" t="str">
        <f t="shared" si="71"/>
        <v>BypassCheckSimRules,0,</v>
      </c>
      <c r="AY94" s="31" t="str">
        <f t="shared" si="71"/>
        <v>BypassCheckCodeRules,0,</v>
      </c>
      <c r="BA94" s="31" t="str">
        <f t="shared" si="74"/>
        <v>StoreBEMDetails,1,</v>
      </c>
      <c r="BB94" s="31" t="str">
        <f t="shared" si="74"/>
        <v>ModelRpt_ALL,1,</v>
      </c>
      <c r="BC94" s="31" t="str">
        <f t="shared" si="74"/>
        <v>BypassOpenStudio_all,0,</v>
      </c>
      <c r="BD94" s="31" t="str">
        <f t="shared" si="74"/>
        <v>BypassOpenStudio_zp,0,</v>
      </c>
      <c r="BE94" s="31" t="str">
        <f t="shared" si="74"/>
        <v>BypassOpenStudio_zb,0,</v>
      </c>
      <c r="BF94" s="31" t="str">
        <f t="shared" si="73"/>
        <v>BypassOpenStudio_ap,0,</v>
      </c>
      <c r="BG94" s="31" t="str">
        <f t="shared" si="73"/>
        <v>BypassOpenStudio_ab,0,</v>
      </c>
      <c r="BH94" s="31" t="str">
        <f t="shared" si="73"/>
        <v>BypassOpenStudio_zp,0,</v>
      </c>
      <c r="BI94" s="31" t="str">
        <f t="shared" si="73"/>
        <v>BypassOpenStudio_zb,0,</v>
      </c>
      <c r="BJ94" s="31" t="str">
        <f t="shared" si="73"/>
        <v>BypassOpenStudio_ap,0,</v>
      </c>
      <c r="BK94" s="31" t="str">
        <f t="shared" si="50"/>
        <v>BypassOpenStudio_ab,0</v>
      </c>
    </row>
    <row r="95" spans="1:63" x14ac:dyDescent="0.25">
      <c r="A95" s="39">
        <f t="shared" si="44"/>
        <v>0</v>
      </c>
      <c r="B95" s="27" t="str">
        <f t="shared" si="51"/>
        <v>RulesetImplementationTests\\.cibd</v>
      </c>
      <c r="C95" s="27" t="str">
        <f t="shared" si="52"/>
        <v>BatchOut_141103_r2722_RIc\0.cibd</v>
      </c>
      <c r="D95" s="27" t="str">
        <f t="shared" si="53"/>
        <v>BatchOut_141103_r2722_RIc\XML\</v>
      </c>
      <c r="E95" s="9" t="e">
        <f t="shared" si="54"/>
        <v>#VALUE!</v>
      </c>
      <c r="F95" s="22"/>
      <c r="G95" s="29"/>
      <c r="H95" s="23"/>
      <c r="I95" s="9" t="s">
        <v>11</v>
      </c>
      <c r="J95"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5" s="15" t="s">
        <v>1</v>
      </c>
      <c r="L95" s="36">
        <f t="shared" si="60"/>
        <v>0</v>
      </c>
      <c r="M95" s="32" t="e">
        <f t="shared" si="65"/>
        <v>#VALUE!</v>
      </c>
      <c r="N95" s="28"/>
      <c r="O95" s="57">
        <f t="shared" si="66"/>
        <v>0</v>
      </c>
      <c r="P95" s="63">
        <f t="shared" si="67"/>
        <v>2</v>
      </c>
      <c r="Q95" s="65">
        <f t="shared" si="67"/>
        <v>1</v>
      </c>
      <c r="R95" s="65">
        <f t="shared" si="67"/>
        <v>0</v>
      </c>
      <c r="S95" s="65">
        <f t="shared" si="67"/>
        <v>1</v>
      </c>
      <c r="T95" s="65">
        <f t="shared" si="67"/>
        <v>0</v>
      </c>
      <c r="U95" s="65">
        <f t="shared" si="67"/>
        <v>11</v>
      </c>
      <c r="V95" s="65">
        <v>11</v>
      </c>
      <c r="W95" s="65">
        <f t="shared" si="68"/>
        <v>1</v>
      </c>
      <c r="X95" s="65">
        <f t="shared" si="68"/>
        <v>0</v>
      </c>
      <c r="Y95" s="65">
        <f t="shared" si="68"/>
        <v>0</v>
      </c>
      <c r="Z95" s="65">
        <f t="shared" si="68"/>
        <v>0</v>
      </c>
      <c r="AA95" s="65">
        <f t="shared" si="68"/>
        <v>0</v>
      </c>
      <c r="AB95" s="65">
        <f t="shared" si="68"/>
        <v>1</v>
      </c>
      <c r="AC95" s="65">
        <f t="shared" si="57"/>
        <v>1</v>
      </c>
      <c r="AD95" s="61">
        <v>1</v>
      </c>
      <c r="AE95" s="63">
        <f t="shared" si="69"/>
        <v>0</v>
      </c>
      <c r="AF95" s="64">
        <f t="shared" si="69"/>
        <v>0</v>
      </c>
      <c r="AG95" s="64">
        <f t="shared" si="69"/>
        <v>0</v>
      </c>
      <c r="AH95" s="64">
        <f t="shared" si="69"/>
        <v>0</v>
      </c>
      <c r="AI95" s="66">
        <f t="shared" si="69"/>
        <v>0</v>
      </c>
      <c r="AJ95" s="63">
        <f t="shared" si="69"/>
        <v>0</v>
      </c>
      <c r="AK95" s="64">
        <f t="shared" si="69"/>
        <v>0</v>
      </c>
      <c r="AL95" s="65">
        <f t="shared" si="69"/>
        <v>0</v>
      </c>
      <c r="AM95" s="66">
        <f t="shared" si="69"/>
        <v>0</v>
      </c>
      <c r="AN95" s="31" t="str">
        <f t="shared" si="72"/>
        <v>SimulationStorage,2,</v>
      </c>
      <c r="AO95" s="31" t="str">
        <f t="shared" si="72"/>
        <v>AnalysisStorage,1,</v>
      </c>
      <c r="AP95" s="31" t="str">
        <f t="shared" si="72"/>
        <v>LogRuleEvaluation,0,</v>
      </c>
      <c r="AQ95" s="31" t="str">
        <f t="shared" si="71"/>
        <v>ParallelSimulations,1,</v>
      </c>
      <c r="AR95" s="31" t="str">
        <f t="shared" si="71"/>
        <v>DurationStats,0,</v>
      </c>
      <c r="AS95" s="31" t="str">
        <f t="shared" si="71"/>
        <v>AnalysisThruStep,11,</v>
      </c>
      <c r="AT95" s="31" t="str">
        <f t="shared" si="71"/>
        <v>DontAbortOnErrorsThruStep,11,</v>
      </c>
      <c r="AU95" s="31" t="str">
        <f t="shared" si="71"/>
        <v>BypassValidFileChecks,1,</v>
      </c>
      <c r="AV95" s="31" t="str">
        <f t="shared" si="71"/>
        <v>BypassInputChecks,0,</v>
      </c>
      <c r="AW95" s="31" t="str">
        <f t="shared" si="71"/>
        <v>BypassUMLHChecks,0,</v>
      </c>
      <c r="AX95" s="31" t="str">
        <f t="shared" si="71"/>
        <v>BypassCheckSimRules,0,</v>
      </c>
      <c r="AY95" s="31" t="str">
        <f t="shared" si="71"/>
        <v>BypassCheckCodeRules,0,</v>
      </c>
      <c r="BA95" s="31" t="str">
        <f t="shared" si="74"/>
        <v>StoreBEMDetails,1,</v>
      </c>
      <c r="BB95" s="31" t="str">
        <f t="shared" si="74"/>
        <v>ModelRpt_ALL,1,</v>
      </c>
      <c r="BC95" s="31" t="str">
        <f t="shared" si="74"/>
        <v>BypassOpenStudio_all,0,</v>
      </c>
      <c r="BD95" s="31" t="str">
        <f t="shared" si="74"/>
        <v>BypassOpenStudio_zp,0,</v>
      </c>
      <c r="BE95" s="31" t="str">
        <f t="shared" si="74"/>
        <v>BypassOpenStudio_zb,0,</v>
      </c>
      <c r="BF95" s="31" t="str">
        <f t="shared" si="73"/>
        <v>BypassOpenStudio_ap,0,</v>
      </c>
      <c r="BG95" s="31" t="str">
        <f t="shared" si="73"/>
        <v>BypassOpenStudio_ab,0,</v>
      </c>
      <c r="BH95" s="31" t="str">
        <f t="shared" si="73"/>
        <v>BypassOpenStudio_zp,0,</v>
      </c>
      <c r="BI95" s="31" t="str">
        <f t="shared" si="73"/>
        <v>BypassOpenStudio_zb,0,</v>
      </c>
      <c r="BJ95" s="31" t="str">
        <f t="shared" si="73"/>
        <v>BypassOpenStudio_ap,0,</v>
      </c>
      <c r="BK95" s="31" t="str">
        <f t="shared" si="50"/>
        <v>BypassOpenStudio_ab,0</v>
      </c>
    </row>
    <row r="96" spans="1:63" x14ac:dyDescent="0.25">
      <c r="A96" s="39">
        <f t="shared" si="44"/>
        <v>0</v>
      </c>
      <c r="B96" s="27" t="str">
        <f t="shared" si="51"/>
        <v>RulesetImplementationTests\\.cibd</v>
      </c>
      <c r="C96" s="27" t="str">
        <f t="shared" si="52"/>
        <v>BatchOut_141103_r2722_RIc\.cibd</v>
      </c>
      <c r="D96" s="27" t="str">
        <f t="shared" si="53"/>
        <v>BatchOut_141103_r2722_RIc\XML\</v>
      </c>
      <c r="E96" s="9">
        <f t="shared" si="54"/>
        <v>0</v>
      </c>
      <c r="F96" s="22"/>
      <c r="G96" s="29"/>
      <c r="H96" s="23"/>
      <c r="I96" s="9" t="s">
        <v>11</v>
      </c>
      <c r="J96"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6" s="15" t="s">
        <v>1</v>
      </c>
      <c r="L96" s="36">
        <f t="shared" si="60"/>
        <v>0</v>
      </c>
      <c r="M96" s="32"/>
      <c r="N96" s="28"/>
      <c r="O96" s="57"/>
      <c r="P96" s="63">
        <f t="shared" si="67"/>
        <v>2</v>
      </c>
      <c r="Q96" s="65">
        <f t="shared" si="67"/>
        <v>1</v>
      </c>
      <c r="R96" s="65">
        <f t="shared" si="67"/>
        <v>0</v>
      </c>
      <c r="S96" s="65">
        <f t="shared" si="67"/>
        <v>1</v>
      </c>
      <c r="T96" s="65">
        <f t="shared" si="67"/>
        <v>0</v>
      </c>
      <c r="U96" s="65">
        <f t="shared" si="67"/>
        <v>11</v>
      </c>
      <c r="V96" s="65">
        <v>11</v>
      </c>
      <c r="W96" s="65">
        <f t="shared" si="68"/>
        <v>1</v>
      </c>
      <c r="X96" s="65">
        <f t="shared" si="68"/>
        <v>0</v>
      </c>
      <c r="Y96" s="65">
        <f t="shared" si="68"/>
        <v>0</v>
      </c>
      <c r="Z96" s="65">
        <f t="shared" si="68"/>
        <v>0</v>
      </c>
      <c r="AA96" s="65">
        <f t="shared" si="68"/>
        <v>0</v>
      </c>
      <c r="AB96" s="65">
        <f t="shared" si="68"/>
        <v>1</v>
      </c>
      <c r="AC96" s="65">
        <f t="shared" si="57"/>
        <v>1</v>
      </c>
      <c r="AD96" s="61">
        <v>1</v>
      </c>
      <c r="AE96" s="63">
        <f t="shared" si="69"/>
        <v>0</v>
      </c>
      <c r="AF96" s="64">
        <f t="shared" si="69"/>
        <v>0</v>
      </c>
      <c r="AG96" s="64">
        <f t="shared" si="69"/>
        <v>0</v>
      </c>
      <c r="AH96" s="64">
        <f t="shared" si="69"/>
        <v>0</v>
      </c>
      <c r="AI96" s="66">
        <f t="shared" si="69"/>
        <v>0</v>
      </c>
      <c r="AJ96" s="63">
        <f t="shared" si="69"/>
        <v>0</v>
      </c>
      <c r="AK96" s="64">
        <f t="shared" si="69"/>
        <v>0</v>
      </c>
      <c r="AL96" s="65">
        <f t="shared" si="69"/>
        <v>0</v>
      </c>
      <c r="AM96" s="66">
        <f t="shared" si="69"/>
        <v>0</v>
      </c>
      <c r="AN96" s="31" t="str">
        <f t="shared" si="72"/>
        <v>SimulationStorage,2,</v>
      </c>
      <c r="AO96" s="31" t="str">
        <f t="shared" si="72"/>
        <v>AnalysisStorage,1,</v>
      </c>
      <c r="AP96" s="31" t="str">
        <f t="shared" si="72"/>
        <v>LogRuleEvaluation,0,</v>
      </c>
      <c r="AQ96" s="31" t="str">
        <f t="shared" si="71"/>
        <v>ParallelSimulations,1,</v>
      </c>
      <c r="AR96" s="31" t="str">
        <f t="shared" si="71"/>
        <v>DurationStats,0,</v>
      </c>
      <c r="AS96" s="31" t="str">
        <f t="shared" si="71"/>
        <v>AnalysisThruStep,11,</v>
      </c>
      <c r="AT96" s="31" t="str">
        <f t="shared" si="71"/>
        <v>DontAbortOnErrorsThruStep,11,</v>
      </c>
      <c r="AU96" s="31" t="str">
        <f t="shared" si="71"/>
        <v>BypassValidFileChecks,1,</v>
      </c>
      <c r="AV96" s="31" t="str">
        <f t="shared" si="71"/>
        <v>BypassInputChecks,0,</v>
      </c>
      <c r="AW96" s="31" t="str">
        <f t="shared" si="71"/>
        <v>BypassUMLHChecks,0,</v>
      </c>
      <c r="AX96" s="31" t="str">
        <f t="shared" si="71"/>
        <v>BypassCheckSimRules,0,</v>
      </c>
      <c r="AY96" s="31" t="str">
        <f t="shared" si="71"/>
        <v>BypassCheckCodeRules,0,</v>
      </c>
      <c r="BA96" s="31" t="str">
        <f t="shared" si="74"/>
        <v>StoreBEMDetails,1,</v>
      </c>
      <c r="BB96" s="31" t="str">
        <f t="shared" si="74"/>
        <v>ModelRpt_ALL,1,</v>
      </c>
      <c r="BC96" s="31" t="str">
        <f t="shared" si="74"/>
        <v>BypassOpenStudio_all,0,</v>
      </c>
      <c r="BD96" s="31" t="str">
        <f t="shared" si="74"/>
        <v>BypassOpenStudio_zp,0,</v>
      </c>
      <c r="BE96" s="31" t="str">
        <f t="shared" si="74"/>
        <v>BypassOpenStudio_zb,0,</v>
      </c>
      <c r="BF96" s="31" t="str">
        <f t="shared" si="73"/>
        <v>BypassOpenStudio_ap,0,</v>
      </c>
      <c r="BG96" s="31" t="str">
        <f t="shared" si="73"/>
        <v>BypassOpenStudio_ab,0,</v>
      </c>
      <c r="BH96" s="31" t="str">
        <f t="shared" si="73"/>
        <v>BypassOpenStudio_zp,0,</v>
      </c>
      <c r="BI96" s="31" t="str">
        <f t="shared" si="73"/>
        <v>BypassOpenStudio_zb,0,</v>
      </c>
      <c r="BJ96" s="31" t="str">
        <f t="shared" si="73"/>
        <v>BypassOpenStudio_ap,0,</v>
      </c>
      <c r="BK96" s="31" t="str">
        <f t="shared" si="50"/>
        <v>BypassOpenStudio_ab,0</v>
      </c>
    </row>
    <row r="97" spans="1:63" x14ac:dyDescent="0.25">
      <c r="A97" s="39">
        <f t="shared" si="44"/>
        <v>0</v>
      </c>
      <c r="B97" s="27" t="str">
        <f t="shared" si="51"/>
        <v>RulesetImplementationTests\\.cibd</v>
      </c>
      <c r="C97" s="27" t="str">
        <f t="shared" si="52"/>
        <v>BatchOut_141103_r2722_RIc\.cibd</v>
      </c>
      <c r="D97" s="27" t="str">
        <f t="shared" si="53"/>
        <v>BatchOut_141103_r2722_RIc\XML\</v>
      </c>
      <c r="E97" s="9">
        <f t="shared" si="54"/>
        <v>0</v>
      </c>
      <c r="F97" s="22"/>
      <c r="G97" s="29"/>
      <c r="H97" s="23"/>
      <c r="I97" s="9" t="s">
        <v>11</v>
      </c>
      <c r="J97"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7" s="15" t="s">
        <v>1</v>
      </c>
      <c r="L97" s="36">
        <f t="shared" si="60"/>
        <v>0</v>
      </c>
      <c r="M97" s="32"/>
      <c r="N97" s="28"/>
      <c r="O97" s="57"/>
      <c r="P97" s="63">
        <f t="shared" si="67"/>
        <v>2</v>
      </c>
      <c r="Q97" s="65">
        <f t="shared" si="67"/>
        <v>1</v>
      </c>
      <c r="R97" s="65">
        <f t="shared" si="67"/>
        <v>0</v>
      </c>
      <c r="S97" s="65">
        <f t="shared" si="67"/>
        <v>1</v>
      </c>
      <c r="T97" s="65">
        <f t="shared" si="67"/>
        <v>0</v>
      </c>
      <c r="U97" s="65">
        <f t="shared" si="67"/>
        <v>11</v>
      </c>
      <c r="V97" s="65">
        <v>11</v>
      </c>
      <c r="W97" s="65">
        <f t="shared" si="68"/>
        <v>1</v>
      </c>
      <c r="X97" s="65">
        <f t="shared" si="68"/>
        <v>0</v>
      </c>
      <c r="Y97" s="65">
        <f t="shared" si="68"/>
        <v>0</v>
      </c>
      <c r="Z97" s="65">
        <f t="shared" si="68"/>
        <v>0</v>
      </c>
      <c r="AA97" s="65">
        <f t="shared" si="68"/>
        <v>0</v>
      </c>
      <c r="AB97" s="65">
        <f t="shared" si="68"/>
        <v>1</v>
      </c>
      <c r="AC97" s="65">
        <f t="shared" si="57"/>
        <v>1</v>
      </c>
      <c r="AD97" s="61">
        <v>1</v>
      </c>
      <c r="AE97" s="63">
        <f t="shared" si="69"/>
        <v>0</v>
      </c>
      <c r="AF97" s="64">
        <f t="shared" si="69"/>
        <v>0</v>
      </c>
      <c r="AG97" s="64">
        <f t="shared" si="69"/>
        <v>0</v>
      </c>
      <c r="AH97" s="64">
        <f t="shared" si="69"/>
        <v>0</v>
      </c>
      <c r="AI97" s="66">
        <f t="shared" si="69"/>
        <v>0</v>
      </c>
      <c r="AJ97" s="63">
        <f t="shared" si="69"/>
        <v>0</v>
      </c>
      <c r="AK97" s="64">
        <f t="shared" si="69"/>
        <v>0</v>
      </c>
      <c r="AL97" s="65">
        <f t="shared" si="69"/>
        <v>0</v>
      </c>
      <c r="AM97" s="66">
        <f t="shared" si="69"/>
        <v>0</v>
      </c>
      <c r="AN97" s="31" t="str">
        <f t="shared" si="72"/>
        <v>SimulationStorage,2,</v>
      </c>
      <c r="AO97" s="31" t="str">
        <f t="shared" si="72"/>
        <v>AnalysisStorage,1,</v>
      </c>
      <c r="AP97" s="31" t="str">
        <f t="shared" si="72"/>
        <v>LogRuleEvaluation,0,</v>
      </c>
      <c r="AQ97" s="31" t="str">
        <f t="shared" si="71"/>
        <v>ParallelSimulations,1,</v>
      </c>
      <c r="AR97" s="31" t="str">
        <f t="shared" si="71"/>
        <v>DurationStats,0,</v>
      </c>
      <c r="AS97" s="31" t="str">
        <f t="shared" si="71"/>
        <v>AnalysisThruStep,11,</v>
      </c>
      <c r="AT97" s="31" t="str">
        <f t="shared" si="71"/>
        <v>DontAbortOnErrorsThruStep,11,</v>
      </c>
      <c r="AU97" s="31" t="str">
        <f t="shared" si="71"/>
        <v>BypassValidFileChecks,1,</v>
      </c>
      <c r="AV97" s="31" t="str">
        <f t="shared" si="71"/>
        <v>BypassInputChecks,0,</v>
      </c>
      <c r="AW97" s="31" t="str">
        <f t="shared" si="71"/>
        <v>BypassUMLHChecks,0,</v>
      </c>
      <c r="AX97" s="31" t="str">
        <f t="shared" si="71"/>
        <v>BypassCheckSimRules,0,</v>
      </c>
      <c r="AY97" s="31" t="str">
        <f t="shared" si="71"/>
        <v>BypassCheckCodeRules,0,</v>
      </c>
      <c r="BA97" s="31" t="str">
        <f t="shared" si="74"/>
        <v>StoreBEMDetails,1,</v>
      </c>
      <c r="BB97" s="31" t="str">
        <f t="shared" si="74"/>
        <v>ModelRpt_ALL,1,</v>
      </c>
      <c r="BC97" s="31" t="str">
        <f t="shared" si="74"/>
        <v>BypassOpenStudio_all,0,</v>
      </c>
      <c r="BD97" s="31" t="str">
        <f t="shared" si="74"/>
        <v>BypassOpenStudio_zp,0,</v>
      </c>
      <c r="BE97" s="31" t="str">
        <f t="shared" si="74"/>
        <v>BypassOpenStudio_zb,0,</v>
      </c>
      <c r="BF97" s="31" t="str">
        <f t="shared" si="73"/>
        <v>BypassOpenStudio_ap,0,</v>
      </c>
      <c r="BG97" s="31" t="str">
        <f t="shared" si="73"/>
        <v>BypassOpenStudio_ab,0,</v>
      </c>
      <c r="BH97" s="31" t="str">
        <f t="shared" si="73"/>
        <v>BypassOpenStudio_zp,0,</v>
      </c>
      <c r="BI97" s="31" t="str">
        <f t="shared" si="73"/>
        <v>BypassOpenStudio_zb,0,</v>
      </c>
      <c r="BJ97" s="31" t="str">
        <f t="shared" si="73"/>
        <v>BypassOpenStudio_ap,0,</v>
      </c>
      <c r="BK97" s="31" t="str">
        <f t="shared" si="50"/>
        <v>BypassOpenStudio_ab,0</v>
      </c>
    </row>
    <row r="98" spans="1:63" x14ac:dyDescent="0.25">
      <c r="A98" s="39">
        <f t="shared" si="44"/>
        <v>0</v>
      </c>
      <c r="B98" s="27" t="str">
        <f t="shared" si="51"/>
        <v>RulesetImplementationTests\\.cibd</v>
      </c>
      <c r="C98" s="27" t="str">
        <f t="shared" si="52"/>
        <v>BatchOut_141103_r2722_RIc\.cibd</v>
      </c>
      <c r="D98" s="27" t="str">
        <f t="shared" si="53"/>
        <v>BatchOut_141103_r2722_RIc\XML\</v>
      </c>
      <c r="E98" s="9">
        <f t="shared" si="54"/>
        <v>0</v>
      </c>
      <c r="F98" s="22"/>
      <c r="G98" s="29"/>
      <c r="H98" s="23"/>
      <c r="I98" s="9" t="s">
        <v>11</v>
      </c>
      <c r="J98"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8" s="15" t="s">
        <v>1</v>
      </c>
      <c r="L98" s="36">
        <f t="shared" si="60"/>
        <v>0</v>
      </c>
      <c r="M98" s="32"/>
      <c r="N98" s="28"/>
      <c r="O98" s="57"/>
      <c r="P98" s="63">
        <f t="shared" si="67"/>
        <v>2</v>
      </c>
      <c r="Q98" s="65">
        <f t="shared" si="67"/>
        <v>1</v>
      </c>
      <c r="R98" s="65">
        <f t="shared" si="67"/>
        <v>0</v>
      </c>
      <c r="S98" s="65">
        <f t="shared" si="67"/>
        <v>1</v>
      </c>
      <c r="T98" s="65">
        <f t="shared" si="67"/>
        <v>0</v>
      </c>
      <c r="U98" s="65">
        <f t="shared" si="67"/>
        <v>11</v>
      </c>
      <c r="V98" s="65">
        <v>11</v>
      </c>
      <c r="W98" s="65">
        <f t="shared" si="68"/>
        <v>1</v>
      </c>
      <c r="X98" s="65">
        <f t="shared" si="68"/>
        <v>0</v>
      </c>
      <c r="Y98" s="65">
        <f t="shared" si="68"/>
        <v>0</v>
      </c>
      <c r="Z98" s="65">
        <f t="shared" si="68"/>
        <v>0</v>
      </c>
      <c r="AA98" s="65">
        <f t="shared" si="68"/>
        <v>0</v>
      </c>
      <c r="AB98" s="65">
        <f t="shared" si="68"/>
        <v>1</v>
      </c>
      <c r="AC98" s="65">
        <f t="shared" si="57"/>
        <v>1</v>
      </c>
      <c r="AD98" s="61">
        <v>1</v>
      </c>
      <c r="AE98" s="63">
        <f t="shared" si="69"/>
        <v>0</v>
      </c>
      <c r="AF98" s="64">
        <f t="shared" si="69"/>
        <v>0</v>
      </c>
      <c r="AG98" s="64">
        <f t="shared" si="69"/>
        <v>0</v>
      </c>
      <c r="AH98" s="64">
        <f t="shared" si="69"/>
        <v>0</v>
      </c>
      <c r="AI98" s="66">
        <f t="shared" si="69"/>
        <v>0</v>
      </c>
      <c r="AJ98" s="63">
        <f t="shared" si="69"/>
        <v>0</v>
      </c>
      <c r="AK98" s="64">
        <f t="shared" si="69"/>
        <v>0</v>
      </c>
      <c r="AL98" s="65">
        <f t="shared" si="69"/>
        <v>0</v>
      </c>
      <c r="AM98" s="66">
        <f t="shared" si="69"/>
        <v>0</v>
      </c>
      <c r="AN98" s="31" t="str">
        <f t="shared" si="72"/>
        <v>SimulationStorage,2,</v>
      </c>
      <c r="AO98" s="31" t="str">
        <f t="shared" si="72"/>
        <v>AnalysisStorage,1,</v>
      </c>
      <c r="AP98" s="31" t="str">
        <f t="shared" si="72"/>
        <v>LogRuleEvaluation,0,</v>
      </c>
      <c r="AQ98" s="31" t="str">
        <f t="shared" si="71"/>
        <v>ParallelSimulations,1,</v>
      </c>
      <c r="AR98" s="31" t="str">
        <f t="shared" si="71"/>
        <v>DurationStats,0,</v>
      </c>
      <c r="AS98" s="31" t="str">
        <f t="shared" si="71"/>
        <v>AnalysisThruStep,11,</v>
      </c>
      <c r="AT98" s="31" t="str">
        <f t="shared" si="71"/>
        <v>DontAbortOnErrorsThruStep,11,</v>
      </c>
      <c r="AU98" s="31" t="str">
        <f t="shared" si="71"/>
        <v>BypassValidFileChecks,1,</v>
      </c>
      <c r="AV98" s="31" t="str">
        <f t="shared" si="71"/>
        <v>BypassInputChecks,0,</v>
      </c>
      <c r="AW98" s="31" t="str">
        <f t="shared" si="71"/>
        <v>BypassUMLHChecks,0,</v>
      </c>
      <c r="AX98" s="31" t="str">
        <f t="shared" si="71"/>
        <v>BypassCheckSimRules,0,</v>
      </c>
      <c r="AY98" s="31" t="str">
        <f t="shared" si="71"/>
        <v>BypassCheckCodeRules,0,</v>
      </c>
      <c r="BA98" s="31" t="str">
        <f t="shared" si="74"/>
        <v>StoreBEMDetails,1,</v>
      </c>
      <c r="BB98" s="31" t="str">
        <f t="shared" si="74"/>
        <v>ModelRpt_ALL,1,</v>
      </c>
      <c r="BC98" s="31" t="str">
        <f t="shared" si="74"/>
        <v>BypassOpenStudio_all,0,</v>
      </c>
      <c r="BD98" s="31" t="str">
        <f t="shared" si="74"/>
        <v>BypassOpenStudio_zp,0,</v>
      </c>
      <c r="BE98" s="31" t="str">
        <f t="shared" si="74"/>
        <v>BypassOpenStudio_zb,0,</v>
      </c>
      <c r="BF98" s="31" t="str">
        <f t="shared" si="73"/>
        <v>BypassOpenStudio_ap,0,</v>
      </c>
      <c r="BG98" s="31" t="str">
        <f t="shared" si="73"/>
        <v>BypassOpenStudio_ab,0,</v>
      </c>
      <c r="BH98" s="31" t="str">
        <f t="shared" si="73"/>
        <v>BypassOpenStudio_zp,0,</v>
      </c>
      <c r="BI98" s="31" t="str">
        <f t="shared" si="73"/>
        <v>BypassOpenStudio_zb,0,</v>
      </c>
      <c r="BJ98" s="31" t="str">
        <f t="shared" si="73"/>
        <v>BypassOpenStudio_ap,0,</v>
      </c>
      <c r="BK98" s="31" t="str">
        <f t="shared" si="50"/>
        <v>BypassOpenStudio_ab,0</v>
      </c>
    </row>
    <row r="99" spans="1:63" x14ac:dyDescent="0.25">
      <c r="A99" s="39">
        <f t="shared" si="44"/>
        <v>0</v>
      </c>
      <c r="B99" s="27" t="str">
        <f t="shared" si="51"/>
        <v>RulesetImplementationTests\\.cibd</v>
      </c>
      <c r="C99" s="27" t="str">
        <f t="shared" si="52"/>
        <v>BatchOut_141103_r2722_RIc\.cibd</v>
      </c>
      <c r="D99" s="27" t="str">
        <f t="shared" si="53"/>
        <v>BatchOut_141103_r2722_RIc\XML\</v>
      </c>
      <c r="E99" s="9">
        <f t="shared" si="54"/>
        <v>0</v>
      </c>
      <c r="F99" s="22"/>
      <c r="G99" s="29"/>
      <c r="H99" s="23"/>
      <c r="I99" s="9" t="s">
        <v>11</v>
      </c>
      <c r="J99"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9" s="15" t="s">
        <v>1</v>
      </c>
      <c r="L99" s="36">
        <f t="shared" si="60"/>
        <v>0</v>
      </c>
      <c r="M99" s="32"/>
      <c r="N99" s="28"/>
      <c r="O99" s="57"/>
      <c r="P99" s="63">
        <f t="shared" si="67"/>
        <v>2</v>
      </c>
      <c r="Q99" s="65">
        <f t="shared" si="67"/>
        <v>1</v>
      </c>
      <c r="R99" s="65">
        <f t="shared" si="67"/>
        <v>0</v>
      </c>
      <c r="S99" s="65">
        <f t="shared" si="67"/>
        <v>1</v>
      </c>
      <c r="T99" s="65">
        <f t="shared" si="67"/>
        <v>0</v>
      </c>
      <c r="U99" s="65">
        <f t="shared" si="67"/>
        <v>11</v>
      </c>
      <c r="V99" s="65">
        <v>11</v>
      </c>
      <c r="W99" s="65">
        <f t="shared" si="68"/>
        <v>1</v>
      </c>
      <c r="X99" s="65">
        <f t="shared" si="68"/>
        <v>0</v>
      </c>
      <c r="Y99" s="65">
        <f t="shared" si="68"/>
        <v>0</v>
      </c>
      <c r="Z99" s="65">
        <f t="shared" si="68"/>
        <v>0</v>
      </c>
      <c r="AA99" s="65">
        <f t="shared" si="68"/>
        <v>0</v>
      </c>
      <c r="AB99" s="65">
        <f t="shared" si="68"/>
        <v>1</v>
      </c>
      <c r="AC99" s="65">
        <f t="shared" si="57"/>
        <v>1</v>
      </c>
      <c r="AD99" s="61">
        <v>1</v>
      </c>
      <c r="AE99" s="63">
        <f t="shared" si="69"/>
        <v>0</v>
      </c>
      <c r="AF99" s="64">
        <f t="shared" si="69"/>
        <v>0</v>
      </c>
      <c r="AG99" s="64">
        <f t="shared" si="69"/>
        <v>0</v>
      </c>
      <c r="AH99" s="64">
        <f t="shared" si="69"/>
        <v>0</v>
      </c>
      <c r="AI99" s="66">
        <f t="shared" si="69"/>
        <v>0</v>
      </c>
      <c r="AJ99" s="63">
        <f t="shared" si="69"/>
        <v>0</v>
      </c>
      <c r="AK99" s="64">
        <f t="shared" si="69"/>
        <v>0</v>
      </c>
      <c r="AL99" s="65">
        <f t="shared" si="69"/>
        <v>0</v>
      </c>
      <c r="AM99" s="66">
        <f t="shared" si="69"/>
        <v>0</v>
      </c>
      <c r="AN99" s="31" t="str">
        <f t="shared" si="72"/>
        <v>SimulationStorage,2,</v>
      </c>
      <c r="AO99" s="31" t="str">
        <f t="shared" si="72"/>
        <v>AnalysisStorage,1,</v>
      </c>
      <c r="AP99" s="31" t="str">
        <f t="shared" si="72"/>
        <v>LogRuleEvaluation,0,</v>
      </c>
      <c r="AQ99" s="31" t="str">
        <f t="shared" si="71"/>
        <v>ParallelSimulations,1,</v>
      </c>
      <c r="AR99" s="31" t="str">
        <f t="shared" si="71"/>
        <v>DurationStats,0,</v>
      </c>
      <c r="AS99" s="31" t="str">
        <f t="shared" si="71"/>
        <v>AnalysisThruStep,11,</v>
      </c>
      <c r="AT99" s="31" t="str">
        <f t="shared" si="71"/>
        <v>DontAbortOnErrorsThruStep,11,</v>
      </c>
      <c r="AU99" s="31" t="str">
        <f t="shared" si="71"/>
        <v>BypassValidFileChecks,1,</v>
      </c>
      <c r="AV99" s="31" t="str">
        <f t="shared" si="71"/>
        <v>BypassInputChecks,0,</v>
      </c>
      <c r="AW99" s="31" t="str">
        <f t="shared" si="71"/>
        <v>BypassUMLHChecks,0,</v>
      </c>
      <c r="AX99" s="31" t="str">
        <f t="shared" si="71"/>
        <v>BypassCheckSimRules,0,</v>
      </c>
      <c r="AY99" s="31" t="str">
        <f t="shared" si="71"/>
        <v>BypassCheckCodeRules,0,</v>
      </c>
      <c r="BA99" s="31" t="str">
        <f t="shared" si="74"/>
        <v>StoreBEMDetails,1,</v>
      </c>
      <c r="BB99" s="31" t="str">
        <f t="shared" si="74"/>
        <v>ModelRpt_ALL,1,</v>
      </c>
      <c r="BC99" s="31" t="str">
        <f t="shared" si="74"/>
        <v>BypassOpenStudio_all,0,</v>
      </c>
      <c r="BD99" s="31" t="str">
        <f t="shared" si="74"/>
        <v>BypassOpenStudio_zp,0,</v>
      </c>
      <c r="BE99" s="31" t="str">
        <f t="shared" si="74"/>
        <v>BypassOpenStudio_zb,0,</v>
      </c>
      <c r="BF99" s="31" t="str">
        <f t="shared" si="73"/>
        <v>BypassOpenStudio_ap,0,</v>
      </c>
      <c r="BG99" s="31" t="str">
        <f t="shared" si="73"/>
        <v>BypassOpenStudio_ab,0,</v>
      </c>
      <c r="BH99" s="31" t="str">
        <f t="shared" si="73"/>
        <v>BypassOpenStudio_zp,0,</v>
      </c>
      <c r="BI99" s="31" t="str">
        <f t="shared" si="73"/>
        <v>BypassOpenStudio_zb,0,</v>
      </c>
      <c r="BJ99" s="31" t="str">
        <f t="shared" si="73"/>
        <v>BypassOpenStudio_ap,0,</v>
      </c>
      <c r="BK99" s="31" t="str">
        <f t="shared" si="50"/>
        <v>BypassOpenStudio_ab,0</v>
      </c>
    </row>
    <row r="100" spans="1:63" x14ac:dyDescent="0.25">
      <c r="A100" s="1" t="s">
        <v>1</v>
      </c>
      <c r="K100" s="15" t="s">
        <v>1</v>
      </c>
    </row>
    <row r="101" spans="1:63" x14ac:dyDescent="0.25">
      <c r="A101" s="1" t="s">
        <v>1</v>
      </c>
      <c r="B101"/>
      <c r="C101"/>
      <c r="D101" s="30"/>
      <c r="E101" s="16"/>
      <c r="F101" s="16"/>
      <c r="G101" s="16"/>
      <c r="H101" s="16"/>
      <c r="K101" s="15" t="s">
        <v>1</v>
      </c>
      <c r="L101" s="36" t="s">
        <v>186</v>
      </c>
      <c r="M101" t="s">
        <v>184</v>
      </c>
    </row>
    <row r="102" spans="1:63" x14ac:dyDescent="0.25">
      <c r="A102" s="1" t="s">
        <v>1</v>
      </c>
      <c r="B102"/>
      <c r="C102"/>
      <c r="D102" s="30"/>
      <c r="K102" s="15" t="s">
        <v>1</v>
      </c>
      <c r="L102" s="37" t="s">
        <v>45</v>
      </c>
      <c r="M102" s="53">
        <f>M60</f>
        <v>141103</v>
      </c>
    </row>
    <row r="103" spans="1:63" x14ac:dyDescent="0.25">
      <c r="A103" s="1" t="s">
        <v>1</v>
      </c>
      <c r="B103"/>
      <c r="C103"/>
      <c r="D103" s="30"/>
      <c r="K103" s="15" t="s">
        <v>1</v>
      </c>
      <c r="L103" s="14" t="s">
        <v>46</v>
      </c>
      <c r="M103" s="53" t="str">
        <f>M61</f>
        <v>r2722</v>
      </c>
      <c r="N103" s="52"/>
    </row>
    <row r="104" spans="1:63" x14ac:dyDescent="0.25">
      <c r="A104" s="1" t="s">
        <v>1</v>
      </c>
      <c r="B104"/>
      <c r="C104"/>
      <c r="D104" s="30"/>
      <c r="E104" s="30"/>
      <c r="F104" s="30"/>
      <c r="G104" s="30"/>
      <c r="H104" s="30"/>
      <c r="I104" s="26"/>
      <c r="K104" s="15" t="s">
        <v>1</v>
      </c>
      <c r="L104" s="35" t="s">
        <v>39</v>
      </c>
      <c r="M104" s="54" t="str">
        <f>M62</f>
        <v>BatchResults_141103_r2722.csv</v>
      </c>
      <c r="N104" s="1" t="s">
        <v>48</v>
      </c>
    </row>
    <row r="105" spans="1:63" x14ac:dyDescent="0.25">
      <c r="A105" s="1" t="s">
        <v>1</v>
      </c>
      <c r="B105"/>
      <c r="C105"/>
      <c r="K105" s="15" t="s">
        <v>1</v>
      </c>
      <c r="L105" s="14" t="s">
        <v>16</v>
      </c>
      <c r="M105" s="28" t="s">
        <v>142</v>
      </c>
      <c r="N105" s="1" t="s">
        <v>47</v>
      </c>
      <c r="AE105" s="104"/>
      <c r="AF105" s="104"/>
      <c r="AG105" s="104"/>
      <c r="AH105" s="104"/>
      <c r="AI105" s="104"/>
      <c r="AJ105" s="104"/>
      <c r="AK105" s="104"/>
      <c r="AL105" s="104"/>
      <c r="AM105" s="104"/>
    </row>
    <row r="106" spans="1:63" x14ac:dyDescent="0.25">
      <c r="A106" s="1" t="s">
        <v>1</v>
      </c>
      <c r="K106" s="15" t="s">
        <v>1</v>
      </c>
      <c r="L106" s="14" t="s">
        <v>17</v>
      </c>
      <c r="M106" s="54" t="str">
        <f>"BatchOut"&amp;"_"&amp;M102&amp;"_"&amp;M103&amp;"_"&amp;L101&amp;"\"</f>
        <v>BatchOut_141103_r2722_RIi\</v>
      </c>
      <c r="N106" s="1" t="s">
        <v>47</v>
      </c>
    </row>
    <row r="107" spans="1:63" x14ac:dyDescent="0.25">
      <c r="A107" s="1" t="s">
        <v>1</v>
      </c>
      <c r="K107" s="15" t="s">
        <v>1</v>
      </c>
      <c r="L107" s="14" t="s">
        <v>42</v>
      </c>
      <c r="M107" s="54" t="str">
        <f>M106&amp;"XML\"</f>
        <v>BatchOut_141103_r2722_RIi\XML\</v>
      </c>
      <c r="N107" s="1" t="s">
        <v>47</v>
      </c>
      <c r="R107" s="31"/>
      <c r="S107" s="31"/>
      <c r="T107" s="31"/>
      <c r="U107" s="31"/>
      <c r="V107" s="31"/>
      <c r="W107" s="31"/>
      <c r="X107" s="31"/>
      <c r="Y107" s="31"/>
      <c r="Z107" s="31"/>
      <c r="AA107" s="31"/>
      <c r="AB107" s="31"/>
      <c r="AC107" s="31"/>
      <c r="AD107" s="31"/>
      <c r="AE107" s="31"/>
      <c r="AF107" s="31"/>
      <c r="AG107" s="31"/>
      <c r="AH107" s="31"/>
      <c r="AI107" s="31"/>
      <c r="AJ107" s="31"/>
      <c r="AK107" s="31"/>
      <c r="AL107" s="31"/>
      <c r="AM107" s="31"/>
    </row>
    <row r="108" spans="1:63" x14ac:dyDescent="0.25">
      <c r="A108" s="11" t="s">
        <v>14</v>
      </c>
      <c r="B108" s="7" t="s">
        <v>6</v>
      </c>
      <c r="C108" s="7" t="s">
        <v>7</v>
      </c>
      <c r="D108" s="7" t="s">
        <v>40</v>
      </c>
      <c r="E108" s="7"/>
      <c r="F108" s="17" t="s">
        <v>21</v>
      </c>
      <c r="G108" s="7"/>
      <c r="H108" s="18"/>
      <c r="I108" s="7" t="s">
        <v>9</v>
      </c>
      <c r="J108" s="7" t="s">
        <v>12</v>
      </c>
      <c r="K108" s="15" t="s">
        <v>1</v>
      </c>
      <c r="L108" s="14"/>
      <c r="N108" s="79"/>
      <c r="O108" s="79"/>
      <c r="P108" s="79"/>
      <c r="Q108"/>
      <c r="R108"/>
      <c r="S108"/>
      <c r="T108"/>
      <c r="U108"/>
      <c r="V108"/>
      <c r="W108"/>
      <c r="X108"/>
      <c r="Y108"/>
      <c r="Z108"/>
      <c r="AA108"/>
      <c r="AB108"/>
      <c r="AC108"/>
      <c r="AD108"/>
      <c r="AE108"/>
      <c r="AF108"/>
      <c r="AG108"/>
      <c r="AH108"/>
      <c r="AI108"/>
      <c r="AJ108"/>
      <c r="AK108"/>
      <c r="AL108"/>
      <c r="AM108"/>
      <c r="AN108"/>
    </row>
    <row r="109" spans="1:63" x14ac:dyDescent="0.25">
      <c r="A109" s="39">
        <f t="shared" ref="A109:A116" si="75">L109</f>
        <v>0</v>
      </c>
      <c r="B109" s="27" t="str">
        <f>M$105&amp;N109&amp;"\"&amp;N109&amp;".cibd"</f>
        <v>RulesetImplementationTests\Incomplete tests\\.cibd</v>
      </c>
      <c r="C109" s="27" t="str">
        <f xml:space="preserve"> M$106 &amp; O109 &amp; ".cibd"</f>
        <v>BatchOut_141103_r2722_RIi\0.cibd</v>
      </c>
      <c r="D109" s="27" t="str">
        <f>$M$107</f>
        <v>BatchOut_141103_r2722_RIi\XML\</v>
      </c>
      <c r="E109" s="9" t="e">
        <f>M109</f>
        <v>#VALUE!</v>
      </c>
      <c r="F109" s="22"/>
      <c r="G109" s="29"/>
      <c r="H109" s="23" t="str">
        <f>IF(F109&gt;1,1,"")</f>
        <v/>
      </c>
      <c r="I109" s="9" t="s">
        <v>11</v>
      </c>
      <c r="J109" s="9" t="str">
        <f t="shared" ref="J109:J116" si="76">CONCATENATE(AN109,AO109,AP109,AQ109,AR109,AS109,AT109,AU109,AV109,AW109,AX109,AY109,AZ109,BA109,BB109,BC109,BD109,BE109,BF109,BG109,BH109,BI109,BJ109,BK109)</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09" s="15" t="s">
        <v>1</v>
      </c>
      <c r="L109" s="36">
        <v>0</v>
      </c>
      <c r="M109" s="32" t="e">
        <f>LEFT(N109,SEARCH("-",N109))&amp;RIGHT(N109,5)</f>
        <v>#VALUE!</v>
      </c>
      <c r="N109" s="28"/>
      <c r="O109" s="28">
        <f t="shared" ref="O109:O110" si="77">N109</f>
        <v>0</v>
      </c>
      <c r="P109" s="28">
        <f t="shared" ref="P109:AM109" si="78">P16</f>
        <v>2</v>
      </c>
      <c r="Q109" s="28">
        <f t="shared" si="78"/>
        <v>1</v>
      </c>
      <c r="R109" s="28">
        <f t="shared" si="78"/>
        <v>0</v>
      </c>
      <c r="S109" s="28">
        <f t="shared" si="78"/>
        <v>1</v>
      </c>
      <c r="T109" s="28">
        <f t="shared" si="78"/>
        <v>0</v>
      </c>
      <c r="U109" s="28">
        <f t="shared" si="78"/>
        <v>11</v>
      </c>
      <c r="V109" s="36">
        <f t="shared" si="78"/>
        <v>11</v>
      </c>
      <c r="W109" s="28">
        <f t="shared" si="78"/>
        <v>1</v>
      </c>
      <c r="X109" s="28">
        <f t="shared" si="78"/>
        <v>0</v>
      </c>
      <c r="Y109" s="28">
        <f t="shared" si="78"/>
        <v>0</v>
      </c>
      <c r="Z109" s="28">
        <f t="shared" si="78"/>
        <v>0</v>
      </c>
      <c r="AA109" s="28">
        <f t="shared" si="78"/>
        <v>0</v>
      </c>
      <c r="AB109" s="28">
        <f t="shared" si="78"/>
        <v>1</v>
      </c>
      <c r="AC109" s="28">
        <f t="shared" si="78"/>
        <v>1</v>
      </c>
      <c r="AD109" s="36">
        <f t="shared" si="78"/>
        <v>1</v>
      </c>
      <c r="AE109" s="28">
        <f t="shared" si="78"/>
        <v>0</v>
      </c>
      <c r="AF109" s="28">
        <f t="shared" si="78"/>
        <v>0</v>
      </c>
      <c r="AG109" s="28">
        <f t="shared" si="78"/>
        <v>0</v>
      </c>
      <c r="AH109" s="28">
        <f t="shared" si="78"/>
        <v>0</v>
      </c>
      <c r="AI109" s="28">
        <f t="shared" si="78"/>
        <v>0</v>
      </c>
      <c r="AJ109" s="28">
        <f t="shared" si="78"/>
        <v>0</v>
      </c>
      <c r="AK109" s="28">
        <f t="shared" si="78"/>
        <v>0</v>
      </c>
      <c r="AL109" s="28">
        <f t="shared" si="78"/>
        <v>0</v>
      </c>
      <c r="AM109" s="28">
        <f t="shared" si="78"/>
        <v>0</v>
      </c>
      <c r="AN109" s="31" t="str">
        <f t="shared" ref="AN109:AY116" si="79">P$12&amp;P109&amp;","</f>
        <v>SimulationStorage,2,</v>
      </c>
      <c r="AO109" s="31" t="str">
        <f t="shared" si="79"/>
        <v>AnalysisStorage,1,</v>
      </c>
      <c r="AP109" s="31" t="str">
        <f t="shared" si="79"/>
        <v>LogRuleEvaluation,0,</v>
      </c>
      <c r="AQ109" s="31" t="str">
        <f t="shared" si="79"/>
        <v>ParallelSimulations,1,</v>
      </c>
      <c r="AR109" s="31" t="str">
        <f t="shared" si="79"/>
        <v>DurationStats,0,</v>
      </c>
      <c r="AS109" s="31" t="str">
        <f t="shared" si="79"/>
        <v>AnalysisThruStep,11,</v>
      </c>
      <c r="AT109" s="31" t="str">
        <f t="shared" si="79"/>
        <v>DontAbortOnErrorsThruStep,11,</v>
      </c>
      <c r="AU109" s="31" t="str">
        <f t="shared" si="79"/>
        <v>BypassValidFileChecks,1,</v>
      </c>
      <c r="AV109" s="31" t="str">
        <f t="shared" si="79"/>
        <v>BypassInputChecks,0,</v>
      </c>
      <c r="AW109" s="31" t="str">
        <f t="shared" si="79"/>
        <v>BypassUMLHChecks,0,</v>
      </c>
      <c r="AX109" s="31" t="str">
        <f t="shared" si="79"/>
        <v>BypassCheckSimRules,0,</v>
      </c>
      <c r="AY109" s="31" t="str">
        <f t="shared" si="79"/>
        <v>BypassCheckCodeRules,0,</v>
      </c>
      <c r="BA109" s="31" t="str">
        <f t="shared" ref="BA109:BJ116" si="80">AC$12&amp;AC109&amp;","</f>
        <v>StoreBEMDetails,1,</v>
      </c>
      <c r="BB109" s="31" t="str">
        <f t="shared" si="80"/>
        <v>ModelRpt_ALL,1,</v>
      </c>
      <c r="BC109" s="31" t="str">
        <f t="shared" si="80"/>
        <v>BypassOpenStudio_all,0,</v>
      </c>
      <c r="BD109" s="31" t="str">
        <f t="shared" si="80"/>
        <v>BypassOpenStudio_zp,0,</v>
      </c>
      <c r="BE109" s="31" t="str">
        <f t="shared" si="80"/>
        <v>BypassOpenStudio_zb,0,</v>
      </c>
      <c r="BF109" s="31" t="str">
        <f t="shared" si="80"/>
        <v>BypassOpenStudio_ap,0,</v>
      </c>
      <c r="BG109" s="31" t="str">
        <f t="shared" si="80"/>
        <v>BypassOpenStudio_ab,0,</v>
      </c>
      <c r="BH109" s="31" t="str">
        <f t="shared" si="80"/>
        <v>BypassOpenStudio_zp,0,</v>
      </c>
      <c r="BI109" s="31" t="str">
        <f t="shared" si="80"/>
        <v>BypassOpenStudio_zb,0,</v>
      </c>
      <c r="BJ109" s="31" t="str">
        <f t="shared" si="80"/>
        <v>BypassOpenStudio_ap,0,</v>
      </c>
      <c r="BK109" s="31" t="str">
        <f t="shared" ref="BK109:BK116" si="81">AM$12&amp;AM109</f>
        <v>BypassOpenStudio_ab,0</v>
      </c>
    </row>
    <row r="110" spans="1:63" x14ac:dyDescent="0.25">
      <c r="A110" s="39">
        <f t="shared" si="75"/>
        <v>0</v>
      </c>
      <c r="B110" s="27" t="str">
        <f t="shared" ref="B110:B116" si="82">M$105&amp;N110&amp;"\"&amp;N110&amp;".cibd"</f>
        <v>RulesetImplementationTests\Incomplete tests\\.cibd</v>
      </c>
      <c r="C110" s="27" t="str">
        <f t="shared" ref="C110:C116" si="83" xml:space="preserve"> M$106 &amp; O110 &amp; ".cibd"</f>
        <v>BatchOut_141103_r2722_RIi\0.cibd</v>
      </c>
      <c r="D110" s="27" t="str">
        <f t="shared" ref="D110:D116" si="84">$M$107</f>
        <v>BatchOut_141103_r2722_RIi\XML\</v>
      </c>
      <c r="E110" s="9" t="e">
        <f t="shared" ref="E110:E116" si="85">M110</f>
        <v>#VALUE!</v>
      </c>
      <c r="F110" s="22"/>
      <c r="G110" s="29"/>
      <c r="H110" s="23" t="str">
        <f>IF(F110&gt;1,1,"")</f>
        <v/>
      </c>
      <c r="I110" s="9" t="s">
        <v>11</v>
      </c>
      <c r="J110" s="9" t="str">
        <f t="shared" si="76"/>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10" s="15" t="s">
        <v>1</v>
      </c>
      <c r="L110" s="36">
        <v>0</v>
      </c>
      <c r="M110" s="32" t="e">
        <f>LEFT(N110,SEARCH("-",N110))&amp;RIGHT(N110,5)</f>
        <v>#VALUE!</v>
      </c>
      <c r="N110" s="28"/>
      <c r="O110" s="28">
        <f t="shared" si="77"/>
        <v>0</v>
      </c>
      <c r="P110" s="28">
        <f>P109</f>
        <v>2</v>
      </c>
      <c r="Q110" s="28">
        <f t="shared" ref="Q110:AM110" si="86">Q109</f>
        <v>1</v>
      </c>
      <c r="R110" s="28">
        <f t="shared" si="86"/>
        <v>0</v>
      </c>
      <c r="S110" s="28">
        <f t="shared" si="86"/>
        <v>1</v>
      </c>
      <c r="T110" s="28">
        <f t="shared" si="86"/>
        <v>0</v>
      </c>
      <c r="U110" s="28">
        <f t="shared" si="86"/>
        <v>11</v>
      </c>
      <c r="V110" s="36">
        <f t="shared" si="86"/>
        <v>11</v>
      </c>
      <c r="W110" s="28">
        <f t="shared" si="86"/>
        <v>1</v>
      </c>
      <c r="X110" s="28">
        <f t="shared" si="86"/>
        <v>0</v>
      </c>
      <c r="Y110" s="28">
        <f t="shared" si="86"/>
        <v>0</v>
      </c>
      <c r="Z110" s="28">
        <f t="shared" si="86"/>
        <v>0</v>
      </c>
      <c r="AA110" s="28">
        <f t="shared" si="86"/>
        <v>0</v>
      </c>
      <c r="AB110" s="28">
        <f t="shared" si="86"/>
        <v>1</v>
      </c>
      <c r="AC110" s="28">
        <f t="shared" si="86"/>
        <v>1</v>
      </c>
      <c r="AD110" s="36">
        <f t="shared" si="86"/>
        <v>1</v>
      </c>
      <c r="AE110" s="28">
        <f t="shared" si="86"/>
        <v>0</v>
      </c>
      <c r="AF110" s="28">
        <f t="shared" si="86"/>
        <v>0</v>
      </c>
      <c r="AG110" s="28">
        <f t="shared" si="86"/>
        <v>0</v>
      </c>
      <c r="AH110" s="28">
        <f t="shared" si="86"/>
        <v>0</v>
      </c>
      <c r="AI110" s="28">
        <f t="shared" si="86"/>
        <v>0</v>
      </c>
      <c r="AJ110" s="28">
        <f t="shared" si="86"/>
        <v>0</v>
      </c>
      <c r="AK110" s="28">
        <f t="shared" si="86"/>
        <v>0</v>
      </c>
      <c r="AL110" s="28">
        <f t="shared" si="86"/>
        <v>0</v>
      </c>
      <c r="AM110" s="28">
        <f t="shared" si="86"/>
        <v>0</v>
      </c>
      <c r="AN110" s="31" t="str">
        <f t="shared" si="79"/>
        <v>SimulationStorage,2,</v>
      </c>
      <c r="AO110" s="31" t="str">
        <f t="shared" si="79"/>
        <v>AnalysisStorage,1,</v>
      </c>
      <c r="AP110" s="31" t="str">
        <f t="shared" si="79"/>
        <v>LogRuleEvaluation,0,</v>
      </c>
      <c r="AQ110" s="31" t="str">
        <f t="shared" si="79"/>
        <v>ParallelSimulations,1,</v>
      </c>
      <c r="AR110" s="31" t="str">
        <f t="shared" si="79"/>
        <v>DurationStats,0,</v>
      </c>
      <c r="AS110" s="31" t="str">
        <f t="shared" si="79"/>
        <v>AnalysisThruStep,11,</v>
      </c>
      <c r="AT110" s="31" t="str">
        <f t="shared" si="79"/>
        <v>DontAbortOnErrorsThruStep,11,</v>
      </c>
      <c r="AU110" s="31" t="str">
        <f t="shared" si="79"/>
        <v>BypassValidFileChecks,1,</v>
      </c>
      <c r="AV110" s="31" t="str">
        <f t="shared" si="79"/>
        <v>BypassInputChecks,0,</v>
      </c>
      <c r="AW110" s="31" t="str">
        <f t="shared" si="79"/>
        <v>BypassUMLHChecks,0,</v>
      </c>
      <c r="AX110" s="31" t="str">
        <f t="shared" si="79"/>
        <v>BypassCheckSimRules,0,</v>
      </c>
      <c r="AY110" s="31" t="str">
        <f t="shared" si="79"/>
        <v>BypassCheckCodeRules,0,</v>
      </c>
      <c r="BA110" s="31" t="str">
        <f t="shared" si="80"/>
        <v>StoreBEMDetails,1,</v>
      </c>
      <c r="BB110" s="31" t="str">
        <f t="shared" si="80"/>
        <v>ModelRpt_ALL,1,</v>
      </c>
      <c r="BC110" s="31" t="str">
        <f t="shared" si="80"/>
        <v>BypassOpenStudio_all,0,</v>
      </c>
      <c r="BD110" s="31" t="str">
        <f t="shared" si="80"/>
        <v>BypassOpenStudio_zp,0,</v>
      </c>
      <c r="BE110" s="31" t="str">
        <f t="shared" si="80"/>
        <v>BypassOpenStudio_zb,0,</v>
      </c>
      <c r="BF110" s="31" t="str">
        <f t="shared" si="80"/>
        <v>BypassOpenStudio_ap,0,</v>
      </c>
      <c r="BG110" s="31" t="str">
        <f t="shared" si="80"/>
        <v>BypassOpenStudio_ab,0,</v>
      </c>
      <c r="BH110" s="31" t="str">
        <f t="shared" si="80"/>
        <v>BypassOpenStudio_zp,0,</v>
      </c>
      <c r="BI110" s="31" t="str">
        <f t="shared" si="80"/>
        <v>BypassOpenStudio_zb,0,</v>
      </c>
      <c r="BJ110" s="31" t="str">
        <f t="shared" si="80"/>
        <v>BypassOpenStudio_ap,0,</v>
      </c>
      <c r="BK110" s="31" t="str">
        <f t="shared" si="81"/>
        <v>BypassOpenStudio_ab,0</v>
      </c>
    </row>
    <row r="111" spans="1:63" x14ac:dyDescent="0.25">
      <c r="A111" s="39">
        <f t="shared" si="75"/>
        <v>0</v>
      </c>
      <c r="B111" s="27" t="str">
        <f t="shared" si="82"/>
        <v>RulesetImplementationTests\Incomplete tests\\.cibd</v>
      </c>
      <c r="C111" s="27" t="str">
        <f t="shared" si="83"/>
        <v>BatchOut_141103_r2722_RIi\.cibd</v>
      </c>
      <c r="D111" s="27" t="str">
        <f t="shared" si="84"/>
        <v>BatchOut_141103_r2722_RIi\XML\</v>
      </c>
      <c r="E111" s="9">
        <f t="shared" si="85"/>
        <v>0</v>
      </c>
      <c r="F111" s="22"/>
      <c r="G111" s="29"/>
      <c r="H111" s="23" t="str">
        <f>IF(F111&gt;1,1,"")</f>
        <v/>
      </c>
      <c r="I111" s="9" t="s">
        <v>11</v>
      </c>
      <c r="J111"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1" s="15" t="s">
        <v>1</v>
      </c>
      <c r="L111" s="36"/>
      <c r="M111" s="32"/>
      <c r="N111" s="28"/>
      <c r="O111" s="28"/>
      <c r="P111" s="28"/>
      <c r="Q111" s="28"/>
      <c r="R111" s="28"/>
      <c r="S111" s="28"/>
      <c r="T111" s="28"/>
      <c r="U111" s="28"/>
      <c r="V111" s="36"/>
      <c r="W111" s="28"/>
      <c r="X111" s="28"/>
      <c r="Y111" s="28"/>
      <c r="Z111" s="28"/>
      <c r="AA111" s="28"/>
      <c r="AB111" s="28"/>
      <c r="AC111" s="28"/>
      <c r="AD111" s="36"/>
      <c r="AE111" s="28"/>
      <c r="AF111" s="28"/>
      <c r="AG111" s="28"/>
      <c r="AH111" s="28"/>
      <c r="AI111" s="28"/>
      <c r="AJ111" s="28"/>
      <c r="AK111" s="28"/>
      <c r="AL111" s="28"/>
      <c r="AM111" s="28"/>
      <c r="AN111" s="31" t="str">
        <f t="shared" si="79"/>
        <v>SimulationStorage,,</v>
      </c>
      <c r="AO111" s="31" t="str">
        <f t="shared" si="79"/>
        <v>AnalysisStorage,,</v>
      </c>
      <c r="AP111" s="31" t="str">
        <f t="shared" si="79"/>
        <v>LogRuleEvaluation,,</v>
      </c>
      <c r="AQ111" s="31" t="str">
        <f t="shared" si="79"/>
        <v>ParallelSimulations,,</v>
      </c>
      <c r="AR111" s="31" t="str">
        <f t="shared" si="79"/>
        <v>DurationStats,,</v>
      </c>
      <c r="AS111" s="31" t="str">
        <f t="shared" si="79"/>
        <v>AnalysisThruStep,,</v>
      </c>
      <c r="AT111" s="31" t="str">
        <f t="shared" si="79"/>
        <v>DontAbortOnErrorsThruStep,,</v>
      </c>
      <c r="AU111" s="31" t="str">
        <f t="shared" si="79"/>
        <v>BypassValidFileChecks,,</v>
      </c>
      <c r="AV111" s="31" t="str">
        <f t="shared" si="79"/>
        <v>BypassInputChecks,,</v>
      </c>
      <c r="AW111" s="31" t="str">
        <f t="shared" si="79"/>
        <v>BypassUMLHChecks,,</v>
      </c>
      <c r="AX111" s="31" t="str">
        <f t="shared" si="79"/>
        <v>BypassCheckSimRules,,</v>
      </c>
      <c r="AY111" s="31" t="str">
        <f t="shared" si="79"/>
        <v>BypassCheckCodeRules,,</v>
      </c>
      <c r="BA111" s="31" t="str">
        <f t="shared" si="80"/>
        <v>StoreBEMDetails,,</v>
      </c>
      <c r="BB111" s="31" t="str">
        <f t="shared" si="80"/>
        <v>ModelRpt_ALL,,</v>
      </c>
      <c r="BC111" s="31" t="str">
        <f t="shared" si="80"/>
        <v>BypassOpenStudio_all,,</v>
      </c>
      <c r="BD111" s="31" t="str">
        <f t="shared" si="80"/>
        <v>BypassOpenStudio_zp,,</v>
      </c>
      <c r="BE111" s="31" t="str">
        <f t="shared" si="80"/>
        <v>BypassOpenStudio_zb,,</v>
      </c>
      <c r="BF111" s="31" t="str">
        <f t="shared" si="80"/>
        <v>BypassOpenStudio_ap,,</v>
      </c>
      <c r="BG111" s="31" t="str">
        <f t="shared" si="80"/>
        <v>BypassOpenStudio_ab,,</v>
      </c>
      <c r="BH111" s="31" t="str">
        <f t="shared" si="80"/>
        <v>BypassOpenStudio_zp,,</v>
      </c>
      <c r="BI111" s="31" t="str">
        <f t="shared" si="80"/>
        <v>BypassOpenStudio_zb,,</v>
      </c>
      <c r="BJ111" s="31" t="str">
        <f t="shared" si="80"/>
        <v>BypassOpenStudio_ap,,</v>
      </c>
      <c r="BK111" s="31" t="str">
        <f t="shared" si="81"/>
        <v>BypassOpenStudio_ab,</v>
      </c>
    </row>
    <row r="112" spans="1:63" x14ac:dyDescent="0.25">
      <c r="A112" s="39">
        <f t="shared" si="75"/>
        <v>0</v>
      </c>
      <c r="B112" s="27" t="str">
        <f t="shared" si="82"/>
        <v>RulesetImplementationTests\Incomplete tests\\.cibd</v>
      </c>
      <c r="C112" s="27" t="str">
        <f t="shared" si="83"/>
        <v>BatchOut_141103_r2722_RIi\.cibd</v>
      </c>
      <c r="D112" s="27" t="str">
        <f t="shared" si="84"/>
        <v>BatchOut_141103_r2722_RIi\XML\</v>
      </c>
      <c r="E112" s="9">
        <f t="shared" si="85"/>
        <v>0</v>
      </c>
      <c r="F112" s="22"/>
      <c r="G112" s="29"/>
      <c r="H112" s="23"/>
      <c r="I112" s="9" t="s">
        <v>11</v>
      </c>
      <c r="J112"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2" s="15" t="s">
        <v>1</v>
      </c>
      <c r="L112" s="36"/>
      <c r="M112" s="32"/>
      <c r="N112" s="28"/>
      <c r="O112" s="28"/>
      <c r="P112" s="28"/>
      <c r="Q112" s="28"/>
      <c r="R112" s="28"/>
      <c r="S112" s="28"/>
      <c r="T112" s="28"/>
      <c r="U112" s="28"/>
      <c r="V112" s="36"/>
      <c r="W112" s="28"/>
      <c r="X112" s="28"/>
      <c r="Y112" s="28"/>
      <c r="Z112" s="28"/>
      <c r="AA112" s="28"/>
      <c r="AB112" s="28"/>
      <c r="AC112" s="28"/>
      <c r="AD112" s="36"/>
      <c r="AE112" s="28"/>
      <c r="AF112" s="28"/>
      <c r="AG112" s="28"/>
      <c r="AH112" s="28"/>
      <c r="AI112" s="28"/>
      <c r="AJ112" s="28"/>
      <c r="AK112" s="28"/>
      <c r="AL112" s="28"/>
      <c r="AM112" s="28"/>
      <c r="AN112" s="31" t="str">
        <f t="shared" si="79"/>
        <v>SimulationStorage,,</v>
      </c>
      <c r="AO112" s="31" t="str">
        <f t="shared" si="79"/>
        <v>AnalysisStorage,,</v>
      </c>
      <c r="AP112" s="31" t="str">
        <f t="shared" si="79"/>
        <v>LogRuleEvaluation,,</v>
      </c>
      <c r="AQ112" s="31" t="str">
        <f t="shared" si="79"/>
        <v>ParallelSimulations,,</v>
      </c>
      <c r="AR112" s="31" t="str">
        <f t="shared" si="79"/>
        <v>DurationStats,,</v>
      </c>
      <c r="AS112" s="31" t="str">
        <f t="shared" si="79"/>
        <v>AnalysisThruStep,,</v>
      </c>
      <c r="AT112" s="31" t="str">
        <f t="shared" si="79"/>
        <v>DontAbortOnErrorsThruStep,,</v>
      </c>
      <c r="AU112" s="31" t="str">
        <f t="shared" si="79"/>
        <v>BypassValidFileChecks,,</v>
      </c>
      <c r="AV112" s="31" t="str">
        <f t="shared" si="79"/>
        <v>BypassInputChecks,,</v>
      </c>
      <c r="AW112" s="31" t="str">
        <f t="shared" si="79"/>
        <v>BypassUMLHChecks,,</v>
      </c>
      <c r="AX112" s="31" t="str">
        <f t="shared" si="79"/>
        <v>BypassCheckSimRules,,</v>
      </c>
      <c r="AY112" s="31" t="str">
        <f t="shared" si="79"/>
        <v>BypassCheckCodeRules,,</v>
      </c>
      <c r="BA112" s="31" t="str">
        <f t="shared" si="80"/>
        <v>StoreBEMDetails,,</v>
      </c>
      <c r="BB112" s="31" t="str">
        <f t="shared" si="80"/>
        <v>ModelRpt_ALL,,</v>
      </c>
      <c r="BC112" s="31" t="str">
        <f t="shared" si="80"/>
        <v>BypassOpenStudio_all,,</v>
      </c>
      <c r="BD112" s="31" t="str">
        <f t="shared" si="80"/>
        <v>BypassOpenStudio_zp,,</v>
      </c>
      <c r="BE112" s="31" t="str">
        <f t="shared" si="80"/>
        <v>BypassOpenStudio_zb,,</v>
      </c>
      <c r="BF112" s="31" t="str">
        <f t="shared" si="80"/>
        <v>BypassOpenStudio_ap,,</v>
      </c>
      <c r="BG112" s="31" t="str">
        <f t="shared" si="80"/>
        <v>BypassOpenStudio_ab,,</v>
      </c>
      <c r="BH112" s="31" t="str">
        <f t="shared" si="80"/>
        <v>BypassOpenStudio_zp,,</v>
      </c>
      <c r="BI112" s="31" t="str">
        <f t="shared" si="80"/>
        <v>BypassOpenStudio_zb,,</v>
      </c>
      <c r="BJ112" s="31" t="str">
        <f t="shared" si="80"/>
        <v>BypassOpenStudio_ap,,</v>
      </c>
      <c r="BK112" s="31" t="str">
        <f t="shared" si="81"/>
        <v>BypassOpenStudio_ab,</v>
      </c>
    </row>
    <row r="113" spans="1:63" x14ac:dyDescent="0.25">
      <c r="A113" s="39">
        <f t="shared" si="75"/>
        <v>0</v>
      </c>
      <c r="B113" s="27" t="str">
        <f t="shared" si="82"/>
        <v>RulesetImplementationTests\Incomplete tests\\.cibd</v>
      </c>
      <c r="C113" s="27" t="str">
        <f t="shared" si="83"/>
        <v>BatchOut_141103_r2722_RIi\.cibd</v>
      </c>
      <c r="D113" s="27" t="str">
        <f t="shared" si="84"/>
        <v>BatchOut_141103_r2722_RIi\XML\</v>
      </c>
      <c r="E113" s="9">
        <f t="shared" si="85"/>
        <v>0</v>
      </c>
      <c r="F113" s="22"/>
      <c r="G113" s="29"/>
      <c r="H113" s="23"/>
      <c r="I113" s="9" t="s">
        <v>11</v>
      </c>
      <c r="J113"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3" s="15" t="s">
        <v>1</v>
      </c>
      <c r="L113" s="36"/>
      <c r="M113" s="32"/>
      <c r="N113" s="28"/>
      <c r="O113" s="28"/>
      <c r="P113" s="28"/>
      <c r="Q113" s="28"/>
      <c r="R113" s="28"/>
      <c r="S113" s="28"/>
      <c r="T113" s="28"/>
      <c r="U113" s="28"/>
      <c r="V113" s="36"/>
      <c r="W113" s="28"/>
      <c r="X113" s="28"/>
      <c r="Y113" s="28"/>
      <c r="Z113" s="28"/>
      <c r="AA113" s="28"/>
      <c r="AB113" s="28"/>
      <c r="AC113" s="28"/>
      <c r="AD113" s="36"/>
      <c r="AE113" s="28"/>
      <c r="AF113" s="28"/>
      <c r="AG113" s="28"/>
      <c r="AH113" s="28"/>
      <c r="AI113" s="28"/>
      <c r="AJ113" s="28"/>
      <c r="AK113" s="28"/>
      <c r="AL113" s="28"/>
      <c r="AM113" s="28"/>
      <c r="AN113" s="31" t="str">
        <f t="shared" si="79"/>
        <v>SimulationStorage,,</v>
      </c>
      <c r="AO113" s="31" t="str">
        <f t="shared" si="79"/>
        <v>AnalysisStorage,,</v>
      </c>
      <c r="AP113" s="31" t="str">
        <f t="shared" si="79"/>
        <v>LogRuleEvaluation,,</v>
      </c>
      <c r="AQ113" s="31" t="str">
        <f t="shared" si="79"/>
        <v>ParallelSimulations,,</v>
      </c>
      <c r="AR113" s="31" t="str">
        <f t="shared" si="79"/>
        <v>DurationStats,,</v>
      </c>
      <c r="AS113" s="31" t="str">
        <f t="shared" si="79"/>
        <v>AnalysisThruStep,,</v>
      </c>
      <c r="AT113" s="31" t="str">
        <f t="shared" si="79"/>
        <v>DontAbortOnErrorsThruStep,,</v>
      </c>
      <c r="AU113" s="31" t="str">
        <f t="shared" si="79"/>
        <v>BypassValidFileChecks,,</v>
      </c>
      <c r="AV113" s="31" t="str">
        <f t="shared" si="79"/>
        <v>BypassInputChecks,,</v>
      </c>
      <c r="AW113" s="31" t="str">
        <f t="shared" si="79"/>
        <v>BypassUMLHChecks,,</v>
      </c>
      <c r="AX113" s="31" t="str">
        <f t="shared" si="79"/>
        <v>BypassCheckSimRules,,</v>
      </c>
      <c r="AY113" s="31" t="str">
        <f t="shared" si="79"/>
        <v>BypassCheckCodeRules,,</v>
      </c>
      <c r="BA113" s="31" t="str">
        <f t="shared" si="80"/>
        <v>StoreBEMDetails,,</v>
      </c>
      <c r="BB113" s="31" t="str">
        <f t="shared" si="80"/>
        <v>ModelRpt_ALL,,</v>
      </c>
      <c r="BC113" s="31" t="str">
        <f t="shared" si="80"/>
        <v>BypassOpenStudio_all,,</v>
      </c>
      <c r="BD113" s="31" t="str">
        <f t="shared" si="80"/>
        <v>BypassOpenStudio_zp,,</v>
      </c>
      <c r="BE113" s="31" t="str">
        <f t="shared" si="80"/>
        <v>BypassOpenStudio_zb,,</v>
      </c>
      <c r="BF113" s="31" t="str">
        <f t="shared" si="80"/>
        <v>BypassOpenStudio_ap,,</v>
      </c>
      <c r="BG113" s="31" t="str">
        <f t="shared" si="80"/>
        <v>BypassOpenStudio_ab,,</v>
      </c>
      <c r="BH113" s="31" t="str">
        <f t="shared" si="80"/>
        <v>BypassOpenStudio_zp,,</v>
      </c>
      <c r="BI113" s="31" t="str">
        <f t="shared" si="80"/>
        <v>BypassOpenStudio_zb,,</v>
      </c>
      <c r="BJ113" s="31" t="str">
        <f t="shared" si="80"/>
        <v>BypassOpenStudio_ap,,</v>
      </c>
      <c r="BK113" s="31" t="str">
        <f t="shared" si="81"/>
        <v>BypassOpenStudio_ab,</v>
      </c>
    </row>
    <row r="114" spans="1:63" x14ac:dyDescent="0.25">
      <c r="A114" s="39">
        <f t="shared" si="75"/>
        <v>0</v>
      </c>
      <c r="B114" s="27" t="str">
        <f t="shared" si="82"/>
        <v>RulesetImplementationTests\Incomplete tests\\.cibd</v>
      </c>
      <c r="C114" s="27" t="str">
        <f t="shared" si="83"/>
        <v>BatchOut_141103_r2722_RIi\.cibd</v>
      </c>
      <c r="D114" s="27" t="str">
        <f t="shared" si="84"/>
        <v>BatchOut_141103_r2722_RIi\XML\</v>
      </c>
      <c r="E114" s="9">
        <f t="shared" si="85"/>
        <v>0</v>
      </c>
      <c r="F114" s="22"/>
      <c r="G114" s="29"/>
      <c r="H114" s="23"/>
      <c r="I114" s="9" t="s">
        <v>11</v>
      </c>
      <c r="J114"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4" s="15" t="s">
        <v>1</v>
      </c>
      <c r="L114" s="36"/>
      <c r="M114" s="32"/>
      <c r="N114" s="28"/>
      <c r="O114" s="28"/>
      <c r="P114" s="28"/>
      <c r="Q114" s="28"/>
      <c r="R114" s="28"/>
      <c r="S114" s="28"/>
      <c r="T114" s="28"/>
      <c r="U114" s="28"/>
      <c r="V114" s="36"/>
      <c r="W114" s="28"/>
      <c r="X114" s="28"/>
      <c r="Y114" s="28"/>
      <c r="Z114" s="28"/>
      <c r="AA114" s="28"/>
      <c r="AB114" s="28"/>
      <c r="AC114" s="28"/>
      <c r="AD114" s="36"/>
      <c r="AE114" s="28"/>
      <c r="AF114" s="28"/>
      <c r="AG114" s="28"/>
      <c r="AH114" s="28"/>
      <c r="AI114" s="28"/>
      <c r="AJ114" s="28"/>
      <c r="AK114" s="28"/>
      <c r="AL114" s="28"/>
      <c r="AM114" s="28"/>
      <c r="AN114" s="31" t="str">
        <f t="shared" si="79"/>
        <v>SimulationStorage,,</v>
      </c>
      <c r="AO114" s="31" t="str">
        <f t="shared" si="79"/>
        <v>AnalysisStorage,,</v>
      </c>
      <c r="AP114" s="31" t="str">
        <f t="shared" si="79"/>
        <v>LogRuleEvaluation,,</v>
      </c>
      <c r="AQ114" s="31" t="str">
        <f t="shared" si="79"/>
        <v>ParallelSimulations,,</v>
      </c>
      <c r="AR114" s="31" t="str">
        <f t="shared" si="79"/>
        <v>DurationStats,,</v>
      </c>
      <c r="AS114" s="31" t="str">
        <f t="shared" si="79"/>
        <v>AnalysisThruStep,,</v>
      </c>
      <c r="AT114" s="31" t="str">
        <f t="shared" si="79"/>
        <v>DontAbortOnErrorsThruStep,,</v>
      </c>
      <c r="AU114" s="31" t="str">
        <f t="shared" si="79"/>
        <v>BypassValidFileChecks,,</v>
      </c>
      <c r="AV114" s="31" t="str">
        <f t="shared" si="79"/>
        <v>BypassInputChecks,,</v>
      </c>
      <c r="AW114" s="31" t="str">
        <f t="shared" si="79"/>
        <v>BypassUMLHChecks,,</v>
      </c>
      <c r="AX114" s="31" t="str">
        <f t="shared" si="79"/>
        <v>BypassCheckSimRules,,</v>
      </c>
      <c r="AY114" s="31" t="str">
        <f t="shared" si="79"/>
        <v>BypassCheckCodeRules,,</v>
      </c>
      <c r="BA114" s="31" t="str">
        <f t="shared" si="80"/>
        <v>StoreBEMDetails,,</v>
      </c>
      <c r="BB114" s="31" t="str">
        <f t="shared" si="80"/>
        <v>ModelRpt_ALL,,</v>
      </c>
      <c r="BC114" s="31" t="str">
        <f t="shared" si="80"/>
        <v>BypassOpenStudio_all,,</v>
      </c>
      <c r="BD114" s="31" t="str">
        <f t="shared" si="80"/>
        <v>BypassOpenStudio_zp,,</v>
      </c>
      <c r="BE114" s="31" t="str">
        <f t="shared" si="80"/>
        <v>BypassOpenStudio_zb,,</v>
      </c>
      <c r="BF114" s="31" t="str">
        <f t="shared" si="80"/>
        <v>BypassOpenStudio_ap,,</v>
      </c>
      <c r="BG114" s="31" t="str">
        <f t="shared" si="80"/>
        <v>BypassOpenStudio_ab,,</v>
      </c>
      <c r="BH114" s="31" t="str">
        <f t="shared" si="80"/>
        <v>BypassOpenStudio_zp,,</v>
      </c>
      <c r="BI114" s="31" t="str">
        <f t="shared" si="80"/>
        <v>BypassOpenStudio_zb,,</v>
      </c>
      <c r="BJ114" s="31" t="str">
        <f t="shared" si="80"/>
        <v>BypassOpenStudio_ap,,</v>
      </c>
      <c r="BK114" s="31" t="str">
        <f t="shared" si="81"/>
        <v>BypassOpenStudio_ab,</v>
      </c>
    </row>
    <row r="115" spans="1:63" x14ac:dyDescent="0.25">
      <c r="A115" s="39">
        <f t="shared" si="75"/>
        <v>0</v>
      </c>
      <c r="B115" s="27" t="str">
        <f t="shared" si="82"/>
        <v>RulesetImplementationTests\Incomplete tests\\.cibd</v>
      </c>
      <c r="C115" s="27" t="str">
        <f t="shared" si="83"/>
        <v>BatchOut_141103_r2722_RIi\.cibd</v>
      </c>
      <c r="D115" s="27" t="str">
        <f t="shared" si="84"/>
        <v>BatchOut_141103_r2722_RIi\XML\</v>
      </c>
      <c r="E115" s="9">
        <f t="shared" si="85"/>
        <v>0</v>
      </c>
      <c r="F115" s="22"/>
      <c r="G115" s="29"/>
      <c r="H115" s="23"/>
      <c r="I115" s="9" t="s">
        <v>11</v>
      </c>
      <c r="J115"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5" s="15" t="s">
        <v>1</v>
      </c>
      <c r="L115" s="36"/>
      <c r="M115" s="32"/>
      <c r="N115" s="28"/>
      <c r="O115" s="28"/>
      <c r="P115" s="28"/>
      <c r="Q115" s="28"/>
      <c r="R115" s="28"/>
      <c r="S115" s="28"/>
      <c r="T115" s="28"/>
      <c r="U115" s="28"/>
      <c r="V115" s="36"/>
      <c r="W115" s="28"/>
      <c r="X115" s="28"/>
      <c r="Y115" s="28"/>
      <c r="Z115" s="28"/>
      <c r="AA115" s="28"/>
      <c r="AB115" s="28"/>
      <c r="AC115" s="28"/>
      <c r="AD115" s="36"/>
      <c r="AE115" s="28"/>
      <c r="AF115" s="28"/>
      <c r="AG115" s="28"/>
      <c r="AH115" s="28"/>
      <c r="AI115" s="28"/>
      <c r="AJ115" s="28"/>
      <c r="AK115" s="28"/>
      <c r="AL115" s="28"/>
      <c r="AM115" s="28"/>
      <c r="AN115" s="31" t="str">
        <f t="shared" si="79"/>
        <v>SimulationStorage,,</v>
      </c>
      <c r="AO115" s="31" t="str">
        <f t="shared" si="79"/>
        <v>AnalysisStorage,,</v>
      </c>
      <c r="AP115" s="31" t="str">
        <f t="shared" si="79"/>
        <v>LogRuleEvaluation,,</v>
      </c>
      <c r="AQ115" s="31" t="str">
        <f t="shared" si="79"/>
        <v>ParallelSimulations,,</v>
      </c>
      <c r="AR115" s="31" t="str">
        <f t="shared" si="79"/>
        <v>DurationStats,,</v>
      </c>
      <c r="AS115" s="31" t="str">
        <f t="shared" si="79"/>
        <v>AnalysisThruStep,,</v>
      </c>
      <c r="AT115" s="31" t="str">
        <f t="shared" si="79"/>
        <v>DontAbortOnErrorsThruStep,,</v>
      </c>
      <c r="AU115" s="31" t="str">
        <f t="shared" si="79"/>
        <v>BypassValidFileChecks,,</v>
      </c>
      <c r="AV115" s="31" t="str">
        <f t="shared" si="79"/>
        <v>BypassInputChecks,,</v>
      </c>
      <c r="AW115" s="31" t="str">
        <f t="shared" si="79"/>
        <v>BypassUMLHChecks,,</v>
      </c>
      <c r="AX115" s="31" t="str">
        <f t="shared" si="79"/>
        <v>BypassCheckSimRules,,</v>
      </c>
      <c r="AY115" s="31" t="str">
        <f t="shared" si="79"/>
        <v>BypassCheckCodeRules,,</v>
      </c>
      <c r="BA115" s="31" t="str">
        <f t="shared" si="80"/>
        <v>StoreBEMDetails,,</v>
      </c>
      <c r="BB115" s="31" t="str">
        <f t="shared" si="80"/>
        <v>ModelRpt_ALL,,</v>
      </c>
      <c r="BC115" s="31" t="str">
        <f t="shared" si="80"/>
        <v>BypassOpenStudio_all,,</v>
      </c>
      <c r="BD115" s="31" t="str">
        <f t="shared" si="80"/>
        <v>BypassOpenStudio_zp,,</v>
      </c>
      <c r="BE115" s="31" t="str">
        <f t="shared" si="80"/>
        <v>BypassOpenStudio_zb,,</v>
      </c>
      <c r="BF115" s="31" t="str">
        <f t="shared" si="80"/>
        <v>BypassOpenStudio_ap,,</v>
      </c>
      <c r="BG115" s="31" t="str">
        <f t="shared" si="80"/>
        <v>BypassOpenStudio_ab,,</v>
      </c>
      <c r="BH115" s="31" t="str">
        <f t="shared" si="80"/>
        <v>BypassOpenStudio_zp,,</v>
      </c>
      <c r="BI115" s="31" t="str">
        <f t="shared" si="80"/>
        <v>BypassOpenStudio_zb,,</v>
      </c>
      <c r="BJ115" s="31" t="str">
        <f t="shared" si="80"/>
        <v>BypassOpenStudio_ap,,</v>
      </c>
      <c r="BK115" s="31" t="str">
        <f t="shared" si="81"/>
        <v>BypassOpenStudio_ab,</v>
      </c>
    </row>
    <row r="116" spans="1:63" x14ac:dyDescent="0.25">
      <c r="A116" s="39">
        <f t="shared" si="75"/>
        <v>0</v>
      </c>
      <c r="B116" s="27" t="str">
        <f t="shared" si="82"/>
        <v>RulesetImplementationTests\Incomplete tests\\.cibd</v>
      </c>
      <c r="C116" s="27" t="str">
        <f t="shared" si="83"/>
        <v>BatchOut_141103_r2722_RIi\.cibd</v>
      </c>
      <c r="D116" s="27" t="str">
        <f t="shared" si="84"/>
        <v>BatchOut_141103_r2722_RIi\XML\</v>
      </c>
      <c r="E116" s="9">
        <f t="shared" si="85"/>
        <v>0</v>
      </c>
      <c r="F116" s="22"/>
      <c r="G116" s="29"/>
      <c r="H116" s="23"/>
      <c r="I116" s="9" t="s">
        <v>11</v>
      </c>
      <c r="J116"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6" s="15" t="s">
        <v>1</v>
      </c>
      <c r="L116" s="36"/>
      <c r="M116" s="32"/>
      <c r="N116" s="28"/>
      <c r="O116" s="28"/>
      <c r="P116" s="28"/>
      <c r="Q116" s="28"/>
      <c r="R116" s="28"/>
      <c r="S116" s="28"/>
      <c r="T116" s="28"/>
      <c r="U116" s="28"/>
      <c r="V116" s="36"/>
      <c r="W116" s="28"/>
      <c r="X116" s="28"/>
      <c r="Y116" s="28"/>
      <c r="Z116" s="28"/>
      <c r="AA116" s="28"/>
      <c r="AB116" s="28"/>
      <c r="AC116" s="28"/>
      <c r="AD116" s="36"/>
      <c r="AE116" s="28"/>
      <c r="AF116" s="28"/>
      <c r="AG116" s="28"/>
      <c r="AH116" s="28"/>
      <c r="AI116" s="28"/>
      <c r="AJ116" s="28"/>
      <c r="AK116" s="28"/>
      <c r="AL116" s="28"/>
      <c r="AM116" s="28"/>
      <c r="AN116" s="31" t="str">
        <f t="shared" si="79"/>
        <v>SimulationStorage,,</v>
      </c>
      <c r="AO116" s="31" t="str">
        <f t="shared" si="79"/>
        <v>AnalysisStorage,,</v>
      </c>
      <c r="AP116" s="31" t="str">
        <f t="shared" si="79"/>
        <v>LogRuleEvaluation,,</v>
      </c>
      <c r="AQ116" s="31" t="str">
        <f t="shared" si="79"/>
        <v>ParallelSimulations,,</v>
      </c>
      <c r="AR116" s="31" t="str">
        <f t="shared" si="79"/>
        <v>DurationStats,,</v>
      </c>
      <c r="AS116" s="31" t="str">
        <f t="shared" si="79"/>
        <v>AnalysisThruStep,,</v>
      </c>
      <c r="AT116" s="31" t="str">
        <f t="shared" si="79"/>
        <v>DontAbortOnErrorsThruStep,,</v>
      </c>
      <c r="AU116" s="31" t="str">
        <f t="shared" si="79"/>
        <v>BypassValidFileChecks,,</v>
      </c>
      <c r="AV116" s="31" t="str">
        <f t="shared" si="79"/>
        <v>BypassInputChecks,,</v>
      </c>
      <c r="AW116" s="31" t="str">
        <f t="shared" si="79"/>
        <v>BypassUMLHChecks,,</v>
      </c>
      <c r="AX116" s="31" t="str">
        <f t="shared" si="79"/>
        <v>BypassCheckSimRules,,</v>
      </c>
      <c r="AY116" s="31" t="str">
        <f t="shared" si="79"/>
        <v>BypassCheckCodeRules,,</v>
      </c>
      <c r="BA116" s="31" t="str">
        <f t="shared" si="80"/>
        <v>StoreBEMDetails,,</v>
      </c>
      <c r="BB116" s="31" t="str">
        <f t="shared" si="80"/>
        <v>ModelRpt_ALL,,</v>
      </c>
      <c r="BC116" s="31" t="str">
        <f t="shared" si="80"/>
        <v>BypassOpenStudio_all,,</v>
      </c>
      <c r="BD116" s="31" t="str">
        <f t="shared" si="80"/>
        <v>BypassOpenStudio_zp,,</v>
      </c>
      <c r="BE116" s="31" t="str">
        <f t="shared" si="80"/>
        <v>BypassOpenStudio_zb,,</v>
      </c>
      <c r="BF116" s="31" t="str">
        <f t="shared" si="80"/>
        <v>BypassOpenStudio_ap,,</v>
      </c>
      <c r="BG116" s="31" t="str">
        <f t="shared" si="80"/>
        <v>BypassOpenStudio_ab,,</v>
      </c>
      <c r="BH116" s="31" t="str">
        <f t="shared" si="80"/>
        <v>BypassOpenStudio_zp,,</v>
      </c>
      <c r="BI116" s="31" t="str">
        <f t="shared" si="80"/>
        <v>BypassOpenStudio_zb,,</v>
      </c>
      <c r="BJ116" s="31" t="str">
        <f t="shared" si="80"/>
        <v>BypassOpenStudio_ap,,</v>
      </c>
      <c r="BK116" s="31" t="str">
        <f t="shared" si="81"/>
        <v>BypassOpenStudio_ab,</v>
      </c>
    </row>
    <row r="117" spans="1:63" x14ac:dyDescent="0.25">
      <c r="A117" s="10">
        <v>-1</v>
      </c>
      <c r="B117" s="6"/>
      <c r="C117" s="6"/>
      <c r="D117" s="6"/>
      <c r="E117" s="6"/>
      <c r="F117" s="6"/>
      <c r="G117" s="6"/>
      <c r="H117" s="6"/>
      <c r="I117" s="6"/>
      <c r="J117" s="6"/>
    </row>
  </sheetData>
  <mergeCells count="5">
    <mergeCell ref="AE14:AI14"/>
    <mergeCell ref="AJ14:AM14"/>
    <mergeCell ref="AE36:AM36"/>
    <mergeCell ref="AE63:AM63"/>
    <mergeCell ref="AE105:AM105"/>
  </mergeCells>
  <conditionalFormatting sqref="P16:AM30 P32:AM53 P59:AM95 P102:AM116">
    <cfRule type="cellIs" dxfId="15" priority="4" operator="equal">
      <formula>P15</formula>
    </cfRule>
  </conditionalFormatting>
  <conditionalFormatting sqref="P58:AM58">
    <cfRule type="cellIs" dxfId="14" priority="5" operator="equal">
      <formula>P30</formula>
    </cfRule>
  </conditionalFormatting>
  <conditionalFormatting sqref="P31:AM31">
    <cfRule type="cellIs" dxfId="13" priority="3" operator="equal">
      <formula>P11</formula>
    </cfRule>
  </conditionalFormatting>
  <conditionalFormatting sqref="P57:AM57">
    <cfRule type="cellIs" dxfId="12" priority="6" operator="equal">
      <formula>P53</formula>
    </cfRule>
  </conditionalFormatting>
  <conditionalFormatting sqref="P54:AM56">
    <cfRule type="cellIs" dxfId="11" priority="2" operator="equal">
      <formula>P53</formula>
    </cfRule>
  </conditionalFormatting>
  <conditionalFormatting sqref="P100:AM100">
    <cfRule type="cellIs" dxfId="10" priority="7" operator="equal">
      <formula>P95</formula>
    </cfRule>
  </conditionalFormatting>
  <conditionalFormatting sqref="P96:AM99">
    <cfRule type="cellIs" dxfId="9" priority="1" operator="equal">
      <formula>P95</formula>
    </cfRule>
  </conditionalFormatting>
  <conditionalFormatting sqref="P101:AM101">
    <cfRule type="cellIs" dxfId="8" priority="8" operator="equal">
      <formula>#REF!</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O117"/>
  <sheetViews>
    <sheetView tabSelected="1" topLeftCell="K1" zoomScale="70" zoomScaleNormal="70" workbookViewId="0">
      <selection activeCell="M26" sqref="M26"/>
    </sheetView>
  </sheetViews>
  <sheetFormatPr defaultRowHeight="15" outlineLevelCol="1" x14ac:dyDescent="0.25"/>
  <cols>
    <col min="1" max="1" width="9.140625" style="1" customWidth="1"/>
    <col min="2" max="2" width="123.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20.7109375" style="1" hidden="1" customWidth="1" outlineLevel="1"/>
    <col min="11" max="11" width="6.140625" style="100" customWidth="1" collapsed="1"/>
    <col min="12" max="12" width="19.5703125" style="100" customWidth="1"/>
    <col min="13" max="13" width="41.42578125" style="100" customWidth="1"/>
    <col min="14" max="15" width="32.140625" style="1" customWidth="1"/>
    <col min="16" max="17" width="10.7109375" style="1" customWidth="1"/>
    <col min="18" max="30" width="8.7109375" style="1" customWidth="1"/>
    <col min="31" max="35" width="5.85546875" style="1" customWidth="1"/>
    <col min="36" max="36" width="5.7109375" style="1" customWidth="1"/>
    <col min="37" max="39" width="5.85546875" style="1" customWidth="1"/>
    <col min="40" max="65" width="9.140625" style="31"/>
    <col min="66" max="16384" width="9.140625" style="1"/>
  </cols>
  <sheetData>
    <row r="1" spans="1:65" x14ac:dyDescent="0.25">
      <c r="A1" s="5" t="s">
        <v>0</v>
      </c>
    </row>
    <row r="2" spans="1:65" x14ac:dyDescent="0.25">
      <c r="A2" s="1" t="s">
        <v>1</v>
      </c>
    </row>
    <row r="3" spans="1:65" x14ac:dyDescent="0.25">
      <c r="A3" s="1" t="s">
        <v>1</v>
      </c>
      <c r="B3" s="5" t="s">
        <v>2</v>
      </c>
      <c r="C3" s="1" t="s">
        <v>3</v>
      </c>
      <c r="L3" s="82" t="s">
        <v>188</v>
      </c>
      <c r="M3" s="64" t="s">
        <v>44</v>
      </c>
    </row>
    <row r="4" spans="1:65" x14ac:dyDescent="0.25">
      <c r="A4" s="1" t="s">
        <v>1</v>
      </c>
      <c r="L4" s="83">
        <f>SUM(L16:L116)</f>
        <v>9</v>
      </c>
      <c r="M4" s="81" t="s">
        <v>189</v>
      </c>
    </row>
    <row r="5" spans="1:65" x14ac:dyDescent="0.25">
      <c r="A5" s="1" t="s">
        <v>1</v>
      </c>
    </row>
    <row r="6" spans="1:65" x14ac:dyDescent="0.25">
      <c r="A6" s="2" t="s">
        <v>1</v>
      </c>
      <c r="B6" s="2"/>
      <c r="C6" s="30"/>
      <c r="D6" s="30"/>
      <c r="E6" s="16"/>
      <c r="F6" s="16"/>
      <c r="G6" s="16"/>
      <c r="H6" s="16"/>
      <c r="L6" s="36" t="s">
        <v>383</v>
      </c>
      <c r="M6" s="100" t="s">
        <v>380</v>
      </c>
    </row>
    <row r="7" spans="1:65" x14ac:dyDescent="0.25">
      <c r="A7" s="1" t="s">
        <v>4</v>
      </c>
      <c r="B7" s="100" t="s">
        <v>18</v>
      </c>
      <c r="C7" s="30"/>
      <c r="D7" s="30"/>
      <c r="L7" s="37" t="s">
        <v>45</v>
      </c>
      <c r="M7" s="32">
        <v>160405</v>
      </c>
    </row>
    <row r="8" spans="1:65" x14ac:dyDescent="0.25">
      <c r="A8" s="1" t="s">
        <v>5</v>
      </c>
      <c r="B8" s="100" t="s">
        <v>19</v>
      </c>
      <c r="C8" s="30"/>
      <c r="D8" s="30"/>
      <c r="L8" s="14" t="s">
        <v>46</v>
      </c>
      <c r="M8" s="32" t="s">
        <v>381</v>
      </c>
    </row>
    <row r="9" spans="1:65" x14ac:dyDescent="0.25">
      <c r="A9" s="3">
        <v>2</v>
      </c>
      <c r="B9" s="4" t="str">
        <f>M9</f>
        <v>BatchResults_160405_r3979.csv</v>
      </c>
      <c r="C9" s="30" t="s">
        <v>1</v>
      </c>
      <c r="D9" s="30"/>
      <c r="E9" s="30"/>
      <c r="F9" s="30"/>
      <c r="G9" s="30"/>
      <c r="H9" s="30"/>
      <c r="I9" s="26"/>
      <c r="L9" s="35" t="s">
        <v>39</v>
      </c>
      <c r="M9" s="54" t="str">
        <f>"BatchResults_"&amp;M7&amp;"_"&amp;M8&amp;".csv"</f>
        <v>BatchResults_160405_r3979.csv</v>
      </c>
      <c r="N9" s="1" t="s">
        <v>48</v>
      </c>
    </row>
    <row r="10" spans="1:65" x14ac:dyDescent="0.25">
      <c r="A10" s="1" t="s">
        <v>1</v>
      </c>
      <c r="L10" s="14" t="s">
        <v>16</v>
      </c>
      <c r="M10" s="28" t="s">
        <v>382</v>
      </c>
      <c r="N10" s="1" t="s">
        <v>47</v>
      </c>
    </row>
    <row r="11" spans="1:65" x14ac:dyDescent="0.25">
      <c r="A11" s="1" t="s">
        <v>1</v>
      </c>
      <c r="L11" s="14" t="s">
        <v>17</v>
      </c>
      <c r="M11" s="54" t="str">
        <f>"BatchOut"&amp;"_"&amp;M7&amp;"_"&amp;M8&amp;"_"&amp;L6&amp;"\"</f>
        <v>BatchOut_160405_r3979_T24Other\</v>
      </c>
      <c r="N11" s="1" t="s">
        <v>47</v>
      </c>
      <c r="P11" s="1">
        <v>1</v>
      </c>
      <c r="Q11" s="1">
        <f>P11+1</f>
        <v>2</v>
      </c>
      <c r="R11" s="1">
        <f t="shared" ref="R11:AM11" si="0">Q11+1</f>
        <v>3</v>
      </c>
      <c r="S11" s="1">
        <f t="shared" si="0"/>
        <v>4</v>
      </c>
      <c r="T11" s="1">
        <f t="shared" si="0"/>
        <v>5</v>
      </c>
      <c r="U11" s="1">
        <f t="shared" si="0"/>
        <v>6</v>
      </c>
      <c r="V11" s="1">
        <f t="shared" si="0"/>
        <v>7</v>
      </c>
      <c r="W11" s="1">
        <f t="shared" si="0"/>
        <v>8</v>
      </c>
      <c r="X11" s="1">
        <f t="shared" si="0"/>
        <v>9</v>
      </c>
      <c r="Y11" s="1">
        <f t="shared" si="0"/>
        <v>10</v>
      </c>
      <c r="Z11" s="1">
        <f t="shared" si="0"/>
        <v>11</v>
      </c>
      <c r="AA11" s="1">
        <f t="shared" si="0"/>
        <v>12</v>
      </c>
      <c r="AB11" s="1">
        <f t="shared" si="0"/>
        <v>13</v>
      </c>
      <c r="AC11" s="1">
        <f t="shared" si="0"/>
        <v>14</v>
      </c>
      <c r="AD11" s="1">
        <f t="shared" si="0"/>
        <v>15</v>
      </c>
      <c r="AE11" s="1">
        <f t="shared" si="0"/>
        <v>16</v>
      </c>
      <c r="AF11" s="1">
        <f t="shared" si="0"/>
        <v>17</v>
      </c>
      <c r="AG11" s="1">
        <f t="shared" si="0"/>
        <v>18</v>
      </c>
      <c r="AH11" s="1">
        <f t="shared" si="0"/>
        <v>19</v>
      </c>
      <c r="AI11" s="1">
        <f t="shared" si="0"/>
        <v>20</v>
      </c>
      <c r="AJ11" s="1">
        <f t="shared" si="0"/>
        <v>21</v>
      </c>
      <c r="AK11" s="1">
        <f t="shared" si="0"/>
        <v>22</v>
      </c>
      <c r="AL11" s="1">
        <f t="shared" si="0"/>
        <v>23</v>
      </c>
      <c r="AM11" s="1">
        <f t="shared" si="0"/>
        <v>24</v>
      </c>
    </row>
    <row r="12" spans="1:65" x14ac:dyDescent="0.25">
      <c r="A12" s="1" t="s">
        <v>1</v>
      </c>
      <c r="L12" s="14" t="s">
        <v>42</v>
      </c>
      <c r="M12" s="54" t="str">
        <f>M11&amp;"XML\"</f>
        <v>BatchOut_160405_r3979_T24Other\XML\</v>
      </c>
      <c r="N12" s="1" t="s">
        <v>47</v>
      </c>
      <c r="P12" s="31" t="str">
        <f>P15&amp;","</f>
        <v>SimulationStorage,</v>
      </c>
      <c r="Q12" s="31" t="str">
        <f t="shared" ref="Q12:AD12" si="1">Q15&amp;","</f>
        <v>AnalysisStorage,</v>
      </c>
      <c r="R12" s="31" t="str">
        <f t="shared" si="1"/>
        <v>LogRuleEvaluation,</v>
      </c>
      <c r="S12" s="31" t="str">
        <f t="shared" si="1"/>
        <v>ParallelSimulations,</v>
      </c>
      <c r="T12" s="31" t="str">
        <f t="shared" si="1"/>
        <v>DurationStats,</v>
      </c>
      <c r="U12" s="31" t="str">
        <f t="shared" si="1"/>
        <v>AnalysisThruStep,</v>
      </c>
      <c r="V12" s="31" t="str">
        <f t="shared" si="1"/>
        <v>DontAbortOnErrorsThruStep,</v>
      </c>
      <c r="W12" s="31" t="str">
        <f t="shared" si="1"/>
        <v>BypassValidFileChecks,</v>
      </c>
      <c r="X12" s="31" t="str">
        <f t="shared" si="1"/>
        <v>BypassInputChecks,</v>
      </c>
      <c r="Y12" s="31" t="str">
        <f t="shared" si="1"/>
        <v>BypassUMLHChecks,</v>
      </c>
      <c r="Z12" s="31" t="str">
        <f t="shared" si="1"/>
        <v>BypassCheckSimRules,</v>
      </c>
      <c r="AA12" s="31" t="str">
        <f t="shared" si="1"/>
        <v>BypassCheckCodeRules,</v>
      </c>
      <c r="AB12" s="31" t="str">
        <f t="shared" si="1"/>
        <v>StoreResultsToModelInput,</v>
      </c>
      <c r="AC12" s="31" t="str">
        <f t="shared" si="1"/>
        <v>StoreBEMDetails,</v>
      </c>
      <c r="AD12" s="31" t="str">
        <f t="shared" si="1"/>
        <v>ModelRpt_ALL,</v>
      </c>
      <c r="AE12" s="31" t="str">
        <f>$AE$14&amp;"_"&amp;AE15&amp;","</f>
        <v>BypassOpenStudio_all,</v>
      </c>
      <c r="AF12" s="31" t="str">
        <f t="shared" ref="AF12:AM12" si="2">$AE$14&amp;"_"&amp;AF15&amp;","</f>
        <v>BypassOpenStudio_zp,</v>
      </c>
      <c r="AG12" s="31" t="str">
        <f t="shared" si="2"/>
        <v>BypassOpenStudio_zb,</v>
      </c>
      <c r="AH12" s="31" t="str">
        <f t="shared" si="2"/>
        <v>BypassOpenStudio_ap,</v>
      </c>
      <c r="AI12" s="31" t="str">
        <f t="shared" si="2"/>
        <v>BypassOpenStudio_ab,</v>
      </c>
      <c r="AJ12" s="31" t="str">
        <f t="shared" si="2"/>
        <v>BypassOpenStudio_zp,</v>
      </c>
      <c r="AK12" s="31" t="str">
        <f t="shared" si="2"/>
        <v>BypassOpenStudio_zb,</v>
      </c>
      <c r="AL12" s="31" t="str">
        <f t="shared" si="2"/>
        <v>BypassOpenStudio_ap,</v>
      </c>
      <c r="AM12" s="31" t="str">
        <f t="shared" si="2"/>
        <v>BypassOpenStudio_ab,</v>
      </c>
    </row>
    <row r="13" spans="1:65"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67" t="s">
        <v>35</v>
      </c>
      <c r="Q13" s="33"/>
      <c r="R13" s="33"/>
      <c r="S13" s="33"/>
      <c r="T13" s="33"/>
      <c r="U13" s="34"/>
      <c r="V13" s="34"/>
      <c r="W13" s="34"/>
      <c r="X13" s="34"/>
      <c r="Y13" s="34"/>
      <c r="Z13" s="34"/>
      <c r="AA13" s="34"/>
      <c r="AB13" s="34"/>
      <c r="AC13" s="34"/>
      <c r="AD13" s="34"/>
      <c r="AE13" s="34"/>
      <c r="AF13" s="34"/>
      <c r="AG13" s="34"/>
      <c r="AH13" s="34"/>
      <c r="AI13" s="34"/>
      <c r="AJ13" s="34"/>
      <c r="AK13" s="34"/>
      <c r="AL13" s="34"/>
      <c r="AM13" s="34"/>
    </row>
    <row r="14" spans="1:65" x14ac:dyDescent="0.25">
      <c r="A14" s="11" t="s">
        <v>14</v>
      </c>
      <c r="B14" s="7" t="s">
        <v>6</v>
      </c>
      <c r="C14" s="7" t="s">
        <v>7</v>
      </c>
      <c r="D14" s="7" t="s">
        <v>40</v>
      </c>
      <c r="E14" s="7"/>
      <c r="F14" s="17" t="s">
        <v>21</v>
      </c>
      <c r="G14" s="7"/>
      <c r="H14" s="18"/>
      <c r="I14" s="7" t="s">
        <v>9</v>
      </c>
      <c r="J14" s="7" t="s">
        <v>12</v>
      </c>
      <c r="K14" s="14"/>
      <c r="L14" s="14"/>
      <c r="N14" s="80"/>
      <c r="O14" s="80"/>
      <c r="P14" s="100"/>
      <c r="Q14" s="100"/>
      <c r="AE14" s="101" t="s">
        <v>33</v>
      </c>
      <c r="AF14" s="102"/>
      <c r="AG14" s="102"/>
      <c r="AH14" s="102"/>
      <c r="AI14" s="103"/>
      <c r="AJ14" s="101" t="s">
        <v>161</v>
      </c>
      <c r="AK14" s="102"/>
      <c r="AL14" s="102"/>
      <c r="AM14" s="103"/>
    </row>
    <row r="15" spans="1:65" s="46" customFormat="1" ht="159" customHeight="1" x14ac:dyDescent="0.25">
      <c r="A15" s="12" t="s">
        <v>15</v>
      </c>
      <c r="B15" s="8" t="s">
        <v>43</v>
      </c>
      <c r="C15" s="8" t="s">
        <v>8</v>
      </c>
      <c r="D15" s="8" t="s">
        <v>41</v>
      </c>
      <c r="E15" s="8" t="s">
        <v>20</v>
      </c>
      <c r="F15" s="19" t="s">
        <v>22</v>
      </c>
      <c r="G15" s="21" t="s">
        <v>23</v>
      </c>
      <c r="H15" s="20" t="s">
        <v>24</v>
      </c>
      <c r="I15" s="8" t="s">
        <v>10</v>
      </c>
      <c r="J15" s="8" t="s">
        <v>13</v>
      </c>
      <c r="K15" s="41"/>
      <c r="L15" s="43" t="s">
        <v>50</v>
      </c>
      <c r="M15" s="43" t="s">
        <v>190</v>
      </c>
      <c r="N15" s="84" t="s">
        <v>191</v>
      </c>
      <c r="O15" s="84" t="s">
        <v>192</v>
      </c>
      <c r="P15" s="68" t="s">
        <v>153</v>
      </c>
      <c r="Q15" s="69" t="s">
        <v>154</v>
      </c>
      <c r="R15" s="69" t="s">
        <v>28</v>
      </c>
      <c r="S15" s="69" t="s">
        <v>151</v>
      </c>
      <c r="T15" s="69" t="s">
        <v>152</v>
      </c>
      <c r="U15" s="69" t="s">
        <v>30</v>
      </c>
      <c r="V15" s="70" t="s">
        <v>49</v>
      </c>
      <c r="W15" s="69" t="s">
        <v>155</v>
      </c>
      <c r="X15" s="69" t="s">
        <v>31</v>
      </c>
      <c r="Y15" s="69" t="s">
        <v>32</v>
      </c>
      <c r="Z15" s="69" t="s">
        <v>36</v>
      </c>
      <c r="AA15" s="69" t="s">
        <v>37</v>
      </c>
      <c r="AB15" s="69" t="s">
        <v>162</v>
      </c>
      <c r="AC15" s="69" t="s">
        <v>38</v>
      </c>
      <c r="AD15" s="71" t="s">
        <v>69</v>
      </c>
      <c r="AE15" s="58" t="s">
        <v>156</v>
      </c>
      <c r="AF15" s="59" t="s">
        <v>157</v>
      </c>
      <c r="AG15" s="59" t="s">
        <v>158</v>
      </c>
      <c r="AH15" s="59" t="s">
        <v>159</v>
      </c>
      <c r="AI15" s="60" t="s">
        <v>160</v>
      </c>
      <c r="AJ15" s="59" t="s">
        <v>157</v>
      </c>
      <c r="AK15" s="59" t="s">
        <v>158</v>
      </c>
      <c r="AL15" s="59" t="s">
        <v>159</v>
      </c>
      <c r="AM15" s="60" t="s">
        <v>160</v>
      </c>
      <c r="AN15" s="62">
        <v>1</v>
      </c>
      <c r="AO15" s="62">
        <f>AN15+1</f>
        <v>2</v>
      </c>
      <c r="AP15" s="62">
        <f t="shared" ref="AP15:BK15" si="3">AO15+1</f>
        <v>3</v>
      </c>
      <c r="AQ15" s="62">
        <f t="shared" si="3"/>
        <v>4</v>
      </c>
      <c r="AR15" s="62">
        <f t="shared" si="3"/>
        <v>5</v>
      </c>
      <c r="AS15" s="62">
        <f t="shared" si="3"/>
        <v>6</v>
      </c>
      <c r="AT15" s="62">
        <f t="shared" si="3"/>
        <v>7</v>
      </c>
      <c r="AU15" s="62">
        <f t="shared" si="3"/>
        <v>8</v>
      </c>
      <c r="AV15" s="62">
        <f t="shared" si="3"/>
        <v>9</v>
      </c>
      <c r="AW15" s="62">
        <f t="shared" si="3"/>
        <v>10</v>
      </c>
      <c r="AX15" s="62">
        <f t="shared" si="3"/>
        <v>11</v>
      </c>
      <c r="AY15" s="62">
        <f t="shared" si="3"/>
        <v>12</v>
      </c>
      <c r="AZ15" s="62">
        <f t="shared" si="3"/>
        <v>13</v>
      </c>
      <c r="BA15" s="62">
        <f t="shared" si="3"/>
        <v>14</v>
      </c>
      <c r="BB15" s="62">
        <f t="shared" si="3"/>
        <v>15</v>
      </c>
      <c r="BC15" s="62">
        <f t="shared" si="3"/>
        <v>16</v>
      </c>
      <c r="BD15" s="62">
        <f t="shared" si="3"/>
        <v>17</v>
      </c>
      <c r="BE15" s="62">
        <f t="shared" si="3"/>
        <v>18</v>
      </c>
      <c r="BF15" s="62">
        <f t="shared" si="3"/>
        <v>19</v>
      </c>
      <c r="BG15" s="62">
        <f t="shared" si="3"/>
        <v>20</v>
      </c>
      <c r="BH15" s="62">
        <f t="shared" si="3"/>
        <v>21</v>
      </c>
      <c r="BI15" s="62">
        <f t="shared" si="3"/>
        <v>22</v>
      </c>
      <c r="BJ15" s="62">
        <f t="shared" si="3"/>
        <v>23</v>
      </c>
      <c r="BK15" s="62">
        <f t="shared" si="3"/>
        <v>24</v>
      </c>
      <c r="BL15" s="62"/>
      <c r="BM15" s="62"/>
    </row>
    <row r="16" spans="1:65" x14ac:dyDescent="0.25">
      <c r="A16" s="39">
        <f>L16</f>
        <v>1</v>
      </c>
      <c r="B16" s="27" t="str">
        <f xml:space="preserve"> M$10&amp;N16&amp;".cibd"</f>
        <v>VRFTests\021013-OffSml-VRFSys.cibd</v>
      </c>
      <c r="C16" s="27" t="str">
        <f t="shared" ref="C16:C30" si="4" xml:space="preserve"> M$11 &amp; O16 &amp; ".cibd"</f>
        <v>BatchOut_160405_r3979_T24Other\021013-OffSml-VRFSys.cibd</v>
      </c>
      <c r="D16" s="27" t="str">
        <f>$M$12</f>
        <v>BatchOut_160405_r3979_T24Other\XML\</v>
      </c>
      <c r="E16" s="9" t="str">
        <f>M16</f>
        <v>021013-OffSml-VRFSys</v>
      </c>
      <c r="F16" s="22"/>
      <c r="G16" s="29"/>
      <c r="H16" s="23"/>
      <c r="I16" s="9" t="s">
        <v>11</v>
      </c>
      <c r="J16" s="9" t="str">
        <f>CONCATENATE(AN16,AO16,AP16,AQ16,AR16,AS16,AT16,AU16,AV16,AW16,AX16,AY16,AZ16,BA16,BB16,BC16,BD16,BE16,BF16,BG16,BH16,BI16,BJ16,BK16)</f>
        <v>SimulationStorage,2,AnalysisStorage,1,LogRuleEvaluation,0,ParallelSimulations,1,DurationStats,0,AnalysisThruStep,11,DontAbortOnErrorsThruStep,11,BypassValidFileChecks,1,BypassInputChecks,0,BypassUMLHChecks,0,BypassCheckSimRules,0,BypassCheckCodeRules,0,StoreResultsToModelInput,1,StoreBEMDetails,1,ModelRpt_ALL,1,BypassOpenStudio_all,0,BypassOpenStudio_zp,0,BypassOpenStudio_zb,0,BypassOpenStudio_ap,0,BypassOpenStudio_ab,0,BypassOpenStudio_zp,0,BypassOpenStudio_zb,0,BypassOpenStudio_ap,0,BypassOpenStudio_ab,0</v>
      </c>
      <c r="K16" s="15" t="s">
        <v>1</v>
      </c>
      <c r="L16" s="36">
        <v>1</v>
      </c>
      <c r="M16" s="32" t="str">
        <f>N16</f>
        <v>021013-OffSml-VRFSys</v>
      </c>
      <c r="N16" s="28" t="s">
        <v>384</v>
      </c>
      <c r="O16" s="57" t="str">
        <f>N16</f>
        <v>021013-OffSml-VRFSys</v>
      </c>
      <c r="P16" s="63">
        <v>2</v>
      </c>
      <c r="Q16" s="65">
        <v>1</v>
      </c>
      <c r="R16" s="65">
        <v>0</v>
      </c>
      <c r="S16" s="65">
        <v>1</v>
      </c>
      <c r="T16" s="65">
        <v>0</v>
      </c>
      <c r="U16" s="65">
        <v>11</v>
      </c>
      <c r="V16" s="65">
        <v>11</v>
      </c>
      <c r="W16" s="65">
        <v>1</v>
      </c>
      <c r="X16" s="65">
        <v>0</v>
      </c>
      <c r="Y16" s="65">
        <v>0</v>
      </c>
      <c r="Z16" s="65">
        <v>0</v>
      </c>
      <c r="AA16" s="65">
        <v>0</v>
      </c>
      <c r="AB16" s="65">
        <v>1</v>
      </c>
      <c r="AC16" s="65">
        <v>1</v>
      </c>
      <c r="AD16" s="66">
        <v>1</v>
      </c>
      <c r="AE16" s="63">
        <v>0</v>
      </c>
      <c r="AF16" s="64">
        <v>0</v>
      </c>
      <c r="AG16" s="64">
        <v>0</v>
      </c>
      <c r="AH16" s="65">
        <v>0</v>
      </c>
      <c r="AI16" s="66">
        <v>0</v>
      </c>
      <c r="AJ16" s="63">
        <f>IF(AE16&gt;1,1,0)</f>
        <v>0</v>
      </c>
      <c r="AK16" s="64">
        <v>0</v>
      </c>
      <c r="AL16" s="65">
        <f>IF(AH16&gt;1,1,0)</f>
        <v>0</v>
      </c>
      <c r="AM16" s="66">
        <f>IF(AI16&gt;1,1,0)</f>
        <v>0</v>
      </c>
      <c r="AN16" s="31" t="str">
        <f t="shared" ref="AN16:BC30" si="5">P$12&amp;P16&amp;","</f>
        <v>SimulationStorage,2,</v>
      </c>
      <c r="AO16" s="31" t="str">
        <f t="shared" si="5"/>
        <v>AnalysisStorage,1,</v>
      </c>
      <c r="AP16" s="31" t="str">
        <f t="shared" si="5"/>
        <v>LogRuleEvaluation,0,</v>
      </c>
      <c r="AQ16" s="31" t="str">
        <f t="shared" si="5"/>
        <v>ParallelSimulations,1,</v>
      </c>
      <c r="AR16" s="31" t="str">
        <f t="shared" si="5"/>
        <v>DurationStats,0,</v>
      </c>
      <c r="AS16" s="31" t="str">
        <f t="shared" si="5"/>
        <v>AnalysisThruStep,11,</v>
      </c>
      <c r="AT16" s="31" t="str">
        <f t="shared" si="5"/>
        <v>DontAbortOnErrorsThruStep,11,</v>
      </c>
      <c r="AU16" s="31" t="str">
        <f t="shared" si="5"/>
        <v>BypassValidFileChecks,1,</v>
      </c>
      <c r="AV16" s="31" t="str">
        <f t="shared" si="5"/>
        <v>BypassInputChecks,0,</v>
      </c>
      <c r="AW16" s="31" t="str">
        <f t="shared" si="5"/>
        <v>BypassUMLHChecks,0,</v>
      </c>
      <c r="AX16" s="31" t="str">
        <f t="shared" si="5"/>
        <v>BypassCheckSimRules,0,</v>
      </c>
      <c r="AY16" s="31" t="str">
        <f t="shared" si="5"/>
        <v>BypassCheckCodeRules,0,</v>
      </c>
      <c r="AZ16" s="31" t="str">
        <f t="shared" si="5"/>
        <v>StoreResultsToModelInput,1,</v>
      </c>
      <c r="BA16" s="31" t="str">
        <f t="shared" si="5"/>
        <v>StoreBEMDetails,1,</v>
      </c>
      <c r="BB16" s="31" t="str">
        <f t="shared" si="5"/>
        <v>ModelRpt_ALL,1,</v>
      </c>
      <c r="BC16" s="31" t="str">
        <f t="shared" si="5"/>
        <v>BypassOpenStudio_all,0,</v>
      </c>
      <c r="BD16" s="31" t="str">
        <f t="shared" ref="BA16:BJ30" si="6">AF$12&amp;AF16&amp;","</f>
        <v>BypassOpenStudio_zp,0,</v>
      </c>
      <c r="BE16" s="31" t="str">
        <f t="shared" si="6"/>
        <v>BypassOpenStudio_zb,0,</v>
      </c>
      <c r="BF16" s="31" t="str">
        <f t="shared" si="6"/>
        <v>BypassOpenStudio_ap,0,</v>
      </c>
      <c r="BG16" s="31" t="str">
        <f t="shared" si="6"/>
        <v>BypassOpenStudio_ab,0,</v>
      </c>
      <c r="BH16" s="31" t="str">
        <f t="shared" si="6"/>
        <v>BypassOpenStudio_zp,0,</v>
      </c>
      <c r="BI16" s="31" t="str">
        <f t="shared" si="6"/>
        <v>BypassOpenStudio_zb,0,</v>
      </c>
      <c r="BJ16" s="31" t="str">
        <f t="shared" si="6"/>
        <v>BypassOpenStudio_ap,0,</v>
      </c>
      <c r="BK16" s="31" t="str">
        <f>AM$12&amp;AM16</f>
        <v>BypassOpenStudio_ab,0</v>
      </c>
    </row>
    <row r="17" spans="1:67" x14ac:dyDescent="0.25">
      <c r="A17" s="39">
        <f t="shared" ref="A17:A30" si="7">L17</f>
        <v>1</v>
      </c>
      <c r="B17" s="27" t="str">
        <f t="shared" ref="B17:B30" si="8" xml:space="preserve"> M$10&amp;N17&amp;".cibd"</f>
        <v>VRFTests\021113-OffSml-VRFSysHR.cibd</v>
      </c>
      <c r="C17" s="27" t="str">
        <f t="shared" si="4"/>
        <v>BatchOut_160405_r3979_T24Other\021113-OffSml-VRFSysHR.cibd</v>
      </c>
      <c r="D17" s="27" t="str">
        <f t="shared" ref="D17:D30" si="9">$M$12</f>
        <v>BatchOut_160405_r3979_T24Other\XML\</v>
      </c>
      <c r="E17" s="9" t="str">
        <f t="shared" ref="E17:E27" si="10">M17</f>
        <v>021113-OffSml-VRFSysHR</v>
      </c>
      <c r="F17" s="22"/>
      <c r="G17" s="29"/>
      <c r="H17" s="23"/>
      <c r="I17" s="9" t="s">
        <v>11</v>
      </c>
      <c r="J17" s="9" t="str">
        <f t="shared" ref="J17:J30" si="11">CONCATENATE(AN17,AO17,AP17,AQ17,AR17,AS17,AT17,AU17,AV17,AW17,AX17,AY17,AZ17,BA17,BB17,BC17,BD17,BE17,BF17,BG17,BH17,BI17,BJ17,BK17)</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7" s="15" t="s">
        <v>1</v>
      </c>
      <c r="L17" s="36">
        <f>L16</f>
        <v>1</v>
      </c>
      <c r="M17" s="32" t="str">
        <f t="shared" ref="M17:M29" si="12">N17</f>
        <v>021113-OffSml-VRFSysHR</v>
      </c>
      <c r="N17" s="28" t="s">
        <v>385</v>
      </c>
      <c r="O17" s="57" t="str">
        <f t="shared" ref="O17:O28" si="13">N17</f>
        <v>021113-OffSml-VRFSysHR</v>
      </c>
      <c r="P17" s="63">
        <f>P16</f>
        <v>2</v>
      </c>
      <c r="Q17" s="65">
        <f t="shared" ref="Q17:T17" si="14">Q16</f>
        <v>1</v>
      </c>
      <c r="R17" s="65">
        <f t="shared" si="14"/>
        <v>0</v>
      </c>
      <c r="S17" s="65">
        <f t="shared" si="14"/>
        <v>1</v>
      </c>
      <c r="T17" s="65">
        <f t="shared" si="14"/>
        <v>0</v>
      </c>
      <c r="U17" s="65">
        <f>U16</f>
        <v>11</v>
      </c>
      <c r="V17" s="65">
        <f>V16</f>
        <v>11</v>
      </c>
      <c r="W17" s="65">
        <f>W16</f>
        <v>1</v>
      </c>
      <c r="X17" s="65">
        <f t="shared" ref="X17:AH30" si="15">X16</f>
        <v>0</v>
      </c>
      <c r="Y17" s="65">
        <f t="shared" si="15"/>
        <v>0</v>
      </c>
      <c r="Z17" s="65">
        <f t="shared" si="15"/>
        <v>0</v>
      </c>
      <c r="AA17" s="65">
        <f t="shared" si="15"/>
        <v>0</v>
      </c>
      <c r="AB17" s="65">
        <f t="shared" si="15"/>
        <v>1</v>
      </c>
      <c r="AC17" s="65">
        <f t="shared" si="15"/>
        <v>1</v>
      </c>
      <c r="AD17" s="65">
        <f>AD16</f>
        <v>1</v>
      </c>
      <c r="AE17" s="63">
        <f>AE16</f>
        <v>0</v>
      </c>
      <c r="AF17" s="64">
        <f>AF16</f>
        <v>0</v>
      </c>
      <c r="AG17" s="64">
        <f t="shared" ref="AG17:AM30" si="16">AG16</f>
        <v>0</v>
      </c>
      <c r="AH17" s="64">
        <f t="shared" si="16"/>
        <v>0</v>
      </c>
      <c r="AI17" s="66">
        <f t="shared" si="16"/>
        <v>0</v>
      </c>
      <c r="AJ17" s="63">
        <f>AJ16</f>
        <v>0</v>
      </c>
      <c r="AK17" s="64">
        <f>AK16</f>
        <v>0</v>
      </c>
      <c r="AL17" s="65">
        <f t="shared" ref="AL17:AM17" si="17">AL16</f>
        <v>0</v>
      </c>
      <c r="AM17" s="66">
        <f t="shared" si="17"/>
        <v>0</v>
      </c>
      <c r="AN17" s="31" t="str">
        <f t="shared" si="5"/>
        <v>SimulationStorage,2,</v>
      </c>
      <c r="AO17" s="31" t="str">
        <f t="shared" si="5"/>
        <v>AnalysisStorage,1,</v>
      </c>
      <c r="AP17" s="31" t="str">
        <f t="shared" si="5"/>
        <v>LogRuleEvaluation,0,</v>
      </c>
      <c r="AQ17" s="31" t="str">
        <f t="shared" si="5"/>
        <v>ParallelSimulations,1,</v>
      </c>
      <c r="AR17" s="31" t="str">
        <f t="shared" si="5"/>
        <v>DurationStats,0,</v>
      </c>
      <c r="AS17" s="31" t="str">
        <f t="shared" si="5"/>
        <v>AnalysisThruStep,11,</v>
      </c>
      <c r="AT17" s="31" t="str">
        <f t="shared" si="5"/>
        <v>DontAbortOnErrorsThruStep,11,</v>
      </c>
      <c r="AU17" s="31" t="str">
        <f t="shared" si="5"/>
        <v>BypassValidFileChecks,1,</v>
      </c>
      <c r="AV17" s="31" t="str">
        <f t="shared" si="5"/>
        <v>BypassInputChecks,0,</v>
      </c>
      <c r="AW17" s="31" t="str">
        <f t="shared" si="5"/>
        <v>BypassUMLHChecks,0,</v>
      </c>
      <c r="AX17" s="31" t="str">
        <f>Z$12&amp;Z17&amp;","</f>
        <v>BypassCheckSimRules,0,</v>
      </c>
      <c r="AY17" s="31" t="str">
        <f>AA$12&amp;AA17&amp;","</f>
        <v>BypassCheckCodeRules,0,</v>
      </c>
      <c r="BA17" s="31" t="str">
        <f t="shared" si="5"/>
        <v>StoreBEMDetails,1,</v>
      </c>
      <c r="BB17" s="31" t="str">
        <f t="shared" si="5"/>
        <v>ModelRpt_ALL,1,</v>
      </c>
      <c r="BC17" s="31" t="str">
        <f t="shared" si="5"/>
        <v>BypassOpenStudio_all,0,</v>
      </c>
      <c r="BD17" s="31" t="str">
        <f t="shared" si="6"/>
        <v>BypassOpenStudio_zp,0,</v>
      </c>
      <c r="BE17" s="31" t="str">
        <f t="shared" si="6"/>
        <v>BypassOpenStudio_zb,0,</v>
      </c>
      <c r="BF17" s="31" t="str">
        <f t="shared" si="6"/>
        <v>BypassOpenStudio_ap,0,</v>
      </c>
      <c r="BG17" s="31" t="str">
        <f t="shared" si="6"/>
        <v>BypassOpenStudio_ab,0,</v>
      </c>
      <c r="BH17" s="31" t="str">
        <f t="shared" si="6"/>
        <v>BypassOpenStudio_zp,0,</v>
      </c>
      <c r="BI17" s="31" t="str">
        <f t="shared" si="6"/>
        <v>BypassOpenStudio_zb,0,</v>
      </c>
      <c r="BJ17" s="31" t="str">
        <f t="shared" si="6"/>
        <v>BypassOpenStudio_ap,0,</v>
      </c>
      <c r="BK17" s="31" t="str">
        <f>AM$12&amp;AM17</f>
        <v>BypassOpenStudio_ab,0</v>
      </c>
      <c r="BN17"/>
      <c r="BO17"/>
    </row>
    <row r="18" spans="1:67" x14ac:dyDescent="0.25">
      <c r="A18" s="39">
        <f t="shared" si="7"/>
        <v>1</v>
      </c>
      <c r="B18" s="27" t="str">
        <f t="shared" si="8"/>
        <v>VRFTests\021213-OffSml-Office_SZHP.cibd</v>
      </c>
      <c r="C18" s="27" t="str">
        <f t="shared" si="4"/>
        <v>BatchOut_160405_r3979_T24Other\021213-OffSml-Office_SZHP.cibd</v>
      </c>
      <c r="D18" s="27" t="str">
        <f t="shared" si="9"/>
        <v>BatchOut_160405_r3979_T24Other\XML\</v>
      </c>
      <c r="E18" s="9" t="str">
        <f t="shared" si="10"/>
        <v>021213-OffSml-Office_SZHP</v>
      </c>
      <c r="F18" s="22"/>
      <c r="G18" s="29"/>
      <c r="H18" s="23"/>
      <c r="I18" s="9" t="s">
        <v>11</v>
      </c>
      <c r="J18"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8" s="15" t="s">
        <v>1</v>
      </c>
      <c r="L18" s="36">
        <f t="shared" ref="L18:L30" si="18">L17</f>
        <v>1</v>
      </c>
      <c r="M18" s="32" t="str">
        <f t="shared" si="12"/>
        <v>021213-OffSml-Office_SZHP</v>
      </c>
      <c r="N18" s="28" t="s">
        <v>386</v>
      </c>
      <c r="O18" s="57" t="str">
        <f t="shared" si="13"/>
        <v>021213-OffSml-Office_SZHP</v>
      </c>
      <c r="P18" s="63">
        <f t="shared" ref="P18:AB30" si="19">P17</f>
        <v>2</v>
      </c>
      <c r="Q18" s="65">
        <f t="shared" si="19"/>
        <v>1</v>
      </c>
      <c r="R18" s="65">
        <f t="shared" si="19"/>
        <v>0</v>
      </c>
      <c r="S18" s="65">
        <f t="shared" si="19"/>
        <v>1</v>
      </c>
      <c r="T18" s="65">
        <f t="shared" si="19"/>
        <v>0</v>
      </c>
      <c r="U18" s="65">
        <f t="shared" si="19"/>
        <v>11</v>
      </c>
      <c r="V18" s="65">
        <f t="shared" si="19"/>
        <v>11</v>
      </c>
      <c r="W18" s="65">
        <f t="shared" si="19"/>
        <v>1</v>
      </c>
      <c r="X18" s="65">
        <f t="shared" si="19"/>
        <v>0</v>
      </c>
      <c r="Y18" s="65">
        <f t="shared" si="19"/>
        <v>0</v>
      </c>
      <c r="Z18" s="65">
        <f t="shared" si="19"/>
        <v>0</v>
      </c>
      <c r="AA18" s="65">
        <f t="shared" si="19"/>
        <v>0</v>
      </c>
      <c r="AB18" s="65">
        <f t="shared" si="19"/>
        <v>1</v>
      </c>
      <c r="AC18" s="65">
        <f t="shared" si="15"/>
        <v>1</v>
      </c>
      <c r="AD18" s="65">
        <f t="shared" si="15"/>
        <v>1</v>
      </c>
      <c r="AE18" s="63">
        <f t="shared" si="15"/>
        <v>0</v>
      </c>
      <c r="AF18" s="64">
        <f t="shared" si="15"/>
        <v>0</v>
      </c>
      <c r="AG18" s="64">
        <f t="shared" si="15"/>
        <v>0</v>
      </c>
      <c r="AH18" s="64">
        <f t="shared" si="15"/>
        <v>0</v>
      </c>
      <c r="AI18" s="66">
        <f t="shared" si="16"/>
        <v>0</v>
      </c>
      <c r="AJ18" s="63">
        <f t="shared" si="16"/>
        <v>0</v>
      </c>
      <c r="AK18" s="64">
        <f t="shared" si="16"/>
        <v>0</v>
      </c>
      <c r="AL18" s="65">
        <f t="shared" si="16"/>
        <v>0</v>
      </c>
      <c r="AM18" s="66">
        <f t="shared" si="16"/>
        <v>0</v>
      </c>
      <c r="AN18" s="31" t="str">
        <f t="shared" si="5"/>
        <v>SimulationStorage,2,</v>
      </c>
      <c r="AO18" s="31" t="str">
        <f t="shared" si="5"/>
        <v>AnalysisStorage,1,</v>
      </c>
      <c r="AP18" s="31" t="str">
        <f t="shared" si="5"/>
        <v>LogRuleEvaluation,0,</v>
      </c>
      <c r="AQ18" s="31" t="str">
        <f t="shared" si="5"/>
        <v>ParallelSimulations,1,</v>
      </c>
      <c r="AR18" s="31" t="str">
        <f t="shared" si="5"/>
        <v>DurationStats,0,</v>
      </c>
      <c r="AS18" s="31" t="str">
        <f t="shared" si="5"/>
        <v>AnalysisThruStep,11,</v>
      </c>
      <c r="AT18" s="31" t="str">
        <f t="shared" si="5"/>
        <v>DontAbortOnErrorsThruStep,11,</v>
      </c>
      <c r="AU18" s="31" t="str">
        <f t="shared" si="5"/>
        <v>BypassValidFileChecks,1,</v>
      </c>
      <c r="AV18" s="31" t="str">
        <f t="shared" si="5"/>
        <v>BypassInputChecks,0,</v>
      </c>
      <c r="AW18" s="31" t="str">
        <f t="shared" si="5"/>
        <v>BypassUMLHChecks,0,</v>
      </c>
      <c r="AX18" s="31" t="str">
        <f t="shared" si="5"/>
        <v>BypassCheckSimRules,0,</v>
      </c>
      <c r="AY18" s="31" t="str">
        <f t="shared" si="5"/>
        <v>BypassCheckCodeRules,0,</v>
      </c>
      <c r="BA18" s="31" t="str">
        <f t="shared" si="5"/>
        <v>StoreBEMDetails,1,</v>
      </c>
      <c r="BB18" s="31" t="str">
        <f t="shared" si="5"/>
        <v>ModelRpt_ALL,1,</v>
      </c>
      <c r="BC18" s="31" t="str">
        <f t="shared" si="5"/>
        <v>BypassOpenStudio_all,0,</v>
      </c>
      <c r="BD18" s="31" t="str">
        <f t="shared" si="6"/>
        <v>BypassOpenStudio_zp,0,</v>
      </c>
      <c r="BE18" s="31" t="str">
        <f t="shared" si="6"/>
        <v>BypassOpenStudio_zb,0,</v>
      </c>
      <c r="BF18" s="31" t="str">
        <f t="shared" si="6"/>
        <v>BypassOpenStudio_ap,0,</v>
      </c>
      <c r="BG18" s="31" t="str">
        <f t="shared" si="6"/>
        <v>BypassOpenStudio_ab,0,</v>
      </c>
      <c r="BH18" s="31" t="str">
        <f t="shared" si="6"/>
        <v>BypassOpenStudio_zp,0,</v>
      </c>
      <c r="BI18" s="31" t="str">
        <f t="shared" si="6"/>
        <v>BypassOpenStudio_zb,0,</v>
      </c>
      <c r="BJ18" s="31" t="str">
        <f t="shared" si="6"/>
        <v>BypassOpenStudio_ap,0,</v>
      </c>
      <c r="BK18" s="31" t="str">
        <f t="shared" ref="BK18:BK30" si="20">AM$12&amp;AM18</f>
        <v>BypassOpenStudio_ab,0</v>
      </c>
    </row>
    <row r="19" spans="1:67" x14ac:dyDescent="0.25">
      <c r="A19" s="39">
        <f t="shared" si="7"/>
        <v>1</v>
      </c>
      <c r="B19" s="27" t="str">
        <f t="shared" si="8"/>
        <v>VRFTests\021015-OffSml-VRFSys.cibd</v>
      </c>
      <c r="C19" s="27" t="str">
        <f t="shared" si="4"/>
        <v>BatchOut_160405_r3979_T24Other\021015-OffSml-VRFSys.cibd</v>
      </c>
      <c r="D19" s="27" t="str">
        <f t="shared" si="9"/>
        <v>BatchOut_160405_r3979_T24Other\XML\</v>
      </c>
      <c r="E19" s="9" t="str">
        <f t="shared" si="10"/>
        <v>021015-OffSml-VRFSys</v>
      </c>
      <c r="F19" s="22"/>
      <c r="G19" s="29"/>
      <c r="H19" s="23"/>
      <c r="I19" s="9" t="s">
        <v>11</v>
      </c>
      <c r="J19"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9" s="15" t="s">
        <v>1</v>
      </c>
      <c r="L19" s="36">
        <f t="shared" si="18"/>
        <v>1</v>
      </c>
      <c r="M19" s="32" t="str">
        <f t="shared" si="12"/>
        <v>021015-OffSml-VRFSys</v>
      </c>
      <c r="N19" s="28" t="s">
        <v>387</v>
      </c>
      <c r="O19" s="57" t="str">
        <f t="shared" si="13"/>
        <v>021015-OffSml-VRFSys</v>
      </c>
      <c r="P19" s="63">
        <f t="shared" si="19"/>
        <v>2</v>
      </c>
      <c r="Q19" s="65">
        <f t="shared" si="19"/>
        <v>1</v>
      </c>
      <c r="R19" s="65">
        <f t="shared" si="19"/>
        <v>0</v>
      </c>
      <c r="S19" s="65">
        <f t="shared" si="19"/>
        <v>1</v>
      </c>
      <c r="T19" s="65">
        <f t="shared" si="19"/>
        <v>0</v>
      </c>
      <c r="U19" s="65">
        <f t="shared" si="19"/>
        <v>11</v>
      </c>
      <c r="V19" s="65">
        <f t="shared" si="19"/>
        <v>11</v>
      </c>
      <c r="W19" s="65">
        <f t="shared" si="19"/>
        <v>1</v>
      </c>
      <c r="X19" s="65">
        <f t="shared" si="19"/>
        <v>0</v>
      </c>
      <c r="Y19" s="65">
        <f t="shared" si="19"/>
        <v>0</v>
      </c>
      <c r="Z19" s="65">
        <f t="shared" si="19"/>
        <v>0</v>
      </c>
      <c r="AA19" s="65">
        <f t="shared" si="19"/>
        <v>0</v>
      </c>
      <c r="AB19" s="65">
        <f t="shared" si="19"/>
        <v>1</v>
      </c>
      <c r="AC19" s="65">
        <f t="shared" si="15"/>
        <v>1</v>
      </c>
      <c r="AD19" s="65">
        <f t="shared" si="15"/>
        <v>1</v>
      </c>
      <c r="AE19" s="63">
        <f t="shared" si="15"/>
        <v>0</v>
      </c>
      <c r="AF19" s="64">
        <f t="shared" si="15"/>
        <v>0</v>
      </c>
      <c r="AG19" s="64">
        <f t="shared" si="15"/>
        <v>0</v>
      </c>
      <c r="AH19" s="64">
        <f t="shared" si="15"/>
        <v>0</v>
      </c>
      <c r="AI19" s="66">
        <f t="shared" si="16"/>
        <v>0</v>
      </c>
      <c r="AJ19" s="63">
        <f t="shared" si="16"/>
        <v>0</v>
      </c>
      <c r="AK19" s="64">
        <f t="shared" si="16"/>
        <v>0</v>
      </c>
      <c r="AL19" s="65">
        <f t="shared" si="16"/>
        <v>0</v>
      </c>
      <c r="AM19" s="66">
        <f t="shared" si="16"/>
        <v>0</v>
      </c>
      <c r="AN19" s="31" t="str">
        <f t="shared" si="5"/>
        <v>SimulationStorage,2,</v>
      </c>
      <c r="AO19" s="31" t="str">
        <f t="shared" si="5"/>
        <v>AnalysisStorage,1,</v>
      </c>
      <c r="AP19" s="31" t="str">
        <f t="shared" si="5"/>
        <v>LogRuleEvaluation,0,</v>
      </c>
      <c r="AQ19" s="31" t="str">
        <f t="shared" si="5"/>
        <v>ParallelSimulations,1,</v>
      </c>
      <c r="AR19" s="31" t="str">
        <f t="shared" si="5"/>
        <v>DurationStats,0,</v>
      </c>
      <c r="AS19" s="31" t="str">
        <f t="shared" si="5"/>
        <v>AnalysisThruStep,11,</v>
      </c>
      <c r="AT19" s="31" t="str">
        <f t="shared" si="5"/>
        <v>DontAbortOnErrorsThruStep,11,</v>
      </c>
      <c r="AU19" s="31" t="str">
        <f t="shared" si="5"/>
        <v>BypassValidFileChecks,1,</v>
      </c>
      <c r="AV19" s="31" t="str">
        <f t="shared" si="5"/>
        <v>BypassInputChecks,0,</v>
      </c>
      <c r="AW19" s="31" t="str">
        <f t="shared" si="5"/>
        <v>BypassUMLHChecks,0,</v>
      </c>
      <c r="AX19" s="31" t="str">
        <f t="shared" si="5"/>
        <v>BypassCheckSimRules,0,</v>
      </c>
      <c r="AY19" s="31" t="str">
        <f t="shared" si="5"/>
        <v>BypassCheckCodeRules,0,</v>
      </c>
      <c r="BA19" s="31" t="str">
        <f t="shared" si="5"/>
        <v>StoreBEMDetails,1,</v>
      </c>
      <c r="BB19" s="31" t="str">
        <f t="shared" si="5"/>
        <v>ModelRpt_ALL,1,</v>
      </c>
      <c r="BC19" s="31" t="str">
        <f t="shared" si="5"/>
        <v>BypassOpenStudio_all,0,</v>
      </c>
      <c r="BD19" s="31" t="str">
        <f t="shared" si="6"/>
        <v>BypassOpenStudio_zp,0,</v>
      </c>
      <c r="BE19" s="31" t="str">
        <f t="shared" si="6"/>
        <v>BypassOpenStudio_zb,0,</v>
      </c>
      <c r="BF19" s="31" t="str">
        <f t="shared" si="6"/>
        <v>BypassOpenStudio_ap,0,</v>
      </c>
      <c r="BG19" s="31" t="str">
        <f t="shared" si="6"/>
        <v>BypassOpenStudio_ab,0,</v>
      </c>
      <c r="BH19" s="31" t="str">
        <f t="shared" si="6"/>
        <v>BypassOpenStudio_zp,0,</v>
      </c>
      <c r="BI19" s="31" t="str">
        <f t="shared" si="6"/>
        <v>BypassOpenStudio_zb,0,</v>
      </c>
      <c r="BJ19" s="31" t="str">
        <f t="shared" si="6"/>
        <v>BypassOpenStudio_ap,0,</v>
      </c>
      <c r="BK19" s="31" t="str">
        <f t="shared" si="20"/>
        <v>BypassOpenStudio_ab,0</v>
      </c>
    </row>
    <row r="20" spans="1:67" x14ac:dyDescent="0.25">
      <c r="A20" s="39">
        <f t="shared" si="7"/>
        <v>1</v>
      </c>
      <c r="B20" s="27" t="str">
        <f t="shared" si="8"/>
        <v>VRFTests\021115-OffSml-VRFSysHR.cibd</v>
      </c>
      <c r="C20" s="27" t="str">
        <f t="shared" si="4"/>
        <v>BatchOut_160405_r3979_T24Other\021115-OffSml-VRFSysHR.cibd</v>
      </c>
      <c r="D20" s="27" t="str">
        <f t="shared" si="9"/>
        <v>BatchOut_160405_r3979_T24Other\XML\</v>
      </c>
      <c r="E20" s="9" t="str">
        <f t="shared" si="10"/>
        <v>021115-OffSml-VRFSysHR</v>
      </c>
      <c r="F20" s="22"/>
      <c r="G20" s="29"/>
      <c r="H20" s="23"/>
      <c r="I20" s="9" t="s">
        <v>11</v>
      </c>
      <c r="J20"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0" s="15" t="s">
        <v>1</v>
      </c>
      <c r="L20" s="36">
        <f t="shared" si="18"/>
        <v>1</v>
      </c>
      <c r="M20" s="32" t="str">
        <f t="shared" si="12"/>
        <v>021115-OffSml-VRFSysHR</v>
      </c>
      <c r="N20" s="28" t="s">
        <v>388</v>
      </c>
      <c r="O20" s="57" t="str">
        <f t="shared" si="13"/>
        <v>021115-OffSml-VRFSysHR</v>
      </c>
      <c r="P20" s="63">
        <f t="shared" si="19"/>
        <v>2</v>
      </c>
      <c r="Q20" s="65">
        <f t="shared" si="19"/>
        <v>1</v>
      </c>
      <c r="R20" s="65">
        <f t="shared" si="19"/>
        <v>0</v>
      </c>
      <c r="S20" s="65">
        <f t="shared" si="19"/>
        <v>1</v>
      </c>
      <c r="T20" s="65">
        <f t="shared" si="19"/>
        <v>0</v>
      </c>
      <c r="U20" s="65">
        <f t="shared" si="19"/>
        <v>11</v>
      </c>
      <c r="V20" s="65">
        <f t="shared" si="19"/>
        <v>11</v>
      </c>
      <c r="W20" s="65">
        <f t="shared" si="19"/>
        <v>1</v>
      </c>
      <c r="X20" s="65">
        <f t="shared" si="19"/>
        <v>0</v>
      </c>
      <c r="Y20" s="65">
        <f t="shared" si="19"/>
        <v>0</v>
      </c>
      <c r="Z20" s="65">
        <f t="shared" si="19"/>
        <v>0</v>
      </c>
      <c r="AA20" s="65">
        <f t="shared" si="19"/>
        <v>0</v>
      </c>
      <c r="AB20" s="65">
        <f t="shared" si="19"/>
        <v>1</v>
      </c>
      <c r="AC20" s="65">
        <f t="shared" si="15"/>
        <v>1</v>
      </c>
      <c r="AD20" s="65">
        <f t="shared" si="15"/>
        <v>1</v>
      </c>
      <c r="AE20" s="63">
        <f t="shared" si="15"/>
        <v>0</v>
      </c>
      <c r="AF20" s="64">
        <f t="shared" si="15"/>
        <v>0</v>
      </c>
      <c r="AG20" s="64">
        <f t="shared" si="15"/>
        <v>0</v>
      </c>
      <c r="AH20" s="64">
        <f t="shared" si="15"/>
        <v>0</v>
      </c>
      <c r="AI20" s="66">
        <f t="shared" si="16"/>
        <v>0</v>
      </c>
      <c r="AJ20" s="63">
        <f t="shared" si="16"/>
        <v>0</v>
      </c>
      <c r="AK20" s="64">
        <f t="shared" si="16"/>
        <v>0</v>
      </c>
      <c r="AL20" s="65">
        <f t="shared" si="16"/>
        <v>0</v>
      </c>
      <c r="AM20" s="66">
        <f t="shared" si="16"/>
        <v>0</v>
      </c>
      <c r="AN20" s="31" t="str">
        <f t="shared" si="5"/>
        <v>SimulationStorage,2,</v>
      </c>
      <c r="AO20" s="31" t="str">
        <f t="shared" si="5"/>
        <v>AnalysisStorage,1,</v>
      </c>
      <c r="AP20" s="31" t="str">
        <f t="shared" si="5"/>
        <v>LogRuleEvaluation,0,</v>
      </c>
      <c r="AQ20" s="31" t="str">
        <f t="shared" si="5"/>
        <v>ParallelSimulations,1,</v>
      </c>
      <c r="AR20" s="31" t="str">
        <f t="shared" si="5"/>
        <v>DurationStats,0,</v>
      </c>
      <c r="AS20" s="31" t="str">
        <f t="shared" si="5"/>
        <v>AnalysisThruStep,11,</v>
      </c>
      <c r="AT20" s="31" t="str">
        <f t="shared" si="5"/>
        <v>DontAbortOnErrorsThruStep,11,</v>
      </c>
      <c r="AU20" s="31" t="str">
        <f t="shared" si="5"/>
        <v>BypassValidFileChecks,1,</v>
      </c>
      <c r="AV20" s="31" t="str">
        <f t="shared" si="5"/>
        <v>BypassInputChecks,0,</v>
      </c>
      <c r="AW20" s="31" t="str">
        <f t="shared" si="5"/>
        <v>BypassUMLHChecks,0,</v>
      </c>
      <c r="AX20" s="31" t="str">
        <f t="shared" si="5"/>
        <v>BypassCheckSimRules,0,</v>
      </c>
      <c r="AY20" s="31" t="str">
        <f t="shared" si="5"/>
        <v>BypassCheckCodeRules,0,</v>
      </c>
      <c r="BA20" s="31" t="str">
        <f t="shared" si="5"/>
        <v>StoreBEMDetails,1,</v>
      </c>
      <c r="BB20" s="31" t="str">
        <f t="shared" si="5"/>
        <v>ModelRpt_ALL,1,</v>
      </c>
      <c r="BC20" s="31" t="str">
        <f t="shared" si="5"/>
        <v>BypassOpenStudio_all,0,</v>
      </c>
      <c r="BD20" s="31" t="str">
        <f t="shared" si="6"/>
        <v>BypassOpenStudio_zp,0,</v>
      </c>
      <c r="BE20" s="31" t="str">
        <f t="shared" si="6"/>
        <v>BypassOpenStudio_zb,0,</v>
      </c>
      <c r="BF20" s="31" t="str">
        <f t="shared" si="6"/>
        <v>BypassOpenStudio_ap,0,</v>
      </c>
      <c r="BG20" s="31" t="str">
        <f t="shared" si="6"/>
        <v>BypassOpenStudio_ab,0,</v>
      </c>
      <c r="BH20" s="31" t="str">
        <f t="shared" si="6"/>
        <v>BypassOpenStudio_zp,0,</v>
      </c>
      <c r="BI20" s="31" t="str">
        <f t="shared" si="6"/>
        <v>BypassOpenStudio_zb,0,</v>
      </c>
      <c r="BJ20" s="31" t="str">
        <f t="shared" si="6"/>
        <v>BypassOpenStudio_ap,0,</v>
      </c>
      <c r="BK20" s="31" t="str">
        <f t="shared" si="20"/>
        <v>BypassOpenStudio_ab,0</v>
      </c>
    </row>
    <row r="21" spans="1:67" x14ac:dyDescent="0.25">
      <c r="A21" s="39">
        <f t="shared" si="7"/>
        <v>1</v>
      </c>
      <c r="B21" s="27" t="str">
        <f t="shared" si="8"/>
        <v>VRFTests\021215-OffSml-Office_SZHP.cibd</v>
      </c>
      <c r="C21" s="27" t="str">
        <f t="shared" si="4"/>
        <v>BatchOut_160405_r3979_T24Other\021215-OffSml-Office_SZHP.cibd</v>
      </c>
      <c r="D21" s="27" t="str">
        <f t="shared" si="9"/>
        <v>BatchOut_160405_r3979_T24Other\XML\</v>
      </c>
      <c r="E21" s="9" t="str">
        <f t="shared" si="10"/>
        <v>021215-OffSml-Office_SZHP</v>
      </c>
      <c r="F21" s="22"/>
      <c r="G21" s="29"/>
      <c r="H21" s="23"/>
      <c r="I21" s="9" t="s">
        <v>11</v>
      </c>
      <c r="J21"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1" s="15" t="s">
        <v>1</v>
      </c>
      <c r="L21" s="36">
        <f t="shared" si="18"/>
        <v>1</v>
      </c>
      <c r="M21" s="32" t="str">
        <f t="shared" si="12"/>
        <v>021215-OffSml-Office_SZHP</v>
      </c>
      <c r="N21" s="28" t="s">
        <v>389</v>
      </c>
      <c r="O21" s="57" t="str">
        <f t="shared" si="13"/>
        <v>021215-OffSml-Office_SZHP</v>
      </c>
      <c r="P21" s="63">
        <f t="shared" si="19"/>
        <v>2</v>
      </c>
      <c r="Q21" s="65">
        <f t="shared" si="19"/>
        <v>1</v>
      </c>
      <c r="R21" s="65">
        <f t="shared" si="19"/>
        <v>0</v>
      </c>
      <c r="S21" s="65">
        <f t="shared" si="19"/>
        <v>1</v>
      </c>
      <c r="T21" s="65">
        <f t="shared" si="19"/>
        <v>0</v>
      </c>
      <c r="U21" s="65">
        <f t="shared" si="19"/>
        <v>11</v>
      </c>
      <c r="V21" s="65">
        <f t="shared" si="19"/>
        <v>11</v>
      </c>
      <c r="W21" s="65">
        <f t="shared" si="19"/>
        <v>1</v>
      </c>
      <c r="X21" s="65">
        <f t="shared" si="19"/>
        <v>0</v>
      </c>
      <c r="Y21" s="65">
        <f t="shared" si="19"/>
        <v>0</v>
      </c>
      <c r="Z21" s="65">
        <f t="shared" si="19"/>
        <v>0</v>
      </c>
      <c r="AA21" s="65">
        <f t="shared" si="19"/>
        <v>0</v>
      </c>
      <c r="AB21" s="65">
        <f t="shared" si="19"/>
        <v>1</v>
      </c>
      <c r="AC21" s="65">
        <f t="shared" si="15"/>
        <v>1</v>
      </c>
      <c r="AD21" s="65">
        <f t="shared" si="15"/>
        <v>1</v>
      </c>
      <c r="AE21" s="63">
        <f t="shared" si="15"/>
        <v>0</v>
      </c>
      <c r="AF21" s="64">
        <f t="shared" si="15"/>
        <v>0</v>
      </c>
      <c r="AG21" s="64">
        <f t="shared" si="15"/>
        <v>0</v>
      </c>
      <c r="AH21" s="64">
        <f t="shared" si="15"/>
        <v>0</v>
      </c>
      <c r="AI21" s="66">
        <f t="shared" si="16"/>
        <v>0</v>
      </c>
      <c r="AJ21" s="63">
        <f t="shared" si="16"/>
        <v>0</v>
      </c>
      <c r="AK21" s="64">
        <f t="shared" si="16"/>
        <v>0</v>
      </c>
      <c r="AL21" s="65">
        <f t="shared" si="16"/>
        <v>0</v>
      </c>
      <c r="AM21" s="66">
        <f t="shared" si="16"/>
        <v>0</v>
      </c>
      <c r="AN21" s="31" t="str">
        <f t="shared" si="5"/>
        <v>SimulationStorage,2,</v>
      </c>
      <c r="AO21" s="31" t="str">
        <f t="shared" si="5"/>
        <v>AnalysisStorage,1,</v>
      </c>
      <c r="AP21" s="31" t="str">
        <f t="shared" si="5"/>
        <v>LogRuleEvaluation,0,</v>
      </c>
      <c r="AQ21" s="31" t="str">
        <f t="shared" si="5"/>
        <v>ParallelSimulations,1,</v>
      </c>
      <c r="AR21" s="31" t="str">
        <f t="shared" si="5"/>
        <v>DurationStats,0,</v>
      </c>
      <c r="AS21" s="31" t="str">
        <f t="shared" si="5"/>
        <v>AnalysisThruStep,11,</v>
      </c>
      <c r="AT21" s="31" t="str">
        <f t="shared" si="5"/>
        <v>DontAbortOnErrorsThruStep,11,</v>
      </c>
      <c r="AU21" s="31" t="str">
        <f t="shared" si="5"/>
        <v>BypassValidFileChecks,1,</v>
      </c>
      <c r="AV21" s="31" t="str">
        <f t="shared" si="5"/>
        <v>BypassInputChecks,0,</v>
      </c>
      <c r="AW21" s="31" t="str">
        <f t="shared" si="5"/>
        <v>BypassUMLHChecks,0,</v>
      </c>
      <c r="AX21" s="31" t="str">
        <f t="shared" si="5"/>
        <v>BypassCheckSimRules,0,</v>
      </c>
      <c r="AY21" s="31" t="str">
        <f t="shared" si="5"/>
        <v>BypassCheckCodeRules,0,</v>
      </c>
      <c r="BA21" s="31" t="str">
        <f t="shared" si="5"/>
        <v>StoreBEMDetails,1,</v>
      </c>
      <c r="BB21" s="31" t="str">
        <f t="shared" si="5"/>
        <v>ModelRpt_ALL,1,</v>
      </c>
      <c r="BC21" s="31" t="str">
        <f t="shared" si="5"/>
        <v>BypassOpenStudio_all,0,</v>
      </c>
      <c r="BD21" s="31" t="str">
        <f t="shared" si="6"/>
        <v>BypassOpenStudio_zp,0,</v>
      </c>
      <c r="BE21" s="31" t="str">
        <f t="shared" si="6"/>
        <v>BypassOpenStudio_zb,0,</v>
      </c>
      <c r="BF21" s="31" t="str">
        <f t="shared" si="6"/>
        <v>BypassOpenStudio_ap,0,</v>
      </c>
      <c r="BG21" s="31" t="str">
        <f t="shared" si="6"/>
        <v>BypassOpenStudio_ab,0,</v>
      </c>
      <c r="BH21" s="31" t="str">
        <f t="shared" si="6"/>
        <v>BypassOpenStudio_zp,0,</v>
      </c>
      <c r="BI21" s="31" t="str">
        <f t="shared" si="6"/>
        <v>BypassOpenStudio_zb,0,</v>
      </c>
      <c r="BJ21" s="31" t="str">
        <f t="shared" si="6"/>
        <v>BypassOpenStudio_ap,0,</v>
      </c>
      <c r="BK21" s="31" t="str">
        <f t="shared" si="20"/>
        <v>BypassOpenStudio_ab,0</v>
      </c>
    </row>
    <row r="22" spans="1:67" x14ac:dyDescent="0.25">
      <c r="A22" s="39">
        <f t="shared" si="7"/>
        <v>1</v>
      </c>
      <c r="B22" s="27" t="str">
        <f t="shared" si="8"/>
        <v>VRFTests\021016-OffSml-VRFSys.cibd</v>
      </c>
      <c r="C22" s="27" t="str">
        <f t="shared" si="4"/>
        <v>BatchOut_160405_r3979_T24Other\021016-OffSml-VRFSys.cibd</v>
      </c>
      <c r="D22" s="27" t="str">
        <f t="shared" si="9"/>
        <v>BatchOut_160405_r3979_T24Other\XML\</v>
      </c>
      <c r="E22" s="9" t="str">
        <f t="shared" si="10"/>
        <v>021016-OffSml-VRFSys</v>
      </c>
      <c r="F22" s="22"/>
      <c r="G22" s="29"/>
      <c r="H22" s="23"/>
      <c r="I22" s="9" t="s">
        <v>11</v>
      </c>
      <c r="J22"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2" s="15" t="s">
        <v>1</v>
      </c>
      <c r="L22" s="36">
        <f t="shared" si="18"/>
        <v>1</v>
      </c>
      <c r="M22" s="32" t="str">
        <f t="shared" si="12"/>
        <v>021016-OffSml-VRFSys</v>
      </c>
      <c r="N22" s="28" t="s">
        <v>390</v>
      </c>
      <c r="O22" s="57" t="str">
        <f t="shared" si="13"/>
        <v>021016-OffSml-VRFSys</v>
      </c>
      <c r="P22" s="63">
        <f t="shared" si="19"/>
        <v>2</v>
      </c>
      <c r="Q22" s="65">
        <f t="shared" si="19"/>
        <v>1</v>
      </c>
      <c r="R22" s="65">
        <f t="shared" si="19"/>
        <v>0</v>
      </c>
      <c r="S22" s="65">
        <f t="shared" si="19"/>
        <v>1</v>
      </c>
      <c r="T22" s="65">
        <f t="shared" si="19"/>
        <v>0</v>
      </c>
      <c r="U22" s="65">
        <f t="shared" si="19"/>
        <v>11</v>
      </c>
      <c r="V22" s="65">
        <f t="shared" si="19"/>
        <v>11</v>
      </c>
      <c r="W22" s="65">
        <f t="shared" si="19"/>
        <v>1</v>
      </c>
      <c r="X22" s="65">
        <f t="shared" si="19"/>
        <v>0</v>
      </c>
      <c r="Y22" s="65">
        <f t="shared" si="19"/>
        <v>0</v>
      </c>
      <c r="Z22" s="65">
        <f t="shared" si="19"/>
        <v>0</v>
      </c>
      <c r="AA22" s="65">
        <f t="shared" si="19"/>
        <v>0</v>
      </c>
      <c r="AB22" s="65">
        <f t="shared" si="19"/>
        <v>1</v>
      </c>
      <c r="AC22" s="65">
        <f t="shared" si="15"/>
        <v>1</v>
      </c>
      <c r="AD22" s="65">
        <f t="shared" si="15"/>
        <v>1</v>
      </c>
      <c r="AE22" s="63">
        <f t="shared" si="15"/>
        <v>0</v>
      </c>
      <c r="AF22" s="64">
        <f t="shared" si="15"/>
        <v>0</v>
      </c>
      <c r="AG22" s="64">
        <f t="shared" si="15"/>
        <v>0</v>
      </c>
      <c r="AH22" s="64">
        <f t="shared" si="15"/>
        <v>0</v>
      </c>
      <c r="AI22" s="66">
        <f t="shared" si="16"/>
        <v>0</v>
      </c>
      <c r="AJ22" s="63">
        <f t="shared" si="16"/>
        <v>0</v>
      </c>
      <c r="AK22" s="64">
        <f t="shared" si="16"/>
        <v>0</v>
      </c>
      <c r="AL22" s="65">
        <f t="shared" si="16"/>
        <v>0</v>
      </c>
      <c r="AM22" s="66">
        <f t="shared" si="16"/>
        <v>0</v>
      </c>
      <c r="AN22" s="31" t="str">
        <f t="shared" si="5"/>
        <v>SimulationStorage,2,</v>
      </c>
      <c r="AO22" s="31" t="str">
        <f t="shared" si="5"/>
        <v>AnalysisStorage,1,</v>
      </c>
      <c r="AP22" s="31" t="str">
        <f t="shared" si="5"/>
        <v>LogRuleEvaluation,0,</v>
      </c>
      <c r="AQ22" s="31" t="str">
        <f t="shared" si="5"/>
        <v>ParallelSimulations,1,</v>
      </c>
      <c r="AR22" s="31" t="str">
        <f t="shared" si="5"/>
        <v>DurationStats,0,</v>
      </c>
      <c r="AS22" s="31" t="str">
        <f t="shared" si="5"/>
        <v>AnalysisThruStep,11,</v>
      </c>
      <c r="AT22" s="31" t="str">
        <f t="shared" si="5"/>
        <v>DontAbortOnErrorsThruStep,11,</v>
      </c>
      <c r="AU22" s="31" t="str">
        <f t="shared" si="5"/>
        <v>BypassValidFileChecks,1,</v>
      </c>
      <c r="AV22" s="31" t="str">
        <f t="shared" si="5"/>
        <v>BypassInputChecks,0,</v>
      </c>
      <c r="AW22" s="31" t="str">
        <f t="shared" si="5"/>
        <v>BypassUMLHChecks,0,</v>
      </c>
      <c r="AX22" s="31" t="str">
        <f t="shared" si="5"/>
        <v>BypassCheckSimRules,0,</v>
      </c>
      <c r="AY22" s="31" t="str">
        <f t="shared" si="5"/>
        <v>BypassCheckCodeRules,0,</v>
      </c>
      <c r="BA22" s="31" t="str">
        <f t="shared" si="5"/>
        <v>StoreBEMDetails,1,</v>
      </c>
      <c r="BB22" s="31" t="str">
        <f t="shared" si="5"/>
        <v>ModelRpt_ALL,1,</v>
      </c>
      <c r="BC22" s="31" t="str">
        <f t="shared" si="5"/>
        <v>BypassOpenStudio_all,0,</v>
      </c>
      <c r="BD22" s="31" t="str">
        <f t="shared" si="6"/>
        <v>BypassOpenStudio_zp,0,</v>
      </c>
      <c r="BE22" s="31" t="str">
        <f t="shared" si="6"/>
        <v>BypassOpenStudio_zb,0,</v>
      </c>
      <c r="BF22" s="31" t="str">
        <f t="shared" si="6"/>
        <v>BypassOpenStudio_ap,0,</v>
      </c>
      <c r="BG22" s="31" t="str">
        <f t="shared" si="6"/>
        <v>BypassOpenStudio_ab,0,</v>
      </c>
      <c r="BH22" s="31" t="str">
        <f t="shared" si="6"/>
        <v>BypassOpenStudio_zp,0,</v>
      </c>
      <c r="BI22" s="31" t="str">
        <f t="shared" si="6"/>
        <v>BypassOpenStudio_zb,0,</v>
      </c>
      <c r="BJ22" s="31" t="str">
        <f t="shared" si="6"/>
        <v>BypassOpenStudio_ap,0,</v>
      </c>
      <c r="BK22" s="31" t="str">
        <f t="shared" si="20"/>
        <v>BypassOpenStudio_ab,0</v>
      </c>
    </row>
    <row r="23" spans="1:67" x14ac:dyDescent="0.25">
      <c r="A23" s="39">
        <f t="shared" si="7"/>
        <v>1</v>
      </c>
      <c r="B23" s="27" t="str">
        <f t="shared" si="8"/>
        <v>VRFTests\021116-OffSml-VRFSysHR.cibd</v>
      </c>
      <c r="C23" s="27" t="str">
        <f t="shared" si="4"/>
        <v>BatchOut_160405_r3979_T24Other\021116-OffSml-VRFSysHR.cibd</v>
      </c>
      <c r="D23" s="27" t="str">
        <f t="shared" si="9"/>
        <v>BatchOut_160405_r3979_T24Other\XML\</v>
      </c>
      <c r="E23" s="9" t="str">
        <f t="shared" si="10"/>
        <v>021116-OffSml-VRFSysHR</v>
      </c>
      <c r="F23" s="22"/>
      <c r="G23" s="29"/>
      <c r="H23" s="23"/>
      <c r="I23" s="9" t="s">
        <v>11</v>
      </c>
      <c r="J23"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3" s="15" t="s">
        <v>1</v>
      </c>
      <c r="L23" s="36">
        <f t="shared" si="18"/>
        <v>1</v>
      </c>
      <c r="M23" s="32" t="str">
        <f t="shared" si="12"/>
        <v>021116-OffSml-VRFSysHR</v>
      </c>
      <c r="N23" s="28" t="s">
        <v>391</v>
      </c>
      <c r="O23" s="57" t="str">
        <f t="shared" si="13"/>
        <v>021116-OffSml-VRFSysHR</v>
      </c>
      <c r="P23" s="63">
        <f t="shared" si="19"/>
        <v>2</v>
      </c>
      <c r="Q23" s="65">
        <f t="shared" si="19"/>
        <v>1</v>
      </c>
      <c r="R23" s="65">
        <f t="shared" si="19"/>
        <v>0</v>
      </c>
      <c r="S23" s="65">
        <f t="shared" si="19"/>
        <v>1</v>
      </c>
      <c r="T23" s="65">
        <f t="shared" si="19"/>
        <v>0</v>
      </c>
      <c r="U23" s="65">
        <f t="shared" si="19"/>
        <v>11</v>
      </c>
      <c r="V23" s="65">
        <f t="shared" si="19"/>
        <v>11</v>
      </c>
      <c r="W23" s="65">
        <f t="shared" si="19"/>
        <v>1</v>
      </c>
      <c r="X23" s="65">
        <f t="shared" si="19"/>
        <v>0</v>
      </c>
      <c r="Y23" s="65">
        <f t="shared" si="19"/>
        <v>0</v>
      </c>
      <c r="Z23" s="65">
        <f t="shared" si="19"/>
        <v>0</v>
      </c>
      <c r="AA23" s="65">
        <f t="shared" si="19"/>
        <v>0</v>
      </c>
      <c r="AB23" s="65">
        <f t="shared" si="19"/>
        <v>1</v>
      </c>
      <c r="AC23" s="65">
        <f t="shared" si="15"/>
        <v>1</v>
      </c>
      <c r="AD23" s="65">
        <f t="shared" si="15"/>
        <v>1</v>
      </c>
      <c r="AE23" s="63">
        <f t="shared" si="15"/>
        <v>0</v>
      </c>
      <c r="AF23" s="64">
        <f t="shared" si="15"/>
        <v>0</v>
      </c>
      <c r="AG23" s="64">
        <f t="shared" si="15"/>
        <v>0</v>
      </c>
      <c r="AH23" s="64">
        <f t="shared" si="15"/>
        <v>0</v>
      </c>
      <c r="AI23" s="66">
        <f t="shared" si="16"/>
        <v>0</v>
      </c>
      <c r="AJ23" s="63">
        <f t="shared" si="16"/>
        <v>0</v>
      </c>
      <c r="AK23" s="64">
        <f t="shared" si="16"/>
        <v>0</v>
      </c>
      <c r="AL23" s="65">
        <f t="shared" si="16"/>
        <v>0</v>
      </c>
      <c r="AM23" s="66">
        <f t="shared" si="16"/>
        <v>0</v>
      </c>
      <c r="AN23" s="31" t="str">
        <f t="shared" si="5"/>
        <v>SimulationStorage,2,</v>
      </c>
      <c r="AO23" s="31" t="str">
        <f t="shared" si="5"/>
        <v>AnalysisStorage,1,</v>
      </c>
      <c r="AP23" s="31" t="str">
        <f t="shared" si="5"/>
        <v>LogRuleEvaluation,0,</v>
      </c>
      <c r="AQ23" s="31" t="str">
        <f t="shared" si="5"/>
        <v>ParallelSimulations,1,</v>
      </c>
      <c r="AR23" s="31" t="str">
        <f t="shared" si="5"/>
        <v>DurationStats,0,</v>
      </c>
      <c r="AS23" s="31" t="str">
        <f t="shared" si="5"/>
        <v>AnalysisThruStep,11,</v>
      </c>
      <c r="AT23" s="31" t="str">
        <f t="shared" si="5"/>
        <v>DontAbortOnErrorsThruStep,11,</v>
      </c>
      <c r="AU23" s="31" t="str">
        <f t="shared" si="5"/>
        <v>BypassValidFileChecks,1,</v>
      </c>
      <c r="AV23" s="31" t="str">
        <f t="shared" si="5"/>
        <v>BypassInputChecks,0,</v>
      </c>
      <c r="AW23" s="31" t="str">
        <f t="shared" si="5"/>
        <v>BypassUMLHChecks,0,</v>
      </c>
      <c r="AX23" s="31" t="str">
        <f t="shared" si="5"/>
        <v>BypassCheckSimRules,0,</v>
      </c>
      <c r="AY23" s="31" t="str">
        <f t="shared" si="5"/>
        <v>BypassCheckCodeRules,0,</v>
      </c>
      <c r="BA23" s="31" t="str">
        <f t="shared" si="5"/>
        <v>StoreBEMDetails,1,</v>
      </c>
      <c r="BB23" s="31" t="str">
        <f t="shared" si="5"/>
        <v>ModelRpt_ALL,1,</v>
      </c>
      <c r="BC23" s="31" t="str">
        <f t="shared" si="5"/>
        <v>BypassOpenStudio_all,0,</v>
      </c>
      <c r="BD23" s="31" t="str">
        <f t="shared" si="6"/>
        <v>BypassOpenStudio_zp,0,</v>
      </c>
      <c r="BE23" s="31" t="str">
        <f t="shared" si="6"/>
        <v>BypassOpenStudio_zb,0,</v>
      </c>
      <c r="BF23" s="31" t="str">
        <f t="shared" si="6"/>
        <v>BypassOpenStudio_ap,0,</v>
      </c>
      <c r="BG23" s="31" t="str">
        <f t="shared" si="6"/>
        <v>BypassOpenStudio_ab,0,</v>
      </c>
      <c r="BH23" s="31" t="str">
        <f t="shared" si="6"/>
        <v>BypassOpenStudio_zp,0,</v>
      </c>
      <c r="BI23" s="31" t="str">
        <f t="shared" si="6"/>
        <v>BypassOpenStudio_zb,0,</v>
      </c>
      <c r="BJ23" s="31" t="str">
        <f t="shared" si="6"/>
        <v>BypassOpenStudio_ap,0,</v>
      </c>
      <c r="BK23" s="31" t="str">
        <f t="shared" si="20"/>
        <v>BypassOpenStudio_ab,0</v>
      </c>
    </row>
    <row r="24" spans="1:67" x14ac:dyDescent="0.25">
      <c r="A24" s="39">
        <f t="shared" si="7"/>
        <v>1</v>
      </c>
      <c r="B24" s="27" t="str">
        <f t="shared" si="8"/>
        <v>VRFTests\021216-OffSml-Office_SZHP.cibd</v>
      </c>
      <c r="C24" s="27" t="str">
        <f t="shared" si="4"/>
        <v>BatchOut_160405_r3979_T24Other\021216-OffSml-Office_SZHP.cibd</v>
      </c>
      <c r="D24" s="27" t="str">
        <f t="shared" si="9"/>
        <v>BatchOut_160405_r3979_T24Other\XML\</v>
      </c>
      <c r="E24" s="9" t="str">
        <f t="shared" si="10"/>
        <v>021216-OffSml-Office_SZHP</v>
      </c>
      <c r="F24" s="22"/>
      <c r="G24" s="29"/>
      <c r="H24" s="23"/>
      <c r="I24" s="9" t="s">
        <v>11</v>
      </c>
      <c r="J24"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4" s="15" t="s">
        <v>1</v>
      </c>
      <c r="L24" s="36">
        <f t="shared" si="18"/>
        <v>1</v>
      </c>
      <c r="M24" s="32" t="str">
        <f t="shared" si="12"/>
        <v>021216-OffSml-Office_SZHP</v>
      </c>
      <c r="N24" s="28" t="s">
        <v>392</v>
      </c>
      <c r="O24" s="57" t="str">
        <f t="shared" si="13"/>
        <v>021216-OffSml-Office_SZHP</v>
      </c>
      <c r="P24" s="63">
        <f t="shared" si="19"/>
        <v>2</v>
      </c>
      <c r="Q24" s="65">
        <f t="shared" si="19"/>
        <v>1</v>
      </c>
      <c r="R24" s="65">
        <f t="shared" si="19"/>
        <v>0</v>
      </c>
      <c r="S24" s="65">
        <f t="shared" si="19"/>
        <v>1</v>
      </c>
      <c r="T24" s="65">
        <f t="shared" si="19"/>
        <v>0</v>
      </c>
      <c r="U24" s="65">
        <f t="shared" si="19"/>
        <v>11</v>
      </c>
      <c r="V24" s="65">
        <f t="shared" si="19"/>
        <v>11</v>
      </c>
      <c r="W24" s="65">
        <f t="shared" si="19"/>
        <v>1</v>
      </c>
      <c r="X24" s="65">
        <f t="shared" si="19"/>
        <v>0</v>
      </c>
      <c r="Y24" s="65">
        <f t="shared" si="19"/>
        <v>0</v>
      </c>
      <c r="Z24" s="65">
        <f t="shared" si="19"/>
        <v>0</v>
      </c>
      <c r="AA24" s="65">
        <f t="shared" si="19"/>
        <v>0</v>
      </c>
      <c r="AB24" s="65">
        <f t="shared" si="19"/>
        <v>1</v>
      </c>
      <c r="AC24" s="65">
        <f t="shared" si="15"/>
        <v>1</v>
      </c>
      <c r="AD24" s="65">
        <f t="shared" si="15"/>
        <v>1</v>
      </c>
      <c r="AE24" s="63">
        <f t="shared" si="15"/>
        <v>0</v>
      </c>
      <c r="AF24" s="64">
        <f t="shared" si="15"/>
        <v>0</v>
      </c>
      <c r="AG24" s="64">
        <f t="shared" si="15"/>
        <v>0</v>
      </c>
      <c r="AH24" s="64">
        <f t="shared" si="15"/>
        <v>0</v>
      </c>
      <c r="AI24" s="66">
        <f t="shared" si="16"/>
        <v>0</v>
      </c>
      <c r="AJ24" s="63">
        <f t="shared" si="16"/>
        <v>0</v>
      </c>
      <c r="AK24" s="64">
        <f t="shared" si="16"/>
        <v>0</v>
      </c>
      <c r="AL24" s="65">
        <f t="shared" si="16"/>
        <v>0</v>
      </c>
      <c r="AM24" s="66">
        <f t="shared" si="16"/>
        <v>0</v>
      </c>
      <c r="AN24" s="31" t="str">
        <f t="shared" si="5"/>
        <v>SimulationStorage,2,</v>
      </c>
      <c r="AO24" s="31" t="str">
        <f t="shared" si="5"/>
        <v>AnalysisStorage,1,</v>
      </c>
      <c r="AP24" s="31" t="str">
        <f t="shared" si="5"/>
        <v>LogRuleEvaluation,0,</v>
      </c>
      <c r="AQ24" s="31" t="str">
        <f t="shared" si="5"/>
        <v>ParallelSimulations,1,</v>
      </c>
      <c r="AR24" s="31" t="str">
        <f t="shared" si="5"/>
        <v>DurationStats,0,</v>
      </c>
      <c r="AS24" s="31" t="str">
        <f t="shared" si="5"/>
        <v>AnalysisThruStep,11,</v>
      </c>
      <c r="AT24" s="31" t="str">
        <f t="shared" si="5"/>
        <v>DontAbortOnErrorsThruStep,11,</v>
      </c>
      <c r="AU24" s="31" t="str">
        <f t="shared" si="5"/>
        <v>BypassValidFileChecks,1,</v>
      </c>
      <c r="AV24" s="31" t="str">
        <f t="shared" si="5"/>
        <v>BypassInputChecks,0,</v>
      </c>
      <c r="AW24" s="31" t="str">
        <f t="shared" si="5"/>
        <v>BypassUMLHChecks,0,</v>
      </c>
      <c r="AX24" s="31" t="str">
        <f t="shared" si="5"/>
        <v>BypassCheckSimRules,0,</v>
      </c>
      <c r="AY24" s="31" t="str">
        <f t="shared" si="5"/>
        <v>BypassCheckCodeRules,0,</v>
      </c>
      <c r="BA24" s="31" t="str">
        <f t="shared" si="5"/>
        <v>StoreBEMDetails,1,</v>
      </c>
      <c r="BB24" s="31" t="str">
        <f t="shared" si="5"/>
        <v>ModelRpt_ALL,1,</v>
      </c>
      <c r="BC24" s="31" t="str">
        <f t="shared" si="5"/>
        <v>BypassOpenStudio_all,0,</v>
      </c>
      <c r="BD24" s="31" t="str">
        <f t="shared" si="6"/>
        <v>BypassOpenStudio_zp,0,</v>
      </c>
      <c r="BE24" s="31" t="str">
        <f t="shared" si="6"/>
        <v>BypassOpenStudio_zb,0,</v>
      </c>
      <c r="BF24" s="31" t="str">
        <f t="shared" si="6"/>
        <v>BypassOpenStudio_ap,0,</v>
      </c>
      <c r="BG24" s="31" t="str">
        <f t="shared" si="6"/>
        <v>BypassOpenStudio_ab,0,</v>
      </c>
      <c r="BH24" s="31" t="str">
        <f t="shared" si="6"/>
        <v>BypassOpenStudio_zp,0,</v>
      </c>
      <c r="BI24" s="31" t="str">
        <f t="shared" si="6"/>
        <v>BypassOpenStudio_zb,0,</v>
      </c>
      <c r="BJ24" s="31" t="str">
        <f t="shared" si="6"/>
        <v>BypassOpenStudio_ap,0,</v>
      </c>
      <c r="BK24" s="31" t="str">
        <f t="shared" si="20"/>
        <v>BypassOpenStudio_ab,0</v>
      </c>
    </row>
    <row r="25" spans="1:67" x14ac:dyDescent="0.25">
      <c r="A25" s="39">
        <f t="shared" si="7"/>
        <v>0</v>
      </c>
      <c r="B25" s="27" t="str">
        <f t="shared" si="8"/>
        <v>VRFTests\.cibd</v>
      </c>
      <c r="C25" s="27" t="str">
        <f t="shared" si="4"/>
        <v>BatchOut_160405_r3979_T24Other\0.cibd</v>
      </c>
      <c r="D25" s="27" t="str">
        <f t="shared" si="9"/>
        <v>BatchOut_160405_r3979_T24Other\XML\</v>
      </c>
      <c r="E25" s="9">
        <f t="shared" si="10"/>
        <v>0</v>
      </c>
      <c r="F25" s="22"/>
      <c r="G25" s="29"/>
      <c r="H25" s="23"/>
      <c r="I25" s="9" t="s">
        <v>11</v>
      </c>
      <c r="J25"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5" s="15" t="s">
        <v>1</v>
      </c>
      <c r="L25" s="36">
        <v>0</v>
      </c>
      <c r="M25" s="32">
        <f t="shared" si="12"/>
        <v>0</v>
      </c>
      <c r="N25" s="28"/>
      <c r="O25" s="57">
        <f t="shared" si="13"/>
        <v>0</v>
      </c>
      <c r="P25" s="63">
        <f t="shared" si="19"/>
        <v>2</v>
      </c>
      <c r="Q25" s="65">
        <f t="shared" si="19"/>
        <v>1</v>
      </c>
      <c r="R25" s="65">
        <f t="shared" si="19"/>
        <v>0</v>
      </c>
      <c r="S25" s="65">
        <f t="shared" si="19"/>
        <v>1</v>
      </c>
      <c r="T25" s="65">
        <f t="shared" si="19"/>
        <v>0</v>
      </c>
      <c r="U25" s="65">
        <f t="shared" si="19"/>
        <v>11</v>
      </c>
      <c r="V25" s="65">
        <f t="shared" si="19"/>
        <v>11</v>
      </c>
      <c r="W25" s="65">
        <f t="shared" si="19"/>
        <v>1</v>
      </c>
      <c r="X25" s="65">
        <f t="shared" si="19"/>
        <v>0</v>
      </c>
      <c r="Y25" s="65">
        <f t="shared" si="19"/>
        <v>0</v>
      </c>
      <c r="Z25" s="65">
        <f t="shared" si="19"/>
        <v>0</v>
      </c>
      <c r="AA25" s="65">
        <f t="shared" si="19"/>
        <v>0</v>
      </c>
      <c r="AB25" s="65">
        <f t="shared" si="19"/>
        <v>1</v>
      </c>
      <c r="AC25" s="65">
        <f t="shared" si="15"/>
        <v>1</v>
      </c>
      <c r="AD25" s="65">
        <f t="shared" si="15"/>
        <v>1</v>
      </c>
      <c r="AE25" s="63">
        <f t="shared" si="15"/>
        <v>0</v>
      </c>
      <c r="AF25" s="64">
        <f t="shared" si="15"/>
        <v>0</v>
      </c>
      <c r="AG25" s="64">
        <f t="shared" si="15"/>
        <v>0</v>
      </c>
      <c r="AH25" s="64">
        <f t="shared" si="15"/>
        <v>0</v>
      </c>
      <c r="AI25" s="66">
        <f t="shared" si="16"/>
        <v>0</v>
      </c>
      <c r="AJ25" s="63">
        <f t="shared" si="16"/>
        <v>0</v>
      </c>
      <c r="AK25" s="64">
        <f t="shared" si="16"/>
        <v>0</v>
      </c>
      <c r="AL25" s="65">
        <f t="shared" si="16"/>
        <v>0</v>
      </c>
      <c r="AM25" s="66">
        <f t="shared" si="16"/>
        <v>0</v>
      </c>
      <c r="AN25" s="31" t="str">
        <f t="shared" si="5"/>
        <v>SimulationStorage,2,</v>
      </c>
      <c r="AO25" s="31" t="str">
        <f t="shared" si="5"/>
        <v>AnalysisStorage,1,</v>
      </c>
      <c r="AP25" s="31" t="str">
        <f t="shared" si="5"/>
        <v>LogRuleEvaluation,0,</v>
      </c>
      <c r="AQ25" s="31" t="str">
        <f t="shared" si="5"/>
        <v>ParallelSimulations,1,</v>
      </c>
      <c r="AR25" s="31" t="str">
        <f t="shared" si="5"/>
        <v>DurationStats,0,</v>
      </c>
      <c r="AS25" s="31" t="str">
        <f t="shared" si="5"/>
        <v>AnalysisThruStep,11,</v>
      </c>
      <c r="AT25" s="31" t="str">
        <f t="shared" si="5"/>
        <v>DontAbortOnErrorsThruStep,11,</v>
      </c>
      <c r="AU25" s="31" t="str">
        <f t="shared" si="5"/>
        <v>BypassValidFileChecks,1,</v>
      </c>
      <c r="AV25" s="31" t="str">
        <f t="shared" si="5"/>
        <v>BypassInputChecks,0,</v>
      </c>
      <c r="AW25" s="31" t="str">
        <f t="shared" si="5"/>
        <v>BypassUMLHChecks,0,</v>
      </c>
      <c r="AX25" s="31" t="str">
        <f t="shared" si="5"/>
        <v>BypassCheckSimRules,0,</v>
      </c>
      <c r="AY25" s="31" t="str">
        <f t="shared" si="5"/>
        <v>BypassCheckCodeRules,0,</v>
      </c>
      <c r="BA25" s="31" t="str">
        <f t="shared" si="5"/>
        <v>StoreBEMDetails,1,</v>
      </c>
      <c r="BB25" s="31" t="str">
        <f t="shared" si="5"/>
        <v>ModelRpt_ALL,1,</v>
      </c>
      <c r="BC25" s="31" t="str">
        <f t="shared" si="5"/>
        <v>BypassOpenStudio_all,0,</v>
      </c>
      <c r="BD25" s="31" t="str">
        <f t="shared" si="6"/>
        <v>BypassOpenStudio_zp,0,</v>
      </c>
      <c r="BE25" s="31" t="str">
        <f t="shared" si="6"/>
        <v>BypassOpenStudio_zb,0,</v>
      </c>
      <c r="BF25" s="31" t="str">
        <f t="shared" si="6"/>
        <v>BypassOpenStudio_ap,0,</v>
      </c>
      <c r="BG25" s="31" t="str">
        <f t="shared" si="6"/>
        <v>BypassOpenStudio_ab,0,</v>
      </c>
      <c r="BH25" s="31" t="str">
        <f t="shared" si="6"/>
        <v>BypassOpenStudio_zp,0,</v>
      </c>
      <c r="BI25" s="31" t="str">
        <f t="shared" si="6"/>
        <v>BypassOpenStudio_zb,0,</v>
      </c>
      <c r="BJ25" s="31" t="str">
        <f t="shared" si="6"/>
        <v>BypassOpenStudio_ap,0,</v>
      </c>
      <c r="BK25" s="31" t="str">
        <f t="shared" si="20"/>
        <v>BypassOpenStudio_ab,0</v>
      </c>
    </row>
    <row r="26" spans="1:67" x14ac:dyDescent="0.25">
      <c r="A26" s="39">
        <f t="shared" si="7"/>
        <v>0</v>
      </c>
      <c r="B26" s="27" t="str">
        <f t="shared" si="8"/>
        <v>VRFTests\.cibd</v>
      </c>
      <c r="C26" s="27" t="str">
        <f t="shared" si="4"/>
        <v>BatchOut_160405_r3979_T24Other\0.cibd</v>
      </c>
      <c r="D26" s="27" t="str">
        <f t="shared" si="9"/>
        <v>BatchOut_160405_r3979_T24Other\XML\</v>
      </c>
      <c r="E26" s="9">
        <f t="shared" si="10"/>
        <v>0</v>
      </c>
      <c r="F26" s="22"/>
      <c r="G26" s="29"/>
      <c r="H26" s="23"/>
      <c r="I26" s="9" t="s">
        <v>11</v>
      </c>
      <c r="J26"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6" s="15" t="s">
        <v>1</v>
      </c>
      <c r="L26" s="36">
        <v>0</v>
      </c>
      <c r="M26" s="32">
        <f t="shared" si="12"/>
        <v>0</v>
      </c>
      <c r="N26" s="28"/>
      <c r="O26" s="57">
        <f t="shared" si="13"/>
        <v>0</v>
      </c>
      <c r="P26" s="63">
        <f t="shared" si="19"/>
        <v>2</v>
      </c>
      <c r="Q26" s="65">
        <f t="shared" si="19"/>
        <v>1</v>
      </c>
      <c r="R26" s="65">
        <f t="shared" si="19"/>
        <v>0</v>
      </c>
      <c r="S26" s="65">
        <f t="shared" si="19"/>
        <v>1</v>
      </c>
      <c r="T26" s="65">
        <f t="shared" si="19"/>
        <v>0</v>
      </c>
      <c r="U26" s="65">
        <f t="shared" si="19"/>
        <v>11</v>
      </c>
      <c r="V26" s="65">
        <f t="shared" si="19"/>
        <v>11</v>
      </c>
      <c r="W26" s="65">
        <f t="shared" si="19"/>
        <v>1</v>
      </c>
      <c r="X26" s="65">
        <f t="shared" si="19"/>
        <v>0</v>
      </c>
      <c r="Y26" s="65">
        <f t="shared" si="19"/>
        <v>0</v>
      </c>
      <c r="Z26" s="65">
        <f t="shared" si="19"/>
        <v>0</v>
      </c>
      <c r="AA26" s="65">
        <f t="shared" si="19"/>
        <v>0</v>
      </c>
      <c r="AB26" s="65">
        <f t="shared" si="19"/>
        <v>1</v>
      </c>
      <c r="AC26" s="65">
        <f t="shared" si="15"/>
        <v>1</v>
      </c>
      <c r="AD26" s="65">
        <f t="shared" si="15"/>
        <v>1</v>
      </c>
      <c r="AE26" s="63">
        <f t="shared" si="15"/>
        <v>0</v>
      </c>
      <c r="AF26" s="64">
        <f t="shared" si="15"/>
        <v>0</v>
      </c>
      <c r="AG26" s="64">
        <f t="shared" si="15"/>
        <v>0</v>
      </c>
      <c r="AH26" s="64">
        <f t="shared" si="15"/>
        <v>0</v>
      </c>
      <c r="AI26" s="66">
        <f t="shared" si="16"/>
        <v>0</v>
      </c>
      <c r="AJ26" s="63">
        <f t="shared" si="16"/>
        <v>0</v>
      </c>
      <c r="AK26" s="64">
        <f t="shared" si="16"/>
        <v>0</v>
      </c>
      <c r="AL26" s="65">
        <f t="shared" si="16"/>
        <v>0</v>
      </c>
      <c r="AM26" s="66">
        <f t="shared" si="16"/>
        <v>0</v>
      </c>
      <c r="AN26" s="31" t="str">
        <f t="shared" si="5"/>
        <v>SimulationStorage,2,</v>
      </c>
      <c r="AO26" s="31" t="str">
        <f t="shared" si="5"/>
        <v>AnalysisStorage,1,</v>
      </c>
      <c r="AP26" s="31" t="str">
        <f t="shared" si="5"/>
        <v>LogRuleEvaluation,0,</v>
      </c>
      <c r="AQ26" s="31" t="str">
        <f t="shared" si="5"/>
        <v>ParallelSimulations,1,</v>
      </c>
      <c r="AR26" s="31" t="str">
        <f t="shared" si="5"/>
        <v>DurationStats,0,</v>
      </c>
      <c r="AS26" s="31" t="str">
        <f t="shared" si="5"/>
        <v>AnalysisThruStep,11,</v>
      </c>
      <c r="AT26" s="31" t="str">
        <f t="shared" si="5"/>
        <v>DontAbortOnErrorsThruStep,11,</v>
      </c>
      <c r="AU26" s="31" t="str">
        <f t="shared" si="5"/>
        <v>BypassValidFileChecks,1,</v>
      </c>
      <c r="AV26" s="31" t="str">
        <f t="shared" si="5"/>
        <v>BypassInputChecks,0,</v>
      </c>
      <c r="AW26" s="31" t="str">
        <f t="shared" si="5"/>
        <v>BypassUMLHChecks,0,</v>
      </c>
      <c r="AX26" s="31" t="str">
        <f t="shared" si="5"/>
        <v>BypassCheckSimRules,0,</v>
      </c>
      <c r="AY26" s="31" t="str">
        <f t="shared" si="5"/>
        <v>BypassCheckCodeRules,0,</v>
      </c>
      <c r="BA26" s="31" t="str">
        <f t="shared" si="5"/>
        <v>StoreBEMDetails,1,</v>
      </c>
      <c r="BB26" s="31" t="str">
        <f t="shared" si="5"/>
        <v>ModelRpt_ALL,1,</v>
      </c>
      <c r="BC26" s="31" t="str">
        <f t="shared" si="5"/>
        <v>BypassOpenStudio_all,0,</v>
      </c>
      <c r="BD26" s="31" t="str">
        <f t="shared" si="6"/>
        <v>BypassOpenStudio_zp,0,</v>
      </c>
      <c r="BE26" s="31" t="str">
        <f t="shared" si="6"/>
        <v>BypassOpenStudio_zb,0,</v>
      </c>
      <c r="BF26" s="31" t="str">
        <f t="shared" si="6"/>
        <v>BypassOpenStudio_ap,0,</v>
      </c>
      <c r="BG26" s="31" t="str">
        <f t="shared" si="6"/>
        <v>BypassOpenStudio_ab,0,</v>
      </c>
      <c r="BH26" s="31" t="str">
        <f t="shared" si="6"/>
        <v>BypassOpenStudio_zp,0,</v>
      </c>
      <c r="BI26" s="31" t="str">
        <f t="shared" si="6"/>
        <v>BypassOpenStudio_zb,0,</v>
      </c>
      <c r="BJ26" s="31" t="str">
        <f t="shared" si="6"/>
        <v>BypassOpenStudio_ap,0,</v>
      </c>
      <c r="BK26" s="31" t="str">
        <f t="shared" si="20"/>
        <v>BypassOpenStudio_ab,0</v>
      </c>
    </row>
    <row r="27" spans="1:67" x14ac:dyDescent="0.25">
      <c r="A27" s="39">
        <f t="shared" si="7"/>
        <v>0</v>
      </c>
      <c r="B27" s="27" t="str">
        <f t="shared" si="8"/>
        <v>VRFTests\.cibd</v>
      </c>
      <c r="C27" s="27" t="str">
        <f t="shared" si="4"/>
        <v>BatchOut_160405_r3979_T24Other\0.cibd</v>
      </c>
      <c r="D27" s="27" t="str">
        <f t="shared" si="9"/>
        <v>BatchOut_160405_r3979_T24Other\XML\</v>
      </c>
      <c r="E27" s="9">
        <f t="shared" si="10"/>
        <v>0</v>
      </c>
      <c r="F27" s="22"/>
      <c r="G27" s="29"/>
      <c r="H27" s="23"/>
      <c r="I27" s="9" t="s">
        <v>11</v>
      </c>
      <c r="J27"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7" s="15" t="s">
        <v>1</v>
      </c>
      <c r="L27" s="36">
        <f t="shared" si="18"/>
        <v>0</v>
      </c>
      <c r="M27" s="32">
        <f t="shared" si="12"/>
        <v>0</v>
      </c>
      <c r="N27" s="28"/>
      <c r="O27" s="57">
        <f t="shared" si="13"/>
        <v>0</v>
      </c>
      <c r="P27" s="63">
        <f t="shared" si="19"/>
        <v>2</v>
      </c>
      <c r="Q27" s="65">
        <f t="shared" si="19"/>
        <v>1</v>
      </c>
      <c r="R27" s="65">
        <f t="shared" si="19"/>
        <v>0</v>
      </c>
      <c r="S27" s="65">
        <f t="shared" si="19"/>
        <v>1</v>
      </c>
      <c r="T27" s="65">
        <f t="shared" si="19"/>
        <v>0</v>
      </c>
      <c r="U27" s="65">
        <f t="shared" si="19"/>
        <v>11</v>
      </c>
      <c r="V27" s="65">
        <f t="shared" si="19"/>
        <v>11</v>
      </c>
      <c r="W27" s="65">
        <f t="shared" si="19"/>
        <v>1</v>
      </c>
      <c r="X27" s="65">
        <f t="shared" si="19"/>
        <v>0</v>
      </c>
      <c r="Y27" s="65">
        <f t="shared" si="19"/>
        <v>0</v>
      </c>
      <c r="Z27" s="65">
        <f t="shared" si="19"/>
        <v>0</v>
      </c>
      <c r="AA27" s="65">
        <f t="shared" si="19"/>
        <v>0</v>
      </c>
      <c r="AB27" s="65">
        <f t="shared" si="19"/>
        <v>1</v>
      </c>
      <c r="AC27" s="65">
        <f t="shared" si="15"/>
        <v>1</v>
      </c>
      <c r="AD27" s="65">
        <f t="shared" si="15"/>
        <v>1</v>
      </c>
      <c r="AE27" s="63">
        <f t="shared" si="15"/>
        <v>0</v>
      </c>
      <c r="AF27" s="64">
        <f t="shared" si="15"/>
        <v>0</v>
      </c>
      <c r="AG27" s="64">
        <f t="shared" si="15"/>
        <v>0</v>
      </c>
      <c r="AH27" s="64">
        <f t="shared" si="15"/>
        <v>0</v>
      </c>
      <c r="AI27" s="66">
        <f t="shared" si="16"/>
        <v>0</v>
      </c>
      <c r="AJ27" s="63">
        <f t="shared" si="16"/>
        <v>0</v>
      </c>
      <c r="AK27" s="64">
        <f t="shared" si="16"/>
        <v>0</v>
      </c>
      <c r="AL27" s="65">
        <f t="shared" si="16"/>
        <v>0</v>
      </c>
      <c r="AM27" s="66">
        <f t="shared" si="16"/>
        <v>0</v>
      </c>
      <c r="AN27" s="31" t="str">
        <f t="shared" si="5"/>
        <v>SimulationStorage,2,</v>
      </c>
      <c r="AO27" s="31" t="str">
        <f t="shared" si="5"/>
        <v>AnalysisStorage,1,</v>
      </c>
      <c r="AP27" s="31" t="str">
        <f t="shared" si="5"/>
        <v>LogRuleEvaluation,0,</v>
      </c>
      <c r="AQ27" s="31" t="str">
        <f t="shared" si="5"/>
        <v>ParallelSimulations,1,</v>
      </c>
      <c r="AR27" s="31" t="str">
        <f t="shared" si="5"/>
        <v>DurationStats,0,</v>
      </c>
      <c r="AS27" s="31" t="str">
        <f t="shared" si="5"/>
        <v>AnalysisThruStep,11,</v>
      </c>
      <c r="AT27" s="31" t="str">
        <f t="shared" si="5"/>
        <v>DontAbortOnErrorsThruStep,11,</v>
      </c>
      <c r="AU27" s="31" t="str">
        <f t="shared" si="5"/>
        <v>BypassValidFileChecks,1,</v>
      </c>
      <c r="AV27" s="31" t="str">
        <f t="shared" si="5"/>
        <v>BypassInputChecks,0,</v>
      </c>
      <c r="AW27" s="31" t="str">
        <f t="shared" si="5"/>
        <v>BypassUMLHChecks,0,</v>
      </c>
      <c r="AX27" s="31" t="str">
        <f t="shared" si="5"/>
        <v>BypassCheckSimRules,0,</v>
      </c>
      <c r="AY27" s="31" t="str">
        <f t="shared" si="5"/>
        <v>BypassCheckCodeRules,0,</v>
      </c>
      <c r="BA27" s="31" t="str">
        <f t="shared" si="5"/>
        <v>StoreBEMDetails,1,</v>
      </c>
      <c r="BB27" s="31" t="str">
        <f t="shared" si="5"/>
        <v>ModelRpt_ALL,1,</v>
      </c>
      <c r="BC27" s="31" t="str">
        <f t="shared" si="5"/>
        <v>BypassOpenStudio_all,0,</v>
      </c>
      <c r="BD27" s="31" t="str">
        <f t="shared" si="6"/>
        <v>BypassOpenStudio_zp,0,</v>
      </c>
      <c r="BE27" s="31" t="str">
        <f t="shared" si="6"/>
        <v>BypassOpenStudio_zb,0,</v>
      </c>
      <c r="BF27" s="31" t="str">
        <f t="shared" si="6"/>
        <v>BypassOpenStudio_ap,0,</v>
      </c>
      <c r="BG27" s="31" t="str">
        <f t="shared" si="6"/>
        <v>BypassOpenStudio_ab,0,</v>
      </c>
      <c r="BH27" s="31" t="str">
        <f t="shared" si="6"/>
        <v>BypassOpenStudio_zp,0,</v>
      </c>
      <c r="BI27" s="31" t="str">
        <f t="shared" si="6"/>
        <v>BypassOpenStudio_zb,0,</v>
      </c>
      <c r="BJ27" s="31" t="str">
        <f t="shared" si="6"/>
        <v>BypassOpenStudio_ap,0,</v>
      </c>
      <c r="BK27" s="31" t="str">
        <f t="shared" si="20"/>
        <v>BypassOpenStudio_ab,0</v>
      </c>
    </row>
    <row r="28" spans="1:67" x14ac:dyDescent="0.25">
      <c r="A28" s="39">
        <f>L28</f>
        <v>0</v>
      </c>
      <c r="B28" s="27" t="str">
        <f t="shared" si="8"/>
        <v>VRFTests\.cibd</v>
      </c>
      <c r="C28" s="27" t="str">
        <f xml:space="preserve"> M$11 &amp; O28 &amp; ".cibd"</f>
        <v>BatchOut_160405_r3979_T24Other\0.cibd</v>
      </c>
      <c r="D28" s="27" t="str">
        <f t="shared" si="9"/>
        <v>BatchOut_160405_r3979_T24Other\XML\</v>
      </c>
      <c r="E28" s="9">
        <f>M28</f>
        <v>0</v>
      </c>
      <c r="F28" s="22"/>
      <c r="G28" s="29"/>
      <c r="H28" s="23"/>
      <c r="I28" s="9" t="s">
        <v>11</v>
      </c>
      <c r="J28" s="9" t="str">
        <f>CONCATENATE(AN28,AO28,AP28,AQ28,AR28,AS28,AT28,AU28,AV28,AW28,AX28,AY28,AZ28,BA28,BB28,BC28,BD28,BE28,BF28,BG28,BH28,BI28,BJ28,BK28)</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8" s="15" t="s">
        <v>1</v>
      </c>
      <c r="L28" s="36">
        <f t="shared" si="18"/>
        <v>0</v>
      </c>
      <c r="M28" s="32">
        <f t="shared" si="12"/>
        <v>0</v>
      </c>
      <c r="N28" s="28"/>
      <c r="O28" s="57">
        <f t="shared" si="13"/>
        <v>0</v>
      </c>
      <c r="P28" s="63">
        <f t="shared" si="19"/>
        <v>2</v>
      </c>
      <c r="Q28" s="65">
        <f t="shared" si="19"/>
        <v>1</v>
      </c>
      <c r="R28" s="65">
        <f t="shared" si="19"/>
        <v>0</v>
      </c>
      <c r="S28" s="65">
        <f t="shared" si="19"/>
        <v>1</v>
      </c>
      <c r="T28" s="65">
        <f t="shared" si="19"/>
        <v>0</v>
      </c>
      <c r="U28" s="65">
        <f t="shared" si="19"/>
        <v>11</v>
      </c>
      <c r="V28" s="65">
        <f t="shared" si="19"/>
        <v>11</v>
      </c>
      <c r="W28" s="65">
        <f t="shared" si="19"/>
        <v>1</v>
      </c>
      <c r="X28" s="65">
        <f t="shared" si="19"/>
        <v>0</v>
      </c>
      <c r="Y28" s="65">
        <f t="shared" si="19"/>
        <v>0</v>
      </c>
      <c r="Z28" s="65">
        <f t="shared" si="19"/>
        <v>0</v>
      </c>
      <c r="AA28" s="65">
        <f t="shared" si="19"/>
        <v>0</v>
      </c>
      <c r="AB28" s="65">
        <f t="shared" si="19"/>
        <v>1</v>
      </c>
      <c r="AC28" s="65">
        <f t="shared" si="15"/>
        <v>1</v>
      </c>
      <c r="AD28" s="65">
        <f t="shared" si="15"/>
        <v>1</v>
      </c>
      <c r="AE28" s="63">
        <f t="shared" si="15"/>
        <v>0</v>
      </c>
      <c r="AF28" s="64">
        <f t="shared" si="15"/>
        <v>0</v>
      </c>
      <c r="AG28" s="64">
        <f t="shared" si="15"/>
        <v>0</v>
      </c>
      <c r="AH28" s="64">
        <f t="shared" si="15"/>
        <v>0</v>
      </c>
      <c r="AI28" s="66">
        <f t="shared" si="16"/>
        <v>0</v>
      </c>
      <c r="AJ28" s="63">
        <f t="shared" si="16"/>
        <v>0</v>
      </c>
      <c r="AK28" s="64">
        <f t="shared" si="16"/>
        <v>0</v>
      </c>
      <c r="AL28" s="65">
        <f t="shared" si="16"/>
        <v>0</v>
      </c>
      <c r="AM28" s="66">
        <f t="shared" si="16"/>
        <v>0</v>
      </c>
      <c r="AN28" s="31" t="str">
        <f t="shared" si="5"/>
        <v>SimulationStorage,2,</v>
      </c>
      <c r="AO28" s="31" t="str">
        <f t="shared" si="5"/>
        <v>AnalysisStorage,1,</v>
      </c>
      <c r="AP28" s="31" t="str">
        <f t="shared" si="5"/>
        <v>LogRuleEvaluation,0,</v>
      </c>
      <c r="AQ28" s="31" t="str">
        <f t="shared" si="5"/>
        <v>ParallelSimulations,1,</v>
      </c>
      <c r="AR28" s="31" t="str">
        <f t="shared" si="5"/>
        <v>DurationStats,0,</v>
      </c>
      <c r="AS28" s="31" t="str">
        <f t="shared" si="5"/>
        <v>AnalysisThruStep,11,</v>
      </c>
      <c r="AT28" s="31" t="str">
        <f t="shared" si="5"/>
        <v>DontAbortOnErrorsThruStep,11,</v>
      </c>
      <c r="AU28" s="31" t="str">
        <f t="shared" si="5"/>
        <v>BypassValidFileChecks,1,</v>
      </c>
      <c r="AV28" s="31" t="str">
        <f t="shared" si="5"/>
        <v>BypassInputChecks,0,</v>
      </c>
      <c r="AW28" s="31" t="str">
        <f t="shared" si="5"/>
        <v>BypassUMLHChecks,0,</v>
      </c>
      <c r="AX28" s="31" t="str">
        <f t="shared" si="5"/>
        <v>BypassCheckSimRules,0,</v>
      </c>
      <c r="AY28" s="31" t="str">
        <f t="shared" si="5"/>
        <v>BypassCheckCodeRules,0,</v>
      </c>
      <c r="BA28" s="31" t="str">
        <f t="shared" si="5"/>
        <v>StoreBEMDetails,1,</v>
      </c>
      <c r="BB28" s="31" t="str">
        <f t="shared" si="5"/>
        <v>ModelRpt_ALL,1,</v>
      </c>
      <c r="BC28" s="31" t="str">
        <f t="shared" si="5"/>
        <v>BypassOpenStudio_all,0,</v>
      </c>
      <c r="BD28" s="31" t="str">
        <f t="shared" si="6"/>
        <v>BypassOpenStudio_zp,0,</v>
      </c>
      <c r="BE28" s="31" t="str">
        <f t="shared" si="6"/>
        <v>BypassOpenStudio_zb,0,</v>
      </c>
      <c r="BF28" s="31" t="str">
        <f t="shared" si="6"/>
        <v>BypassOpenStudio_ap,0,</v>
      </c>
      <c r="BG28" s="31" t="str">
        <f t="shared" si="6"/>
        <v>BypassOpenStudio_ab,0,</v>
      </c>
      <c r="BH28" s="31" t="str">
        <f t="shared" si="6"/>
        <v>BypassOpenStudio_zp,0,</v>
      </c>
      <c r="BI28" s="31" t="str">
        <f t="shared" si="6"/>
        <v>BypassOpenStudio_zb,0,</v>
      </c>
      <c r="BJ28" s="31" t="str">
        <f t="shared" si="6"/>
        <v>BypassOpenStudio_ap,0,</v>
      </c>
      <c r="BK28" s="31" t="str">
        <f>AM$12&amp;AM28</f>
        <v>BypassOpenStudio_ab,0</v>
      </c>
    </row>
    <row r="29" spans="1:67" x14ac:dyDescent="0.25">
      <c r="A29" s="39">
        <f>L29</f>
        <v>0</v>
      </c>
      <c r="B29" s="27" t="str">
        <f t="shared" si="8"/>
        <v>VRFTests\.cibd</v>
      </c>
      <c r="C29" s="27" t="str">
        <f xml:space="preserve"> M$11 &amp; O29 &amp; ".cibd"</f>
        <v>BatchOut_160405_r3979_T24Other\.cibd</v>
      </c>
      <c r="D29" s="27" t="str">
        <f t="shared" si="9"/>
        <v>BatchOut_160405_r3979_T24Other\XML\</v>
      </c>
      <c r="E29" s="9">
        <f>M29</f>
        <v>0</v>
      </c>
      <c r="F29" s="22"/>
      <c r="G29" s="29"/>
      <c r="H29" s="23"/>
      <c r="I29" s="9" t="s">
        <v>11</v>
      </c>
      <c r="J29" s="9" t="str">
        <f>CONCATENATE(AN29,AO29,AP29,AQ29,AR29,AS29,AT29,AU29,AV29,AW29,AX29,AY29,AZ29,BA29,BB29,BC29,BD29,BE29,BF29,BG29,BH29,BI29,BJ29,BK29)</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29" s="15" t="s">
        <v>1</v>
      </c>
      <c r="L29" s="36">
        <f t="shared" si="18"/>
        <v>0</v>
      </c>
      <c r="M29" s="32">
        <f t="shared" si="12"/>
        <v>0</v>
      </c>
      <c r="N29" s="28"/>
      <c r="O29" s="57"/>
      <c r="P29" s="63">
        <f t="shared" si="19"/>
        <v>2</v>
      </c>
      <c r="Q29" s="65">
        <f t="shared" si="19"/>
        <v>1</v>
      </c>
      <c r="R29" s="65">
        <f t="shared" si="19"/>
        <v>0</v>
      </c>
      <c r="S29" s="65">
        <f t="shared" si="19"/>
        <v>1</v>
      </c>
      <c r="T29" s="65">
        <f t="shared" si="19"/>
        <v>0</v>
      </c>
      <c r="U29" s="65">
        <f t="shared" si="19"/>
        <v>11</v>
      </c>
      <c r="V29" s="65">
        <f t="shared" si="19"/>
        <v>11</v>
      </c>
      <c r="W29" s="65">
        <f t="shared" si="19"/>
        <v>1</v>
      </c>
      <c r="X29" s="65">
        <f t="shared" si="19"/>
        <v>0</v>
      </c>
      <c r="Y29" s="65">
        <f t="shared" si="19"/>
        <v>0</v>
      </c>
      <c r="Z29" s="65">
        <f t="shared" si="19"/>
        <v>0</v>
      </c>
      <c r="AA29" s="65">
        <f t="shared" si="19"/>
        <v>0</v>
      </c>
      <c r="AB29" s="65">
        <f t="shared" si="19"/>
        <v>1</v>
      </c>
      <c r="AC29" s="65">
        <f t="shared" si="15"/>
        <v>1</v>
      </c>
      <c r="AD29" s="65">
        <f t="shared" si="15"/>
        <v>1</v>
      </c>
      <c r="AE29" s="63">
        <f t="shared" si="15"/>
        <v>0</v>
      </c>
      <c r="AF29" s="64">
        <f t="shared" si="15"/>
        <v>0</v>
      </c>
      <c r="AG29" s="64">
        <f t="shared" si="15"/>
        <v>0</v>
      </c>
      <c r="AH29" s="64">
        <f t="shared" si="15"/>
        <v>0</v>
      </c>
      <c r="AI29" s="66">
        <f t="shared" si="16"/>
        <v>0</v>
      </c>
      <c r="AJ29" s="63">
        <f t="shared" si="16"/>
        <v>0</v>
      </c>
      <c r="AK29" s="64">
        <f t="shared" si="16"/>
        <v>0</v>
      </c>
      <c r="AL29" s="65">
        <f t="shared" si="16"/>
        <v>0</v>
      </c>
      <c r="AM29" s="66">
        <f t="shared" si="16"/>
        <v>0</v>
      </c>
      <c r="AN29" s="31" t="str">
        <f t="shared" si="5"/>
        <v>SimulationStorage,2,</v>
      </c>
      <c r="AO29" s="31" t="str">
        <f t="shared" si="5"/>
        <v>AnalysisStorage,1,</v>
      </c>
      <c r="AP29" s="31" t="str">
        <f t="shared" si="5"/>
        <v>LogRuleEvaluation,0,</v>
      </c>
      <c r="AQ29" s="31" t="str">
        <f t="shared" si="5"/>
        <v>ParallelSimulations,1,</v>
      </c>
      <c r="AR29" s="31" t="str">
        <f t="shared" si="5"/>
        <v>DurationStats,0,</v>
      </c>
      <c r="AS29" s="31" t="str">
        <f t="shared" si="5"/>
        <v>AnalysisThruStep,11,</v>
      </c>
      <c r="AT29" s="31" t="str">
        <f t="shared" si="5"/>
        <v>DontAbortOnErrorsThruStep,11,</v>
      </c>
      <c r="AU29" s="31" t="str">
        <f t="shared" si="5"/>
        <v>BypassValidFileChecks,1,</v>
      </c>
      <c r="AV29" s="31" t="str">
        <f t="shared" si="5"/>
        <v>BypassInputChecks,0,</v>
      </c>
      <c r="AW29" s="31" t="str">
        <f t="shared" si="5"/>
        <v>BypassUMLHChecks,0,</v>
      </c>
      <c r="AX29" s="31" t="str">
        <f t="shared" si="5"/>
        <v>BypassCheckSimRules,0,</v>
      </c>
      <c r="AY29" s="31" t="str">
        <f t="shared" si="5"/>
        <v>BypassCheckCodeRules,0,</v>
      </c>
      <c r="BA29" s="31" t="str">
        <f t="shared" si="6"/>
        <v>StoreBEMDetails,1,</v>
      </c>
      <c r="BB29" s="31" t="str">
        <f t="shared" si="6"/>
        <v>ModelRpt_ALL,1,</v>
      </c>
      <c r="BC29" s="31" t="str">
        <f t="shared" si="6"/>
        <v>BypassOpenStudio_all,0,</v>
      </c>
      <c r="BD29" s="31" t="str">
        <f t="shared" si="6"/>
        <v>BypassOpenStudio_zp,0,</v>
      </c>
      <c r="BE29" s="31" t="str">
        <f t="shared" si="6"/>
        <v>BypassOpenStudio_zb,0,</v>
      </c>
      <c r="BF29" s="31" t="str">
        <f t="shared" si="6"/>
        <v>BypassOpenStudio_ap,0,</v>
      </c>
      <c r="BG29" s="31" t="str">
        <f t="shared" si="6"/>
        <v>BypassOpenStudio_ab,0,</v>
      </c>
      <c r="BH29" s="31" t="str">
        <f t="shared" si="6"/>
        <v>BypassOpenStudio_zp,0,</v>
      </c>
      <c r="BI29" s="31" t="str">
        <f t="shared" si="6"/>
        <v>BypassOpenStudio_zb,0,</v>
      </c>
      <c r="BJ29" s="31" t="str">
        <f t="shared" si="6"/>
        <v>BypassOpenStudio_ap,0,</v>
      </c>
      <c r="BK29" s="31" t="str">
        <f>AM$12&amp;AM29</f>
        <v>BypassOpenStudio_ab,0</v>
      </c>
    </row>
    <row r="30" spans="1:67" x14ac:dyDescent="0.25">
      <c r="A30" s="39">
        <f t="shared" si="7"/>
        <v>0</v>
      </c>
      <c r="B30" s="27" t="str">
        <f t="shared" si="8"/>
        <v>VRFTests\.cibd</v>
      </c>
      <c r="C30" s="27" t="str">
        <f t="shared" si="4"/>
        <v>BatchOut_160405_r3979_T24Other\.cibd</v>
      </c>
      <c r="D30" s="27" t="str">
        <f t="shared" si="9"/>
        <v>BatchOut_160405_r3979_T24Other\XML\</v>
      </c>
      <c r="E30" s="9">
        <f>M30</f>
        <v>0</v>
      </c>
      <c r="F30" s="22"/>
      <c r="G30" s="29"/>
      <c r="H30" s="23"/>
      <c r="I30" s="9" t="s">
        <v>11</v>
      </c>
      <c r="J30" s="9" t="str">
        <f t="shared" si="11"/>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30" s="15" t="s">
        <v>1</v>
      </c>
      <c r="L30" s="36">
        <f t="shared" si="18"/>
        <v>0</v>
      </c>
      <c r="M30" s="32"/>
      <c r="N30" s="28"/>
      <c r="O30" s="57"/>
      <c r="P30" s="63">
        <f t="shared" si="19"/>
        <v>2</v>
      </c>
      <c r="Q30" s="65">
        <f t="shared" si="19"/>
        <v>1</v>
      </c>
      <c r="R30" s="65">
        <f t="shared" si="19"/>
        <v>0</v>
      </c>
      <c r="S30" s="65">
        <f t="shared" si="19"/>
        <v>1</v>
      </c>
      <c r="T30" s="65">
        <f t="shared" si="19"/>
        <v>0</v>
      </c>
      <c r="U30" s="65">
        <f t="shared" si="19"/>
        <v>11</v>
      </c>
      <c r="V30" s="65">
        <f t="shared" si="19"/>
        <v>11</v>
      </c>
      <c r="W30" s="65">
        <f t="shared" si="19"/>
        <v>1</v>
      </c>
      <c r="X30" s="65">
        <f t="shared" si="19"/>
        <v>0</v>
      </c>
      <c r="Y30" s="65">
        <f t="shared" si="19"/>
        <v>0</v>
      </c>
      <c r="Z30" s="65">
        <f t="shared" si="19"/>
        <v>0</v>
      </c>
      <c r="AA30" s="65">
        <f t="shared" si="19"/>
        <v>0</v>
      </c>
      <c r="AB30" s="65">
        <f t="shared" si="19"/>
        <v>1</v>
      </c>
      <c r="AC30" s="65">
        <f t="shared" si="15"/>
        <v>1</v>
      </c>
      <c r="AD30" s="65">
        <f t="shared" si="15"/>
        <v>1</v>
      </c>
      <c r="AE30" s="63">
        <f t="shared" si="15"/>
        <v>0</v>
      </c>
      <c r="AF30" s="64">
        <f t="shared" si="15"/>
        <v>0</v>
      </c>
      <c r="AG30" s="64">
        <f t="shared" si="15"/>
        <v>0</v>
      </c>
      <c r="AH30" s="64">
        <f t="shared" si="15"/>
        <v>0</v>
      </c>
      <c r="AI30" s="66">
        <f t="shared" si="16"/>
        <v>0</v>
      </c>
      <c r="AJ30" s="63">
        <f t="shared" si="16"/>
        <v>0</v>
      </c>
      <c r="AK30" s="64">
        <f t="shared" si="16"/>
        <v>0</v>
      </c>
      <c r="AL30" s="65">
        <f t="shared" si="16"/>
        <v>0</v>
      </c>
      <c r="AM30" s="66">
        <f t="shared" si="16"/>
        <v>0</v>
      </c>
      <c r="AN30" s="31" t="str">
        <f t="shared" si="5"/>
        <v>SimulationStorage,2,</v>
      </c>
      <c r="AO30" s="31" t="str">
        <f t="shared" si="5"/>
        <v>AnalysisStorage,1,</v>
      </c>
      <c r="AP30" s="31" t="str">
        <f t="shared" si="5"/>
        <v>LogRuleEvaluation,0,</v>
      </c>
      <c r="AQ30" s="31" t="str">
        <f t="shared" si="5"/>
        <v>ParallelSimulations,1,</v>
      </c>
      <c r="AR30" s="31" t="str">
        <f t="shared" si="5"/>
        <v>DurationStats,0,</v>
      </c>
      <c r="AS30" s="31" t="str">
        <f t="shared" si="5"/>
        <v>AnalysisThruStep,11,</v>
      </c>
      <c r="AT30" s="31" t="str">
        <f t="shared" si="5"/>
        <v>DontAbortOnErrorsThruStep,11,</v>
      </c>
      <c r="AU30" s="31" t="str">
        <f t="shared" si="5"/>
        <v>BypassValidFileChecks,1,</v>
      </c>
      <c r="AV30" s="31" t="str">
        <f t="shared" si="5"/>
        <v>BypassInputChecks,0,</v>
      </c>
      <c r="AW30" s="31" t="str">
        <f t="shared" si="5"/>
        <v>BypassUMLHChecks,0,</v>
      </c>
      <c r="AX30" s="31" t="str">
        <f t="shared" si="5"/>
        <v>BypassCheckSimRules,0,</v>
      </c>
      <c r="AY30" s="31" t="str">
        <f t="shared" si="5"/>
        <v>BypassCheckCodeRules,0,</v>
      </c>
      <c r="BA30" s="31" t="str">
        <f t="shared" si="5"/>
        <v>StoreBEMDetails,1,</v>
      </c>
      <c r="BB30" s="31" t="str">
        <f t="shared" si="5"/>
        <v>ModelRpt_ALL,1,</v>
      </c>
      <c r="BC30" s="31" t="str">
        <f t="shared" si="5"/>
        <v>BypassOpenStudio_all,0,</v>
      </c>
      <c r="BD30" s="31" t="str">
        <f t="shared" si="6"/>
        <v>BypassOpenStudio_zp,0,</v>
      </c>
      <c r="BE30" s="31" t="str">
        <f t="shared" si="6"/>
        <v>BypassOpenStudio_zb,0,</v>
      </c>
      <c r="BF30" s="31" t="str">
        <f t="shared" si="6"/>
        <v>BypassOpenStudio_ap,0,</v>
      </c>
      <c r="BG30" s="31" t="str">
        <f t="shared" si="6"/>
        <v>BypassOpenStudio_ab,0,</v>
      </c>
      <c r="BH30" s="31" t="str">
        <f t="shared" si="6"/>
        <v>BypassOpenStudio_zp,0,</v>
      </c>
      <c r="BI30" s="31" t="str">
        <f t="shared" si="6"/>
        <v>BypassOpenStudio_zb,0,</v>
      </c>
      <c r="BJ30" s="31" t="str">
        <f t="shared" si="6"/>
        <v>BypassOpenStudio_ap,0,</v>
      </c>
      <c r="BK30" s="31" t="str">
        <f t="shared" si="20"/>
        <v>BypassOpenStudio_ab,0</v>
      </c>
    </row>
    <row r="31" spans="1:67" customFormat="1" x14ac:dyDescent="0.25">
      <c r="A31" t="s">
        <v>1</v>
      </c>
      <c r="K31" s="15"/>
      <c r="L31" s="100"/>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row>
    <row r="32" spans="1:67" x14ac:dyDescent="0.25">
      <c r="A32" s="1" t="s">
        <v>1</v>
      </c>
      <c r="B32"/>
      <c r="C32"/>
      <c r="D32" s="30"/>
      <c r="E32" s="16"/>
      <c r="F32" s="16"/>
      <c r="G32" s="16"/>
      <c r="H32" s="16"/>
      <c r="K32" s="15"/>
      <c r="L32" s="36" t="s">
        <v>176</v>
      </c>
      <c r="M32" s="78" t="s">
        <v>165</v>
      </c>
    </row>
    <row r="33" spans="1:65" x14ac:dyDescent="0.25">
      <c r="A33" s="1" t="s">
        <v>1</v>
      </c>
      <c r="B33"/>
      <c r="C33"/>
      <c r="D33" s="30"/>
      <c r="K33" s="15"/>
      <c r="L33" s="37" t="s">
        <v>45</v>
      </c>
      <c r="M33" s="53">
        <f>M7</f>
        <v>160405</v>
      </c>
    </row>
    <row r="34" spans="1:65" x14ac:dyDescent="0.25">
      <c r="A34" s="1" t="s">
        <v>1</v>
      </c>
      <c r="B34"/>
      <c r="C34"/>
      <c r="D34" s="30"/>
      <c r="K34" s="15"/>
      <c r="L34" s="14" t="s">
        <v>46</v>
      </c>
      <c r="M34" s="53" t="str">
        <f t="shared" ref="M34:M35" si="21">M8</f>
        <v>r3979</v>
      </c>
      <c r="N34" s="52"/>
    </row>
    <row r="35" spans="1:65" x14ac:dyDescent="0.25">
      <c r="A35" s="1" t="s">
        <v>1</v>
      </c>
      <c r="B35"/>
      <c r="C35"/>
      <c r="D35" s="30"/>
      <c r="E35" s="30"/>
      <c r="F35" s="30"/>
      <c r="G35" s="30"/>
      <c r="H35" s="30"/>
      <c r="I35" s="26"/>
      <c r="K35" s="15"/>
      <c r="L35" s="35" t="s">
        <v>39</v>
      </c>
      <c r="M35" s="53" t="str">
        <f t="shared" si="21"/>
        <v>BatchResults_160405_r3979.csv</v>
      </c>
      <c r="N35" s="1" t="s">
        <v>48</v>
      </c>
    </row>
    <row r="36" spans="1:65" x14ac:dyDescent="0.25">
      <c r="A36" s="1" t="s">
        <v>1</v>
      </c>
      <c r="K36" s="15"/>
      <c r="L36" s="14" t="s">
        <v>16</v>
      </c>
      <c r="M36" s="28" t="s">
        <v>166</v>
      </c>
      <c r="N36" s="1" t="s">
        <v>47</v>
      </c>
      <c r="AE36" s="104"/>
      <c r="AF36" s="104"/>
      <c r="AG36" s="104"/>
      <c r="AH36" s="104"/>
      <c r="AI36" s="104"/>
      <c r="AJ36" s="104"/>
      <c r="AK36" s="104"/>
      <c r="AL36" s="104"/>
      <c r="AM36" s="104"/>
    </row>
    <row r="37" spans="1:65" x14ac:dyDescent="0.25">
      <c r="A37" s="1" t="s">
        <v>1</v>
      </c>
      <c r="K37" s="15"/>
      <c r="L37" s="14" t="s">
        <v>17</v>
      </c>
      <c r="M37" s="54" t="str">
        <f>"BatchOut"&amp;"_"&amp;M33&amp;"_"&amp;M34&amp;"_"&amp;L32&amp;"\"</f>
        <v>BatchOut_160405_r3979_OT\</v>
      </c>
      <c r="N37" s="1" t="s">
        <v>47</v>
      </c>
    </row>
    <row r="38" spans="1:65" x14ac:dyDescent="0.25">
      <c r="A38" s="1" t="s">
        <v>1</v>
      </c>
      <c r="K38" s="15"/>
      <c r="L38" s="14" t="s">
        <v>42</v>
      </c>
      <c r="M38" s="54" t="str">
        <f>M37&amp;"XML\"</f>
        <v>BatchOut_160405_r3979_OT\XML\</v>
      </c>
      <c r="N38" s="1" t="s">
        <v>47</v>
      </c>
      <c r="R38" s="31"/>
      <c r="S38" s="31"/>
      <c r="T38" s="31"/>
      <c r="U38" s="31"/>
      <c r="V38" s="31"/>
      <c r="W38" s="31"/>
      <c r="X38" s="31"/>
      <c r="Y38" s="31"/>
      <c r="Z38" s="31"/>
      <c r="AA38" s="31"/>
      <c r="AB38" s="31"/>
      <c r="AC38" s="31"/>
      <c r="AD38" s="31"/>
      <c r="AE38" s="31"/>
      <c r="AF38" s="31"/>
      <c r="AG38" s="31"/>
      <c r="AH38" s="31"/>
      <c r="AI38" s="31"/>
      <c r="AJ38" s="31"/>
      <c r="AK38" s="31"/>
      <c r="AL38" s="31"/>
      <c r="AM38" s="31"/>
    </row>
    <row r="39" spans="1:65" s="46" customFormat="1" x14ac:dyDescent="0.25">
      <c r="A39" s="12" t="s">
        <v>1</v>
      </c>
      <c r="B39" s="8"/>
      <c r="C39" s="8"/>
      <c r="D39" s="8"/>
      <c r="E39" s="8"/>
      <c r="F39" s="19"/>
      <c r="G39" s="21"/>
      <c r="H39" s="20"/>
      <c r="I39" s="8"/>
      <c r="J39" s="8"/>
      <c r="K39" s="15"/>
      <c r="L39" s="42"/>
      <c r="M39" s="43"/>
      <c r="N39" s="40"/>
      <c r="O39" s="40"/>
      <c r="P39" s="56"/>
      <c r="Q39" s="56"/>
      <c r="R39" s="44"/>
      <c r="S39" s="44"/>
      <c r="T39" s="44"/>
      <c r="U39" s="44"/>
      <c r="V39" s="45"/>
      <c r="W39" s="44"/>
      <c r="X39" s="44"/>
      <c r="Y39" s="44"/>
      <c r="Z39" s="44"/>
      <c r="AA39" s="44"/>
      <c r="AB39" s="44"/>
      <c r="AC39" s="44"/>
      <c r="AD39" s="45"/>
      <c r="AE39" s="43"/>
      <c r="AF39" s="43"/>
      <c r="AG39" s="43"/>
      <c r="AH39" s="43"/>
      <c r="AI39" s="43"/>
      <c r="AJ39" s="43"/>
      <c r="AK39" s="43"/>
      <c r="AL39" s="43"/>
      <c r="AM39" s="43"/>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row>
    <row r="40" spans="1:65" x14ac:dyDescent="0.25">
      <c r="A40" s="39">
        <f t="shared" ref="A40:A57" si="22">L40</f>
        <v>0</v>
      </c>
      <c r="B40" s="27" t="str">
        <f>M$36&amp;N40&amp;".cibd"</f>
        <v>OtherTests\.cibd</v>
      </c>
      <c r="C40" s="27" t="str">
        <f xml:space="preserve"> M$37 &amp; O40 &amp; ".cibd"</f>
        <v>BatchOut_160405_r3979_OT\0.cibd</v>
      </c>
      <c r="D40" s="27" t="str">
        <f>$M$38</f>
        <v>BatchOut_160405_r3979_OT\XML\</v>
      </c>
      <c r="E40" s="9" t="str">
        <f>M40</f>
        <v/>
      </c>
      <c r="F40" s="22"/>
      <c r="G40" s="29"/>
      <c r="H40" s="23" t="str">
        <f>IF(F40&gt;1,1,"")</f>
        <v/>
      </c>
      <c r="I40" s="9" t="s">
        <v>11</v>
      </c>
      <c r="J40" s="9" t="str">
        <f t="shared" ref="J40:J57" si="23">CONCATENATE(AN40,AO40,AP40,AQ40,AR40,AS40,AT40,AU40,AV40,AW40,AX40,AY40,AZ40,BA40,BB40,BC40,BD40,BE40,BF40,BG40,BH40,BI40,BJ40,BK40)</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0" s="15" t="s">
        <v>1</v>
      </c>
      <c r="L40" s="36">
        <v>0</v>
      </c>
      <c r="M40" s="32" t="str">
        <f>LEFT(N40,6)&amp;IF(SUM(F40:H40)&gt;0,"_autosize","")</f>
        <v/>
      </c>
      <c r="N40" s="28"/>
      <c r="O40" s="57">
        <f t="shared" ref="O40:O55" si="24">N40</f>
        <v>0</v>
      </c>
      <c r="P40" s="36">
        <f>P16</f>
        <v>2</v>
      </c>
      <c r="Q40" s="36">
        <f t="shared" ref="Q40:AM40" si="25">Q16</f>
        <v>1</v>
      </c>
      <c r="R40" s="36">
        <f t="shared" si="25"/>
        <v>0</v>
      </c>
      <c r="S40" s="36">
        <f t="shared" si="25"/>
        <v>1</v>
      </c>
      <c r="T40" s="36">
        <f t="shared" si="25"/>
        <v>0</v>
      </c>
      <c r="U40" s="36">
        <f t="shared" si="25"/>
        <v>11</v>
      </c>
      <c r="V40" s="36">
        <f t="shared" si="25"/>
        <v>11</v>
      </c>
      <c r="W40" s="36">
        <f t="shared" si="25"/>
        <v>1</v>
      </c>
      <c r="X40" s="36">
        <f t="shared" si="25"/>
        <v>0</v>
      </c>
      <c r="Y40" s="36">
        <f t="shared" si="25"/>
        <v>0</v>
      </c>
      <c r="Z40" s="36">
        <f t="shared" si="25"/>
        <v>0</v>
      </c>
      <c r="AA40" s="36">
        <f t="shared" si="25"/>
        <v>0</v>
      </c>
      <c r="AB40" s="36">
        <f t="shared" si="25"/>
        <v>1</v>
      </c>
      <c r="AC40" s="36">
        <f t="shared" si="25"/>
        <v>1</v>
      </c>
      <c r="AD40" s="61">
        <f t="shared" si="25"/>
        <v>1</v>
      </c>
      <c r="AE40" s="63">
        <f t="shared" si="25"/>
        <v>0</v>
      </c>
      <c r="AF40" s="36">
        <f t="shared" si="25"/>
        <v>0</v>
      </c>
      <c r="AG40" s="36">
        <f t="shared" si="25"/>
        <v>0</v>
      </c>
      <c r="AH40" s="36">
        <f t="shared" si="25"/>
        <v>0</v>
      </c>
      <c r="AI40" s="61">
        <f t="shared" si="25"/>
        <v>0</v>
      </c>
      <c r="AJ40" s="63">
        <f t="shared" si="25"/>
        <v>0</v>
      </c>
      <c r="AK40" s="36">
        <f t="shared" si="25"/>
        <v>0</v>
      </c>
      <c r="AL40" s="36">
        <f t="shared" si="25"/>
        <v>0</v>
      </c>
      <c r="AM40" s="36">
        <f t="shared" si="25"/>
        <v>0</v>
      </c>
      <c r="AN40" s="31" t="str">
        <f t="shared" ref="AN40:AY57" si="26">P$12&amp;P40&amp;","</f>
        <v>SimulationStorage,2,</v>
      </c>
      <c r="AO40" s="31" t="str">
        <f t="shared" si="26"/>
        <v>AnalysisStorage,1,</v>
      </c>
      <c r="AP40" s="31" t="str">
        <f t="shared" si="26"/>
        <v>LogRuleEvaluation,0,</v>
      </c>
      <c r="AQ40" s="31" t="str">
        <f t="shared" si="26"/>
        <v>ParallelSimulations,1,</v>
      </c>
      <c r="AR40" s="31" t="str">
        <f t="shared" si="26"/>
        <v>DurationStats,0,</v>
      </c>
      <c r="AS40" s="31" t="str">
        <f t="shared" si="26"/>
        <v>AnalysisThruStep,11,</v>
      </c>
      <c r="AT40" s="31" t="str">
        <f t="shared" si="26"/>
        <v>DontAbortOnErrorsThruStep,11,</v>
      </c>
      <c r="AU40" s="31" t="str">
        <f t="shared" si="26"/>
        <v>BypassValidFileChecks,1,</v>
      </c>
      <c r="AV40" s="31" t="str">
        <f t="shared" si="26"/>
        <v>BypassInputChecks,0,</v>
      </c>
      <c r="AW40" s="31" t="str">
        <f t="shared" si="26"/>
        <v>BypassUMLHChecks,0,</v>
      </c>
      <c r="AX40" s="31" t="str">
        <f t="shared" si="26"/>
        <v>BypassCheckSimRules,0,</v>
      </c>
      <c r="AY40" s="31" t="str">
        <f t="shared" si="26"/>
        <v>BypassCheckCodeRules,0,</v>
      </c>
      <c r="BA40" s="31" t="str">
        <f t="shared" ref="BA40:BJ57" si="27">AC$12&amp;AC40&amp;","</f>
        <v>StoreBEMDetails,1,</v>
      </c>
      <c r="BB40" s="31" t="str">
        <f t="shared" si="27"/>
        <v>ModelRpt_ALL,1,</v>
      </c>
      <c r="BC40" s="31" t="str">
        <f t="shared" si="27"/>
        <v>BypassOpenStudio_all,0,</v>
      </c>
      <c r="BD40" s="31" t="str">
        <f t="shared" si="27"/>
        <v>BypassOpenStudio_zp,0,</v>
      </c>
      <c r="BE40" s="31" t="str">
        <f t="shared" si="27"/>
        <v>BypassOpenStudio_zb,0,</v>
      </c>
      <c r="BF40" s="31" t="str">
        <f t="shared" si="27"/>
        <v>BypassOpenStudio_ap,0,</v>
      </c>
      <c r="BG40" s="31" t="str">
        <f t="shared" si="27"/>
        <v>BypassOpenStudio_ab,0,</v>
      </c>
      <c r="BH40" s="31" t="str">
        <f t="shared" si="27"/>
        <v>BypassOpenStudio_zp,0,</v>
      </c>
      <c r="BI40" s="31" t="str">
        <f t="shared" si="27"/>
        <v>BypassOpenStudio_zb,0,</v>
      </c>
      <c r="BJ40" s="31" t="str">
        <f t="shared" si="27"/>
        <v>BypassOpenStudio_ap,0,</v>
      </c>
      <c r="BK40" s="31" t="str">
        <f t="shared" ref="BK40:BK57" si="28">AM$12&amp;AM40</f>
        <v>BypassOpenStudio_ab,0</v>
      </c>
    </row>
    <row r="41" spans="1:65" x14ac:dyDescent="0.25">
      <c r="A41" s="39">
        <f t="shared" si="22"/>
        <v>0</v>
      </c>
      <c r="B41" s="27" t="str">
        <f t="shared" ref="B41:B57" si="29">M$36&amp;N41&amp;".cibd"</f>
        <v>OtherTests\.cibd</v>
      </c>
      <c r="C41" s="27" t="str">
        <f t="shared" ref="C41:C57" si="30" xml:space="preserve"> M$37 &amp; O41 &amp; ".cibd"</f>
        <v>BatchOut_160405_r3979_OT\0.cibd</v>
      </c>
      <c r="D41" s="27" t="str">
        <f t="shared" ref="D41:D57" si="31">$M$38</f>
        <v>BatchOut_160405_r3979_OT\XML\</v>
      </c>
      <c r="E41" s="9" t="str">
        <f t="shared" ref="E41:E57" si="32">M41</f>
        <v/>
      </c>
      <c r="F41" s="22"/>
      <c r="G41" s="29"/>
      <c r="H41" s="23" t="str">
        <f>IF(F41&gt;1,1,"")</f>
        <v/>
      </c>
      <c r="I41" s="9" t="s">
        <v>11</v>
      </c>
      <c r="J41"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1" s="15" t="s">
        <v>1</v>
      </c>
      <c r="L41" s="36">
        <f>L40</f>
        <v>0</v>
      </c>
      <c r="M41" s="32" t="str">
        <f t="shared" ref="M41:M57" si="33">LEFT(N41,6)&amp;IF(SUM(F41:H41)&gt;0,"_autosize","")</f>
        <v/>
      </c>
      <c r="N41" s="28"/>
      <c r="O41" s="57">
        <f t="shared" si="24"/>
        <v>0</v>
      </c>
      <c r="P41" s="63">
        <f>P40</f>
        <v>2</v>
      </c>
      <c r="Q41" s="65">
        <f t="shared" ref="Q41:T41" si="34">Q40</f>
        <v>1</v>
      </c>
      <c r="R41" s="65">
        <f t="shared" si="34"/>
        <v>0</v>
      </c>
      <c r="S41" s="65">
        <f t="shared" si="34"/>
        <v>1</v>
      </c>
      <c r="T41" s="65">
        <f t="shared" si="34"/>
        <v>0</v>
      </c>
      <c r="U41" s="65">
        <f>U40</f>
        <v>11</v>
      </c>
      <c r="V41" s="65">
        <f>V40</f>
        <v>11</v>
      </c>
      <c r="W41" s="65">
        <f>W40</f>
        <v>1</v>
      </c>
      <c r="X41" s="65">
        <f t="shared" ref="X41:Y41" si="35">X40</f>
        <v>0</v>
      </c>
      <c r="Y41" s="65">
        <f t="shared" si="35"/>
        <v>0</v>
      </c>
      <c r="Z41" s="65">
        <f>Z40</f>
        <v>0</v>
      </c>
      <c r="AA41" s="65">
        <f>AA40</f>
        <v>0</v>
      </c>
      <c r="AB41" s="65">
        <f>AB40</f>
        <v>1</v>
      </c>
      <c r="AC41" s="65">
        <f t="shared" ref="AB41:AM56" si="36">AC40</f>
        <v>1</v>
      </c>
      <c r="AD41" s="61">
        <f>AD40</f>
        <v>1</v>
      </c>
      <c r="AE41" s="63">
        <f>AE40</f>
        <v>0</v>
      </c>
      <c r="AF41" s="64">
        <f>AF40</f>
        <v>0</v>
      </c>
      <c r="AG41" s="64">
        <f t="shared" ref="AG41:AI41" si="37">AG40</f>
        <v>0</v>
      </c>
      <c r="AH41" s="64">
        <f t="shared" si="37"/>
        <v>0</v>
      </c>
      <c r="AI41" s="66">
        <f t="shared" si="37"/>
        <v>0</v>
      </c>
      <c r="AJ41" s="63">
        <f>AJ40</f>
        <v>0</v>
      </c>
      <c r="AK41" s="64">
        <f>AK40</f>
        <v>0</v>
      </c>
      <c r="AL41" s="65">
        <f t="shared" ref="AL41:AM41" si="38">AL40</f>
        <v>0</v>
      </c>
      <c r="AM41" s="66">
        <f t="shared" si="38"/>
        <v>0</v>
      </c>
      <c r="AN41" s="31" t="str">
        <f t="shared" si="26"/>
        <v>SimulationStorage,2,</v>
      </c>
      <c r="AO41" s="31" t="str">
        <f t="shared" si="26"/>
        <v>AnalysisStorage,1,</v>
      </c>
      <c r="AP41" s="31" t="str">
        <f t="shared" si="26"/>
        <v>LogRuleEvaluation,0,</v>
      </c>
      <c r="AQ41" s="31" t="str">
        <f t="shared" si="26"/>
        <v>ParallelSimulations,1,</v>
      </c>
      <c r="AR41" s="31" t="str">
        <f t="shared" si="26"/>
        <v>DurationStats,0,</v>
      </c>
      <c r="AS41" s="31" t="str">
        <f t="shared" si="26"/>
        <v>AnalysisThruStep,11,</v>
      </c>
      <c r="AT41" s="31" t="str">
        <f t="shared" si="26"/>
        <v>DontAbortOnErrorsThruStep,11,</v>
      </c>
      <c r="AU41" s="31" t="str">
        <f t="shared" si="26"/>
        <v>BypassValidFileChecks,1,</v>
      </c>
      <c r="AV41" s="31" t="str">
        <f t="shared" si="26"/>
        <v>BypassInputChecks,0,</v>
      </c>
      <c r="AW41" s="31" t="str">
        <f t="shared" si="26"/>
        <v>BypassUMLHChecks,0,</v>
      </c>
      <c r="AX41" s="31" t="str">
        <f t="shared" si="26"/>
        <v>BypassCheckSimRules,0,</v>
      </c>
      <c r="AY41" s="31" t="str">
        <f t="shared" si="26"/>
        <v>BypassCheckCodeRules,0,</v>
      </c>
      <c r="BA41" s="31" t="str">
        <f t="shared" si="27"/>
        <v>StoreBEMDetails,1,</v>
      </c>
      <c r="BB41" s="31" t="str">
        <f t="shared" si="27"/>
        <v>ModelRpt_ALL,1,</v>
      </c>
      <c r="BC41" s="31" t="str">
        <f t="shared" si="27"/>
        <v>BypassOpenStudio_all,0,</v>
      </c>
      <c r="BD41" s="31" t="str">
        <f t="shared" si="27"/>
        <v>BypassOpenStudio_zp,0,</v>
      </c>
      <c r="BE41" s="31" t="str">
        <f t="shared" si="27"/>
        <v>BypassOpenStudio_zb,0,</v>
      </c>
      <c r="BF41" s="31" t="str">
        <f t="shared" si="27"/>
        <v>BypassOpenStudio_ap,0,</v>
      </c>
      <c r="BG41" s="31" t="str">
        <f t="shared" si="27"/>
        <v>BypassOpenStudio_ab,0,</v>
      </c>
      <c r="BH41" s="31" t="str">
        <f t="shared" si="27"/>
        <v>BypassOpenStudio_zp,0,</v>
      </c>
      <c r="BI41" s="31" t="str">
        <f t="shared" si="27"/>
        <v>BypassOpenStudio_zb,0,</v>
      </c>
      <c r="BJ41" s="31" t="str">
        <f t="shared" si="27"/>
        <v>BypassOpenStudio_ap,0,</v>
      </c>
      <c r="BK41" s="31" t="str">
        <f t="shared" si="28"/>
        <v>BypassOpenStudio_ab,0</v>
      </c>
    </row>
    <row r="42" spans="1:65" x14ac:dyDescent="0.25">
      <c r="A42" s="39">
        <f t="shared" si="22"/>
        <v>0</v>
      </c>
      <c r="B42" s="27" t="str">
        <f t="shared" si="29"/>
        <v>OtherTests\.cibd</v>
      </c>
      <c r="C42" s="27" t="str">
        <f t="shared" si="30"/>
        <v>BatchOut_160405_r3979_OT\0.cibd</v>
      </c>
      <c r="D42" s="27" t="str">
        <f t="shared" si="31"/>
        <v>BatchOut_160405_r3979_OT\XML\</v>
      </c>
      <c r="E42" s="9" t="str">
        <f t="shared" si="32"/>
        <v/>
      </c>
      <c r="F42" s="22"/>
      <c r="G42" s="29"/>
      <c r="H42" s="23" t="str">
        <f>IF(F42&gt;1,1,"")</f>
        <v/>
      </c>
      <c r="I42" s="9" t="s">
        <v>11</v>
      </c>
      <c r="J42"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2" s="15" t="s">
        <v>1</v>
      </c>
      <c r="L42" s="36">
        <f t="shared" ref="L42:L55" si="39">L41</f>
        <v>0</v>
      </c>
      <c r="M42" s="32" t="str">
        <f t="shared" si="33"/>
        <v/>
      </c>
      <c r="N42" s="28"/>
      <c r="O42" s="57">
        <f t="shared" si="24"/>
        <v>0</v>
      </c>
      <c r="P42" s="63">
        <f t="shared" ref="P42:AE56" si="40">P41</f>
        <v>2</v>
      </c>
      <c r="Q42" s="65">
        <f t="shared" si="40"/>
        <v>1</v>
      </c>
      <c r="R42" s="65">
        <f t="shared" si="40"/>
        <v>0</v>
      </c>
      <c r="S42" s="65">
        <f t="shared" si="40"/>
        <v>1</v>
      </c>
      <c r="T42" s="65">
        <f t="shared" si="40"/>
        <v>0</v>
      </c>
      <c r="U42" s="65">
        <f t="shared" si="40"/>
        <v>11</v>
      </c>
      <c r="V42" s="65">
        <f t="shared" si="40"/>
        <v>11</v>
      </c>
      <c r="W42" s="65">
        <f t="shared" si="40"/>
        <v>1</v>
      </c>
      <c r="X42" s="65">
        <f t="shared" si="40"/>
        <v>0</v>
      </c>
      <c r="Y42" s="65">
        <f t="shared" si="40"/>
        <v>0</v>
      </c>
      <c r="Z42" s="65">
        <f t="shared" si="40"/>
        <v>0</v>
      </c>
      <c r="AA42" s="65">
        <f t="shared" si="40"/>
        <v>0</v>
      </c>
      <c r="AB42" s="65">
        <f t="shared" si="40"/>
        <v>1</v>
      </c>
      <c r="AC42" s="65">
        <f t="shared" si="36"/>
        <v>1</v>
      </c>
      <c r="AD42" s="61">
        <f t="shared" si="36"/>
        <v>1</v>
      </c>
      <c r="AE42" s="63">
        <f t="shared" si="36"/>
        <v>0</v>
      </c>
      <c r="AF42" s="64">
        <f t="shared" si="36"/>
        <v>0</v>
      </c>
      <c r="AG42" s="64">
        <f t="shared" si="36"/>
        <v>0</v>
      </c>
      <c r="AH42" s="64">
        <f t="shared" si="36"/>
        <v>0</v>
      </c>
      <c r="AI42" s="66">
        <f t="shared" si="36"/>
        <v>0</v>
      </c>
      <c r="AJ42" s="63">
        <f t="shared" si="36"/>
        <v>0</v>
      </c>
      <c r="AK42" s="64">
        <f t="shared" si="36"/>
        <v>0</v>
      </c>
      <c r="AL42" s="65">
        <f t="shared" si="36"/>
        <v>0</v>
      </c>
      <c r="AM42" s="66">
        <f t="shared" si="36"/>
        <v>0</v>
      </c>
      <c r="AN42" s="31" t="str">
        <f t="shared" si="26"/>
        <v>SimulationStorage,2,</v>
      </c>
      <c r="AO42" s="31" t="str">
        <f t="shared" si="26"/>
        <v>AnalysisStorage,1,</v>
      </c>
      <c r="AP42" s="31" t="str">
        <f t="shared" si="26"/>
        <v>LogRuleEvaluation,0,</v>
      </c>
      <c r="AQ42" s="31" t="str">
        <f t="shared" si="26"/>
        <v>ParallelSimulations,1,</v>
      </c>
      <c r="AR42" s="31" t="str">
        <f t="shared" si="26"/>
        <v>DurationStats,0,</v>
      </c>
      <c r="AS42" s="31" t="str">
        <f t="shared" si="26"/>
        <v>AnalysisThruStep,11,</v>
      </c>
      <c r="AT42" s="31" t="str">
        <f t="shared" si="26"/>
        <v>DontAbortOnErrorsThruStep,11,</v>
      </c>
      <c r="AU42" s="31" t="str">
        <f t="shared" si="26"/>
        <v>BypassValidFileChecks,1,</v>
      </c>
      <c r="AV42" s="31" t="str">
        <f t="shared" si="26"/>
        <v>BypassInputChecks,0,</v>
      </c>
      <c r="AW42" s="31" t="str">
        <f t="shared" si="26"/>
        <v>BypassUMLHChecks,0,</v>
      </c>
      <c r="AX42" s="31" t="str">
        <f t="shared" si="26"/>
        <v>BypassCheckSimRules,0,</v>
      </c>
      <c r="AY42" s="31" t="str">
        <f t="shared" si="26"/>
        <v>BypassCheckCodeRules,0,</v>
      </c>
      <c r="BA42" s="31" t="str">
        <f t="shared" si="27"/>
        <v>StoreBEMDetails,1,</v>
      </c>
      <c r="BB42" s="31" t="str">
        <f t="shared" si="27"/>
        <v>ModelRpt_ALL,1,</v>
      </c>
      <c r="BC42" s="31" t="str">
        <f t="shared" si="27"/>
        <v>BypassOpenStudio_all,0,</v>
      </c>
      <c r="BD42" s="31" t="str">
        <f t="shared" si="27"/>
        <v>BypassOpenStudio_zp,0,</v>
      </c>
      <c r="BE42" s="31" t="str">
        <f t="shared" si="27"/>
        <v>BypassOpenStudio_zb,0,</v>
      </c>
      <c r="BF42" s="31" t="str">
        <f t="shared" si="27"/>
        <v>BypassOpenStudio_ap,0,</v>
      </c>
      <c r="BG42" s="31" t="str">
        <f t="shared" si="27"/>
        <v>BypassOpenStudio_ab,0,</v>
      </c>
      <c r="BH42" s="31" t="str">
        <f t="shared" si="27"/>
        <v>BypassOpenStudio_zp,0,</v>
      </c>
      <c r="BI42" s="31" t="str">
        <f t="shared" si="27"/>
        <v>BypassOpenStudio_zb,0,</v>
      </c>
      <c r="BJ42" s="31" t="str">
        <f t="shared" si="27"/>
        <v>BypassOpenStudio_ap,0,</v>
      </c>
      <c r="BK42" s="31" t="str">
        <f t="shared" si="28"/>
        <v>BypassOpenStudio_ab,0</v>
      </c>
    </row>
    <row r="43" spans="1:65" x14ac:dyDescent="0.25">
      <c r="A43" s="39">
        <f t="shared" si="22"/>
        <v>0</v>
      </c>
      <c r="B43" s="27" t="str">
        <f t="shared" si="29"/>
        <v>OtherTests\.cibd</v>
      </c>
      <c r="C43" s="27" t="str">
        <f t="shared" si="30"/>
        <v>BatchOut_160405_r3979_OT\0.cibd</v>
      </c>
      <c r="D43" s="27" t="str">
        <f t="shared" si="31"/>
        <v>BatchOut_160405_r3979_OT\XML\</v>
      </c>
      <c r="E43" s="9" t="str">
        <f t="shared" si="32"/>
        <v/>
      </c>
      <c r="F43" s="22"/>
      <c r="G43" s="29"/>
      <c r="H43" s="23"/>
      <c r="I43" s="9" t="s">
        <v>11</v>
      </c>
      <c r="J43"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3" s="15" t="s">
        <v>1</v>
      </c>
      <c r="L43" s="36">
        <f t="shared" si="39"/>
        <v>0</v>
      </c>
      <c r="M43" s="32" t="str">
        <f t="shared" si="33"/>
        <v/>
      </c>
      <c r="N43" s="28"/>
      <c r="O43" s="57">
        <f t="shared" si="24"/>
        <v>0</v>
      </c>
      <c r="P43" s="63">
        <f t="shared" si="40"/>
        <v>2</v>
      </c>
      <c r="Q43" s="65">
        <f t="shared" si="40"/>
        <v>1</v>
      </c>
      <c r="R43" s="65">
        <f t="shared" si="40"/>
        <v>0</v>
      </c>
      <c r="S43" s="65">
        <f t="shared" si="40"/>
        <v>1</v>
      </c>
      <c r="T43" s="65">
        <f t="shared" si="40"/>
        <v>0</v>
      </c>
      <c r="U43" s="65">
        <f t="shared" si="40"/>
        <v>11</v>
      </c>
      <c r="V43" s="65">
        <f t="shared" si="40"/>
        <v>11</v>
      </c>
      <c r="W43" s="65">
        <f t="shared" si="40"/>
        <v>1</v>
      </c>
      <c r="X43" s="65">
        <f t="shared" si="40"/>
        <v>0</v>
      </c>
      <c r="Y43" s="65">
        <f t="shared" si="40"/>
        <v>0</v>
      </c>
      <c r="Z43" s="65">
        <f t="shared" si="40"/>
        <v>0</v>
      </c>
      <c r="AA43" s="65">
        <f t="shared" si="40"/>
        <v>0</v>
      </c>
      <c r="AB43" s="65">
        <f t="shared" si="40"/>
        <v>1</v>
      </c>
      <c r="AC43" s="65">
        <f t="shared" si="36"/>
        <v>1</v>
      </c>
      <c r="AD43" s="61">
        <f t="shared" si="36"/>
        <v>1</v>
      </c>
      <c r="AE43" s="63">
        <f t="shared" si="36"/>
        <v>0</v>
      </c>
      <c r="AF43" s="64">
        <f t="shared" si="36"/>
        <v>0</v>
      </c>
      <c r="AG43" s="64">
        <f t="shared" si="36"/>
        <v>0</v>
      </c>
      <c r="AH43" s="64">
        <f t="shared" si="36"/>
        <v>0</v>
      </c>
      <c r="AI43" s="66">
        <f t="shared" si="36"/>
        <v>0</v>
      </c>
      <c r="AJ43" s="63">
        <f t="shared" si="36"/>
        <v>0</v>
      </c>
      <c r="AK43" s="64">
        <f t="shared" si="36"/>
        <v>0</v>
      </c>
      <c r="AL43" s="65">
        <f t="shared" si="36"/>
        <v>0</v>
      </c>
      <c r="AM43" s="66">
        <f t="shared" si="36"/>
        <v>0</v>
      </c>
      <c r="AN43" s="31" t="str">
        <f t="shared" si="26"/>
        <v>SimulationStorage,2,</v>
      </c>
      <c r="AO43" s="31" t="str">
        <f t="shared" si="26"/>
        <v>AnalysisStorage,1,</v>
      </c>
      <c r="AP43" s="31" t="str">
        <f t="shared" si="26"/>
        <v>LogRuleEvaluation,0,</v>
      </c>
      <c r="AQ43" s="31" t="str">
        <f t="shared" si="26"/>
        <v>ParallelSimulations,1,</v>
      </c>
      <c r="AR43" s="31" t="str">
        <f t="shared" si="26"/>
        <v>DurationStats,0,</v>
      </c>
      <c r="AS43" s="31" t="str">
        <f t="shared" si="26"/>
        <v>AnalysisThruStep,11,</v>
      </c>
      <c r="AT43" s="31" t="str">
        <f t="shared" si="26"/>
        <v>DontAbortOnErrorsThruStep,11,</v>
      </c>
      <c r="AU43" s="31" t="str">
        <f t="shared" si="26"/>
        <v>BypassValidFileChecks,1,</v>
      </c>
      <c r="AV43" s="31" t="str">
        <f t="shared" si="26"/>
        <v>BypassInputChecks,0,</v>
      </c>
      <c r="AW43" s="31" t="str">
        <f t="shared" si="26"/>
        <v>BypassUMLHChecks,0,</v>
      </c>
      <c r="AX43" s="31" t="str">
        <f t="shared" si="26"/>
        <v>BypassCheckSimRules,0,</v>
      </c>
      <c r="AY43" s="31" t="str">
        <f t="shared" si="26"/>
        <v>BypassCheckCodeRules,0,</v>
      </c>
      <c r="BA43" s="31" t="str">
        <f t="shared" si="27"/>
        <v>StoreBEMDetails,1,</v>
      </c>
      <c r="BB43" s="31" t="str">
        <f t="shared" si="27"/>
        <v>ModelRpt_ALL,1,</v>
      </c>
      <c r="BC43" s="31" t="str">
        <f t="shared" si="27"/>
        <v>BypassOpenStudio_all,0,</v>
      </c>
      <c r="BD43" s="31" t="str">
        <f t="shared" si="27"/>
        <v>BypassOpenStudio_zp,0,</v>
      </c>
      <c r="BE43" s="31" t="str">
        <f t="shared" si="27"/>
        <v>BypassOpenStudio_zb,0,</v>
      </c>
      <c r="BF43" s="31" t="str">
        <f t="shared" si="27"/>
        <v>BypassOpenStudio_ap,0,</v>
      </c>
      <c r="BG43" s="31" t="str">
        <f t="shared" si="27"/>
        <v>BypassOpenStudio_ab,0,</v>
      </c>
      <c r="BH43" s="31" t="str">
        <f t="shared" si="27"/>
        <v>BypassOpenStudio_zp,0,</v>
      </c>
      <c r="BI43" s="31" t="str">
        <f t="shared" si="27"/>
        <v>BypassOpenStudio_zb,0,</v>
      </c>
      <c r="BJ43" s="31" t="str">
        <f t="shared" si="27"/>
        <v>BypassOpenStudio_ap,0,</v>
      </c>
      <c r="BK43" s="31" t="str">
        <f t="shared" si="28"/>
        <v>BypassOpenStudio_ab,0</v>
      </c>
    </row>
    <row r="44" spans="1:65" x14ac:dyDescent="0.25">
      <c r="A44" s="39">
        <f t="shared" si="22"/>
        <v>0</v>
      </c>
      <c r="B44" s="27" t="str">
        <f t="shared" si="29"/>
        <v>OtherTests\.cibd</v>
      </c>
      <c r="C44" s="27" t="str">
        <f t="shared" si="30"/>
        <v>BatchOut_160405_r3979_OT\0.cibd</v>
      </c>
      <c r="D44" s="27" t="str">
        <f t="shared" si="31"/>
        <v>BatchOut_160405_r3979_OT\XML\</v>
      </c>
      <c r="E44" s="9" t="str">
        <f t="shared" si="32"/>
        <v/>
      </c>
      <c r="F44" s="22"/>
      <c r="G44" s="29"/>
      <c r="H44" s="23"/>
      <c r="I44" s="9" t="s">
        <v>11</v>
      </c>
      <c r="J44"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4" s="15" t="s">
        <v>1</v>
      </c>
      <c r="L44" s="36">
        <f t="shared" si="39"/>
        <v>0</v>
      </c>
      <c r="M44" s="32" t="str">
        <f t="shared" si="33"/>
        <v/>
      </c>
      <c r="N44" s="28"/>
      <c r="O44" s="57">
        <f t="shared" si="24"/>
        <v>0</v>
      </c>
      <c r="P44" s="63">
        <f t="shared" si="40"/>
        <v>2</v>
      </c>
      <c r="Q44" s="65">
        <f t="shared" si="40"/>
        <v>1</v>
      </c>
      <c r="R44" s="65">
        <f t="shared" si="40"/>
        <v>0</v>
      </c>
      <c r="S44" s="65">
        <f t="shared" si="40"/>
        <v>1</v>
      </c>
      <c r="T44" s="65">
        <f t="shared" si="40"/>
        <v>0</v>
      </c>
      <c r="U44" s="65">
        <f t="shared" si="40"/>
        <v>11</v>
      </c>
      <c r="V44" s="65">
        <f t="shared" si="40"/>
        <v>11</v>
      </c>
      <c r="W44" s="65">
        <f t="shared" si="40"/>
        <v>1</v>
      </c>
      <c r="X44" s="65">
        <f t="shared" si="40"/>
        <v>0</v>
      </c>
      <c r="Y44" s="65">
        <f t="shared" si="40"/>
        <v>0</v>
      </c>
      <c r="Z44" s="65">
        <f t="shared" si="40"/>
        <v>0</v>
      </c>
      <c r="AA44" s="65">
        <f t="shared" si="40"/>
        <v>0</v>
      </c>
      <c r="AB44" s="65">
        <f t="shared" si="40"/>
        <v>1</v>
      </c>
      <c r="AC44" s="65">
        <f t="shared" si="36"/>
        <v>1</v>
      </c>
      <c r="AD44" s="61">
        <f t="shared" si="36"/>
        <v>1</v>
      </c>
      <c r="AE44" s="63">
        <f t="shared" si="36"/>
        <v>0</v>
      </c>
      <c r="AF44" s="64">
        <f t="shared" si="36"/>
        <v>0</v>
      </c>
      <c r="AG44" s="64">
        <f t="shared" si="36"/>
        <v>0</v>
      </c>
      <c r="AH44" s="64">
        <f t="shared" si="36"/>
        <v>0</v>
      </c>
      <c r="AI44" s="66">
        <f t="shared" si="36"/>
        <v>0</v>
      </c>
      <c r="AJ44" s="63">
        <f t="shared" si="36"/>
        <v>0</v>
      </c>
      <c r="AK44" s="64">
        <f t="shared" si="36"/>
        <v>0</v>
      </c>
      <c r="AL44" s="65">
        <f t="shared" si="36"/>
        <v>0</v>
      </c>
      <c r="AM44" s="66">
        <f t="shared" si="36"/>
        <v>0</v>
      </c>
      <c r="AN44" s="31" t="str">
        <f t="shared" si="26"/>
        <v>SimulationStorage,2,</v>
      </c>
      <c r="AO44" s="31" t="str">
        <f t="shared" si="26"/>
        <v>AnalysisStorage,1,</v>
      </c>
      <c r="AP44" s="31" t="str">
        <f t="shared" si="26"/>
        <v>LogRuleEvaluation,0,</v>
      </c>
      <c r="AQ44" s="31" t="str">
        <f t="shared" si="26"/>
        <v>ParallelSimulations,1,</v>
      </c>
      <c r="AR44" s="31" t="str">
        <f t="shared" si="26"/>
        <v>DurationStats,0,</v>
      </c>
      <c r="AS44" s="31" t="str">
        <f t="shared" si="26"/>
        <v>AnalysisThruStep,11,</v>
      </c>
      <c r="AT44" s="31" t="str">
        <f t="shared" si="26"/>
        <v>DontAbortOnErrorsThruStep,11,</v>
      </c>
      <c r="AU44" s="31" t="str">
        <f t="shared" si="26"/>
        <v>BypassValidFileChecks,1,</v>
      </c>
      <c r="AV44" s="31" t="str">
        <f t="shared" si="26"/>
        <v>BypassInputChecks,0,</v>
      </c>
      <c r="AW44" s="31" t="str">
        <f t="shared" si="26"/>
        <v>BypassUMLHChecks,0,</v>
      </c>
      <c r="AX44" s="31" t="str">
        <f t="shared" si="26"/>
        <v>BypassCheckSimRules,0,</v>
      </c>
      <c r="AY44" s="31" t="str">
        <f t="shared" si="26"/>
        <v>BypassCheckCodeRules,0,</v>
      </c>
      <c r="BA44" s="31" t="str">
        <f t="shared" si="27"/>
        <v>StoreBEMDetails,1,</v>
      </c>
      <c r="BB44" s="31" t="str">
        <f t="shared" si="27"/>
        <v>ModelRpt_ALL,1,</v>
      </c>
      <c r="BC44" s="31" t="str">
        <f t="shared" si="27"/>
        <v>BypassOpenStudio_all,0,</v>
      </c>
      <c r="BD44" s="31" t="str">
        <f t="shared" si="27"/>
        <v>BypassOpenStudio_zp,0,</v>
      </c>
      <c r="BE44" s="31" t="str">
        <f t="shared" si="27"/>
        <v>BypassOpenStudio_zb,0,</v>
      </c>
      <c r="BF44" s="31" t="str">
        <f t="shared" si="27"/>
        <v>BypassOpenStudio_ap,0,</v>
      </c>
      <c r="BG44" s="31" t="str">
        <f t="shared" si="27"/>
        <v>BypassOpenStudio_ab,0,</v>
      </c>
      <c r="BH44" s="31" t="str">
        <f t="shared" si="27"/>
        <v>BypassOpenStudio_zp,0,</v>
      </c>
      <c r="BI44" s="31" t="str">
        <f t="shared" si="27"/>
        <v>BypassOpenStudio_zb,0,</v>
      </c>
      <c r="BJ44" s="31" t="str">
        <f t="shared" si="27"/>
        <v>BypassOpenStudio_ap,0,</v>
      </c>
      <c r="BK44" s="31" t="str">
        <f t="shared" si="28"/>
        <v>BypassOpenStudio_ab,0</v>
      </c>
    </row>
    <row r="45" spans="1:65" x14ac:dyDescent="0.25">
      <c r="A45" s="39">
        <f t="shared" si="22"/>
        <v>0</v>
      </c>
      <c r="B45" s="27" t="str">
        <f t="shared" si="29"/>
        <v>OtherTests\.cibd</v>
      </c>
      <c r="C45" s="27" t="str">
        <f t="shared" si="30"/>
        <v>BatchOut_160405_r3979_OT\0.cibd</v>
      </c>
      <c r="D45" s="27" t="str">
        <f t="shared" si="31"/>
        <v>BatchOut_160405_r3979_OT\XML\</v>
      </c>
      <c r="E45" s="9" t="str">
        <f t="shared" si="32"/>
        <v/>
      </c>
      <c r="F45" s="22"/>
      <c r="G45" s="29"/>
      <c r="H45" s="23" t="str">
        <f>IF(F45&gt;1,1,"")</f>
        <v/>
      </c>
      <c r="I45" s="9" t="s">
        <v>11</v>
      </c>
      <c r="J45"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5" s="15" t="s">
        <v>1</v>
      </c>
      <c r="L45" s="36">
        <f t="shared" si="39"/>
        <v>0</v>
      </c>
      <c r="M45" s="32" t="str">
        <f t="shared" si="33"/>
        <v/>
      </c>
      <c r="N45" s="28"/>
      <c r="O45" s="57">
        <f t="shared" si="24"/>
        <v>0</v>
      </c>
      <c r="P45" s="63">
        <f t="shared" si="40"/>
        <v>2</v>
      </c>
      <c r="Q45" s="65">
        <f t="shared" si="40"/>
        <v>1</v>
      </c>
      <c r="R45" s="65">
        <f t="shared" si="40"/>
        <v>0</v>
      </c>
      <c r="S45" s="65">
        <f t="shared" si="40"/>
        <v>1</v>
      </c>
      <c r="T45" s="65">
        <f t="shared" si="40"/>
        <v>0</v>
      </c>
      <c r="U45" s="65">
        <f t="shared" si="40"/>
        <v>11</v>
      </c>
      <c r="V45" s="65">
        <f t="shared" si="40"/>
        <v>11</v>
      </c>
      <c r="W45" s="65">
        <f t="shared" si="40"/>
        <v>1</v>
      </c>
      <c r="X45" s="65">
        <f t="shared" si="40"/>
        <v>0</v>
      </c>
      <c r="Y45" s="65">
        <f t="shared" si="40"/>
        <v>0</v>
      </c>
      <c r="Z45" s="65">
        <f t="shared" si="40"/>
        <v>0</v>
      </c>
      <c r="AA45" s="65">
        <f t="shared" si="40"/>
        <v>0</v>
      </c>
      <c r="AB45" s="65">
        <f t="shared" si="40"/>
        <v>1</v>
      </c>
      <c r="AC45" s="65">
        <f t="shared" si="36"/>
        <v>1</v>
      </c>
      <c r="AD45" s="61">
        <f t="shared" si="36"/>
        <v>1</v>
      </c>
      <c r="AE45" s="63">
        <f t="shared" si="36"/>
        <v>0</v>
      </c>
      <c r="AF45" s="64">
        <f t="shared" si="36"/>
        <v>0</v>
      </c>
      <c r="AG45" s="64">
        <f t="shared" si="36"/>
        <v>0</v>
      </c>
      <c r="AH45" s="64">
        <f t="shared" si="36"/>
        <v>0</v>
      </c>
      <c r="AI45" s="66">
        <f t="shared" si="36"/>
        <v>0</v>
      </c>
      <c r="AJ45" s="63">
        <f t="shared" si="36"/>
        <v>0</v>
      </c>
      <c r="AK45" s="64">
        <f t="shared" si="36"/>
        <v>0</v>
      </c>
      <c r="AL45" s="65">
        <f t="shared" si="36"/>
        <v>0</v>
      </c>
      <c r="AM45" s="66">
        <f t="shared" si="36"/>
        <v>0</v>
      </c>
      <c r="AN45" s="31" t="str">
        <f t="shared" si="26"/>
        <v>SimulationStorage,2,</v>
      </c>
      <c r="AO45" s="31" t="str">
        <f t="shared" si="26"/>
        <v>AnalysisStorage,1,</v>
      </c>
      <c r="AP45" s="31" t="str">
        <f t="shared" si="26"/>
        <v>LogRuleEvaluation,0,</v>
      </c>
      <c r="AQ45" s="31" t="str">
        <f t="shared" si="26"/>
        <v>ParallelSimulations,1,</v>
      </c>
      <c r="AR45" s="31" t="str">
        <f t="shared" si="26"/>
        <v>DurationStats,0,</v>
      </c>
      <c r="AS45" s="31" t="str">
        <f t="shared" si="26"/>
        <v>AnalysisThruStep,11,</v>
      </c>
      <c r="AT45" s="31" t="str">
        <f t="shared" si="26"/>
        <v>DontAbortOnErrorsThruStep,11,</v>
      </c>
      <c r="AU45" s="31" t="str">
        <f t="shared" si="26"/>
        <v>BypassValidFileChecks,1,</v>
      </c>
      <c r="AV45" s="31" t="str">
        <f t="shared" si="26"/>
        <v>BypassInputChecks,0,</v>
      </c>
      <c r="AW45" s="31" t="str">
        <f t="shared" si="26"/>
        <v>BypassUMLHChecks,0,</v>
      </c>
      <c r="AX45" s="31" t="str">
        <f t="shared" si="26"/>
        <v>BypassCheckSimRules,0,</v>
      </c>
      <c r="AY45" s="31" t="str">
        <f t="shared" si="26"/>
        <v>BypassCheckCodeRules,0,</v>
      </c>
      <c r="BA45" s="31" t="str">
        <f t="shared" si="27"/>
        <v>StoreBEMDetails,1,</v>
      </c>
      <c r="BB45" s="31" t="str">
        <f t="shared" si="27"/>
        <v>ModelRpt_ALL,1,</v>
      </c>
      <c r="BC45" s="31" t="str">
        <f t="shared" si="27"/>
        <v>BypassOpenStudio_all,0,</v>
      </c>
      <c r="BD45" s="31" t="str">
        <f t="shared" si="27"/>
        <v>BypassOpenStudio_zp,0,</v>
      </c>
      <c r="BE45" s="31" t="str">
        <f t="shared" si="27"/>
        <v>BypassOpenStudio_zb,0,</v>
      </c>
      <c r="BF45" s="31" t="str">
        <f t="shared" si="27"/>
        <v>BypassOpenStudio_ap,0,</v>
      </c>
      <c r="BG45" s="31" t="str">
        <f t="shared" si="27"/>
        <v>BypassOpenStudio_ab,0,</v>
      </c>
      <c r="BH45" s="31" t="str">
        <f t="shared" si="27"/>
        <v>BypassOpenStudio_zp,0,</v>
      </c>
      <c r="BI45" s="31" t="str">
        <f t="shared" si="27"/>
        <v>BypassOpenStudio_zb,0,</v>
      </c>
      <c r="BJ45" s="31" t="str">
        <f t="shared" si="27"/>
        <v>BypassOpenStudio_ap,0,</v>
      </c>
      <c r="BK45" s="31" t="str">
        <f t="shared" si="28"/>
        <v>BypassOpenStudio_ab,0</v>
      </c>
    </row>
    <row r="46" spans="1:65" x14ac:dyDescent="0.25">
      <c r="A46" s="39">
        <f t="shared" si="22"/>
        <v>0</v>
      </c>
      <c r="B46" s="27" t="str">
        <f t="shared" si="29"/>
        <v>OtherTests\.cibd</v>
      </c>
      <c r="C46" s="27" t="str">
        <f t="shared" si="30"/>
        <v>BatchOut_160405_r3979_OT\0.cibd</v>
      </c>
      <c r="D46" s="27" t="str">
        <f t="shared" si="31"/>
        <v>BatchOut_160405_r3979_OT\XML\</v>
      </c>
      <c r="E46" s="9">
        <f t="shared" si="32"/>
        <v>0</v>
      </c>
      <c r="F46" s="22"/>
      <c r="G46" s="29"/>
      <c r="H46" s="23"/>
      <c r="I46" s="9" t="s">
        <v>11</v>
      </c>
      <c r="J46"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6" s="15" t="s">
        <v>1</v>
      </c>
      <c r="L46" s="36">
        <f t="shared" si="39"/>
        <v>0</v>
      </c>
      <c r="M46" s="32">
        <f>N46</f>
        <v>0</v>
      </c>
      <c r="N46" s="28"/>
      <c r="O46" s="57">
        <f t="shared" si="24"/>
        <v>0</v>
      </c>
      <c r="P46" s="63">
        <f t="shared" si="40"/>
        <v>2</v>
      </c>
      <c r="Q46" s="65">
        <f t="shared" si="40"/>
        <v>1</v>
      </c>
      <c r="R46" s="65">
        <f t="shared" si="40"/>
        <v>0</v>
      </c>
      <c r="S46" s="65">
        <f t="shared" si="40"/>
        <v>1</v>
      </c>
      <c r="T46" s="65">
        <f t="shared" si="40"/>
        <v>0</v>
      </c>
      <c r="U46" s="65">
        <f t="shared" si="40"/>
        <v>11</v>
      </c>
      <c r="V46" s="65">
        <f t="shared" si="40"/>
        <v>11</v>
      </c>
      <c r="W46" s="65">
        <f t="shared" si="40"/>
        <v>1</v>
      </c>
      <c r="X46" s="65">
        <f t="shared" si="40"/>
        <v>0</v>
      </c>
      <c r="Y46" s="65">
        <f t="shared" si="40"/>
        <v>0</v>
      </c>
      <c r="Z46" s="65">
        <f t="shared" si="40"/>
        <v>0</v>
      </c>
      <c r="AA46" s="65">
        <f t="shared" si="40"/>
        <v>0</v>
      </c>
      <c r="AB46" s="65">
        <f t="shared" si="40"/>
        <v>1</v>
      </c>
      <c r="AC46" s="65">
        <f t="shared" si="36"/>
        <v>1</v>
      </c>
      <c r="AD46" s="61">
        <f t="shared" si="36"/>
        <v>1</v>
      </c>
      <c r="AE46" s="63">
        <f t="shared" si="36"/>
        <v>0</v>
      </c>
      <c r="AF46" s="64">
        <f t="shared" si="36"/>
        <v>0</v>
      </c>
      <c r="AG46" s="64">
        <f t="shared" si="36"/>
        <v>0</v>
      </c>
      <c r="AH46" s="64">
        <f t="shared" si="36"/>
        <v>0</v>
      </c>
      <c r="AI46" s="66">
        <f t="shared" si="36"/>
        <v>0</v>
      </c>
      <c r="AJ46" s="63">
        <f t="shared" si="36"/>
        <v>0</v>
      </c>
      <c r="AK46" s="64">
        <f t="shared" si="36"/>
        <v>0</v>
      </c>
      <c r="AL46" s="65">
        <f t="shared" si="36"/>
        <v>0</v>
      </c>
      <c r="AM46" s="66">
        <f t="shared" si="36"/>
        <v>0</v>
      </c>
      <c r="AN46" s="31" t="str">
        <f t="shared" si="26"/>
        <v>SimulationStorage,2,</v>
      </c>
      <c r="AO46" s="31" t="str">
        <f t="shared" si="26"/>
        <v>AnalysisStorage,1,</v>
      </c>
      <c r="AP46" s="31" t="str">
        <f t="shared" si="26"/>
        <v>LogRuleEvaluation,0,</v>
      </c>
      <c r="AQ46" s="31" t="str">
        <f t="shared" si="26"/>
        <v>ParallelSimulations,1,</v>
      </c>
      <c r="AR46" s="31" t="str">
        <f t="shared" si="26"/>
        <v>DurationStats,0,</v>
      </c>
      <c r="AS46" s="31" t="str">
        <f t="shared" si="26"/>
        <v>AnalysisThruStep,11,</v>
      </c>
      <c r="AT46" s="31" t="str">
        <f t="shared" si="26"/>
        <v>DontAbortOnErrorsThruStep,11,</v>
      </c>
      <c r="AU46" s="31" t="str">
        <f t="shared" si="26"/>
        <v>BypassValidFileChecks,1,</v>
      </c>
      <c r="AV46" s="31" t="str">
        <f t="shared" si="26"/>
        <v>BypassInputChecks,0,</v>
      </c>
      <c r="AW46" s="31" t="str">
        <f t="shared" si="26"/>
        <v>BypassUMLHChecks,0,</v>
      </c>
      <c r="AX46" s="31" t="str">
        <f t="shared" si="26"/>
        <v>BypassCheckSimRules,0,</v>
      </c>
      <c r="AY46" s="31" t="str">
        <f t="shared" si="26"/>
        <v>BypassCheckCodeRules,0,</v>
      </c>
      <c r="BA46" s="31" t="str">
        <f t="shared" si="27"/>
        <v>StoreBEMDetails,1,</v>
      </c>
      <c r="BB46" s="31" t="str">
        <f t="shared" si="27"/>
        <v>ModelRpt_ALL,1,</v>
      </c>
      <c r="BC46" s="31" t="str">
        <f t="shared" si="27"/>
        <v>BypassOpenStudio_all,0,</v>
      </c>
      <c r="BD46" s="31" t="str">
        <f t="shared" si="27"/>
        <v>BypassOpenStudio_zp,0,</v>
      </c>
      <c r="BE46" s="31" t="str">
        <f t="shared" si="27"/>
        <v>BypassOpenStudio_zb,0,</v>
      </c>
      <c r="BF46" s="31" t="str">
        <f t="shared" si="27"/>
        <v>BypassOpenStudio_ap,0,</v>
      </c>
      <c r="BG46" s="31" t="str">
        <f t="shared" si="27"/>
        <v>BypassOpenStudio_ab,0,</v>
      </c>
      <c r="BH46" s="31" t="str">
        <f t="shared" si="27"/>
        <v>BypassOpenStudio_zp,0,</v>
      </c>
      <c r="BI46" s="31" t="str">
        <f t="shared" si="27"/>
        <v>BypassOpenStudio_zb,0,</v>
      </c>
      <c r="BJ46" s="31" t="str">
        <f t="shared" si="27"/>
        <v>BypassOpenStudio_ap,0,</v>
      </c>
      <c r="BK46" s="31" t="str">
        <f t="shared" si="28"/>
        <v>BypassOpenStudio_ab,0</v>
      </c>
    </row>
    <row r="47" spans="1:65" x14ac:dyDescent="0.25">
      <c r="A47" s="39">
        <f t="shared" si="22"/>
        <v>0</v>
      </c>
      <c r="B47" s="27" t="str">
        <f t="shared" si="29"/>
        <v>OtherTests\.cibd</v>
      </c>
      <c r="C47" s="27" t="str">
        <f t="shared" si="30"/>
        <v>BatchOut_160405_r3979_OT\0.cibd</v>
      </c>
      <c r="D47" s="27" t="str">
        <f t="shared" si="31"/>
        <v>BatchOut_160405_r3979_OT\XML\</v>
      </c>
      <c r="E47" s="9">
        <f t="shared" si="32"/>
        <v>0</v>
      </c>
      <c r="F47" s="22"/>
      <c r="G47" s="29"/>
      <c r="H47" s="23" t="str">
        <f>IF(F47&gt;1,1,"")</f>
        <v/>
      </c>
      <c r="I47" s="9" t="s">
        <v>11</v>
      </c>
      <c r="J47"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7" s="15" t="s">
        <v>1</v>
      </c>
      <c r="L47" s="36">
        <f t="shared" si="39"/>
        <v>0</v>
      </c>
      <c r="M47" s="32">
        <f t="shared" ref="M47:M55" si="41">N47</f>
        <v>0</v>
      </c>
      <c r="N47" s="28"/>
      <c r="O47" s="57">
        <f t="shared" si="24"/>
        <v>0</v>
      </c>
      <c r="P47" s="63">
        <f t="shared" si="40"/>
        <v>2</v>
      </c>
      <c r="Q47" s="65">
        <f t="shared" si="40"/>
        <v>1</v>
      </c>
      <c r="R47" s="65">
        <f t="shared" si="40"/>
        <v>0</v>
      </c>
      <c r="S47" s="65">
        <f t="shared" si="40"/>
        <v>1</v>
      </c>
      <c r="T47" s="65">
        <f t="shared" si="40"/>
        <v>0</v>
      </c>
      <c r="U47" s="65">
        <f t="shared" si="40"/>
        <v>11</v>
      </c>
      <c r="V47" s="65">
        <f t="shared" si="40"/>
        <v>11</v>
      </c>
      <c r="W47" s="65">
        <f t="shared" si="40"/>
        <v>1</v>
      </c>
      <c r="X47" s="65">
        <f t="shared" si="40"/>
        <v>0</v>
      </c>
      <c r="Y47" s="65">
        <f t="shared" si="40"/>
        <v>0</v>
      </c>
      <c r="Z47" s="65">
        <f t="shared" si="40"/>
        <v>0</v>
      </c>
      <c r="AA47" s="65">
        <f t="shared" si="40"/>
        <v>0</v>
      </c>
      <c r="AB47" s="65">
        <f t="shared" si="40"/>
        <v>1</v>
      </c>
      <c r="AC47" s="65">
        <f t="shared" si="36"/>
        <v>1</v>
      </c>
      <c r="AD47" s="61">
        <f t="shared" si="36"/>
        <v>1</v>
      </c>
      <c r="AE47" s="63">
        <f t="shared" si="36"/>
        <v>0</v>
      </c>
      <c r="AF47" s="64">
        <f t="shared" si="36"/>
        <v>0</v>
      </c>
      <c r="AG47" s="64">
        <f t="shared" si="36"/>
        <v>0</v>
      </c>
      <c r="AH47" s="64">
        <f t="shared" si="36"/>
        <v>0</v>
      </c>
      <c r="AI47" s="66">
        <f t="shared" si="36"/>
        <v>0</v>
      </c>
      <c r="AJ47" s="63">
        <f t="shared" si="36"/>
        <v>0</v>
      </c>
      <c r="AK47" s="64">
        <f t="shared" si="36"/>
        <v>0</v>
      </c>
      <c r="AL47" s="65">
        <f t="shared" si="36"/>
        <v>0</v>
      </c>
      <c r="AM47" s="66">
        <f t="shared" si="36"/>
        <v>0</v>
      </c>
      <c r="AN47" s="31" t="str">
        <f t="shared" si="26"/>
        <v>SimulationStorage,2,</v>
      </c>
      <c r="AO47" s="31" t="str">
        <f t="shared" si="26"/>
        <v>AnalysisStorage,1,</v>
      </c>
      <c r="AP47" s="31" t="str">
        <f t="shared" si="26"/>
        <v>LogRuleEvaluation,0,</v>
      </c>
      <c r="AQ47" s="31" t="str">
        <f t="shared" si="26"/>
        <v>ParallelSimulations,1,</v>
      </c>
      <c r="AR47" s="31" t="str">
        <f t="shared" si="26"/>
        <v>DurationStats,0,</v>
      </c>
      <c r="AS47" s="31" t="str">
        <f t="shared" si="26"/>
        <v>AnalysisThruStep,11,</v>
      </c>
      <c r="AT47" s="31" t="str">
        <f t="shared" si="26"/>
        <v>DontAbortOnErrorsThruStep,11,</v>
      </c>
      <c r="AU47" s="31" t="str">
        <f t="shared" si="26"/>
        <v>BypassValidFileChecks,1,</v>
      </c>
      <c r="AV47" s="31" t="str">
        <f t="shared" si="26"/>
        <v>BypassInputChecks,0,</v>
      </c>
      <c r="AW47" s="31" t="str">
        <f t="shared" si="26"/>
        <v>BypassUMLHChecks,0,</v>
      </c>
      <c r="AX47" s="31" t="str">
        <f t="shared" si="26"/>
        <v>BypassCheckSimRules,0,</v>
      </c>
      <c r="AY47" s="31" t="str">
        <f t="shared" si="26"/>
        <v>BypassCheckCodeRules,0,</v>
      </c>
      <c r="BA47" s="31" t="str">
        <f t="shared" si="27"/>
        <v>StoreBEMDetails,1,</v>
      </c>
      <c r="BB47" s="31" t="str">
        <f t="shared" si="27"/>
        <v>ModelRpt_ALL,1,</v>
      </c>
      <c r="BC47" s="31" t="str">
        <f t="shared" si="27"/>
        <v>BypassOpenStudio_all,0,</v>
      </c>
      <c r="BD47" s="31" t="str">
        <f t="shared" si="27"/>
        <v>BypassOpenStudio_zp,0,</v>
      </c>
      <c r="BE47" s="31" t="str">
        <f t="shared" si="27"/>
        <v>BypassOpenStudio_zb,0,</v>
      </c>
      <c r="BF47" s="31" t="str">
        <f t="shared" si="27"/>
        <v>BypassOpenStudio_ap,0,</v>
      </c>
      <c r="BG47" s="31" t="str">
        <f t="shared" si="27"/>
        <v>BypassOpenStudio_ab,0,</v>
      </c>
      <c r="BH47" s="31" t="str">
        <f t="shared" si="27"/>
        <v>BypassOpenStudio_zp,0,</v>
      </c>
      <c r="BI47" s="31" t="str">
        <f t="shared" si="27"/>
        <v>BypassOpenStudio_zb,0,</v>
      </c>
      <c r="BJ47" s="31" t="str">
        <f t="shared" si="27"/>
        <v>BypassOpenStudio_ap,0,</v>
      </c>
      <c r="BK47" s="31" t="str">
        <f t="shared" si="28"/>
        <v>BypassOpenStudio_ab,0</v>
      </c>
    </row>
    <row r="48" spans="1:65" x14ac:dyDescent="0.25">
      <c r="A48" s="39">
        <f t="shared" si="22"/>
        <v>0</v>
      </c>
      <c r="B48" s="27" t="str">
        <f t="shared" si="29"/>
        <v>OtherTests\.cibd</v>
      </c>
      <c r="C48" s="27" t="str">
        <f t="shared" si="30"/>
        <v>BatchOut_160405_r3979_OT\0.cibd</v>
      </c>
      <c r="D48" s="27" t="str">
        <f t="shared" si="31"/>
        <v>BatchOut_160405_r3979_OT\XML\</v>
      </c>
      <c r="E48" s="9">
        <f t="shared" si="32"/>
        <v>0</v>
      </c>
      <c r="F48" s="22"/>
      <c r="G48" s="29"/>
      <c r="H48" s="23"/>
      <c r="I48" s="9" t="s">
        <v>11</v>
      </c>
      <c r="J48"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8" s="15" t="s">
        <v>1</v>
      </c>
      <c r="L48" s="36">
        <f t="shared" si="39"/>
        <v>0</v>
      </c>
      <c r="M48" s="32">
        <f t="shared" si="41"/>
        <v>0</v>
      </c>
      <c r="N48" s="28"/>
      <c r="O48" s="57">
        <f t="shared" si="24"/>
        <v>0</v>
      </c>
      <c r="P48" s="63">
        <f t="shared" si="40"/>
        <v>2</v>
      </c>
      <c r="Q48" s="65">
        <f t="shared" si="40"/>
        <v>1</v>
      </c>
      <c r="R48" s="65">
        <f t="shared" si="40"/>
        <v>0</v>
      </c>
      <c r="S48" s="65">
        <f t="shared" si="40"/>
        <v>1</v>
      </c>
      <c r="T48" s="65">
        <f t="shared" si="40"/>
        <v>0</v>
      </c>
      <c r="U48" s="65">
        <f t="shared" si="40"/>
        <v>11</v>
      </c>
      <c r="V48" s="65">
        <f t="shared" si="40"/>
        <v>11</v>
      </c>
      <c r="W48" s="65">
        <f t="shared" si="40"/>
        <v>1</v>
      </c>
      <c r="X48" s="65">
        <f t="shared" si="40"/>
        <v>0</v>
      </c>
      <c r="Y48" s="65">
        <f t="shared" si="40"/>
        <v>0</v>
      </c>
      <c r="Z48" s="65">
        <f t="shared" si="40"/>
        <v>0</v>
      </c>
      <c r="AA48" s="65">
        <f t="shared" si="40"/>
        <v>0</v>
      </c>
      <c r="AB48" s="65">
        <f t="shared" si="40"/>
        <v>1</v>
      </c>
      <c r="AC48" s="65">
        <f t="shared" si="36"/>
        <v>1</v>
      </c>
      <c r="AD48" s="61">
        <f t="shared" si="36"/>
        <v>1</v>
      </c>
      <c r="AE48" s="63">
        <f t="shared" si="36"/>
        <v>0</v>
      </c>
      <c r="AF48" s="64">
        <f t="shared" si="36"/>
        <v>0</v>
      </c>
      <c r="AG48" s="64">
        <f t="shared" si="36"/>
        <v>0</v>
      </c>
      <c r="AH48" s="64">
        <f t="shared" si="36"/>
        <v>0</v>
      </c>
      <c r="AI48" s="66">
        <f t="shared" si="36"/>
        <v>0</v>
      </c>
      <c r="AJ48" s="63">
        <f t="shared" si="36"/>
        <v>0</v>
      </c>
      <c r="AK48" s="64">
        <f t="shared" si="36"/>
        <v>0</v>
      </c>
      <c r="AL48" s="65">
        <f t="shared" si="36"/>
        <v>0</v>
      </c>
      <c r="AM48" s="66">
        <f t="shared" si="36"/>
        <v>0</v>
      </c>
      <c r="AN48" s="31" t="str">
        <f t="shared" si="26"/>
        <v>SimulationStorage,2,</v>
      </c>
      <c r="AO48" s="31" t="str">
        <f t="shared" si="26"/>
        <v>AnalysisStorage,1,</v>
      </c>
      <c r="AP48" s="31" t="str">
        <f t="shared" si="26"/>
        <v>LogRuleEvaluation,0,</v>
      </c>
      <c r="AQ48" s="31" t="str">
        <f t="shared" si="26"/>
        <v>ParallelSimulations,1,</v>
      </c>
      <c r="AR48" s="31" t="str">
        <f t="shared" si="26"/>
        <v>DurationStats,0,</v>
      </c>
      <c r="AS48" s="31" t="str">
        <f t="shared" si="26"/>
        <v>AnalysisThruStep,11,</v>
      </c>
      <c r="AT48" s="31" t="str">
        <f t="shared" si="26"/>
        <v>DontAbortOnErrorsThruStep,11,</v>
      </c>
      <c r="AU48" s="31" t="str">
        <f t="shared" si="26"/>
        <v>BypassValidFileChecks,1,</v>
      </c>
      <c r="AV48" s="31" t="str">
        <f t="shared" si="26"/>
        <v>BypassInputChecks,0,</v>
      </c>
      <c r="AW48" s="31" t="str">
        <f t="shared" si="26"/>
        <v>BypassUMLHChecks,0,</v>
      </c>
      <c r="AX48" s="31" t="str">
        <f t="shared" si="26"/>
        <v>BypassCheckSimRules,0,</v>
      </c>
      <c r="AY48" s="31" t="str">
        <f t="shared" si="26"/>
        <v>BypassCheckCodeRules,0,</v>
      </c>
      <c r="BA48" s="31" t="str">
        <f t="shared" si="27"/>
        <v>StoreBEMDetails,1,</v>
      </c>
      <c r="BB48" s="31" t="str">
        <f t="shared" si="27"/>
        <v>ModelRpt_ALL,1,</v>
      </c>
      <c r="BC48" s="31" t="str">
        <f t="shared" si="27"/>
        <v>BypassOpenStudio_all,0,</v>
      </c>
      <c r="BD48" s="31" t="str">
        <f t="shared" si="27"/>
        <v>BypassOpenStudio_zp,0,</v>
      </c>
      <c r="BE48" s="31" t="str">
        <f t="shared" si="27"/>
        <v>BypassOpenStudio_zb,0,</v>
      </c>
      <c r="BF48" s="31" t="str">
        <f t="shared" si="27"/>
        <v>BypassOpenStudio_ap,0,</v>
      </c>
      <c r="BG48" s="31" t="str">
        <f t="shared" si="27"/>
        <v>BypassOpenStudio_ab,0,</v>
      </c>
      <c r="BH48" s="31" t="str">
        <f t="shared" si="27"/>
        <v>BypassOpenStudio_zp,0,</v>
      </c>
      <c r="BI48" s="31" t="str">
        <f t="shared" si="27"/>
        <v>BypassOpenStudio_zb,0,</v>
      </c>
      <c r="BJ48" s="31" t="str">
        <f t="shared" si="27"/>
        <v>BypassOpenStudio_ap,0,</v>
      </c>
      <c r="BK48" s="31" t="str">
        <f t="shared" si="28"/>
        <v>BypassOpenStudio_ab,0</v>
      </c>
    </row>
    <row r="49" spans="1:65" x14ac:dyDescent="0.25">
      <c r="A49" s="39">
        <f t="shared" si="22"/>
        <v>0</v>
      </c>
      <c r="B49" s="27" t="str">
        <f t="shared" si="29"/>
        <v>OtherTests\.cibd</v>
      </c>
      <c r="C49" s="27" t="str">
        <f t="shared" si="30"/>
        <v>BatchOut_160405_r3979_OT\0.cibd</v>
      </c>
      <c r="D49" s="27" t="str">
        <f t="shared" si="31"/>
        <v>BatchOut_160405_r3979_OT\XML\</v>
      </c>
      <c r="E49" s="9">
        <f t="shared" si="32"/>
        <v>0</v>
      </c>
      <c r="F49" s="22"/>
      <c r="G49" s="29"/>
      <c r="H49" s="23"/>
      <c r="I49" s="9" t="s">
        <v>11</v>
      </c>
      <c r="J49"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49" s="15" t="s">
        <v>1</v>
      </c>
      <c r="L49" s="36">
        <f>L48</f>
        <v>0</v>
      </c>
      <c r="M49" s="32">
        <f t="shared" si="41"/>
        <v>0</v>
      </c>
      <c r="N49" s="28"/>
      <c r="O49" s="57">
        <f t="shared" si="24"/>
        <v>0</v>
      </c>
      <c r="P49" s="63">
        <f t="shared" si="40"/>
        <v>2</v>
      </c>
      <c r="Q49" s="65">
        <f t="shared" si="40"/>
        <v>1</v>
      </c>
      <c r="R49" s="65">
        <f t="shared" si="40"/>
        <v>0</v>
      </c>
      <c r="S49" s="65">
        <f t="shared" si="40"/>
        <v>1</v>
      </c>
      <c r="T49" s="65">
        <f t="shared" si="40"/>
        <v>0</v>
      </c>
      <c r="U49" s="65">
        <f t="shared" si="40"/>
        <v>11</v>
      </c>
      <c r="V49" s="65">
        <f t="shared" si="40"/>
        <v>11</v>
      </c>
      <c r="W49" s="65">
        <f t="shared" si="40"/>
        <v>1</v>
      </c>
      <c r="X49" s="65">
        <f t="shared" si="40"/>
        <v>0</v>
      </c>
      <c r="Y49" s="65">
        <f t="shared" si="40"/>
        <v>0</v>
      </c>
      <c r="Z49" s="65">
        <f t="shared" si="40"/>
        <v>0</v>
      </c>
      <c r="AA49" s="65">
        <f t="shared" si="40"/>
        <v>0</v>
      </c>
      <c r="AB49" s="65">
        <f t="shared" si="40"/>
        <v>1</v>
      </c>
      <c r="AC49" s="65">
        <f t="shared" si="40"/>
        <v>1</v>
      </c>
      <c r="AD49" s="61">
        <f t="shared" si="40"/>
        <v>1</v>
      </c>
      <c r="AE49" s="63">
        <f t="shared" si="40"/>
        <v>0</v>
      </c>
      <c r="AF49" s="64">
        <f t="shared" si="36"/>
        <v>0</v>
      </c>
      <c r="AG49" s="64">
        <f t="shared" si="36"/>
        <v>0</v>
      </c>
      <c r="AH49" s="64">
        <f t="shared" si="36"/>
        <v>0</v>
      </c>
      <c r="AI49" s="66">
        <f t="shared" si="36"/>
        <v>0</v>
      </c>
      <c r="AJ49" s="63">
        <f t="shared" si="36"/>
        <v>0</v>
      </c>
      <c r="AK49" s="64">
        <f t="shared" si="36"/>
        <v>0</v>
      </c>
      <c r="AL49" s="65">
        <f t="shared" si="36"/>
        <v>0</v>
      </c>
      <c r="AM49" s="66">
        <f t="shared" si="36"/>
        <v>0</v>
      </c>
      <c r="AN49" s="31" t="str">
        <f t="shared" si="26"/>
        <v>SimulationStorage,2,</v>
      </c>
      <c r="AO49" s="31" t="str">
        <f t="shared" si="26"/>
        <v>AnalysisStorage,1,</v>
      </c>
      <c r="AP49" s="31" t="str">
        <f t="shared" si="26"/>
        <v>LogRuleEvaluation,0,</v>
      </c>
      <c r="AQ49" s="31" t="str">
        <f t="shared" si="26"/>
        <v>ParallelSimulations,1,</v>
      </c>
      <c r="AR49" s="31" t="str">
        <f t="shared" si="26"/>
        <v>DurationStats,0,</v>
      </c>
      <c r="AS49" s="31" t="str">
        <f t="shared" si="26"/>
        <v>AnalysisThruStep,11,</v>
      </c>
      <c r="AT49" s="31" t="str">
        <f t="shared" si="26"/>
        <v>DontAbortOnErrorsThruStep,11,</v>
      </c>
      <c r="AU49" s="31" t="str">
        <f t="shared" si="26"/>
        <v>BypassValidFileChecks,1,</v>
      </c>
      <c r="AV49" s="31" t="str">
        <f t="shared" si="26"/>
        <v>BypassInputChecks,0,</v>
      </c>
      <c r="AW49" s="31" t="str">
        <f t="shared" si="26"/>
        <v>BypassUMLHChecks,0,</v>
      </c>
      <c r="AX49" s="31" t="str">
        <f t="shared" si="26"/>
        <v>BypassCheckSimRules,0,</v>
      </c>
      <c r="AY49" s="31" t="str">
        <f t="shared" si="26"/>
        <v>BypassCheckCodeRules,0,</v>
      </c>
      <c r="BA49" s="31" t="str">
        <f t="shared" si="27"/>
        <v>StoreBEMDetails,1,</v>
      </c>
      <c r="BB49" s="31" t="str">
        <f t="shared" si="27"/>
        <v>ModelRpt_ALL,1,</v>
      </c>
      <c r="BC49" s="31" t="str">
        <f t="shared" si="27"/>
        <v>BypassOpenStudio_all,0,</v>
      </c>
      <c r="BD49" s="31" t="str">
        <f t="shared" si="27"/>
        <v>BypassOpenStudio_zp,0,</v>
      </c>
      <c r="BE49" s="31" t="str">
        <f t="shared" si="27"/>
        <v>BypassOpenStudio_zb,0,</v>
      </c>
      <c r="BF49" s="31" t="str">
        <f t="shared" si="27"/>
        <v>BypassOpenStudio_ap,0,</v>
      </c>
      <c r="BG49" s="31" t="str">
        <f t="shared" si="27"/>
        <v>BypassOpenStudio_ab,0,</v>
      </c>
      <c r="BH49" s="31" t="str">
        <f t="shared" si="27"/>
        <v>BypassOpenStudio_zp,0,</v>
      </c>
      <c r="BI49" s="31" t="str">
        <f t="shared" si="27"/>
        <v>BypassOpenStudio_zb,0,</v>
      </c>
      <c r="BJ49" s="31" t="str">
        <f t="shared" si="27"/>
        <v>BypassOpenStudio_ap,0,</v>
      </c>
      <c r="BK49" s="31" t="str">
        <f t="shared" si="28"/>
        <v>BypassOpenStudio_ab,0</v>
      </c>
    </row>
    <row r="50" spans="1:65" x14ac:dyDescent="0.25">
      <c r="A50" s="39">
        <f t="shared" si="22"/>
        <v>0</v>
      </c>
      <c r="B50" s="27" t="str">
        <f t="shared" si="29"/>
        <v>OtherTests\.cibd</v>
      </c>
      <c r="C50" s="27" t="str">
        <f t="shared" si="30"/>
        <v>BatchOut_160405_r3979_OT\0.cibd</v>
      </c>
      <c r="D50" s="27" t="str">
        <f t="shared" si="31"/>
        <v>BatchOut_160405_r3979_OT\XML\</v>
      </c>
      <c r="E50" s="9">
        <f t="shared" si="32"/>
        <v>0</v>
      </c>
      <c r="F50" s="22"/>
      <c r="G50" s="29"/>
      <c r="H50" s="23"/>
      <c r="I50" s="9" t="s">
        <v>11</v>
      </c>
      <c r="J50"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0" s="15" t="s">
        <v>1</v>
      </c>
      <c r="L50" s="36">
        <f t="shared" si="39"/>
        <v>0</v>
      </c>
      <c r="M50" s="32">
        <f t="shared" si="41"/>
        <v>0</v>
      </c>
      <c r="N50" s="28"/>
      <c r="O50" s="57">
        <f t="shared" si="24"/>
        <v>0</v>
      </c>
      <c r="P50" s="63">
        <f t="shared" si="40"/>
        <v>2</v>
      </c>
      <c r="Q50" s="65">
        <f t="shared" si="40"/>
        <v>1</v>
      </c>
      <c r="R50" s="65">
        <f t="shared" si="40"/>
        <v>0</v>
      </c>
      <c r="S50" s="65">
        <f t="shared" si="40"/>
        <v>1</v>
      </c>
      <c r="T50" s="65">
        <f t="shared" si="40"/>
        <v>0</v>
      </c>
      <c r="U50" s="65">
        <f t="shared" si="40"/>
        <v>11</v>
      </c>
      <c r="V50" s="65">
        <f t="shared" si="40"/>
        <v>11</v>
      </c>
      <c r="W50" s="65">
        <f t="shared" si="40"/>
        <v>1</v>
      </c>
      <c r="X50" s="65">
        <f t="shared" si="40"/>
        <v>0</v>
      </c>
      <c r="Y50" s="65">
        <f t="shared" si="40"/>
        <v>0</v>
      </c>
      <c r="Z50" s="65">
        <f t="shared" si="40"/>
        <v>0</v>
      </c>
      <c r="AA50" s="65">
        <f t="shared" si="40"/>
        <v>0</v>
      </c>
      <c r="AB50" s="65">
        <f t="shared" si="40"/>
        <v>1</v>
      </c>
      <c r="AC50" s="65">
        <f t="shared" si="36"/>
        <v>1</v>
      </c>
      <c r="AD50" s="61">
        <f t="shared" si="36"/>
        <v>1</v>
      </c>
      <c r="AE50" s="63">
        <f t="shared" si="36"/>
        <v>0</v>
      </c>
      <c r="AF50" s="64">
        <f t="shared" si="36"/>
        <v>0</v>
      </c>
      <c r="AG50" s="64">
        <f t="shared" si="36"/>
        <v>0</v>
      </c>
      <c r="AH50" s="64">
        <f t="shared" si="36"/>
        <v>0</v>
      </c>
      <c r="AI50" s="66">
        <f t="shared" si="36"/>
        <v>0</v>
      </c>
      <c r="AJ50" s="63">
        <f t="shared" si="36"/>
        <v>0</v>
      </c>
      <c r="AK50" s="64">
        <f t="shared" si="36"/>
        <v>0</v>
      </c>
      <c r="AL50" s="65">
        <f t="shared" si="36"/>
        <v>0</v>
      </c>
      <c r="AM50" s="66">
        <f t="shared" si="36"/>
        <v>0</v>
      </c>
      <c r="AN50" s="31" t="str">
        <f t="shared" si="26"/>
        <v>SimulationStorage,2,</v>
      </c>
      <c r="AO50" s="31" t="str">
        <f t="shared" si="26"/>
        <v>AnalysisStorage,1,</v>
      </c>
      <c r="AP50" s="31" t="str">
        <f t="shared" si="26"/>
        <v>LogRuleEvaluation,0,</v>
      </c>
      <c r="AQ50" s="31" t="str">
        <f t="shared" si="26"/>
        <v>ParallelSimulations,1,</v>
      </c>
      <c r="AR50" s="31" t="str">
        <f t="shared" si="26"/>
        <v>DurationStats,0,</v>
      </c>
      <c r="AS50" s="31" t="str">
        <f t="shared" si="26"/>
        <v>AnalysisThruStep,11,</v>
      </c>
      <c r="AT50" s="31" t="str">
        <f t="shared" si="26"/>
        <v>DontAbortOnErrorsThruStep,11,</v>
      </c>
      <c r="AU50" s="31" t="str">
        <f t="shared" si="26"/>
        <v>BypassValidFileChecks,1,</v>
      </c>
      <c r="AV50" s="31" t="str">
        <f t="shared" si="26"/>
        <v>BypassInputChecks,0,</v>
      </c>
      <c r="AW50" s="31" t="str">
        <f t="shared" si="26"/>
        <v>BypassUMLHChecks,0,</v>
      </c>
      <c r="AX50" s="31" t="str">
        <f t="shared" si="26"/>
        <v>BypassCheckSimRules,0,</v>
      </c>
      <c r="AY50" s="31" t="str">
        <f t="shared" si="26"/>
        <v>BypassCheckCodeRules,0,</v>
      </c>
      <c r="BA50" s="31" t="str">
        <f t="shared" si="27"/>
        <v>StoreBEMDetails,1,</v>
      </c>
      <c r="BB50" s="31" t="str">
        <f t="shared" si="27"/>
        <v>ModelRpt_ALL,1,</v>
      </c>
      <c r="BC50" s="31" t="str">
        <f t="shared" si="27"/>
        <v>BypassOpenStudio_all,0,</v>
      </c>
      <c r="BD50" s="31" t="str">
        <f t="shared" si="27"/>
        <v>BypassOpenStudio_zp,0,</v>
      </c>
      <c r="BE50" s="31" t="str">
        <f t="shared" si="27"/>
        <v>BypassOpenStudio_zb,0,</v>
      </c>
      <c r="BF50" s="31" t="str">
        <f t="shared" si="27"/>
        <v>BypassOpenStudio_ap,0,</v>
      </c>
      <c r="BG50" s="31" t="str">
        <f t="shared" si="27"/>
        <v>BypassOpenStudio_ab,0,</v>
      </c>
      <c r="BH50" s="31" t="str">
        <f t="shared" si="27"/>
        <v>BypassOpenStudio_zp,0,</v>
      </c>
      <c r="BI50" s="31" t="str">
        <f t="shared" si="27"/>
        <v>BypassOpenStudio_zb,0,</v>
      </c>
      <c r="BJ50" s="31" t="str">
        <f t="shared" si="27"/>
        <v>BypassOpenStudio_ap,0,</v>
      </c>
      <c r="BK50" s="31" t="str">
        <f t="shared" si="28"/>
        <v>BypassOpenStudio_ab,0</v>
      </c>
    </row>
    <row r="51" spans="1:65" x14ac:dyDescent="0.25">
      <c r="A51" s="39">
        <f t="shared" si="22"/>
        <v>0</v>
      </c>
      <c r="B51" s="27" t="str">
        <f t="shared" si="29"/>
        <v>OtherTests\.cibd</v>
      </c>
      <c r="C51" s="27" t="str">
        <f t="shared" si="30"/>
        <v>BatchOut_160405_r3979_OT\0.cibd</v>
      </c>
      <c r="D51" s="27" t="str">
        <f t="shared" si="31"/>
        <v>BatchOut_160405_r3979_OT\XML\</v>
      </c>
      <c r="E51" s="9">
        <f t="shared" si="32"/>
        <v>0</v>
      </c>
      <c r="F51" s="22"/>
      <c r="G51" s="29"/>
      <c r="H51" s="23" t="str">
        <f>IF(F51&gt;1,1,"")</f>
        <v/>
      </c>
      <c r="I51" s="9" t="s">
        <v>11</v>
      </c>
      <c r="J51"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1" s="15" t="s">
        <v>1</v>
      </c>
      <c r="L51" s="36">
        <f t="shared" si="39"/>
        <v>0</v>
      </c>
      <c r="M51" s="32">
        <f t="shared" si="41"/>
        <v>0</v>
      </c>
      <c r="N51" s="28"/>
      <c r="O51" s="57">
        <f t="shared" si="24"/>
        <v>0</v>
      </c>
      <c r="P51" s="63">
        <f t="shared" si="40"/>
        <v>2</v>
      </c>
      <c r="Q51" s="65">
        <f t="shared" si="40"/>
        <v>1</v>
      </c>
      <c r="R51" s="65">
        <f t="shared" si="40"/>
        <v>0</v>
      </c>
      <c r="S51" s="65">
        <f t="shared" si="40"/>
        <v>1</v>
      </c>
      <c r="T51" s="65">
        <f t="shared" si="40"/>
        <v>0</v>
      </c>
      <c r="U51" s="65">
        <f t="shared" si="40"/>
        <v>11</v>
      </c>
      <c r="V51" s="65">
        <f t="shared" si="40"/>
        <v>11</v>
      </c>
      <c r="W51" s="65">
        <f t="shared" si="40"/>
        <v>1</v>
      </c>
      <c r="X51" s="65">
        <f t="shared" si="40"/>
        <v>0</v>
      </c>
      <c r="Y51" s="65">
        <f t="shared" si="40"/>
        <v>0</v>
      </c>
      <c r="Z51" s="65">
        <f t="shared" si="40"/>
        <v>0</v>
      </c>
      <c r="AA51" s="65">
        <f t="shared" si="40"/>
        <v>0</v>
      </c>
      <c r="AB51" s="65">
        <f t="shared" si="40"/>
        <v>1</v>
      </c>
      <c r="AC51" s="65">
        <f t="shared" si="36"/>
        <v>1</v>
      </c>
      <c r="AD51" s="61">
        <f t="shared" si="36"/>
        <v>1</v>
      </c>
      <c r="AE51" s="63">
        <f t="shared" si="36"/>
        <v>0</v>
      </c>
      <c r="AF51" s="64">
        <f t="shared" si="36"/>
        <v>0</v>
      </c>
      <c r="AG51" s="64">
        <f t="shared" si="36"/>
        <v>0</v>
      </c>
      <c r="AH51" s="64">
        <f t="shared" si="36"/>
        <v>0</v>
      </c>
      <c r="AI51" s="66">
        <f t="shared" si="36"/>
        <v>0</v>
      </c>
      <c r="AJ51" s="63">
        <f t="shared" si="36"/>
        <v>0</v>
      </c>
      <c r="AK51" s="64">
        <f t="shared" si="36"/>
        <v>0</v>
      </c>
      <c r="AL51" s="65">
        <f t="shared" si="36"/>
        <v>0</v>
      </c>
      <c r="AM51" s="66">
        <f t="shared" si="36"/>
        <v>0</v>
      </c>
      <c r="AN51" s="31" t="str">
        <f t="shared" si="26"/>
        <v>SimulationStorage,2,</v>
      </c>
      <c r="AO51" s="31" t="str">
        <f t="shared" si="26"/>
        <v>AnalysisStorage,1,</v>
      </c>
      <c r="AP51" s="31" t="str">
        <f t="shared" si="26"/>
        <v>LogRuleEvaluation,0,</v>
      </c>
      <c r="AQ51" s="31" t="str">
        <f t="shared" si="26"/>
        <v>ParallelSimulations,1,</v>
      </c>
      <c r="AR51" s="31" t="str">
        <f t="shared" si="26"/>
        <v>DurationStats,0,</v>
      </c>
      <c r="AS51" s="31" t="str">
        <f t="shared" si="26"/>
        <v>AnalysisThruStep,11,</v>
      </c>
      <c r="AT51" s="31" t="str">
        <f t="shared" si="26"/>
        <v>DontAbortOnErrorsThruStep,11,</v>
      </c>
      <c r="AU51" s="31" t="str">
        <f t="shared" si="26"/>
        <v>BypassValidFileChecks,1,</v>
      </c>
      <c r="AV51" s="31" t="str">
        <f t="shared" si="26"/>
        <v>BypassInputChecks,0,</v>
      </c>
      <c r="AW51" s="31" t="str">
        <f t="shared" si="26"/>
        <v>BypassUMLHChecks,0,</v>
      </c>
      <c r="AX51" s="31" t="str">
        <f t="shared" si="26"/>
        <v>BypassCheckSimRules,0,</v>
      </c>
      <c r="AY51" s="31" t="str">
        <f t="shared" si="26"/>
        <v>BypassCheckCodeRules,0,</v>
      </c>
      <c r="BA51" s="31" t="str">
        <f t="shared" si="27"/>
        <v>StoreBEMDetails,1,</v>
      </c>
      <c r="BB51" s="31" t="str">
        <f t="shared" si="27"/>
        <v>ModelRpt_ALL,1,</v>
      </c>
      <c r="BC51" s="31" t="str">
        <f t="shared" si="27"/>
        <v>BypassOpenStudio_all,0,</v>
      </c>
      <c r="BD51" s="31" t="str">
        <f t="shared" si="27"/>
        <v>BypassOpenStudio_zp,0,</v>
      </c>
      <c r="BE51" s="31" t="str">
        <f t="shared" si="27"/>
        <v>BypassOpenStudio_zb,0,</v>
      </c>
      <c r="BF51" s="31" t="str">
        <f t="shared" si="27"/>
        <v>BypassOpenStudio_ap,0,</v>
      </c>
      <c r="BG51" s="31" t="str">
        <f t="shared" si="27"/>
        <v>BypassOpenStudio_ab,0,</v>
      </c>
      <c r="BH51" s="31" t="str">
        <f t="shared" si="27"/>
        <v>BypassOpenStudio_zp,0,</v>
      </c>
      <c r="BI51" s="31" t="str">
        <f t="shared" si="27"/>
        <v>BypassOpenStudio_zb,0,</v>
      </c>
      <c r="BJ51" s="31" t="str">
        <f t="shared" si="27"/>
        <v>BypassOpenStudio_ap,0,</v>
      </c>
      <c r="BK51" s="31" t="str">
        <f t="shared" si="28"/>
        <v>BypassOpenStudio_ab,0</v>
      </c>
    </row>
    <row r="52" spans="1:65" x14ac:dyDescent="0.25">
      <c r="A52" s="39">
        <f t="shared" si="22"/>
        <v>0</v>
      </c>
      <c r="B52" s="27" t="str">
        <f t="shared" si="29"/>
        <v>OtherTests\.cibd</v>
      </c>
      <c r="C52" s="27" t="str">
        <f t="shared" si="30"/>
        <v>BatchOut_160405_r3979_OT\0.cibd</v>
      </c>
      <c r="D52" s="27" t="str">
        <f t="shared" si="31"/>
        <v>BatchOut_160405_r3979_OT\XML\</v>
      </c>
      <c r="E52" s="9">
        <f t="shared" si="32"/>
        <v>0</v>
      </c>
      <c r="F52" s="22"/>
      <c r="G52" s="29"/>
      <c r="H52" s="23"/>
      <c r="I52" s="9" t="s">
        <v>11</v>
      </c>
      <c r="J52"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2" s="15" t="s">
        <v>1</v>
      </c>
      <c r="L52" s="36">
        <f t="shared" si="39"/>
        <v>0</v>
      </c>
      <c r="M52" s="32">
        <f t="shared" si="41"/>
        <v>0</v>
      </c>
      <c r="N52" s="28"/>
      <c r="O52" s="57">
        <f t="shared" si="24"/>
        <v>0</v>
      </c>
      <c r="P52" s="63">
        <f t="shared" si="40"/>
        <v>2</v>
      </c>
      <c r="Q52" s="65">
        <f t="shared" si="40"/>
        <v>1</v>
      </c>
      <c r="R52" s="65">
        <f t="shared" si="40"/>
        <v>0</v>
      </c>
      <c r="S52" s="65">
        <f t="shared" si="40"/>
        <v>1</v>
      </c>
      <c r="T52" s="65">
        <f t="shared" si="40"/>
        <v>0</v>
      </c>
      <c r="U52" s="65">
        <f t="shared" si="40"/>
        <v>11</v>
      </c>
      <c r="V52" s="65">
        <f t="shared" si="40"/>
        <v>11</v>
      </c>
      <c r="W52" s="65">
        <f t="shared" si="40"/>
        <v>1</v>
      </c>
      <c r="X52" s="65">
        <f t="shared" si="40"/>
        <v>0</v>
      </c>
      <c r="Y52" s="65">
        <f t="shared" si="40"/>
        <v>0</v>
      </c>
      <c r="Z52" s="65">
        <f t="shared" si="40"/>
        <v>0</v>
      </c>
      <c r="AA52" s="65">
        <f t="shared" si="40"/>
        <v>0</v>
      </c>
      <c r="AB52" s="65">
        <f t="shared" si="40"/>
        <v>1</v>
      </c>
      <c r="AC52" s="65">
        <f t="shared" si="36"/>
        <v>1</v>
      </c>
      <c r="AD52" s="61">
        <f t="shared" si="36"/>
        <v>1</v>
      </c>
      <c r="AE52" s="63">
        <f t="shared" si="36"/>
        <v>0</v>
      </c>
      <c r="AF52" s="64">
        <f t="shared" si="36"/>
        <v>0</v>
      </c>
      <c r="AG52" s="64">
        <f t="shared" si="36"/>
        <v>0</v>
      </c>
      <c r="AH52" s="64">
        <f t="shared" si="36"/>
        <v>0</v>
      </c>
      <c r="AI52" s="66">
        <f t="shared" si="36"/>
        <v>0</v>
      </c>
      <c r="AJ52" s="63">
        <f t="shared" si="36"/>
        <v>0</v>
      </c>
      <c r="AK52" s="64">
        <f t="shared" si="36"/>
        <v>0</v>
      </c>
      <c r="AL52" s="65">
        <f t="shared" si="36"/>
        <v>0</v>
      </c>
      <c r="AM52" s="66">
        <f t="shared" si="36"/>
        <v>0</v>
      </c>
      <c r="AN52" s="31" t="str">
        <f t="shared" si="26"/>
        <v>SimulationStorage,2,</v>
      </c>
      <c r="AO52" s="31" t="str">
        <f t="shared" si="26"/>
        <v>AnalysisStorage,1,</v>
      </c>
      <c r="AP52" s="31" t="str">
        <f t="shared" si="26"/>
        <v>LogRuleEvaluation,0,</v>
      </c>
      <c r="AQ52" s="31" t="str">
        <f t="shared" si="26"/>
        <v>ParallelSimulations,1,</v>
      </c>
      <c r="AR52" s="31" t="str">
        <f t="shared" si="26"/>
        <v>DurationStats,0,</v>
      </c>
      <c r="AS52" s="31" t="str">
        <f t="shared" si="26"/>
        <v>AnalysisThruStep,11,</v>
      </c>
      <c r="AT52" s="31" t="str">
        <f t="shared" si="26"/>
        <v>DontAbortOnErrorsThruStep,11,</v>
      </c>
      <c r="AU52" s="31" t="str">
        <f t="shared" si="26"/>
        <v>BypassValidFileChecks,1,</v>
      </c>
      <c r="AV52" s="31" t="str">
        <f t="shared" si="26"/>
        <v>BypassInputChecks,0,</v>
      </c>
      <c r="AW52" s="31" t="str">
        <f t="shared" si="26"/>
        <v>BypassUMLHChecks,0,</v>
      </c>
      <c r="AX52" s="31" t="str">
        <f t="shared" si="26"/>
        <v>BypassCheckSimRules,0,</v>
      </c>
      <c r="AY52" s="31" t="str">
        <f t="shared" si="26"/>
        <v>BypassCheckCodeRules,0,</v>
      </c>
      <c r="BA52" s="31" t="str">
        <f t="shared" si="27"/>
        <v>StoreBEMDetails,1,</v>
      </c>
      <c r="BB52" s="31" t="str">
        <f t="shared" si="27"/>
        <v>ModelRpt_ALL,1,</v>
      </c>
      <c r="BC52" s="31" t="str">
        <f t="shared" si="27"/>
        <v>BypassOpenStudio_all,0,</v>
      </c>
      <c r="BD52" s="31" t="str">
        <f t="shared" si="27"/>
        <v>BypassOpenStudio_zp,0,</v>
      </c>
      <c r="BE52" s="31" t="str">
        <f t="shared" si="27"/>
        <v>BypassOpenStudio_zb,0,</v>
      </c>
      <c r="BF52" s="31" t="str">
        <f t="shared" si="27"/>
        <v>BypassOpenStudio_ap,0,</v>
      </c>
      <c r="BG52" s="31" t="str">
        <f t="shared" si="27"/>
        <v>BypassOpenStudio_ab,0,</v>
      </c>
      <c r="BH52" s="31" t="str">
        <f t="shared" si="27"/>
        <v>BypassOpenStudio_zp,0,</v>
      </c>
      <c r="BI52" s="31" t="str">
        <f t="shared" si="27"/>
        <v>BypassOpenStudio_zb,0,</v>
      </c>
      <c r="BJ52" s="31" t="str">
        <f t="shared" si="27"/>
        <v>BypassOpenStudio_ap,0,</v>
      </c>
      <c r="BK52" s="31" t="str">
        <f t="shared" si="28"/>
        <v>BypassOpenStudio_ab,0</v>
      </c>
    </row>
    <row r="53" spans="1:65" x14ac:dyDescent="0.25">
      <c r="A53" s="39">
        <f t="shared" si="22"/>
        <v>0</v>
      </c>
      <c r="B53" s="27" t="str">
        <f t="shared" si="29"/>
        <v>OtherTests\.cibd</v>
      </c>
      <c r="C53" s="27" t="str">
        <f t="shared" si="30"/>
        <v>BatchOut_160405_r3979_OT\0.cibd</v>
      </c>
      <c r="D53" s="27" t="str">
        <f t="shared" si="31"/>
        <v>BatchOut_160405_r3979_OT\XML\</v>
      </c>
      <c r="E53" s="9">
        <f t="shared" si="32"/>
        <v>0</v>
      </c>
      <c r="F53" s="22"/>
      <c r="G53" s="29"/>
      <c r="H53" s="23"/>
      <c r="I53" s="9" t="s">
        <v>11</v>
      </c>
      <c r="J53"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3" s="15" t="s">
        <v>1</v>
      </c>
      <c r="L53" s="36">
        <f t="shared" si="39"/>
        <v>0</v>
      </c>
      <c r="M53" s="32">
        <f t="shared" si="41"/>
        <v>0</v>
      </c>
      <c r="N53" s="28"/>
      <c r="O53" s="57">
        <f t="shared" si="24"/>
        <v>0</v>
      </c>
      <c r="P53" s="63">
        <f t="shared" si="40"/>
        <v>2</v>
      </c>
      <c r="Q53" s="65">
        <f t="shared" si="40"/>
        <v>1</v>
      </c>
      <c r="R53" s="65">
        <f t="shared" si="40"/>
        <v>0</v>
      </c>
      <c r="S53" s="65">
        <f t="shared" si="40"/>
        <v>1</v>
      </c>
      <c r="T53" s="65">
        <f t="shared" si="40"/>
        <v>0</v>
      </c>
      <c r="U53" s="65">
        <f t="shared" si="40"/>
        <v>11</v>
      </c>
      <c r="V53" s="65">
        <f t="shared" si="40"/>
        <v>11</v>
      </c>
      <c r="W53" s="65">
        <f t="shared" si="40"/>
        <v>1</v>
      </c>
      <c r="X53" s="65">
        <f t="shared" si="40"/>
        <v>0</v>
      </c>
      <c r="Y53" s="65">
        <f t="shared" si="40"/>
        <v>0</v>
      </c>
      <c r="Z53" s="65">
        <f t="shared" si="40"/>
        <v>0</v>
      </c>
      <c r="AA53" s="65">
        <f t="shared" si="40"/>
        <v>0</v>
      </c>
      <c r="AB53" s="65">
        <f t="shared" si="40"/>
        <v>1</v>
      </c>
      <c r="AC53" s="65">
        <f t="shared" si="36"/>
        <v>1</v>
      </c>
      <c r="AD53" s="61">
        <f t="shared" si="36"/>
        <v>1</v>
      </c>
      <c r="AE53" s="63">
        <f t="shared" si="36"/>
        <v>0</v>
      </c>
      <c r="AF53" s="64">
        <f t="shared" si="36"/>
        <v>0</v>
      </c>
      <c r="AG53" s="64">
        <f t="shared" si="36"/>
        <v>0</v>
      </c>
      <c r="AH53" s="64">
        <f t="shared" si="36"/>
        <v>0</v>
      </c>
      <c r="AI53" s="66">
        <f t="shared" si="36"/>
        <v>0</v>
      </c>
      <c r="AJ53" s="63">
        <f t="shared" si="36"/>
        <v>0</v>
      </c>
      <c r="AK53" s="64">
        <f t="shared" si="36"/>
        <v>0</v>
      </c>
      <c r="AL53" s="65">
        <f t="shared" si="36"/>
        <v>0</v>
      </c>
      <c r="AM53" s="66">
        <f t="shared" si="36"/>
        <v>0</v>
      </c>
      <c r="AN53" s="31" t="str">
        <f t="shared" si="26"/>
        <v>SimulationStorage,2,</v>
      </c>
      <c r="AO53" s="31" t="str">
        <f t="shared" si="26"/>
        <v>AnalysisStorage,1,</v>
      </c>
      <c r="AP53" s="31" t="str">
        <f t="shared" si="26"/>
        <v>LogRuleEvaluation,0,</v>
      </c>
      <c r="AQ53" s="31" t="str">
        <f t="shared" si="26"/>
        <v>ParallelSimulations,1,</v>
      </c>
      <c r="AR53" s="31" t="str">
        <f t="shared" si="26"/>
        <v>DurationStats,0,</v>
      </c>
      <c r="AS53" s="31" t="str">
        <f t="shared" si="26"/>
        <v>AnalysisThruStep,11,</v>
      </c>
      <c r="AT53" s="31" t="str">
        <f t="shared" si="26"/>
        <v>DontAbortOnErrorsThruStep,11,</v>
      </c>
      <c r="AU53" s="31" t="str">
        <f t="shared" si="26"/>
        <v>BypassValidFileChecks,1,</v>
      </c>
      <c r="AV53" s="31" t="str">
        <f t="shared" si="26"/>
        <v>BypassInputChecks,0,</v>
      </c>
      <c r="AW53" s="31" t="str">
        <f t="shared" si="26"/>
        <v>BypassUMLHChecks,0,</v>
      </c>
      <c r="AX53" s="31" t="str">
        <f t="shared" si="26"/>
        <v>BypassCheckSimRules,0,</v>
      </c>
      <c r="AY53" s="31" t="str">
        <f t="shared" si="26"/>
        <v>BypassCheckCodeRules,0,</v>
      </c>
      <c r="BA53" s="31" t="str">
        <f t="shared" si="27"/>
        <v>StoreBEMDetails,1,</v>
      </c>
      <c r="BB53" s="31" t="str">
        <f t="shared" si="27"/>
        <v>ModelRpt_ALL,1,</v>
      </c>
      <c r="BC53" s="31" t="str">
        <f t="shared" si="27"/>
        <v>BypassOpenStudio_all,0,</v>
      </c>
      <c r="BD53" s="31" t="str">
        <f t="shared" si="27"/>
        <v>BypassOpenStudio_zp,0,</v>
      </c>
      <c r="BE53" s="31" t="str">
        <f t="shared" si="27"/>
        <v>BypassOpenStudio_zb,0,</v>
      </c>
      <c r="BF53" s="31" t="str">
        <f t="shared" si="27"/>
        <v>BypassOpenStudio_ap,0,</v>
      </c>
      <c r="BG53" s="31" t="str">
        <f t="shared" si="27"/>
        <v>BypassOpenStudio_ab,0,</v>
      </c>
      <c r="BH53" s="31" t="str">
        <f t="shared" si="27"/>
        <v>BypassOpenStudio_zp,0,</v>
      </c>
      <c r="BI53" s="31" t="str">
        <f t="shared" si="27"/>
        <v>BypassOpenStudio_zb,0,</v>
      </c>
      <c r="BJ53" s="31" t="str">
        <f t="shared" si="27"/>
        <v>BypassOpenStudio_ap,0,</v>
      </c>
      <c r="BK53" s="31" t="str">
        <f t="shared" si="28"/>
        <v>BypassOpenStudio_ab,0</v>
      </c>
    </row>
    <row r="54" spans="1:65" x14ac:dyDescent="0.25">
      <c r="A54" s="39">
        <f t="shared" si="22"/>
        <v>0</v>
      </c>
      <c r="B54" s="27" t="str">
        <f t="shared" si="29"/>
        <v>OtherTests\.cibd</v>
      </c>
      <c r="C54" s="27" t="str">
        <f t="shared" si="30"/>
        <v>BatchOut_160405_r3979_OT\0.cibd</v>
      </c>
      <c r="D54" s="27" t="str">
        <f t="shared" si="31"/>
        <v>BatchOut_160405_r3979_OT\XML\</v>
      </c>
      <c r="E54" s="9">
        <f t="shared" si="32"/>
        <v>0</v>
      </c>
      <c r="F54" s="22"/>
      <c r="G54" s="29"/>
      <c r="H54" s="23" t="str">
        <f>IF(F54&gt;1,1,"")</f>
        <v/>
      </c>
      <c r="I54" s="9" t="s">
        <v>11</v>
      </c>
      <c r="J54"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4" s="15" t="s">
        <v>1</v>
      </c>
      <c r="L54" s="36">
        <f t="shared" si="39"/>
        <v>0</v>
      </c>
      <c r="M54" s="32">
        <f t="shared" si="41"/>
        <v>0</v>
      </c>
      <c r="N54" s="28"/>
      <c r="O54" s="57">
        <f t="shared" si="24"/>
        <v>0</v>
      </c>
      <c r="P54" s="63">
        <f t="shared" si="40"/>
        <v>2</v>
      </c>
      <c r="Q54" s="65">
        <f t="shared" si="40"/>
        <v>1</v>
      </c>
      <c r="R54" s="65">
        <f t="shared" si="40"/>
        <v>0</v>
      </c>
      <c r="S54" s="65">
        <f t="shared" si="40"/>
        <v>1</v>
      </c>
      <c r="T54" s="65">
        <f t="shared" si="40"/>
        <v>0</v>
      </c>
      <c r="U54" s="65">
        <f t="shared" si="40"/>
        <v>11</v>
      </c>
      <c r="V54" s="65">
        <f t="shared" si="40"/>
        <v>11</v>
      </c>
      <c r="W54" s="65">
        <f t="shared" si="40"/>
        <v>1</v>
      </c>
      <c r="X54" s="65">
        <f t="shared" si="40"/>
        <v>0</v>
      </c>
      <c r="Y54" s="65">
        <f t="shared" si="40"/>
        <v>0</v>
      </c>
      <c r="Z54" s="65">
        <f t="shared" si="40"/>
        <v>0</v>
      </c>
      <c r="AA54" s="65">
        <f t="shared" si="40"/>
        <v>0</v>
      </c>
      <c r="AB54" s="65">
        <f t="shared" si="40"/>
        <v>1</v>
      </c>
      <c r="AC54" s="65">
        <f t="shared" si="40"/>
        <v>1</v>
      </c>
      <c r="AD54" s="61">
        <f t="shared" si="40"/>
        <v>1</v>
      </c>
      <c r="AE54" s="63">
        <f t="shared" si="40"/>
        <v>0</v>
      </c>
      <c r="AF54" s="64">
        <f t="shared" si="36"/>
        <v>0</v>
      </c>
      <c r="AG54" s="64">
        <f t="shared" si="36"/>
        <v>0</v>
      </c>
      <c r="AH54" s="64">
        <f t="shared" si="36"/>
        <v>0</v>
      </c>
      <c r="AI54" s="66">
        <f t="shared" si="36"/>
        <v>0</v>
      </c>
      <c r="AJ54" s="63">
        <f t="shared" si="36"/>
        <v>0</v>
      </c>
      <c r="AK54" s="64">
        <f t="shared" si="36"/>
        <v>0</v>
      </c>
      <c r="AL54" s="65">
        <f t="shared" si="36"/>
        <v>0</v>
      </c>
      <c r="AM54" s="66">
        <f t="shared" si="36"/>
        <v>0</v>
      </c>
      <c r="AN54" s="31" t="str">
        <f t="shared" si="26"/>
        <v>SimulationStorage,2,</v>
      </c>
      <c r="AO54" s="31" t="str">
        <f t="shared" si="26"/>
        <v>AnalysisStorage,1,</v>
      </c>
      <c r="AP54" s="31" t="str">
        <f t="shared" si="26"/>
        <v>LogRuleEvaluation,0,</v>
      </c>
      <c r="AQ54" s="31" t="str">
        <f t="shared" si="26"/>
        <v>ParallelSimulations,1,</v>
      </c>
      <c r="AR54" s="31" t="str">
        <f t="shared" si="26"/>
        <v>DurationStats,0,</v>
      </c>
      <c r="AS54" s="31" t="str">
        <f t="shared" si="26"/>
        <v>AnalysisThruStep,11,</v>
      </c>
      <c r="AT54" s="31" t="str">
        <f t="shared" si="26"/>
        <v>DontAbortOnErrorsThruStep,11,</v>
      </c>
      <c r="AU54" s="31" t="str">
        <f t="shared" si="26"/>
        <v>BypassValidFileChecks,1,</v>
      </c>
      <c r="AV54" s="31" t="str">
        <f t="shared" si="26"/>
        <v>BypassInputChecks,0,</v>
      </c>
      <c r="AW54" s="31" t="str">
        <f t="shared" si="26"/>
        <v>BypassUMLHChecks,0,</v>
      </c>
      <c r="AX54" s="31" t="str">
        <f t="shared" si="26"/>
        <v>BypassCheckSimRules,0,</v>
      </c>
      <c r="AY54" s="31" t="str">
        <f t="shared" si="26"/>
        <v>BypassCheckCodeRules,0,</v>
      </c>
      <c r="BA54" s="31" t="str">
        <f t="shared" si="27"/>
        <v>StoreBEMDetails,1,</v>
      </c>
      <c r="BB54" s="31" t="str">
        <f t="shared" si="27"/>
        <v>ModelRpt_ALL,1,</v>
      </c>
      <c r="BC54" s="31" t="str">
        <f t="shared" si="27"/>
        <v>BypassOpenStudio_all,0,</v>
      </c>
      <c r="BD54" s="31" t="str">
        <f t="shared" si="27"/>
        <v>BypassOpenStudio_zp,0,</v>
      </c>
      <c r="BE54" s="31" t="str">
        <f t="shared" si="27"/>
        <v>BypassOpenStudio_zb,0,</v>
      </c>
      <c r="BF54" s="31" t="str">
        <f t="shared" si="27"/>
        <v>BypassOpenStudio_ap,0,</v>
      </c>
      <c r="BG54" s="31" t="str">
        <f t="shared" si="27"/>
        <v>BypassOpenStudio_ab,0,</v>
      </c>
      <c r="BH54" s="31" t="str">
        <f t="shared" si="27"/>
        <v>BypassOpenStudio_zp,0,</v>
      </c>
      <c r="BI54" s="31" t="str">
        <f t="shared" si="27"/>
        <v>BypassOpenStudio_zb,0,</v>
      </c>
      <c r="BJ54" s="31" t="str">
        <f t="shared" si="27"/>
        <v>BypassOpenStudio_ap,0,</v>
      </c>
      <c r="BK54" s="31" t="str">
        <f t="shared" si="28"/>
        <v>BypassOpenStudio_ab,0</v>
      </c>
    </row>
    <row r="55" spans="1:65" x14ac:dyDescent="0.25">
      <c r="A55" s="39">
        <f t="shared" si="22"/>
        <v>0</v>
      </c>
      <c r="B55" s="27" t="str">
        <f t="shared" si="29"/>
        <v>OtherTests\.cibd</v>
      </c>
      <c r="C55" s="27" t="str">
        <f t="shared" si="30"/>
        <v>BatchOut_160405_r3979_OT\0.cibd</v>
      </c>
      <c r="D55" s="27" t="str">
        <f t="shared" si="31"/>
        <v>BatchOut_160405_r3979_OT\XML\</v>
      </c>
      <c r="E55" s="9">
        <f t="shared" si="32"/>
        <v>0</v>
      </c>
      <c r="F55" s="22"/>
      <c r="G55" s="29"/>
      <c r="H55" s="23"/>
      <c r="I55" s="9" t="s">
        <v>11</v>
      </c>
      <c r="J55"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5" s="15" t="s">
        <v>1</v>
      </c>
      <c r="L55" s="36">
        <f t="shared" si="39"/>
        <v>0</v>
      </c>
      <c r="M55" s="32">
        <f t="shared" si="41"/>
        <v>0</v>
      </c>
      <c r="N55" s="32"/>
      <c r="O55" s="57">
        <f t="shared" si="24"/>
        <v>0</v>
      </c>
      <c r="P55" s="63">
        <f t="shared" si="40"/>
        <v>2</v>
      </c>
      <c r="Q55" s="65">
        <f t="shared" si="40"/>
        <v>1</v>
      </c>
      <c r="R55" s="65">
        <f t="shared" si="40"/>
        <v>0</v>
      </c>
      <c r="S55" s="65">
        <f t="shared" si="40"/>
        <v>1</v>
      </c>
      <c r="T55" s="65">
        <f t="shared" si="40"/>
        <v>0</v>
      </c>
      <c r="U55" s="65">
        <f t="shared" si="40"/>
        <v>11</v>
      </c>
      <c r="V55" s="65">
        <f t="shared" si="40"/>
        <v>11</v>
      </c>
      <c r="W55" s="65">
        <f t="shared" si="40"/>
        <v>1</v>
      </c>
      <c r="X55" s="65">
        <f t="shared" si="40"/>
        <v>0</v>
      </c>
      <c r="Y55" s="65">
        <f t="shared" si="40"/>
        <v>0</v>
      </c>
      <c r="Z55" s="65">
        <f t="shared" si="40"/>
        <v>0</v>
      </c>
      <c r="AA55" s="65">
        <f t="shared" si="40"/>
        <v>0</v>
      </c>
      <c r="AB55" s="65">
        <f t="shared" si="36"/>
        <v>1</v>
      </c>
      <c r="AC55" s="65">
        <f t="shared" si="36"/>
        <v>1</v>
      </c>
      <c r="AD55" s="61">
        <f t="shared" si="36"/>
        <v>1</v>
      </c>
      <c r="AE55" s="63">
        <f t="shared" si="36"/>
        <v>0</v>
      </c>
      <c r="AF55" s="64">
        <f t="shared" si="36"/>
        <v>0</v>
      </c>
      <c r="AG55" s="64">
        <f t="shared" si="36"/>
        <v>0</v>
      </c>
      <c r="AH55" s="64">
        <f t="shared" si="36"/>
        <v>0</v>
      </c>
      <c r="AI55" s="66">
        <f t="shared" si="36"/>
        <v>0</v>
      </c>
      <c r="AJ55" s="63">
        <f t="shared" si="36"/>
        <v>0</v>
      </c>
      <c r="AK55" s="64">
        <f t="shared" si="36"/>
        <v>0</v>
      </c>
      <c r="AL55" s="65">
        <f t="shared" si="36"/>
        <v>0</v>
      </c>
      <c r="AM55" s="66">
        <f t="shared" si="36"/>
        <v>0</v>
      </c>
      <c r="AN55" s="31" t="str">
        <f t="shared" si="26"/>
        <v>SimulationStorage,2,</v>
      </c>
      <c r="AO55" s="31" t="str">
        <f t="shared" si="26"/>
        <v>AnalysisStorage,1,</v>
      </c>
      <c r="AP55" s="31" t="str">
        <f t="shared" si="26"/>
        <v>LogRuleEvaluation,0,</v>
      </c>
      <c r="AQ55" s="31" t="str">
        <f t="shared" si="26"/>
        <v>ParallelSimulations,1,</v>
      </c>
      <c r="AR55" s="31" t="str">
        <f t="shared" si="26"/>
        <v>DurationStats,0,</v>
      </c>
      <c r="AS55" s="31" t="str">
        <f t="shared" si="26"/>
        <v>AnalysisThruStep,11,</v>
      </c>
      <c r="AT55" s="31" t="str">
        <f t="shared" si="26"/>
        <v>DontAbortOnErrorsThruStep,11,</v>
      </c>
      <c r="AU55" s="31" t="str">
        <f t="shared" si="26"/>
        <v>BypassValidFileChecks,1,</v>
      </c>
      <c r="AV55" s="31" t="str">
        <f t="shared" si="26"/>
        <v>BypassInputChecks,0,</v>
      </c>
      <c r="AW55" s="31" t="str">
        <f t="shared" si="26"/>
        <v>BypassUMLHChecks,0,</v>
      </c>
      <c r="AX55" s="31" t="str">
        <f t="shared" si="26"/>
        <v>BypassCheckSimRules,0,</v>
      </c>
      <c r="AY55" s="31" t="str">
        <f t="shared" si="26"/>
        <v>BypassCheckCodeRules,0,</v>
      </c>
      <c r="BA55" s="31" t="str">
        <f t="shared" si="27"/>
        <v>StoreBEMDetails,1,</v>
      </c>
      <c r="BB55" s="31" t="str">
        <f t="shared" si="27"/>
        <v>ModelRpt_ALL,1,</v>
      </c>
      <c r="BC55" s="31" t="str">
        <f t="shared" si="27"/>
        <v>BypassOpenStudio_all,0,</v>
      </c>
      <c r="BD55" s="31" t="str">
        <f t="shared" si="27"/>
        <v>BypassOpenStudio_zp,0,</v>
      </c>
      <c r="BE55" s="31" t="str">
        <f t="shared" si="27"/>
        <v>BypassOpenStudio_zb,0,</v>
      </c>
      <c r="BF55" s="31" t="str">
        <f t="shared" si="27"/>
        <v>BypassOpenStudio_ap,0,</v>
      </c>
      <c r="BG55" s="31" t="str">
        <f t="shared" si="27"/>
        <v>BypassOpenStudio_ab,0,</v>
      </c>
      <c r="BH55" s="31" t="str">
        <f t="shared" si="27"/>
        <v>BypassOpenStudio_zp,0,</v>
      </c>
      <c r="BI55" s="31" t="str">
        <f t="shared" si="27"/>
        <v>BypassOpenStudio_zb,0,</v>
      </c>
      <c r="BJ55" s="31" t="str">
        <f t="shared" si="27"/>
        <v>BypassOpenStudio_ap,0,</v>
      </c>
      <c r="BK55" s="31" t="str">
        <f t="shared" si="28"/>
        <v>BypassOpenStudio_ab,0</v>
      </c>
    </row>
    <row r="56" spans="1:65" x14ac:dyDescent="0.25">
      <c r="A56" s="39">
        <f t="shared" si="22"/>
        <v>0</v>
      </c>
      <c r="B56" s="27" t="str">
        <f t="shared" si="29"/>
        <v>OtherTests\.cibd</v>
      </c>
      <c r="C56" s="27" t="str">
        <f t="shared" si="30"/>
        <v>BatchOut_160405_r3979_OT\.cibd</v>
      </c>
      <c r="D56" s="27" t="str">
        <f t="shared" si="31"/>
        <v>BatchOut_160405_r3979_OT\XML\</v>
      </c>
      <c r="E56" s="9" t="str">
        <f t="shared" si="32"/>
        <v/>
      </c>
      <c r="F56" s="22"/>
      <c r="G56" s="29"/>
      <c r="H56" s="23"/>
      <c r="I56" s="9" t="s">
        <v>11</v>
      </c>
      <c r="J56"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6" s="15" t="s">
        <v>1</v>
      </c>
      <c r="L56" s="36">
        <v>0</v>
      </c>
      <c r="M56" s="32" t="str">
        <f t="shared" ref="M56" si="42">LEFT(N56,6)&amp;IF(SUM(F56:H56)&gt;0,"_autosize","")</f>
        <v/>
      </c>
      <c r="N56" s="28"/>
      <c r="O56" s="57"/>
      <c r="P56" s="63">
        <f t="shared" si="40"/>
        <v>2</v>
      </c>
      <c r="Q56" s="65">
        <f t="shared" si="40"/>
        <v>1</v>
      </c>
      <c r="R56" s="65">
        <f t="shared" si="40"/>
        <v>0</v>
      </c>
      <c r="S56" s="65">
        <f t="shared" si="40"/>
        <v>1</v>
      </c>
      <c r="T56" s="65">
        <f t="shared" si="40"/>
        <v>0</v>
      </c>
      <c r="U56" s="65">
        <f t="shared" si="40"/>
        <v>11</v>
      </c>
      <c r="V56" s="65">
        <f t="shared" si="40"/>
        <v>11</v>
      </c>
      <c r="W56" s="65">
        <f t="shared" si="40"/>
        <v>1</v>
      </c>
      <c r="X56" s="65">
        <f t="shared" si="40"/>
        <v>0</v>
      </c>
      <c r="Y56" s="65">
        <f t="shared" si="40"/>
        <v>0</v>
      </c>
      <c r="Z56" s="65">
        <f t="shared" si="40"/>
        <v>0</v>
      </c>
      <c r="AA56" s="65">
        <f t="shared" si="40"/>
        <v>0</v>
      </c>
      <c r="AB56" s="65">
        <f t="shared" si="36"/>
        <v>1</v>
      </c>
      <c r="AC56" s="65">
        <f t="shared" si="36"/>
        <v>1</v>
      </c>
      <c r="AD56" s="61">
        <f t="shared" si="36"/>
        <v>1</v>
      </c>
      <c r="AE56" s="63">
        <f t="shared" si="36"/>
        <v>0</v>
      </c>
      <c r="AF56" s="64">
        <f t="shared" si="36"/>
        <v>0</v>
      </c>
      <c r="AG56" s="64">
        <f t="shared" si="36"/>
        <v>0</v>
      </c>
      <c r="AH56" s="64">
        <f t="shared" si="36"/>
        <v>0</v>
      </c>
      <c r="AI56" s="66">
        <f t="shared" si="36"/>
        <v>0</v>
      </c>
      <c r="AJ56" s="63">
        <f t="shared" si="36"/>
        <v>0</v>
      </c>
      <c r="AK56" s="64">
        <f t="shared" si="36"/>
        <v>0</v>
      </c>
      <c r="AL56" s="65">
        <f t="shared" si="36"/>
        <v>0</v>
      </c>
      <c r="AM56" s="66">
        <f t="shared" si="36"/>
        <v>0</v>
      </c>
      <c r="AN56" s="31" t="str">
        <f t="shared" si="26"/>
        <v>SimulationStorage,2,</v>
      </c>
      <c r="AO56" s="31" t="str">
        <f t="shared" si="26"/>
        <v>AnalysisStorage,1,</v>
      </c>
      <c r="AP56" s="31" t="str">
        <f t="shared" si="26"/>
        <v>LogRuleEvaluation,0,</v>
      </c>
      <c r="AQ56" s="31" t="str">
        <f t="shared" si="26"/>
        <v>ParallelSimulations,1,</v>
      </c>
      <c r="AR56" s="31" t="str">
        <f t="shared" si="26"/>
        <v>DurationStats,0,</v>
      </c>
      <c r="AS56" s="31" t="str">
        <f t="shared" si="26"/>
        <v>AnalysisThruStep,11,</v>
      </c>
      <c r="AT56" s="31" t="str">
        <f t="shared" si="26"/>
        <v>DontAbortOnErrorsThruStep,11,</v>
      </c>
      <c r="AU56" s="31" t="str">
        <f t="shared" si="26"/>
        <v>BypassValidFileChecks,1,</v>
      </c>
      <c r="AV56" s="31" t="str">
        <f t="shared" si="26"/>
        <v>BypassInputChecks,0,</v>
      </c>
      <c r="AW56" s="31" t="str">
        <f t="shared" si="26"/>
        <v>BypassUMLHChecks,0,</v>
      </c>
      <c r="AX56" s="31" t="str">
        <f t="shared" si="26"/>
        <v>BypassCheckSimRules,0,</v>
      </c>
      <c r="AY56" s="31" t="str">
        <f t="shared" si="26"/>
        <v>BypassCheckCodeRules,0,</v>
      </c>
      <c r="BA56" s="31" t="str">
        <f t="shared" si="27"/>
        <v>StoreBEMDetails,1,</v>
      </c>
      <c r="BB56" s="31" t="str">
        <f t="shared" si="27"/>
        <v>ModelRpt_ALL,1,</v>
      </c>
      <c r="BC56" s="31" t="str">
        <f t="shared" si="27"/>
        <v>BypassOpenStudio_all,0,</v>
      </c>
      <c r="BD56" s="31" t="str">
        <f t="shared" si="27"/>
        <v>BypassOpenStudio_zp,0,</v>
      </c>
      <c r="BE56" s="31" t="str">
        <f t="shared" si="27"/>
        <v>BypassOpenStudio_zb,0,</v>
      </c>
      <c r="BF56" s="31" t="str">
        <f t="shared" si="27"/>
        <v>BypassOpenStudio_ap,0,</v>
      </c>
      <c r="BG56" s="31" t="str">
        <f t="shared" si="27"/>
        <v>BypassOpenStudio_ab,0,</v>
      </c>
      <c r="BH56" s="31" t="str">
        <f t="shared" si="27"/>
        <v>BypassOpenStudio_zp,0,</v>
      </c>
      <c r="BI56" s="31" t="str">
        <f t="shared" si="27"/>
        <v>BypassOpenStudio_zb,0,</v>
      </c>
      <c r="BJ56" s="31" t="str">
        <f t="shared" si="27"/>
        <v>BypassOpenStudio_ap,0,</v>
      </c>
      <c r="BK56" s="31" t="str">
        <f t="shared" si="28"/>
        <v>BypassOpenStudio_ab,0</v>
      </c>
    </row>
    <row r="57" spans="1:65" x14ac:dyDescent="0.25">
      <c r="A57" s="39">
        <f t="shared" si="22"/>
        <v>0</v>
      </c>
      <c r="B57" s="27" t="str">
        <f t="shared" si="29"/>
        <v>OtherTests\.cibd</v>
      </c>
      <c r="C57" s="27" t="str">
        <f t="shared" si="30"/>
        <v>BatchOut_160405_r3979_OT\.cibd</v>
      </c>
      <c r="D57" s="27" t="str">
        <f t="shared" si="31"/>
        <v>BatchOut_160405_r3979_OT\XML\</v>
      </c>
      <c r="E57" s="9" t="str">
        <f t="shared" si="32"/>
        <v/>
      </c>
      <c r="F57" s="22"/>
      <c r="G57" s="29"/>
      <c r="H57" s="23"/>
      <c r="I57" s="9" t="s">
        <v>11</v>
      </c>
      <c r="J57" s="9" t="str">
        <f t="shared" si="23"/>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57" s="15" t="s">
        <v>1</v>
      </c>
      <c r="L57" s="36">
        <v>0</v>
      </c>
      <c r="M57" s="32" t="str">
        <f t="shared" si="33"/>
        <v/>
      </c>
      <c r="N57" s="28"/>
      <c r="O57" s="57"/>
      <c r="P57" s="63">
        <f t="shared" ref="P57:AM57" si="43">P53</f>
        <v>2</v>
      </c>
      <c r="Q57" s="65">
        <f t="shared" si="43"/>
        <v>1</v>
      </c>
      <c r="R57" s="65">
        <f t="shared" si="43"/>
        <v>0</v>
      </c>
      <c r="S57" s="65">
        <f t="shared" si="43"/>
        <v>1</v>
      </c>
      <c r="T57" s="65">
        <f t="shared" si="43"/>
        <v>0</v>
      </c>
      <c r="U57" s="65">
        <f t="shared" si="43"/>
        <v>11</v>
      </c>
      <c r="V57" s="65">
        <f t="shared" si="43"/>
        <v>11</v>
      </c>
      <c r="W57" s="65">
        <f t="shared" si="43"/>
        <v>1</v>
      </c>
      <c r="X57" s="65">
        <f t="shared" si="43"/>
        <v>0</v>
      </c>
      <c r="Y57" s="65">
        <f t="shared" si="43"/>
        <v>0</v>
      </c>
      <c r="Z57" s="65">
        <f t="shared" si="43"/>
        <v>0</v>
      </c>
      <c r="AA57" s="65">
        <f t="shared" si="43"/>
        <v>0</v>
      </c>
      <c r="AB57" s="65">
        <f t="shared" si="43"/>
        <v>1</v>
      </c>
      <c r="AC57" s="65">
        <f t="shared" si="43"/>
        <v>1</v>
      </c>
      <c r="AD57" s="61">
        <f t="shared" si="43"/>
        <v>1</v>
      </c>
      <c r="AE57" s="63">
        <f t="shared" si="43"/>
        <v>0</v>
      </c>
      <c r="AF57" s="64">
        <f t="shared" si="43"/>
        <v>0</v>
      </c>
      <c r="AG57" s="64">
        <f t="shared" si="43"/>
        <v>0</v>
      </c>
      <c r="AH57" s="64">
        <f t="shared" si="43"/>
        <v>0</v>
      </c>
      <c r="AI57" s="66">
        <f t="shared" si="43"/>
        <v>0</v>
      </c>
      <c r="AJ57" s="63">
        <f t="shared" si="43"/>
        <v>0</v>
      </c>
      <c r="AK57" s="64">
        <f t="shared" si="43"/>
        <v>0</v>
      </c>
      <c r="AL57" s="65">
        <f t="shared" si="43"/>
        <v>0</v>
      </c>
      <c r="AM57" s="66">
        <f t="shared" si="43"/>
        <v>0</v>
      </c>
      <c r="AN57" s="31" t="str">
        <f t="shared" si="26"/>
        <v>SimulationStorage,2,</v>
      </c>
      <c r="AO57" s="31" t="str">
        <f t="shared" si="26"/>
        <v>AnalysisStorage,1,</v>
      </c>
      <c r="AP57" s="31" t="str">
        <f t="shared" si="26"/>
        <v>LogRuleEvaluation,0,</v>
      </c>
      <c r="AQ57" s="31" t="str">
        <f t="shared" si="26"/>
        <v>ParallelSimulations,1,</v>
      </c>
      <c r="AR57" s="31" t="str">
        <f t="shared" si="26"/>
        <v>DurationStats,0,</v>
      </c>
      <c r="AS57" s="31" t="str">
        <f t="shared" si="26"/>
        <v>AnalysisThruStep,11,</v>
      </c>
      <c r="AT57" s="31" t="str">
        <f t="shared" si="26"/>
        <v>DontAbortOnErrorsThruStep,11,</v>
      </c>
      <c r="AU57" s="31" t="str">
        <f t="shared" si="26"/>
        <v>BypassValidFileChecks,1,</v>
      </c>
      <c r="AV57" s="31" t="str">
        <f t="shared" si="26"/>
        <v>BypassInputChecks,0,</v>
      </c>
      <c r="AW57" s="31" t="str">
        <f t="shared" si="26"/>
        <v>BypassUMLHChecks,0,</v>
      </c>
      <c r="AX57" s="31" t="str">
        <f t="shared" si="26"/>
        <v>BypassCheckSimRules,0,</v>
      </c>
      <c r="AY57" s="31" t="str">
        <f t="shared" si="26"/>
        <v>BypassCheckCodeRules,0,</v>
      </c>
      <c r="BA57" s="31" t="str">
        <f t="shared" si="27"/>
        <v>StoreBEMDetails,1,</v>
      </c>
      <c r="BB57" s="31" t="str">
        <f t="shared" si="27"/>
        <v>ModelRpt_ALL,1,</v>
      </c>
      <c r="BC57" s="31" t="str">
        <f t="shared" si="27"/>
        <v>BypassOpenStudio_all,0,</v>
      </c>
      <c r="BD57" s="31" t="str">
        <f t="shared" si="27"/>
        <v>BypassOpenStudio_zp,0,</v>
      </c>
      <c r="BE57" s="31" t="str">
        <f t="shared" si="27"/>
        <v>BypassOpenStudio_zb,0,</v>
      </c>
      <c r="BF57" s="31" t="str">
        <f t="shared" si="27"/>
        <v>BypassOpenStudio_ap,0,</v>
      </c>
      <c r="BG57" s="31" t="str">
        <f t="shared" si="27"/>
        <v>BypassOpenStudio_ab,0,</v>
      </c>
      <c r="BH57" s="31" t="str">
        <f t="shared" si="27"/>
        <v>BypassOpenStudio_zp,0,</v>
      </c>
      <c r="BI57" s="31" t="str">
        <f t="shared" si="27"/>
        <v>BypassOpenStudio_zb,0,</v>
      </c>
      <c r="BJ57" s="31" t="str">
        <f t="shared" si="27"/>
        <v>BypassOpenStudio_ap,0,</v>
      </c>
      <c r="BK57" s="31" t="str">
        <f t="shared" si="28"/>
        <v>BypassOpenStudio_ab,0</v>
      </c>
    </row>
    <row r="58" spans="1:65" customFormat="1" x14ac:dyDescent="0.25">
      <c r="A58" t="s">
        <v>1</v>
      </c>
      <c r="K58" s="15"/>
      <c r="L58" s="100"/>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row>
    <row r="59" spans="1:65" x14ac:dyDescent="0.25">
      <c r="A59" s="1" t="s">
        <v>1</v>
      </c>
      <c r="B59"/>
      <c r="C59"/>
      <c r="D59" s="30"/>
      <c r="E59" s="16"/>
      <c r="F59" s="16"/>
      <c r="G59" s="16"/>
      <c r="H59" s="16"/>
      <c r="K59" s="15"/>
      <c r="L59" s="36" t="s">
        <v>185</v>
      </c>
      <c r="M59" t="s">
        <v>184</v>
      </c>
    </row>
    <row r="60" spans="1:65" x14ac:dyDescent="0.25">
      <c r="A60" s="1" t="s">
        <v>1</v>
      </c>
      <c r="B60"/>
      <c r="C60"/>
      <c r="D60" s="30"/>
      <c r="K60" s="15"/>
      <c r="L60" s="37" t="s">
        <v>45</v>
      </c>
      <c r="M60" s="53">
        <f>M7</f>
        <v>160405</v>
      </c>
    </row>
    <row r="61" spans="1:65" x14ac:dyDescent="0.25">
      <c r="A61" s="1" t="s">
        <v>1</v>
      </c>
      <c r="B61"/>
      <c r="C61"/>
      <c r="D61" s="30"/>
      <c r="K61" s="15"/>
      <c r="L61" s="14" t="s">
        <v>46</v>
      </c>
      <c r="M61" s="53" t="str">
        <f>M8</f>
        <v>r3979</v>
      </c>
      <c r="N61" s="52"/>
    </row>
    <row r="62" spans="1:65" x14ac:dyDescent="0.25">
      <c r="A62" s="1" t="s">
        <v>1</v>
      </c>
      <c r="B62"/>
      <c r="C62"/>
      <c r="D62" s="30"/>
      <c r="E62" s="30"/>
      <c r="F62" s="30"/>
      <c r="G62" s="30"/>
      <c r="H62" s="30"/>
      <c r="I62" s="26"/>
      <c r="K62" s="15"/>
      <c r="L62" s="35" t="s">
        <v>39</v>
      </c>
      <c r="M62" s="54" t="str">
        <f>M9</f>
        <v>BatchResults_160405_r3979.csv</v>
      </c>
      <c r="N62" s="1" t="s">
        <v>48</v>
      </c>
    </row>
    <row r="63" spans="1:65" x14ac:dyDescent="0.25">
      <c r="A63" s="1" t="s">
        <v>1</v>
      </c>
      <c r="K63" s="15"/>
      <c r="L63" s="14" t="s">
        <v>16</v>
      </c>
      <c r="M63" s="28" t="s">
        <v>53</v>
      </c>
      <c r="N63" s="1" t="s">
        <v>47</v>
      </c>
      <c r="AE63" s="104"/>
      <c r="AF63" s="104"/>
      <c r="AG63" s="104"/>
      <c r="AH63" s="104"/>
      <c r="AI63" s="104"/>
      <c r="AJ63" s="104"/>
      <c r="AK63" s="104"/>
      <c r="AL63" s="104"/>
      <c r="AM63" s="104"/>
    </row>
    <row r="64" spans="1:65" x14ac:dyDescent="0.25">
      <c r="A64" s="1" t="s">
        <v>1</v>
      </c>
      <c r="K64" s="15"/>
      <c r="L64" s="14" t="s">
        <v>17</v>
      </c>
      <c r="M64" s="54" t="str">
        <f>"BatchOut"&amp;"_"&amp;M60&amp;"_"&amp;M61&amp;"_"&amp;L59&amp;"\"</f>
        <v>BatchOut_160405_r3979_RIc\</v>
      </c>
      <c r="N64" s="1" t="s">
        <v>47</v>
      </c>
    </row>
    <row r="65" spans="1:65" x14ac:dyDescent="0.25">
      <c r="A65" s="1" t="s">
        <v>1</v>
      </c>
      <c r="K65" s="15"/>
      <c r="L65" s="14" t="s">
        <v>42</v>
      </c>
      <c r="M65" s="54" t="str">
        <f>M64&amp;"XML\"</f>
        <v>BatchOut_160405_r3979_RIc\XML\</v>
      </c>
      <c r="N65" s="1" t="s">
        <v>47</v>
      </c>
      <c r="R65" s="31"/>
      <c r="S65" s="31"/>
      <c r="T65" s="31"/>
      <c r="U65" s="31"/>
      <c r="V65" s="31"/>
      <c r="W65" s="31"/>
      <c r="X65" s="31"/>
      <c r="Y65" s="31"/>
      <c r="Z65" s="31"/>
      <c r="AA65" s="31"/>
      <c r="AB65" s="31"/>
      <c r="AC65" s="31"/>
      <c r="AD65" s="31"/>
      <c r="AE65" s="31"/>
      <c r="AF65" s="31"/>
      <c r="AG65" s="31"/>
      <c r="AH65" s="31"/>
      <c r="AI65" s="31"/>
      <c r="AJ65" s="31"/>
      <c r="AK65" s="31"/>
      <c r="AL65" s="31"/>
      <c r="AM65" s="31"/>
    </row>
    <row r="66" spans="1:65" s="46" customFormat="1" x14ac:dyDescent="0.25">
      <c r="A66" s="12" t="s">
        <v>1</v>
      </c>
      <c r="B66" s="8"/>
      <c r="C66" s="8"/>
      <c r="D66" s="8"/>
      <c r="E66" s="8"/>
      <c r="F66" s="19"/>
      <c r="G66" s="21"/>
      <c r="H66" s="20"/>
      <c r="I66" s="8"/>
      <c r="J66" s="8"/>
      <c r="K66" s="15"/>
      <c r="L66" s="42"/>
      <c r="M66" s="43"/>
      <c r="N66" s="40"/>
      <c r="O66" s="40"/>
      <c r="P66" s="56"/>
      <c r="Q66" s="56"/>
      <c r="R66" s="44"/>
      <c r="S66" s="44"/>
      <c r="T66" s="44"/>
      <c r="U66" s="44"/>
      <c r="V66" s="45"/>
      <c r="W66" s="44"/>
      <c r="X66" s="44"/>
      <c r="Y66" s="44"/>
      <c r="Z66" s="44"/>
      <c r="AA66" s="44"/>
      <c r="AB66" s="44"/>
      <c r="AC66" s="44"/>
      <c r="AD66" s="45"/>
      <c r="AE66" s="43"/>
      <c r="AF66" s="43"/>
      <c r="AG66" s="43"/>
      <c r="AH66" s="43"/>
      <c r="AI66" s="43"/>
      <c r="AJ66" s="43"/>
      <c r="AK66" s="43"/>
      <c r="AL66" s="43"/>
      <c r="AM66" s="43"/>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row>
    <row r="67" spans="1:65" x14ac:dyDescent="0.25">
      <c r="A67" s="39">
        <f t="shared" ref="A67:A99" si="44">L67</f>
        <v>0</v>
      </c>
      <c r="B67" s="27" t="str">
        <f>M$63&amp;N67&amp;"\"&amp;N67&amp;".cibd"</f>
        <v>RulesetImplementationTests\\.cibd</v>
      </c>
      <c r="C67" s="27" t="str">
        <f xml:space="preserve"> M$64 &amp; O67 &amp; ".cibd"</f>
        <v>BatchOut_160405_r3979_RIc\0.cibd</v>
      </c>
      <c r="D67" s="27" t="str">
        <f>$M$65</f>
        <v>BatchOut_160405_r3979_RIc\XML\</v>
      </c>
      <c r="E67" s="9" t="e">
        <f>M67</f>
        <v>#VALUE!</v>
      </c>
      <c r="F67" s="22"/>
      <c r="G67" s="29"/>
      <c r="H67" s="23" t="str">
        <f>IF(F67&gt;1,1,"")</f>
        <v/>
      </c>
      <c r="I67" s="9" t="s">
        <v>11</v>
      </c>
      <c r="J67" s="9" t="str">
        <f t="shared" ref="J67:J99" si="45">CONCATENATE(AN67,AO67,AP67,AQ67,AR67,AS67,AT67,AU67,AV67,AW67,AX67,AY67,AZ67,BA67,BB67,BC67,BD67,BE67,BF67,BG67,BH67,BI67,BJ67,BK67)</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67" s="15" t="s">
        <v>1</v>
      </c>
      <c r="L67" s="36">
        <v>0</v>
      </c>
      <c r="M67" s="32" t="e">
        <f>LEFT(N67,SEARCH("-",N67))&amp;RIGHT(N67,5)</f>
        <v>#VALUE!</v>
      </c>
      <c r="N67" s="28"/>
      <c r="O67" s="57">
        <f t="shared" ref="O67:O79" si="46">N67</f>
        <v>0</v>
      </c>
      <c r="P67" s="72">
        <f t="shared" ref="P67:AM67" si="47">P16</f>
        <v>2</v>
      </c>
      <c r="Q67" s="73">
        <f t="shared" si="47"/>
        <v>1</v>
      </c>
      <c r="R67" s="73">
        <f t="shared" si="47"/>
        <v>0</v>
      </c>
      <c r="S67" s="73">
        <f t="shared" si="47"/>
        <v>1</v>
      </c>
      <c r="T67" s="73">
        <f t="shared" si="47"/>
        <v>0</v>
      </c>
      <c r="U67" s="73">
        <f t="shared" si="47"/>
        <v>11</v>
      </c>
      <c r="V67" s="73">
        <f t="shared" si="47"/>
        <v>11</v>
      </c>
      <c r="W67" s="73">
        <f t="shared" si="47"/>
        <v>1</v>
      </c>
      <c r="X67" s="73">
        <f t="shared" si="47"/>
        <v>0</v>
      </c>
      <c r="Y67" s="73">
        <f t="shared" si="47"/>
        <v>0</v>
      </c>
      <c r="Z67" s="73">
        <f t="shared" si="47"/>
        <v>0</v>
      </c>
      <c r="AA67" s="73">
        <f t="shared" si="47"/>
        <v>0</v>
      </c>
      <c r="AB67" s="73">
        <f t="shared" si="47"/>
        <v>1</v>
      </c>
      <c r="AC67" s="73">
        <f t="shared" si="47"/>
        <v>1</v>
      </c>
      <c r="AD67" s="74">
        <f t="shared" si="47"/>
        <v>1</v>
      </c>
      <c r="AE67" s="72">
        <f t="shared" si="47"/>
        <v>0</v>
      </c>
      <c r="AF67" s="75">
        <f t="shared" si="47"/>
        <v>0</v>
      </c>
      <c r="AG67" s="75">
        <f t="shared" si="47"/>
        <v>0</v>
      </c>
      <c r="AH67" s="73">
        <f t="shared" si="47"/>
        <v>0</v>
      </c>
      <c r="AI67" s="76">
        <f t="shared" si="47"/>
        <v>0</v>
      </c>
      <c r="AJ67" s="72">
        <f t="shared" si="47"/>
        <v>0</v>
      </c>
      <c r="AK67" s="75">
        <f t="shared" si="47"/>
        <v>0</v>
      </c>
      <c r="AL67" s="73">
        <f t="shared" si="47"/>
        <v>0</v>
      </c>
      <c r="AM67" s="76">
        <f t="shared" si="47"/>
        <v>0</v>
      </c>
      <c r="AN67" s="31" t="str">
        <f t="shared" ref="AN67:AY88" si="48">P$12&amp;P67&amp;","</f>
        <v>SimulationStorage,2,</v>
      </c>
      <c r="AO67" s="31" t="str">
        <f t="shared" si="48"/>
        <v>AnalysisStorage,1,</v>
      </c>
      <c r="AP67" s="31" t="str">
        <f t="shared" si="48"/>
        <v>LogRuleEvaluation,0,</v>
      </c>
      <c r="AQ67" s="31" t="str">
        <f t="shared" si="48"/>
        <v>ParallelSimulations,1,</v>
      </c>
      <c r="AR67" s="31" t="str">
        <f t="shared" si="48"/>
        <v>DurationStats,0,</v>
      </c>
      <c r="AS67" s="31" t="str">
        <f t="shared" si="48"/>
        <v>AnalysisThruStep,11,</v>
      </c>
      <c r="AT67" s="31" t="str">
        <f t="shared" si="48"/>
        <v>DontAbortOnErrorsThruStep,11,</v>
      </c>
      <c r="AU67" s="31" t="str">
        <f t="shared" si="48"/>
        <v>BypassValidFileChecks,1,</v>
      </c>
      <c r="AV67" s="31" t="str">
        <f t="shared" si="48"/>
        <v>BypassInputChecks,0,</v>
      </c>
      <c r="AW67" s="31" t="str">
        <f t="shared" si="48"/>
        <v>BypassUMLHChecks,0,</v>
      </c>
      <c r="AX67" s="31" t="str">
        <f t="shared" si="48"/>
        <v>BypassCheckSimRules,0,</v>
      </c>
      <c r="AY67" s="31" t="str">
        <f t="shared" si="48"/>
        <v>BypassCheckCodeRules,0,</v>
      </c>
      <c r="BA67" s="31" t="str">
        <f t="shared" ref="BA67:BJ92" si="49">AC$12&amp;AC67&amp;","</f>
        <v>StoreBEMDetails,1,</v>
      </c>
      <c r="BB67" s="31" t="str">
        <f t="shared" si="49"/>
        <v>ModelRpt_ALL,1,</v>
      </c>
      <c r="BC67" s="31" t="str">
        <f t="shared" si="49"/>
        <v>BypassOpenStudio_all,0,</v>
      </c>
      <c r="BD67" s="31" t="str">
        <f t="shared" si="49"/>
        <v>BypassOpenStudio_zp,0,</v>
      </c>
      <c r="BE67" s="31" t="str">
        <f t="shared" si="49"/>
        <v>BypassOpenStudio_zb,0,</v>
      </c>
      <c r="BF67" s="31" t="str">
        <f t="shared" si="49"/>
        <v>BypassOpenStudio_ap,0,</v>
      </c>
      <c r="BG67" s="31" t="str">
        <f t="shared" si="49"/>
        <v>BypassOpenStudio_ab,0,</v>
      </c>
      <c r="BH67" s="31" t="str">
        <f t="shared" si="49"/>
        <v>BypassOpenStudio_zp,0,</v>
      </c>
      <c r="BI67" s="31" t="str">
        <f t="shared" si="49"/>
        <v>BypassOpenStudio_zb,0,</v>
      </c>
      <c r="BJ67" s="31" t="str">
        <f t="shared" si="49"/>
        <v>BypassOpenStudio_ap,0,</v>
      </c>
      <c r="BK67" s="31" t="str">
        <f t="shared" ref="BK67:BK99" si="50">AM$12&amp;AM67</f>
        <v>BypassOpenStudio_ab,0</v>
      </c>
    </row>
    <row r="68" spans="1:65" x14ac:dyDescent="0.25">
      <c r="A68" s="39">
        <f t="shared" si="44"/>
        <v>0</v>
      </c>
      <c r="B68" s="27" t="str">
        <f t="shared" ref="B68:B99" si="51">M$63&amp;N68&amp;"\"&amp;N68&amp;".cibd"</f>
        <v>RulesetImplementationTests\\.cibd</v>
      </c>
      <c r="C68" s="27" t="str">
        <f t="shared" ref="C68:C99" si="52" xml:space="preserve"> M$64 &amp; O68 &amp; ".cibd"</f>
        <v>BatchOut_160405_r3979_RIc\0.cibd</v>
      </c>
      <c r="D68" s="27" t="str">
        <f t="shared" ref="D68:D99" si="53">$M$65</f>
        <v>BatchOut_160405_r3979_RIc\XML\</v>
      </c>
      <c r="E68" s="9" t="e">
        <f t="shared" ref="E68:E99" si="54">M68</f>
        <v>#VALUE!</v>
      </c>
      <c r="F68" s="22"/>
      <c r="G68" s="29"/>
      <c r="H68" s="23" t="str">
        <f>IF(F68&gt;1,1,"")</f>
        <v/>
      </c>
      <c r="I68" s="9" t="s">
        <v>11</v>
      </c>
      <c r="J68"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68" s="15" t="s">
        <v>1</v>
      </c>
      <c r="L68" s="36">
        <f>L67</f>
        <v>0</v>
      </c>
      <c r="M68" s="32" t="e">
        <f>LEFT(N68,SEARCH("-",N68))&amp;RIGHT(N68,5)</f>
        <v>#VALUE!</v>
      </c>
      <c r="N68" s="28"/>
      <c r="O68" s="57">
        <f t="shared" si="46"/>
        <v>0</v>
      </c>
      <c r="P68" s="63">
        <f>P67</f>
        <v>2</v>
      </c>
      <c r="Q68" s="65">
        <f t="shared" ref="Q68:U83" si="55">Q67</f>
        <v>1</v>
      </c>
      <c r="R68" s="65">
        <f t="shared" si="55"/>
        <v>0</v>
      </c>
      <c r="S68" s="65">
        <f t="shared" si="55"/>
        <v>1</v>
      </c>
      <c r="T68" s="65">
        <f t="shared" si="55"/>
        <v>0</v>
      </c>
      <c r="U68" s="65">
        <f>U67</f>
        <v>11</v>
      </c>
      <c r="V68" s="65">
        <v>11</v>
      </c>
      <c r="W68" s="65">
        <f>W67</f>
        <v>1</v>
      </c>
      <c r="X68" s="65">
        <f t="shared" ref="X68:Y68" si="56">X67</f>
        <v>0</v>
      </c>
      <c r="Y68" s="65">
        <f t="shared" si="56"/>
        <v>0</v>
      </c>
      <c r="Z68" s="65">
        <f>Z67</f>
        <v>0</v>
      </c>
      <c r="AA68" s="65">
        <f>AA67</f>
        <v>0</v>
      </c>
      <c r="AB68" s="65">
        <f>AB67</f>
        <v>1</v>
      </c>
      <c r="AC68" s="65">
        <f t="shared" ref="AC68:AC99" si="57">AC67</f>
        <v>1</v>
      </c>
      <c r="AD68" s="61">
        <v>1</v>
      </c>
      <c r="AE68" s="63">
        <f>AE67</f>
        <v>0</v>
      </c>
      <c r="AF68" s="64">
        <f>AF67</f>
        <v>0</v>
      </c>
      <c r="AG68" s="64">
        <f t="shared" ref="AG68:AM83" si="58">AG67</f>
        <v>0</v>
      </c>
      <c r="AH68" s="64">
        <f t="shared" si="58"/>
        <v>0</v>
      </c>
      <c r="AI68" s="66">
        <f t="shared" si="58"/>
        <v>0</v>
      </c>
      <c r="AJ68" s="63">
        <f>AJ67</f>
        <v>0</v>
      </c>
      <c r="AK68" s="64">
        <f>AK67</f>
        <v>0</v>
      </c>
      <c r="AL68" s="65">
        <f t="shared" ref="AL68:AM68" si="59">AL67</f>
        <v>0</v>
      </c>
      <c r="AM68" s="66">
        <f t="shared" si="59"/>
        <v>0</v>
      </c>
      <c r="AN68" s="31" t="str">
        <f t="shared" si="48"/>
        <v>SimulationStorage,2,</v>
      </c>
      <c r="AO68" s="31" t="str">
        <f t="shared" si="48"/>
        <v>AnalysisStorage,1,</v>
      </c>
      <c r="AP68" s="31" t="str">
        <f t="shared" si="48"/>
        <v>LogRuleEvaluation,0,</v>
      </c>
      <c r="AQ68" s="31" t="str">
        <f t="shared" si="48"/>
        <v>ParallelSimulations,1,</v>
      </c>
      <c r="AR68" s="31" t="str">
        <f t="shared" si="48"/>
        <v>DurationStats,0,</v>
      </c>
      <c r="AS68" s="31" t="str">
        <f t="shared" si="48"/>
        <v>AnalysisThruStep,11,</v>
      </c>
      <c r="AT68" s="31" t="str">
        <f t="shared" si="48"/>
        <v>DontAbortOnErrorsThruStep,11,</v>
      </c>
      <c r="AU68" s="31" t="str">
        <f t="shared" si="48"/>
        <v>BypassValidFileChecks,1,</v>
      </c>
      <c r="AV68" s="31" t="str">
        <f t="shared" si="48"/>
        <v>BypassInputChecks,0,</v>
      </c>
      <c r="AW68" s="31" t="str">
        <f t="shared" si="48"/>
        <v>BypassUMLHChecks,0,</v>
      </c>
      <c r="AX68" s="31" t="str">
        <f t="shared" si="48"/>
        <v>BypassCheckSimRules,0,</v>
      </c>
      <c r="AY68" s="31" t="str">
        <f t="shared" si="48"/>
        <v>BypassCheckCodeRules,0,</v>
      </c>
      <c r="BA68" s="31" t="str">
        <f t="shared" si="49"/>
        <v>StoreBEMDetails,1,</v>
      </c>
      <c r="BB68" s="31" t="str">
        <f t="shared" si="49"/>
        <v>ModelRpt_ALL,1,</v>
      </c>
      <c r="BC68" s="31" t="str">
        <f t="shared" si="49"/>
        <v>BypassOpenStudio_all,0,</v>
      </c>
      <c r="BD68" s="31" t="str">
        <f t="shared" si="49"/>
        <v>BypassOpenStudio_zp,0,</v>
      </c>
      <c r="BE68" s="31" t="str">
        <f t="shared" si="49"/>
        <v>BypassOpenStudio_zb,0,</v>
      </c>
      <c r="BF68" s="31" t="str">
        <f t="shared" si="49"/>
        <v>BypassOpenStudio_ap,0,</v>
      </c>
      <c r="BG68" s="31" t="str">
        <f t="shared" si="49"/>
        <v>BypassOpenStudio_ab,0,</v>
      </c>
      <c r="BH68" s="31" t="str">
        <f t="shared" si="49"/>
        <v>BypassOpenStudio_zp,0,</v>
      </c>
      <c r="BI68" s="31" t="str">
        <f t="shared" si="49"/>
        <v>BypassOpenStudio_zb,0,</v>
      </c>
      <c r="BJ68" s="31" t="str">
        <f t="shared" si="49"/>
        <v>BypassOpenStudio_ap,0,</v>
      </c>
      <c r="BK68" s="31" t="str">
        <f t="shared" si="50"/>
        <v>BypassOpenStudio_ab,0</v>
      </c>
    </row>
    <row r="69" spans="1:65" x14ac:dyDescent="0.25">
      <c r="A69" s="39">
        <f t="shared" si="44"/>
        <v>0</v>
      </c>
      <c r="B69" s="27" t="str">
        <f t="shared" si="51"/>
        <v>RulesetImplementationTests\\.cibd</v>
      </c>
      <c r="C69" s="27" t="str">
        <f t="shared" si="52"/>
        <v>BatchOut_160405_r3979_RIc\0.cibd</v>
      </c>
      <c r="D69" s="27" t="str">
        <f t="shared" si="53"/>
        <v>BatchOut_160405_r3979_RIc\XML\</v>
      </c>
      <c r="E69" s="9" t="e">
        <f t="shared" si="54"/>
        <v>#VALUE!</v>
      </c>
      <c r="F69" s="22"/>
      <c r="G69" s="29"/>
      <c r="H69" s="23" t="str">
        <f>IF(F69&gt;1,1,"")</f>
        <v/>
      </c>
      <c r="I69" s="9" t="s">
        <v>11</v>
      </c>
      <c r="J69"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69" s="15" t="s">
        <v>1</v>
      </c>
      <c r="L69" s="36">
        <f t="shared" ref="L69:L99" si="60">L68</f>
        <v>0</v>
      </c>
      <c r="M69" s="32" t="e">
        <f>LEFT(N69,SEARCH("-",N69))&amp;RIGHT(N69,5)</f>
        <v>#VALUE!</v>
      </c>
      <c r="N69" s="28"/>
      <c r="O69" s="57">
        <f t="shared" si="46"/>
        <v>0</v>
      </c>
      <c r="P69" s="63">
        <f t="shared" ref="P69:U84" si="61">P68</f>
        <v>2</v>
      </c>
      <c r="Q69" s="65">
        <f t="shared" si="55"/>
        <v>1</v>
      </c>
      <c r="R69" s="65">
        <f t="shared" si="55"/>
        <v>0</v>
      </c>
      <c r="S69" s="65">
        <f t="shared" si="55"/>
        <v>1</v>
      </c>
      <c r="T69" s="65">
        <f t="shared" si="55"/>
        <v>0</v>
      </c>
      <c r="U69" s="65">
        <f t="shared" si="55"/>
        <v>11</v>
      </c>
      <c r="V69" s="65">
        <v>11</v>
      </c>
      <c r="W69" s="65">
        <f t="shared" ref="W69:AB84" si="62">W68</f>
        <v>1</v>
      </c>
      <c r="X69" s="65">
        <f t="shared" si="62"/>
        <v>0</v>
      </c>
      <c r="Y69" s="65">
        <f t="shared" si="62"/>
        <v>0</v>
      </c>
      <c r="Z69" s="65">
        <f t="shared" si="62"/>
        <v>0</v>
      </c>
      <c r="AA69" s="65">
        <f t="shared" si="62"/>
        <v>0</v>
      </c>
      <c r="AB69" s="65">
        <f t="shared" si="62"/>
        <v>1</v>
      </c>
      <c r="AC69" s="65">
        <f t="shared" si="57"/>
        <v>1</v>
      </c>
      <c r="AD69" s="61">
        <v>1</v>
      </c>
      <c r="AE69" s="63">
        <f t="shared" ref="AE69:AM84" si="63">AE68</f>
        <v>0</v>
      </c>
      <c r="AF69" s="64">
        <f t="shared" si="63"/>
        <v>0</v>
      </c>
      <c r="AG69" s="64">
        <f t="shared" si="58"/>
        <v>0</v>
      </c>
      <c r="AH69" s="64">
        <f t="shared" si="58"/>
        <v>0</v>
      </c>
      <c r="AI69" s="66">
        <f t="shared" si="58"/>
        <v>0</v>
      </c>
      <c r="AJ69" s="63">
        <f t="shared" si="58"/>
        <v>0</v>
      </c>
      <c r="AK69" s="64">
        <f t="shared" si="58"/>
        <v>0</v>
      </c>
      <c r="AL69" s="65">
        <f t="shared" si="58"/>
        <v>0</v>
      </c>
      <c r="AM69" s="66">
        <f t="shared" si="58"/>
        <v>0</v>
      </c>
      <c r="AN69" s="31" t="str">
        <f t="shared" si="48"/>
        <v>SimulationStorage,2,</v>
      </c>
      <c r="AO69" s="31" t="str">
        <f t="shared" si="48"/>
        <v>AnalysisStorage,1,</v>
      </c>
      <c r="AP69" s="31" t="str">
        <f t="shared" si="48"/>
        <v>LogRuleEvaluation,0,</v>
      </c>
      <c r="AQ69" s="31" t="str">
        <f t="shared" si="48"/>
        <v>ParallelSimulations,1,</v>
      </c>
      <c r="AR69" s="31" t="str">
        <f t="shared" si="48"/>
        <v>DurationStats,0,</v>
      </c>
      <c r="AS69" s="31" t="str">
        <f t="shared" si="48"/>
        <v>AnalysisThruStep,11,</v>
      </c>
      <c r="AT69" s="31" t="str">
        <f t="shared" si="48"/>
        <v>DontAbortOnErrorsThruStep,11,</v>
      </c>
      <c r="AU69" s="31" t="str">
        <f t="shared" si="48"/>
        <v>BypassValidFileChecks,1,</v>
      </c>
      <c r="AV69" s="31" t="str">
        <f t="shared" si="48"/>
        <v>BypassInputChecks,0,</v>
      </c>
      <c r="AW69" s="31" t="str">
        <f t="shared" si="48"/>
        <v>BypassUMLHChecks,0,</v>
      </c>
      <c r="AX69" s="31" t="str">
        <f t="shared" si="48"/>
        <v>BypassCheckSimRules,0,</v>
      </c>
      <c r="AY69" s="31" t="str">
        <f t="shared" si="48"/>
        <v>BypassCheckCodeRules,0,</v>
      </c>
      <c r="BA69" s="31" t="str">
        <f t="shared" si="49"/>
        <v>StoreBEMDetails,1,</v>
      </c>
      <c r="BB69" s="31" t="str">
        <f t="shared" si="49"/>
        <v>ModelRpt_ALL,1,</v>
      </c>
      <c r="BC69" s="31" t="str">
        <f t="shared" si="49"/>
        <v>BypassOpenStudio_all,0,</v>
      </c>
      <c r="BD69" s="31" t="str">
        <f t="shared" si="49"/>
        <v>BypassOpenStudio_zp,0,</v>
      </c>
      <c r="BE69" s="31" t="str">
        <f t="shared" si="49"/>
        <v>BypassOpenStudio_zb,0,</v>
      </c>
      <c r="BF69" s="31" t="str">
        <f t="shared" si="49"/>
        <v>BypassOpenStudio_ap,0,</v>
      </c>
      <c r="BG69" s="31" t="str">
        <f t="shared" si="49"/>
        <v>BypassOpenStudio_ab,0,</v>
      </c>
      <c r="BH69" s="31" t="str">
        <f t="shared" si="49"/>
        <v>BypassOpenStudio_zp,0,</v>
      </c>
      <c r="BI69" s="31" t="str">
        <f t="shared" si="49"/>
        <v>BypassOpenStudio_zb,0,</v>
      </c>
      <c r="BJ69" s="31" t="str">
        <f t="shared" si="49"/>
        <v>BypassOpenStudio_ap,0,</v>
      </c>
      <c r="BK69" s="31" t="str">
        <f t="shared" si="50"/>
        <v>BypassOpenStudio_ab,0</v>
      </c>
    </row>
    <row r="70" spans="1:65" x14ac:dyDescent="0.25">
      <c r="A70" s="39">
        <f t="shared" si="44"/>
        <v>0</v>
      </c>
      <c r="B70" s="27" t="str">
        <f t="shared" si="51"/>
        <v>RulesetImplementationTests\\.cibd</v>
      </c>
      <c r="C70" s="27" t="str">
        <f t="shared" si="52"/>
        <v>BatchOut_160405_r3979_RIc\0.cibd</v>
      </c>
      <c r="D70" s="27" t="str">
        <f t="shared" si="53"/>
        <v>BatchOut_160405_r3979_RIc\XML\</v>
      </c>
      <c r="E70" s="9" t="e">
        <f t="shared" si="54"/>
        <v>#VALUE!</v>
      </c>
      <c r="F70" s="22"/>
      <c r="G70" s="29"/>
      <c r="H70" s="23"/>
      <c r="I70" s="9" t="s">
        <v>11</v>
      </c>
      <c r="J70"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0" s="15" t="s">
        <v>1</v>
      </c>
      <c r="L70" s="36">
        <f t="shared" si="60"/>
        <v>0</v>
      </c>
      <c r="M70" s="32" t="e">
        <f t="shared" ref="M70:M79" si="64">LEFT(N70,SEARCH("-",N70))&amp;RIGHT(N70,5)</f>
        <v>#VALUE!</v>
      </c>
      <c r="N70" s="28"/>
      <c r="O70" s="57">
        <f t="shared" si="46"/>
        <v>0</v>
      </c>
      <c r="P70" s="63">
        <f t="shared" si="61"/>
        <v>2</v>
      </c>
      <c r="Q70" s="65">
        <f t="shared" si="55"/>
        <v>1</v>
      </c>
      <c r="R70" s="65">
        <f t="shared" si="55"/>
        <v>0</v>
      </c>
      <c r="S70" s="65">
        <f t="shared" si="55"/>
        <v>1</v>
      </c>
      <c r="T70" s="65">
        <f t="shared" si="55"/>
        <v>0</v>
      </c>
      <c r="U70" s="65">
        <f t="shared" si="55"/>
        <v>11</v>
      </c>
      <c r="V70" s="65">
        <v>11</v>
      </c>
      <c r="W70" s="65">
        <f t="shared" si="62"/>
        <v>1</v>
      </c>
      <c r="X70" s="65">
        <f t="shared" si="62"/>
        <v>0</v>
      </c>
      <c r="Y70" s="65">
        <f t="shared" si="62"/>
        <v>0</v>
      </c>
      <c r="Z70" s="65">
        <f t="shared" si="62"/>
        <v>0</v>
      </c>
      <c r="AA70" s="65">
        <f t="shared" si="62"/>
        <v>0</v>
      </c>
      <c r="AB70" s="65">
        <f t="shared" si="62"/>
        <v>1</v>
      </c>
      <c r="AC70" s="65">
        <f t="shared" si="57"/>
        <v>1</v>
      </c>
      <c r="AD70" s="61">
        <v>1</v>
      </c>
      <c r="AE70" s="63">
        <f t="shared" si="63"/>
        <v>0</v>
      </c>
      <c r="AF70" s="64">
        <f t="shared" si="63"/>
        <v>0</v>
      </c>
      <c r="AG70" s="64">
        <f t="shared" si="58"/>
        <v>0</v>
      </c>
      <c r="AH70" s="64">
        <f t="shared" si="58"/>
        <v>0</v>
      </c>
      <c r="AI70" s="66">
        <f t="shared" si="58"/>
        <v>0</v>
      </c>
      <c r="AJ70" s="63">
        <f t="shared" si="58"/>
        <v>0</v>
      </c>
      <c r="AK70" s="64">
        <f t="shared" si="58"/>
        <v>0</v>
      </c>
      <c r="AL70" s="65">
        <f t="shared" si="58"/>
        <v>0</v>
      </c>
      <c r="AM70" s="66">
        <f t="shared" si="58"/>
        <v>0</v>
      </c>
      <c r="AN70" s="31" t="str">
        <f t="shared" si="48"/>
        <v>SimulationStorage,2,</v>
      </c>
      <c r="AO70" s="31" t="str">
        <f t="shared" si="48"/>
        <v>AnalysisStorage,1,</v>
      </c>
      <c r="AP70" s="31" t="str">
        <f t="shared" si="48"/>
        <v>LogRuleEvaluation,0,</v>
      </c>
      <c r="AQ70" s="31" t="str">
        <f t="shared" si="48"/>
        <v>ParallelSimulations,1,</v>
      </c>
      <c r="AR70" s="31" t="str">
        <f t="shared" si="48"/>
        <v>DurationStats,0,</v>
      </c>
      <c r="AS70" s="31" t="str">
        <f t="shared" si="48"/>
        <v>AnalysisThruStep,11,</v>
      </c>
      <c r="AT70" s="31" t="str">
        <f t="shared" si="48"/>
        <v>DontAbortOnErrorsThruStep,11,</v>
      </c>
      <c r="AU70" s="31" t="str">
        <f t="shared" si="48"/>
        <v>BypassValidFileChecks,1,</v>
      </c>
      <c r="AV70" s="31" t="str">
        <f t="shared" si="48"/>
        <v>BypassInputChecks,0,</v>
      </c>
      <c r="AW70" s="31" t="str">
        <f t="shared" si="48"/>
        <v>BypassUMLHChecks,0,</v>
      </c>
      <c r="AX70" s="31" t="str">
        <f t="shared" si="48"/>
        <v>BypassCheckSimRules,0,</v>
      </c>
      <c r="AY70" s="31" t="str">
        <f t="shared" si="48"/>
        <v>BypassCheckCodeRules,0,</v>
      </c>
      <c r="BA70" s="31" t="str">
        <f t="shared" si="49"/>
        <v>StoreBEMDetails,1,</v>
      </c>
      <c r="BB70" s="31" t="str">
        <f t="shared" si="49"/>
        <v>ModelRpt_ALL,1,</v>
      </c>
      <c r="BC70" s="31" t="str">
        <f t="shared" si="49"/>
        <v>BypassOpenStudio_all,0,</v>
      </c>
      <c r="BD70" s="31" t="str">
        <f t="shared" si="49"/>
        <v>BypassOpenStudio_zp,0,</v>
      </c>
      <c r="BE70" s="31" t="str">
        <f t="shared" si="49"/>
        <v>BypassOpenStudio_zb,0,</v>
      </c>
      <c r="BF70" s="31" t="str">
        <f t="shared" si="49"/>
        <v>BypassOpenStudio_ap,0,</v>
      </c>
      <c r="BG70" s="31" t="str">
        <f t="shared" si="49"/>
        <v>BypassOpenStudio_ab,0,</v>
      </c>
      <c r="BH70" s="31" t="str">
        <f t="shared" si="49"/>
        <v>BypassOpenStudio_zp,0,</v>
      </c>
      <c r="BI70" s="31" t="str">
        <f t="shared" si="49"/>
        <v>BypassOpenStudio_zb,0,</v>
      </c>
      <c r="BJ70" s="31" t="str">
        <f t="shared" si="49"/>
        <v>BypassOpenStudio_ap,0,</v>
      </c>
      <c r="BK70" s="31" t="str">
        <f t="shared" si="50"/>
        <v>BypassOpenStudio_ab,0</v>
      </c>
    </row>
    <row r="71" spans="1:65" x14ac:dyDescent="0.25">
      <c r="A71" s="39">
        <f t="shared" si="44"/>
        <v>0</v>
      </c>
      <c r="B71" s="27" t="str">
        <f t="shared" si="51"/>
        <v>RulesetImplementationTests\\.cibd</v>
      </c>
      <c r="C71" s="27" t="str">
        <f t="shared" si="52"/>
        <v>BatchOut_160405_r3979_RIc\0.cibd</v>
      </c>
      <c r="D71" s="27" t="str">
        <f t="shared" si="53"/>
        <v>BatchOut_160405_r3979_RIc\XML\</v>
      </c>
      <c r="E71" s="9" t="e">
        <f t="shared" si="54"/>
        <v>#VALUE!</v>
      </c>
      <c r="F71" s="22"/>
      <c r="G71" s="29"/>
      <c r="H71" s="23"/>
      <c r="I71" s="9" t="s">
        <v>11</v>
      </c>
      <c r="J71"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1" s="15" t="s">
        <v>1</v>
      </c>
      <c r="L71" s="36">
        <f t="shared" si="60"/>
        <v>0</v>
      </c>
      <c r="M71" s="32" t="e">
        <f t="shared" si="64"/>
        <v>#VALUE!</v>
      </c>
      <c r="N71" s="28"/>
      <c r="O71" s="57">
        <f t="shared" si="46"/>
        <v>0</v>
      </c>
      <c r="P71" s="63">
        <f t="shared" si="61"/>
        <v>2</v>
      </c>
      <c r="Q71" s="65">
        <f t="shared" si="55"/>
        <v>1</v>
      </c>
      <c r="R71" s="65">
        <f t="shared" si="55"/>
        <v>0</v>
      </c>
      <c r="S71" s="65">
        <f t="shared" si="55"/>
        <v>1</v>
      </c>
      <c r="T71" s="65">
        <f t="shared" si="55"/>
        <v>0</v>
      </c>
      <c r="U71" s="65">
        <f t="shared" si="55"/>
        <v>11</v>
      </c>
      <c r="V71" s="65">
        <v>11</v>
      </c>
      <c r="W71" s="65">
        <f t="shared" si="62"/>
        <v>1</v>
      </c>
      <c r="X71" s="65">
        <f t="shared" si="62"/>
        <v>0</v>
      </c>
      <c r="Y71" s="65">
        <f t="shared" si="62"/>
        <v>0</v>
      </c>
      <c r="Z71" s="65">
        <f t="shared" si="62"/>
        <v>0</v>
      </c>
      <c r="AA71" s="65">
        <f t="shared" si="62"/>
        <v>0</v>
      </c>
      <c r="AB71" s="65">
        <f t="shared" si="62"/>
        <v>1</v>
      </c>
      <c r="AC71" s="65">
        <f t="shared" si="57"/>
        <v>1</v>
      </c>
      <c r="AD71" s="61">
        <v>1</v>
      </c>
      <c r="AE71" s="63">
        <f t="shared" si="63"/>
        <v>0</v>
      </c>
      <c r="AF71" s="64">
        <f t="shared" si="63"/>
        <v>0</v>
      </c>
      <c r="AG71" s="64">
        <f t="shared" si="58"/>
        <v>0</v>
      </c>
      <c r="AH71" s="64">
        <f t="shared" si="58"/>
        <v>0</v>
      </c>
      <c r="AI71" s="66">
        <f t="shared" si="58"/>
        <v>0</v>
      </c>
      <c r="AJ71" s="63">
        <f t="shared" si="58"/>
        <v>0</v>
      </c>
      <c r="AK71" s="64">
        <f t="shared" si="58"/>
        <v>0</v>
      </c>
      <c r="AL71" s="65">
        <f t="shared" si="58"/>
        <v>0</v>
      </c>
      <c r="AM71" s="66">
        <f t="shared" si="58"/>
        <v>0</v>
      </c>
      <c r="AN71" s="31" t="str">
        <f t="shared" si="48"/>
        <v>SimulationStorage,2,</v>
      </c>
      <c r="AO71" s="31" t="str">
        <f t="shared" si="48"/>
        <v>AnalysisStorage,1,</v>
      </c>
      <c r="AP71" s="31" t="str">
        <f t="shared" si="48"/>
        <v>LogRuleEvaluation,0,</v>
      </c>
      <c r="AQ71" s="31" t="str">
        <f t="shared" si="48"/>
        <v>ParallelSimulations,1,</v>
      </c>
      <c r="AR71" s="31" t="str">
        <f t="shared" si="48"/>
        <v>DurationStats,0,</v>
      </c>
      <c r="AS71" s="31" t="str">
        <f t="shared" si="48"/>
        <v>AnalysisThruStep,11,</v>
      </c>
      <c r="AT71" s="31" t="str">
        <f t="shared" si="48"/>
        <v>DontAbortOnErrorsThruStep,11,</v>
      </c>
      <c r="AU71" s="31" t="str">
        <f t="shared" si="48"/>
        <v>BypassValidFileChecks,1,</v>
      </c>
      <c r="AV71" s="31" t="str">
        <f t="shared" si="48"/>
        <v>BypassInputChecks,0,</v>
      </c>
      <c r="AW71" s="31" t="str">
        <f t="shared" si="48"/>
        <v>BypassUMLHChecks,0,</v>
      </c>
      <c r="AX71" s="31" t="str">
        <f t="shared" si="48"/>
        <v>BypassCheckSimRules,0,</v>
      </c>
      <c r="AY71" s="31" t="str">
        <f t="shared" si="48"/>
        <v>BypassCheckCodeRules,0,</v>
      </c>
      <c r="BA71" s="31" t="str">
        <f t="shared" si="49"/>
        <v>StoreBEMDetails,1,</v>
      </c>
      <c r="BB71" s="31" t="str">
        <f t="shared" si="49"/>
        <v>ModelRpt_ALL,1,</v>
      </c>
      <c r="BC71" s="31" t="str">
        <f t="shared" si="49"/>
        <v>BypassOpenStudio_all,0,</v>
      </c>
      <c r="BD71" s="31" t="str">
        <f t="shared" si="49"/>
        <v>BypassOpenStudio_zp,0,</v>
      </c>
      <c r="BE71" s="31" t="str">
        <f t="shared" si="49"/>
        <v>BypassOpenStudio_zb,0,</v>
      </c>
      <c r="BF71" s="31" t="str">
        <f t="shared" si="49"/>
        <v>BypassOpenStudio_ap,0,</v>
      </c>
      <c r="BG71" s="31" t="str">
        <f t="shared" si="49"/>
        <v>BypassOpenStudio_ab,0,</v>
      </c>
      <c r="BH71" s="31" t="str">
        <f t="shared" si="49"/>
        <v>BypassOpenStudio_zp,0,</v>
      </c>
      <c r="BI71" s="31" t="str">
        <f t="shared" si="49"/>
        <v>BypassOpenStudio_zb,0,</v>
      </c>
      <c r="BJ71" s="31" t="str">
        <f t="shared" si="49"/>
        <v>BypassOpenStudio_ap,0,</v>
      </c>
      <c r="BK71" s="31" t="str">
        <f t="shared" si="50"/>
        <v>BypassOpenStudio_ab,0</v>
      </c>
    </row>
    <row r="72" spans="1:65" x14ac:dyDescent="0.25">
      <c r="A72" s="39">
        <f t="shared" si="44"/>
        <v>0</v>
      </c>
      <c r="B72" s="27" t="str">
        <f t="shared" si="51"/>
        <v>RulesetImplementationTests\\.cibd</v>
      </c>
      <c r="C72" s="27" t="str">
        <f t="shared" si="52"/>
        <v>BatchOut_160405_r3979_RIc\0.cibd</v>
      </c>
      <c r="D72" s="27" t="str">
        <f t="shared" si="53"/>
        <v>BatchOut_160405_r3979_RIc\XML\</v>
      </c>
      <c r="E72" s="9" t="e">
        <f t="shared" si="54"/>
        <v>#VALUE!</v>
      </c>
      <c r="F72" s="22"/>
      <c r="G72" s="29"/>
      <c r="H72" s="23" t="str">
        <f>IF(F72&gt;1,1,"")</f>
        <v/>
      </c>
      <c r="I72" s="9" t="s">
        <v>11</v>
      </c>
      <c r="J72"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2" s="15" t="s">
        <v>1</v>
      </c>
      <c r="L72" s="36">
        <f t="shared" si="60"/>
        <v>0</v>
      </c>
      <c r="M72" s="32" t="e">
        <f t="shared" si="64"/>
        <v>#VALUE!</v>
      </c>
      <c r="N72" s="28"/>
      <c r="O72" s="57">
        <f t="shared" si="46"/>
        <v>0</v>
      </c>
      <c r="P72" s="63">
        <f t="shared" si="61"/>
        <v>2</v>
      </c>
      <c r="Q72" s="65">
        <f t="shared" si="55"/>
        <v>1</v>
      </c>
      <c r="R72" s="65">
        <f t="shared" si="55"/>
        <v>0</v>
      </c>
      <c r="S72" s="65">
        <f t="shared" si="55"/>
        <v>1</v>
      </c>
      <c r="T72" s="65">
        <f t="shared" si="55"/>
        <v>0</v>
      </c>
      <c r="U72" s="65">
        <f t="shared" si="55"/>
        <v>11</v>
      </c>
      <c r="V72" s="65">
        <v>11</v>
      </c>
      <c r="W72" s="65">
        <f t="shared" si="62"/>
        <v>1</v>
      </c>
      <c r="X72" s="65">
        <f t="shared" si="62"/>
        <v>0</v>
      </c>
      <c r="Y72" s="65">
        <f t="shared" si="62"/>
        <v>0</v>
      </c>
      <c r="Z72" s="65">
        <f t="shared" si="62"/>
        <v>0</v>
      </c>
      <c r="AA72" s="65">
        <f t="shared" si="62"/>
        <v>0</v>
      </c>
      <c r="AB72" s="65">
        <f t="shared" si="62"/>
        <v>1</v>
      </c>
      <c r="AC72" s="65">
        <f t="shared" si="57"/>
        <v>1</v>
      </c>
      <c r="AD72" s="61">
        <v>1</v>
      </c>
      <c r="AE72" s="63">
        <f t="shared" si="63"/>
        <v>0</v>
      </c>
      <c r="AF72" s="64">
        <f t="shared" si="63"/>
        <v>0</v>
      </c>
      <c r="AG72" s="64">
        <f t="shared" si="58"/>
        <v>0</v>
      </c>
      <c r="AH72" s="64">
        <f t="shared" si="58"/>
        <v>0</v>
      </c>
      <c r="AI72" s="66">
        <f t="shared" si="58"/>
        <v>0</v>
      </c>
      <c r="AJ72" s="63">
        <f t="shared" si="58"/>
        <v>0</v>
      </c>
      <c r="AK72" s="64">
        <f t="shared" si="58"/>
        <v>0</v>
      </c>
      <c r="AL72" s="65">
        <f t="shared" si="58"/>
        <v>0</v>
      </c>
      <c r="AM72" s="66">
        <f t="shared" si="58"/>
        <v>0</v>
      </c>
      <c r="AN72" s="31" t="str">
        <f t="shared" si="48"/>
        <v>SimulationStorage,2,</v>
      </c>
      <c r="AO72" s="31" t="str">
        <f t="shared" si="48"/>
        <v>AnalysisStorage,1,</v>
      </c>
      <c r="AP72" s="31" t="str">
        <f t="shared" si="48"/>
        <v>LogRuleEvaluation,0,</v>
      </c>
      <c r="AQ72" s="31" t="str">
        <f t="shared" si="48"/>
        <v>ParallelSimulations,1,</v>
      </c>
      <c r="AR72" s="31" t="str">
        <f t="shared" si="48"/>
        <v>DurationStats,0,</v>
      </c>
      <c r="AS72" s="31" t="str">
        <f t="shared" si="48"/>
        <v>AnalysisThruStep,11,</v>
      </c>
      <c r="AT72" s="31" t="str">
        <f t="shared" si="48"/>
        <v>DontAbortOnErrorsThruStep,11,</v>
      </c>
      <c r="AU72" s="31" t="str">
        <f t="shared" si="48"/>
        <v>BypassValidFileChecks,1,</v>
      </c>
      <c r="AV72" s="31" t="str">
        <f t="shared" si="48"/>
        <v>BypassInputChecks,0,</v>
      </c>
      <c r="AW72" s="31" t="str">
        <f t="shared" si="48"/>
        <v>BypassUMLHChecks,0,</v>
      </c>
      <c r="AX72" s="31" t="str">
        <f t="shared" si="48"/>
        <v>BypassCheckSimRules,0,</v>
      </c>
      <c r="AY72" s="31" t="str">
        <f t="shared" si="48"/>
        <v>BypassCheckCodeRules,0,</v>
      </c>
      <c r="BA72" s="31" t="str">
        <f t="shared" si="49"/>
        <v>StoreBEMDetails,1,</v>
      </c>
      <c r="BB72" s="31" t="str">
        <f t="shared" si="49"/>
        <v>ModelRpt_ALL,1,</v>
      </c>
      <c r="BC72" s="31" t="str">
        <f t="shared" si="49"/>
        <v>BypassOpenStudio_all,0,</v>
      </c>
      <c r="BD72" s="31" t="str">
        <f t="shared" si="49"/>
        <v>BypassOpenStudio_zp,0,</v>
      </c>
      <c r="BE72" s="31" t="str">
        <f t="shared" si="49"/>
        <v>BypassOpenStudio_zb,0,</v>
      </c>
      <c r="BF72" s="31" t="str">
        <f t="shared" si="49"/>
        <v>BypassOpenStudio_ap,0,</v>
      </c>
      <c r="BG72" s="31" t="str">
        <f t="shared" si="49"/>
        <v>BypassOpenStudio_ab,0,</v>
      </c>
      <c r="BH72" s="31" t="str">
        <f t="shared" si="49"/>
        <v>BypassOpenStudio_zp,0,</v>
      </c>
      <c r="BI72" s="31" t="str">
        <f t="shared" si="49"/>
        <v>BypassOpenStudio_zb,0,</v>
      </c>
      <c r="BJ72" s="31" t="str">
        <f t="shared" si="49"/>
        <v>BypassOpenStudio_ap,0,</v>
      </c>
      <c r="BK72" s="31" t="str">
        <f t="shared" si="50"/>
        <v>BypassOpenStudio_ab,0</v>
      </c>
    </row>
    <row r="73" spans="1:65" x14ac:dyDescent="0.25">
      <c r="A73" s="39">
        <f t="shared" si="44"/>
        <v>0</v>
      </c>
      <c r="B73" s="27" t="str">
        <f t="shared" si="51"/>
        <v>RulesetImplementationTests\\.cibd</v>
      </c>
      <c r="C73" s="27" t="str">
        <f t="shared" si="52"/>
        <v>BatchOut_160405_r3979_RIc\0.cibd</v>
      </c>
      <c r="D73" s="27" t="str">
        <f t="shared" si="53"/>
        <v>BatchOut_160405_r3979_RIc\XML\</v>
      </c>
      <c r="E73" s="9" t="e">
        <f t="shared" si="54"/>
        <v>#VALUE!</v>
      </c>
      <c r="F73" s="22"/>
      <c r="G73" s="29"/>
      <c r="H73" s="23"/>
      <c r="I73" s="9" t="s">
        <v>11</v>
      </c>
      <c r="J73"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3" s="15" t="s">
        <v>1</v>
      </c>
      <c r="L73" s="36">
        <f t="shared" si="60"/>
        <v>0</v>
      </c>
      <c r="M73" s="32" t="e">
        <f t="shared" si="64"/>
        <v>#VALUE!</v>
      </c>
      <c r="N73" s="28"/>
      <c r="O73" s="57">
        <f t="shared" si="46"/>
        <v>0</v>
      </c>
      <c r="P73" s="63">
        <f t="shared" si="61"/>
        <v>2</v>
      </c>
      <c r="Q73" s="65">
        <f t="shared" si="55"/>
        <v>1</v>
      </c>
      <c r="R73" s="65">
        <f t="shared" si="55"/>
        <v>0</v>
      </c>
      <c r="S73" s="65">
        <f t="shared" si="55"/>
        <v>1</v>
      </c>
      <c r="T73" s="65">
        <f t="shared" si="55"/>
        <v>0</v>
      </c>
      <c r="U73" s="65">
        <f t="shared" si="55"/>
        <v>11</v>
      </c>
      <c r="V73" s="65">
        <v>11</v>
      </c>
      <c r="W73" s="65">
        <f t="shared" si="62"/>
        <v>1</v>
      </c>
      <c r="X73" s="65">
        <f t="shared" si="62"/>
        <v>0</v>
      </c>
      <c r="Y73" s="65">
        <f t="shared" si="62"/>
        <v>0</v>
      </c>
      <c r="Z73" s="65">
        <f t="shared" si="62"/>
        <v>0</v>
      </c>
      <c r="AA73" s="65">
        <f t="shared" si="62"/>
        <v>0</v>
      </c>
      <c r="AB73" s="65">
        <f t="shared" si="62"/>
        <v>1</v>
      </c>
      <c r="AC73" s="65">
        <f t="shared" si="57"/>
        <v>1</v>
      </c>
      <c r="AD73" s="61">
        <v>1</v>
      </c>
      <c r="AE73" s="63">
        <f t="shared" si="63"/>
        <v>0</v>
      </c>
      <c r="AF73" s="64">
        <f t="shared" si="63"/>
        <v>0</v>
      </c>
      <c r="AG73" s="64">
        <f t="shared" si="58"/>
        <v>0</v>
      </c>
      <c r="AH73" s="64">
        <f t="shared" si="58"/>
        <v>0</v>
      </c>
      <c r="AI73" s="66">
        <f t="shared" si="58"/>
        <v>0</v>
      </c>
      <c r="AJ73" s="63">
        <f t="shared" si="58"/>
        <v>0</v>
      </c>
      <c r="AK73" s="64">
        <f t="shared" si="58"/>
        <v>0</v>
      </c>
      <c r="AL73" s="65">
        <f t="shared" si="58"/>
        <v>0</v>
      </c>
      <c r="AM73" s="66">
        <f t="shared" si="58"/>
        <v>0</v>
      </c>
      <c r="AN73" s="31" t="str">
        <f t="shared" si="48"/>
        <v>SimulationStorage,2,</v>
      </c>
      <c r="AO73" s="31" t="str">
        <f t="shared" si="48"/>
        <v>AnalysisStorage,1,</v>
      </c>
      <c r="AP73" s="31" t="str">
        <f t="shared" si="48"/>
        <v>LogRuleEvaluation,0,</v>
      </c>
      <c r="AQ73" s="31" t="str">
        <f t="shared" si="48"/>
        <v>ParallelSimulations,1,</v>
      </c>
      <c r="AR73" s="31" t="str">
        <f t="shared" si="48"/>
        <v>DurationStats,0,</v>
      </c>
      <c r="AS73" s="31" t="str">
        <f t="shared" si="48"/>
        <v>AnalysisThruStep,11,</v>
      </c>
      <c r="AT73" s="31" t="str">
        <f t="shared" si="48"/>
        <v>DontAbortOnErrorsThruStep,11,</v>
      </c>
      <c r="AU73" s="31" t="str">
        <f t="shared" si="48"/>
        <v>BypassValidFileChecks,1,</v>
      </c>
      <c r="AV73" s="31" t="str">
        <f t="shared" si="48"/>
        <v>BypassInputChecks,0,</v>
      </c>
      <c r="AW73" s="31" t="str">
        <f t="shared" si="48"/>
        <v>BypassUMLHChecks,0,</v>
      </c>
      <c r="AX73" s="31" t="str">
        <f t="shared" si="48"/>
        <v>BypassCheckSimRules,0,</v>
      </c>
      <c r="AY73" s="31" t="str">
        <f t="shared" si="48"/>
        <v>BypassCheckCodeRules,0,</v>
      </c>
      <c r="BA73" s="31" t="str">
        <f t="shared" si="49"/>
        <v>StoreBEMDetails,1,</v>
      </c>
      <c r="BB73" s="31" t="str">
        <f t="shared" si="49"/>
        <v>ModelRpt_ALL,1,</v>
      </c>
      <c r="BC73" s="31" t="str">
        <f t="shared" si="49"/>
        <v>BypassOpenStudio_all,0,</v>
      </c>
      <c r="BD73" s="31" t="str">
        <f t="shared" si="49"/>
        <v>BypassOpenStudio_zp,0,</v>
      </c>
      <c r="BE73" s="31" t="str">
        <f t="shared" si="49"/>
        <v>BypassOpenStudio_zb,0,</v>
      </c>
      <c r="BF73" s="31" t="str">
        <f t="shared" si="49"/>
        <v>BypassOpenStudio_ap,0,</v>
      </c>
      <c r="BG73" s="31" t="str">
        <f t="shared" si="49"/>
        <v>BypassOpenStudio_ab,0,</v>
      </c>
      <c r="BH73" s="31" t="str">
        <f t="shared" si="49"/>
        <v>BypassOpenStudio_zp,0,</v>
      </c>
      <c r="BI73" s="31" t="str">
        <f t="shared" si="49"/>
        <v>BypassOpenStudio_zb,0,</v>
      </c>
      <c r="BJ73" s="31" t="str">
        <f t="shared" si="49"/>
        <v>BypassOpenStudio_ap,0,</v>
      </c>
      <c r="BK73" s="31" t="str">
        <f t="shared" si="50"/>
        <v>BypassOpenStudio_ab,0</v>
      </c>
    </row>
    <row r="74" spans="1:65" x14ac:dyDescent="0.25">
      <c r="A74" s="39">
        <f t="shared" si="44"/>
        <v>0</v>
      </c>
      <c r="B74" s="27" t="str">
        <f t="shared" si="51"/>
        <v>RulesetImplementationTests\\.cibd</v>
      </c>
      <c r="C74" s="27" t="str">
        <f t="shared" si="52"/>
        <v>BatchOut_160405_r3979_RIc\0.cibd</v>
      </c>
      <c r="D74" s="27" t="str">
        <f t="shared" si="53"/>
        <v>BatchOut_160405_r3979_RIc\XML\</v>
      </c>
      <c r="E74" s="9" t="e">
        <f t="shared" si="54"/>
        <v>#VALUE!</v>
      </c>
      <c r="F74" s="22"/>
      <c r="G74" s="29"/>
      <c r="H74" s="23" t="str">
        <f>IF(F74&gt;1,1,"")</f>
        <v/>
      </c>
      <c r="I74" s="9" t="s">
        <v>11</v>
      </c>
      <c r="J74"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4" s="15" t="s">
        <v>1</v>
      </c>
      <c r="L74" s="36">
        <f t="shared" si="60"/>
        <v>0</v>
      </c>
      <c r="M74" s="32" t="e">
        <f t="shared" si="64"/>
        <v>#VALUE!</v>
      </c>
      <c r="N74" s="28"/>
      <c r="O74" s="57">
        <f t="shared" si="46"/>
        <v>0</v>
      </c>
      <c r="P74" s="63">
        <f t="shared" si="61"/>
        <v>2</v>
      </c>
      <c r="Q74" s="65">
        <f t="shared" si="55"/>
        <v>1</v>
      </c>
      <c r="R74" s="65">
        <f t="shared" si="55"/>
        <v>0</v>
      </c>
      <c r="S74" s="65">
        <f t="shared" si="55"/>
        <v>1</v>
      </c>
      <c r="T74" s="65">
        <f t="shared" si="55"/>
        <v>0</v>
      </c>
      <c r="U74" s="65">
        <f t="shared" si="55"/>
        <v>11</v>
      </c>
      <c r="V74" s="65">
        <v>11</v>
      </c>
      <c r="W74" s="65">
        <f t="shared" si="62"/>
        <v>1</v>
      </c>
      <c r="X74" s="65">
        <f t="shared" si="62"/>
        <v>0</v>
      </c>
      <c r="Y74" s="65">
        <f t="shared" si="62"/>
        <v>0</v>
      </c>
      <c r="Z74" s="65">
        <f t="shared" si="62"/>
        <v>0</v>
      </c>
      <c r="AA74" s="65">
        <f t="shared" si="62"/>
        <v>0</v>
      </c>
      <c r="AB74" s="65">
        <f t="shared" si="62"/>
        <v>1</v>
      </c>
      <c r="AC74" s="65">
        <f t="shared" si="57"/>
        <v>1</v>
      </c>
      <c r="AD74" s="61">
        <v>1</v>
      </c>
      <c r="AE74" s="63">
        <f t="shared" si="63"/>
        <v>0</v>
      </c>
      <c r="AF74" s="64">
        <f t="shared" si="63"/>
        <v>0</v>
      </c>
      <c r="AG74" s="64">
        <f t="shared" si="58"/>
        <v>0</v>
      </c>
      <c r="AH74" s="64">
        <f t="shared" si="58"/>
        <v>0</v>
      </c>
      <c r="AI74" s="66">
        <f t="shared" si="58"/>
        <v>0</v>
      </c>
      <c r="AJ74" s="63">
        <f t="shared" si="58"/>
        <v>0</v>
      </c>
      <c r="AK74" s="64">
        <f t="shared" si="58"/>
        <v>0</v>
      </c>
      <c r="AL74" s="65">
        <f t="shared" si="58"/>
        <v>0</v>
      </c>
      <c r="AM74" s="66">
        <f t="shared" si="58"/>
        <v>0</v>
      </c>
      <c r="AN74" s="31" t="str">
        <f t="shared" si="48"/>
        <v>SimulationStorage,2,</v>
      </c>
      <c r="AO74" s="31" t="str">
        <f t="shared" si="48"/>
        <v>AnalysisStorage,1,</v>
      </c>
      <c r="AP74" s="31" t="str">
        <f t="shared" si="48"/>
        <v>LogRuleEvaluation,0,</v>
      </c>
      <c r="AQ74" s="31" t="str">
        <f t="shared" si="48"/>
        <v>ParallelSimulations,1,</v>
      </c>
      <c r="AR74" s="31" t="str">
        <f t="shared" si="48"/>
        <v>DurationStats,0,</v>
      </c>
      <c r="AS74" s="31" t="str">
        <f t="shared" si="48"/>
        <v>AnalysisThruStep,11,</v>
      </c>
      <c r="AT74" s="31" t="str">
        <f t="shared" si="48"/>
        <v>DontAbortOnErrorsThruStep,11,</v>
      </c>
      <c r="AU74" s="31" t="str">
        <f t="shared" si="48"/>
        <v>BypassValidFileChecks,1,</v>
      </c>
      <c r="AV74" s="31" t="str">
        <f t="shared" si="48"/>
        <v>BypassInputChecks,0,</v>
      </c>
      <c r="AW74" s="31" t="str">
        <f t="shared" si="48"/>
        <v>BypassUMLHChecks,0,</v>
      </c>
      <c r="AX74" s="31" t="str">
        <f t="shared" si="48"/>
        <v>BypassCheckSimRules,0,</v>
      </c>
      <c r="AY74" s="31" t="str">
        <f t="shared" si="48"/>
        <v>BypassCheckCodeRules,0,</v>
      </c>
      <c r="BA74" s="31" t="str">
        <f t="shared" si="49"/>
        <v>StoreBEMDetails,1,</v>
      </c>
      <c r="BB74" s="31" t="str">
        <f t="shared" si="49"/>
        <v>ModelRpt_ALL,1,</v>
      </c>
      <c r="BC74" s="31" t="str">
        <f t="shared" si="49"/>
        <v>BypassOpenStudio_all,0,</v>
      </c>
      <c r="BD74" s="31" t="str">
        <f t="shared" si="49"/>
        <v>BypassOpenStudio_zp,0,</v>
      </c>
      <c r="BE74" s="31" t="str">
        <f t="shared" si="49"/>
        <v>BypassOpenStudio_zb,0,</v>
      </c>
      <c r="BF74" s="31" t="str">
        <f t="shared" si="49"/>
        <v>BypassOpenStudio_ap,0,</v>
      </c>
      <c r="BG74" s="31" t="str">
        <f t="shared" si="49"/>
        <v>BypassOpenStudio_ab,0,</v>
      </c>
      <c r="BH74" s="31" t="str">
        <f t="shared" si="49"/>
        <v>BypassOpenStudio_zp,0,</v>
      </c>
      <c r="BI74" s="31" t="str">
        <f t="shared" si="49"/>
        <v>BypassOpenStudio_zb,0,</v>
      </c>
      <c r="BJ74" s="31" t="str">
        <f t="shared" si="49"/>
        <v>BypassOpenStudio_ap,0,</v>
      </c>
      <c r="BK74" s="31" t="str">
        <f t="shared" si="50"/>
        <v>BypassOpenStudio_ab,0</v>
      </c>
    </row>
    <row r="75" spans="1:65" x14ac:dyDescent="0.25">
      <c r="A75" s="39">
        <f t="shared" si="44"/>
        <v>0</v>
      </c>
      <c r="B75" s="27" t="str">
        <f t="shared" si="51"/>
        <v>RulesetImplementationTests\\.cibd</v>
      </c>
      <c r="C75" s="27" t="str">
        <f t="shared" si="52"/>
        <v>BatchOut_160405_r3979_RIc\0.cibd</v>
      </c>
      <c r="D75" s="27" t="str">
        <f t="shared" si="53"/>
        <v>BatchOut_160405_r3979_RIc\XML\</v>
      </c>
      <c r="E75" s="9" t="e">
        <f t="shared" si="54"/>
        <v>#VALUE!</v>
      </c>
      <c r="F75" s="22"/>
      <c r="G75" s="29"/>
      <c r="H75" s="23"/>
      <c r="I75" s="9" t="s">
        <v>11</v>
      </c>
      <c r="J75"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5" s="15" t="s">
        <v>1</v>
      </c>
      <c r="L75" s="36">
        <f t="shared" si="60"/>
        <v>0</v>
      </c>
      <c r="M75" s="32" t="e">
        <f t="shared" si="64"/>
        <v>#VALUE!</v>
      </c>
      <c r="N75" s="28"/>
      <c r="O75" s="57">
        <f t="shared" si="46"/>
        <v>0</v>
      </c>
      <c r="P75" s="63">
        <f t="shared" si="61"/>
        <v>2</v>
      </c>
      <c r="Q75" s="65">
        <f t="shared" si="55"/>
        <v>1</v>
      </c>
      <c r="R75" s="65">
        <f t="shared" si="55"/>
        <v>0</v>
      </c>
      <c r="S75" s="65">
        <f t="shared" si="55"/>
        <v>1</v>
      </c>
      <c r="T75" s="65">
        <f t="shared" si="55"/>
        <v>0</v>
      </c>
      <c r="U75" s="65">
        <f t="shared" si="55"/>
        <v>11</v>
      </c>
      <c r="V75" s="65">
        <v>11</v>
      </c>
      <c r="W75" s="65">
        <f t="shared" si="62"/>
        <v>1</v>
      </c>
      <c r="X75" s="65">
        <f t="shared" si="62"/>
        <v>0</v>
      </c>
      <c r="Y75" s="65">
        <f t="shared" si="62"/>
        <v>0</v>
      </c>
      <c r="Z75" s="65">
        <f t="shared" si="62"/>
        <v>0</v>
      </c>
      <c r="AA75" s="65">
        <f t="shared" si="62"/>
        <v>0</v>
      </c>
      <c r="AB75" s="65">
        <f t="shared" si="62"/>
        <v>1</v>
      </c>
      <c r="AC75" s="65">
        <f t="shared" si="57"/>
        <v>1</v>
      </c>
      <c r="AD75" s="61">
        <v>1</v>
      </c>
      <c r="AE75" s="63">
        <f t="shared" si="63"/>
        <v>0</v>
      </c>
      <c r="AF75" s="64">
        <f t="shared" si="63"/>
        <v>0</v>
      </c>
      <c r="AG75" s="64">
        <f t="shared" si="58"/>
        <v>0</v>
      </c>
      <c r="AH75" s="64">
        <f t="shared" si="58"/>
        <v>0</v>
      </c>
      <c r="AI75" s="66">
        <f t="shared" si="58"/>
        <v>0</v>
      </c>
      <c r="AJ75" s="63">
        <f t="shared" si="58"/>
        <v>0</v>
      </c>
      <c r="AK75" s="64">
        <f t="shared" si="58"/>
        <v>0</v>
      </c>
      <c r="AL75" s="65">
        <f t="shared" si="58"/>
        <v>0</v>
      </c>
      <c r="AM75" s="66">
        <f t="shared" si="58"/>
        <v>0</v>
      </c>
      <c r="AN75" s="31" t="str">
        <f t="shared" si="48"/>
        <v>SimulationStorage,2,</v>
      </c>
      <c r="AO75" s="31" t="str">
        <f t="shared" si="48"/>
        <v>AnalysisStorage,1,</v>
      </c>
      <c r="AP75" s="31" t="str">
        <f t="shared" si="48"/>
        <v>LogRuleEvaluation,0,</v>
      </c>
      <c r="AQ75" s="31" t="str">
        <f t="shared" si="48"/>
        <v>ParallelSimulations,1,</v>
      </c>
      <c r="AR75" s="31" t="str">
        <f t="shared" si="48"/>
        <v>DurationStats,0,</v>
      </c>
      <c r="AS75" s="31" t="str">
        <f t="shared" si="48"/>
        <v>AnalysisThruStep,11,</v>
      </c>
      <c r="AT75" s="31" t="str">
        <f t="shared" si="48"/>
        <v>DontAbortOnErrorsThruStep,11,</v>
      </c>
      <c r="AU75" s="31" t="str">
        <f t="shared" si="48"/>
        <v>BypassValidFileChecks,1,</v>
      </c>
      <c r="AV75" s="31" t="str">
        <f t="shared" si="48"/>
        <v>BypassInputChecks,0,</v>
      </c>
      <c r="AW75" s="31" t="str">
        <f t="shared" si="48"/>
        <v>BypassUMLHChecks,0,</v>
      </c>
      <c r="AX75" s="31" t="str">
        <f t="shared" si="48"/>
        <v>BypassCheckSimRules,0,</v>
      </c>
      <c r="AY75" s="31" t="str">
        <f t="shared" si="48"/>
        <v>BypassCheckCodeRules,0,</v>
      </c>
      <c r="BA75" s="31" t="str">
        <f t="shared" si="49"/>
        <v>StoreBEMDetails,1,</v>
      </c>
      <c r="BB75" s="31" t="str">
        <f t="shared" si="49"/>
        <v>ModelRpt_ALL,1,</v>
      </c>
      <c r="BC75" s="31" t="str">
        <f t="shared" si="49"/>
        <v>BypassOpenStudio_all,0,</v>
      </c>
      <c r="BD75" s="31" t="str">
        <f t="shared" si="49"/>
        <v>BypassOpenStudio_zp,0,</v>
      </c>
      <c r="BE75" s="31" t="str">
        <f t="shared" si="49"/>
        <v>BypassOpenStudio_zb,0,</v>
      </c>
      <c r="BF75" s="31" t="str">
        <f t="shared" si="49"/>
        <v>BypassOpenStudio_ap,0,</v>
      </c>
      <c r="BG75" s="31" t="str">
        <f t="shared" si="49"/>
        <v>BypassOpenStudio_ab,0,</v>
      </c>
      <c r="BH75" s="31" t="str">
        <f t="shared" si="49"/>
        <v>BypassOpenStudio_zp,0,</v>
      </c>
      <c r="BI75" s="31" t="str">
        <f t="shared" si="49"/>
        <v>BypassOpenStudio_zb,0,</v>
      </c>
      <c r="BJ75" s="31" t="str">
        <f t="shared" si="49"/>
        <v>BypassOpenStudio_ap,0,</v>
      </c>
      <c r="BK75" s="31" t="str">
        <f t="shared" si="50"/>
        <v>BypassOpenStudio_ab,0</v>
      </c>
    </row>
    <row r="76" spans="1:65" x14ac:dyDescent="0.25">
      <c r="A76" s="39">
        <f t="shared" si="44"/>
        <v>0</v>
      </c>
      <c r="B76" s="27" t="str">
        <f t="shared" si="51"/>
        <v>RulesetImplementationTests\\.cibd</v>
      </c>
      <c r="C76" s="27" t="str">
        <f t="shared" si="52"/>
        <v>BatchOut_160405_r3979_RIc\0.cibd</v>
      </c>
      <c r="D76" s="27" t="str">
        <f t="shared" si="53"/>
        <v>BatchOut_160405_r3979_RIc\XML\</v>
      </c>
      <c r="E76" s="9" t="e">
        <f t="shared" si="54"/>
        <v>#VALUE!</v>
      </c>
      <c r="F76" s="22"/>
      <c r="G76" s="29"/>
      <c r="H76" s="23"/>
      <c r="I76" s="9" t="s">
        <v>11</v>
      </c>
      <c r="J76"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6" s="15" t="s">
        <v>1</v>
      </c>
      <c r="L76" s="36">
        <f t="shared" si="60"/>
        <v>0</v>
      </c>
      <c r="M76" s="32" t="e">
        <f t="shared" si="64"/>
        <v>#VALUE!</v>
      </c>
      <c r="N76" s="28"/>
      <c r="O76" s="57">
        <f t="shared" si="46"/>
        <v>0</v>
      </c>
      <c r="P76" s="63">
        <f t="shared" si="61"/>
        <v>2</v>
      </c>
      <c r="Q76" s="65">
        <f t="shared" si="55"/>
        <v>1</v>
      </c>
      <c r="R76" s="65">
        <f t="shared" si="55"/>
        <v>0</v>
      </c>
      <c r="S76" s="65">
        <f t="shared" si="55"/>
        <v>1</v>
      </c>
      <c r="T76" s="65">
        <f t="shared" si="55"/>
        <v>0</v>
      </c>
      <c r="U76" s="65">
        <f t="shared" si="55"/>
        <v>11</v>
      </c>
      <c r="V76" s="65">
        <v>11</v>
      </c>
      <c r="W76" s="65">
        <f t="shared" si="62"/>
        <v>1</v>
      </c>
      <c r="X76" s="65">
        <f t="shared" si="62"/>
        <v>0</v>
      </c>
      <c r="Y76" s="65">
        <f t="shared" si="62"/>
        <v>0</v>
      </c>
      <c r="Z76" s="65">
        <f t="shared" si="62"/>
        <v>0</v>
      </c>
      <c r="AA76" s="65">
        <f t="shared" si="62"/>
        <v>0</v>
      </c>
      <c r="AB76" s="65">
        <f t="shared" si="62"/>
        <v>1</v>
      </c>
      <c r="AC76" s="65">
        <f t="shared" si="57"/>
        <v>1</v>
      </c>
      <c r="AD76" s="61">
        <v>1</v>
      </c>
      <c r="AE76" s="63">
        <f t="shared" si="63"/>
        <v>0</v>
      </c>
      <c r="AF76" s="64">
        <f t="shared" si="63"/>
        <v>0</v>
      </c>
      <c r="AG76" s="64">
        <f t="shared" si="58"/>
        <v>0</v>
      </c>
      <c r="AH76" s="64">
        <f t="shared" si="58"/>
        <v>0</v>
      </c>
      <c r="AI76" s="66">
        <f t="shared" si="58"/>
        <v>0</v>
      </c>
      <c r="AJ76" s="63">
        <f t="shared" si="58"/>
        <v>0</v>
      </c>
      <c r="AK76" s="64">
        <f t="shared" si="58"/>
        <v>0</v>
      </c>
      <c r="AL76" s="65">
        <f t="shared" si="58"/>
        <v>0</v>
      </c>
      <c r="AM76" s="66">
        <f t="shared" si="58"/>
        <v>0</v>
      </c>
      <c r="AN76" s="31" t="str">
        <f t="shared" si="48"/>
        <v>SimulationStorage,2,</v>
      </c>
      <c r="AO76" s="31" t="str">
        <f t="shared" si="48"/>
        <v>AnalysisStorage,1,</v>
      </c>
      <c r="AP76" s="31" t="str">
        <f t="shared" si="48"/>
        <v>LogRuleEvaluation,0,</v>
      </c>
      <c r="AQ76" s="31" t="str">
        <f t="shared" si="48"/>
        <v>ParallelSimulations,1,</v>
      </c>
      <c r="AR76" s="31" t="str">
        <f t="shared" si="48"/>
        <v>DurationStats,0,</v>
      </c>
      <c r="AS76" s="31" t="str">
        <f t="shared" si="48"/>
        <v>AnalysisThruStep,11,</v>
      </c>
      <c r="AT76" s="31" t="str">
        <f t="shared" si="48"/>
        <v>DontAbortOnErrorsThruStep,11,</v>
      </c>
      <c r="AU76" s="31" t="str">
        <f t="shared" si="48"/>
        <v>BypassValidFileChecks,1,</v>
      </c>
      <c r="AV76" s="31" t="str">
        <f t="shared" si="48"/>
        <v>BypassInputChecks,0,</v>
      </c>
      <c r="AW76" s="31" t="str">
        <f t="shared" si="48"/>
        <v>BypassUMLHChecks,0,</v>
      </c>
      <c r="AX76" s="31" t="str">
        <f t="shared" si="48"/>
        <v>BypassCheckSimRules,0,</v>
      </c>
      <c r="AY76" s="31" t="str">
        <f t="shared" si="48"/>
        <v>BypassCheckCodeRules,0,</v>
      </c>
      <c r="BA76" s="31" t="str">
        <f t="shared" si="49"/>
        <v>StoreBEMDetails,1,</v>
      </c>
      <c r="BB76" s="31" t="str">
        <f t="shared" si="49"/>
        <v>ModelRpt_ALL,1,</v>
      </c>
      <c r="BC76" s="31" t="str">
        <f t="shared" si="49"/>
        <v>BypassOpenStudio_all,0,</v>
      </c>
      <c r="BD76" s="31" t="str">
        <f t="shared" si="49"/>
        <v>BypassOpenStudio_zp,0,</v>
      </c>
      <c r="BE76" s="31" t="str">
        <f t="shared" si="49"/>
        <v>BypassOpenStudio_zb,0,</v>
      </c>
      <c r="BF76" s="31" t="str">
        <f t="shared" si="49"/>
        <v>BypassOpenStudio_ap,0,</v>
      </c>
      <c r="BG76" s="31" t="str">
        <f t="shared" si="49"/>
        <v>BypassOpenStudio_ab,0,</v>
      </c>
      <c r="BH76" s="31" t="str">
        <f t="shared" si="49"/>
        <v>BypassOpenStudio_zp,0,</v>
      </c>
      <c r="BI76" s="31" t="str">
        <f t="shared" si="49"/>
        <v>BypassOpenStudio_zb,0,</v>
      </c>
      <c r="BJ76" s="31" t="str">
        <f t="shared" si="49"/>
        <v>BypassOpenStudio_ap,0,</v>
      </c>
      <c r="BK76" s="31" t="str">
        <f t="shared" si="50"/>
        <v>BypassOpenStudio_ab,0</v>
      </c>
    </row>
    <row r="77" spans="1:65" x14ac:dyDescent="0.25">
      <c r="A77" s="39">
        <f t="shared" si="44"/>
        <v>0</v>
      </c>
      <c r="B77" s="27" t="str">
        <f t="shared" si="51"/>
        <v>RulesetImplementationTests\\.cibd</v>
      </c>
      <c r="C77" s="27" t="str">
        <f t="shared" si="52"/>
        <v>BatchOut_160405_r3979_RIc\0.cibd</v>
      </c>
      <c r="D77" s="27" t="str">
        <f t="shared" si="53"/>
        <v>BatchOut_160405_r3979_RIc\XML\</v>
      </c>
      <c r="E77" s="9" t="e">
        <f t="shared" si="54"/>
        <v>#VALUE!</v>
      </c>
      <c r="F77" s="22"/>
      <c r="G77" s="29"/>
      <c r="H77" s="23" t="str">
        <f>IF(F77&gt;1,1,"")</f>
        <v/>
      </c>
      <c r="I77" s="9" t="s">
        <v>11</v>
      </c>
      <c r="J77"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7" s="15" t="s">
        <v>1</v>
      </c>
      <c r="L77" s="36">
        <f t="shared" si="60"/>
        <v>0</v>
      </c>
      <c r="M77" s="32" t="e">
        <f t="shared" si="64"/>
        <v>#VALUE!</v>
      </c>
      <c r="N77" s="28"/>
      <c r="O77" s="57">
        <f t="shared" si="46"/>
        <v>0</v>
      </c>
      <c r="P77" s="63">
        <f t="shared" si="61"/>
        <v>2</v>
      </c>
      <c r="Q77" s="65">
        <f t="shared" si="55"/>
        <v>1</v>
      </c>
      <c r="R77" s="65">
        <f t="shared" si="55"/>
        <v>0</v>
      </c>
      <c r="S77" s="65">
        <f t="shared" si="55"/>
        <v>1</v>
      </c>
      <c r="T77" s="65">
        <f t="shared" si="55"/>
        <v>0</v>
      </c>
      <c r="U77" s="65">
        <f t="shared" si="55"/>
        <v>11</v>
      </c>
      <c r="V77" s="65">
        <v>11</v>
      </c>
      <c r="W77" s="65">
        <f t="shared" si="62"/>
        <v>1</v>
      </c>
      <c r="X77" s="65">
        <f t="shared" si="62"/>
        <v>0</v>
      </c>
      <c r="Y77" s="65">
        <f t="shared" si="62"/>
        <v>0</v>
      </c>
      <c r="Z77" s="65">
        <f t="shared" si="62"/>
        <v>0</v>
      </c>
      <c r="AA77" s="65">
        <f t="shared" si="62"/>
        <v>0</v>
      </c>
      <c r="AB77" s="65">
        <f t="shared" si="62"/>
        <v>1</v>
      </c>
      <c r="AC77" s="65">
        <f t="shared" si="57"/>
        <v>1</v>
      </c>
      <c r="AD77" s="61">
        <v>1</v>
      </c>
      <c r="AE77" s="63">
        <f t="shared" si="63"/>
        <v>0</v>
      </c>
      <c r="AF77" s="64">
        <f t="shared" si="63"/>
        <v>0</v>
      </c>
      <c r="AG77" s="64">
        <f t="shared" si="58"/>
        <v>0</v>
      </c>
      <c r="AH77" s="64">
        <f t="shared" si="58"/>
        <v>0</v>
      </c>
      <c r="AI77" s="66">
        <f t="shared" si="58"/>
        <v>0</v>
      </c>
      <c r="AJ77" s="63">
        <f t="shared" si="58"/>
        <v>0</v>
      </c>
      <c r="AK77" s="64">
        <f t="shared" si="58"/>
        <v>0</v>
      </c>
      <c r="AL77" s="65">
        <f t="shared" si="58"/>
        <v>0</v>
      </c>
      <c r="AM77" s="66">
        <f t="shared" si="58"/>
        <v>0</v>
      </c>
      <c r="AN77" s="31" t="str">
        <f t="shared" si="48"/>
        <v>SimulationStorage,2,</v>
      </c>
      <c r="AO77" s="31" t="str">
        <f t="shared" si="48"/>
        <v>AnalysisStorage,1,</v>
      </c>
      <c r="AP77" s="31" t="str">
        <f t="shared" si="48"/>
        <v>LogRuleEvaluation,0,</v>
      </c>
      <c r="AQ77" s="31" t="str">
        <f t="shared" si="48"/>
        <v>ParallelSimulations,1,</v>
      </c>
      <c r="AR77" s="31" t="str">
        <f t="shared" si="48"/>
        <v>DurationStats,0,</v>
      </c>
      <c r="AS77" s="31" t="str">
        <f t="shared" si="48"/>
        <v>AnalysisThruStep,11,</v>
      </c>
      <c r="AT77" s="31" t="str">
        <f t="shared" si="48"/>
        <v>DontAbortOnErrorsThruStep,11,</v>
      </c>
      <c r="AU77" s="31" t="str">
        <f t="shared" si="48"/>
        <v>BypassValidFileChecks,1,</v>
      </c>
      <c r="AV77" s="31" t="str">
        <f t="shared" si="48"/>
        <v>BypassInputChecks,0,</v>
      </c>
      <c r="AW77" s="31" t="str">
        <f t="shared" si="48"/>
        <v>BypassUMLHChecks,0,</v>
      </c>
      <c r="AX77" s="31" t="str">
        <f t="shared" si="48"/>
        <v>BypassCheckSimRules,0,</v>
      </c>
      <c r="AY77" s="31" t="str">
        <f t="shared" si="48"/>
        <v>BypassCheckCodeRules,0,</v>
      </c>
      <c r="BA77" s="31" t="str">
        <f t="shared" si="49"/>
        <v>StoreBEMDetails,1,</v>
      </c>
      <c r="BB77" s="31" t="str">
        <f t="shared" si="49"/>
        <v>ModelRpt_ALL,1,</v>
      </c>
      <c r="BC77" s="31" t="str">
        <f t="shared" si="49"/>
        <v>BypassOpenStudio_all,0,</v>
      </c>
      <c r="BD77" s="31" t="str">
        <f t="shared" si="49"/>
        <v>BypassOpenStudio_zp,0,</v>
      </c>
      <c r="BE77" s="31" t="str">
        <f t="shared" si="49"/>
        <v>BypassOpenStudio_zb,0,</v>
      </c>
      <c r="BF77" s="31" t="str">
        <f t="shared" si="49"/>
        <v>BypassOpenStudio_ap,0,</v>
      </c>
      <c r="BG77" s="31" t="str">
        <f t="shared" si="49"/>
        <v>BypassOpenStudio_ab,0,</v>
      </c>
      <c r="BH77" s="31" t="str">
        <f t="shared" si="49"/>
        <v>BypassOpenStudio_zp,0,</v>
      </c>
      <c r="BI77" s="31" t="str">
        <f t="shared" si="49"/>
        <v>BypassOpenStudio_zb,0,</v>
      </c>
      <c r="BJ77" s="31" t="str">
        <f t="shared" si="49"/>
        <v>BypassOpenStudio_ap,0,</v>
      </c>
      <c r="BK77" s="31" t="str">
        <f t="shared" si="50"/>
        <v>BypassOpenStudio_ab,0</v>
      </c>
    </row>
    <row r="78" spans="1:65" x14ac:dyDescent="0.25">
      <c r="A78" s="39">
        <f t="shared" si="44"/>
        <v>0</v>
      </c>
      <c r="B78" s="27" t="str">
        <f t="shared" si="51"/>
        <v>RulesetImplementationTests\\.cibd</v>
      </c>
      <c r="C78" s="27" t="str">
        <f t="shared" si="52"/>
        <v>BatchOut_160405_r3979_RIc\0.cibd</v>
      </c>
      <c r="D78" s="27" t="str">
        <f t="shared" si="53"/>
        <v>BatchOut_160405_r3979_RIc\XML\</v>
      </c>
      <c r="E78" s="9" t="e">
        <f t="shared" si="54"/>
        <v>#VALUE!</v>
      </c>
      <c r="F78" s="22"/>
      <c r="G78" s="29"/>
      <c r="H78" s="23" t="str">
        <f>IF(F78&gt;1,1,"")</f>
        <v/>
      </c>
      <c r="I78" s="9" t="s">
        <v>11</v>
      </c>
      <c r="J78"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8" s="15" t="s">
        <v>1</v>
      </c>
      <c r="L78" s="36">
        <f t="shared" si="60"/>
        <v>0</v>
      </c>
      <c r="M78" s="32" t="e">
        <f t="shared" si="64"/>
        <v>#VALUE!</v>
      </c>
      <c r="N78" s="28"/>
      <c r="O78" s="57">
        <f t="shared" si="46"/>
        <v>0</v>
      </c>
      <c r="P78" s="63">
        <f t="shared" si="61"/>
        <v>2</v>
      </c>
      <c r="Q78" s="65">
        <f t="shared" si="55"/>
        <v>1</v>
      </c>
      <c r="R78" s="65">
        <f t="shared" si="55"/>
        <v>0</v>
      </c>
      <c r="S78" s="65">
        <f t="shared" si="55"/>
        <v>1</v>
      </c>
      <c r="T78" s="65">
        <f t="shared" si="55"/>
        <v>0</v>
      </c>
      <c r="U78" s="65">
        <f t="shared" si="55"/>
        <v>11</v>
      </c>
      <c r="V78" s="65">
        <v>11</v>
      </c>
      <c r="W78" s="65">
        <f t="shared" si="62"/>
        <v>1</v>
      </c>
      <c r="X78" s="65">
        <f t="shared" si="62"/>
        <v>0</v>
      </c>
      <c r="Y78" s="65">
        <f t="shared" si="62"/>
        <v>0</v>
      </c>
      <c r="Z78" s="65">
        <f t="shared" si="62"/>
        <v>0</v>
      </c>
      <c r="AA78" s="65">
        <f t="shared" si="62"/>
        <v>0</v>
      </c>
      <c r="AB78" s="65">
        <f t="shared" si="62"/>
        <v>1</v>
      </c>
      <c r="AC78" s="65">
        <f t="shared" si="57"/>
        <v>1</v>
      </c>
      <c r="AD78" s="61">
        <v>1</v>
      </c>
      <c r="AE78" s="63">
        <f t="shared" si="63"/>
        <v>0</v>
      </c>
      <c r="AF78" s="64">
        <f t="shared" si="63"/>
        <v>0</v>
      </c>
      <c r="AG78" s="64">
        <f t="shared" si="58"/>
        <v>0</v>
      </c>
      <c r="AH78" s="64">
        <f t="shared" si="58"/>
        <v>0</v>
      </c>
      <c r="AI78" s="66">
        <f t="shared" si="58"/>
        <v>0</v>
      </c>
      <c r="AJ78" s="63">
        <f t="shared" si="58"/>
        <v>0</v>
      </c>
      <c r="AK78" s="64">
        <f t="shared" si="58"/>
        <v>0</v>
      </c>
      <c r="AL78" s="65">
        <f t="shared" si="58"/>
        <v>0</v>
      </c>
      <c r="AM78" s="66">
        <f t="shared" si="58"/>
        <v>0</v>
      </c>
      <c r="AN78" s="31" t="str">
        <f t="shared" si="48"/>
        <v>SimulationStorage,2,</v>
      </c>
      <c r="AO78" s="31" t="str">
        <f t="shared" si="48"/>
        <v>AnalysisStorage,1,</v>
      </c>
      <c r="AP78" s="31" t="str">
        <f t="shared" si="48"/>
        <v>LogRuleEvaluation,0,</v>
      </c>
      <c r="AQ78" s="31" t="str">
        <f t="shared" si="48"/>
        <v>ParallelSimulations,1,</v>
      </c>
      <c r="AR78" s="31" t="str">
        <f t="shared" si="48"/>
        <v>DurationStats,0,</v>
      </c>
      <c r="AS78" s="31" t="str">
        <f t="shared" si="48"/>
        <v>AnalysisThruStep,11,</v>
      </c>
      <c r="AT78" s="31" t="str">
        <f t="shared" si="48"/>
        <v>DontAbortOnErrorsThruStep,11,</v>
      </c>
      <c r="AU78" s="31" t="str">
        <f t="shared" si="48"/>
        <v>BypassValidFileChecks,1,</v>
      </c>
      <c r="AV78" s="31" t="str">
        <f t="shared" si="48"/>
        <v>BypassInputChecks,0,</v>
      </c>
      <c r="AW78" s="31" t="str">
        <f t="shared" si="48"/>
        <v>BypassUMLHChecks,0,</v>
      </c>
      <c r="AX78" s="31" t="str">
        <f t="shared" si="48"/>
        <v>BypassCheckSimRules,0,</v>
      </c>
      <c r="AY78" s="31" t="str">
        <f t="shared" si="48"/>
        <v>BypassCheckCodeRules,0,</v>
      </c>
      <c r="BA78" s="31" t="str">
        <f t="shared" si="49"/>
        <v>StoreBEMDetails,1,</v>
      </c>
      <c r="BB78" s="31" t="str">
        <f t="shared" si="49"/>
        <v>ModelRpt_ALL,1,</v>
      </c>
      <c r="BC78" s="31" t="str">
        <f t="shared" si="49"/>
        <v>BypassOpenStudio_all,0,</v>
      </c>
      <c r="BD78" s="31" t="str">
        <f t="shared" si="49"/>
        <v>BypassOpenStudio_zp,0,</v>
      </c>
      <c r="BE78" s="31" t="str">
        <f t="shared" si="49"/>
        <v>BypassOpenStudio_zb,0,</v>
      </c>
      <c r="BF78" s="31" t="str">
        <f t="shared" si="49"/>
        <v>BypassOpenStudio_ap,0,</v>
      </c>
      <c r="BG78" s="31" t="str">
        <f t="shared" si="49"/>
        <v>BypassOpenStudio_ab,0,</v>
      </c>
      <c r="BH78" s="31" t="str">
        <f t="shared" si="49"/>
        <v>BypassOpenStudio_zp,0,</v>
      </c>
      <c r="BI78" s="31" t="str">
        <f t="shared" si="49"/>
        <v>BypassOpenStudio_zb,0,</v>
      </c>
      <c r="BJ78" s="31" t="str">
        <f t="shared" si="49"/>
        <v>BypassOpenStudio_ap,0,</v>
      </c>
      <c r="BK78" s="31" t="str">
        <f t="shared" si="50"/>
        <v>BypassOpenStudio_ab,0</v>
      </c>
    </row>
    <row r="79" spans="1:65" x14ac:dyDescent="0.25">
      <c r="A79" s="39">
        <f t="shared" si="44"/>
        <v>0</v>
      </c>
      <c r="B79" s="27" t="str">
        <f t="shared" si="51"/>
        <v>RulesetImplementationTests\\.cibd</v>
      </c>
      <c r="C79" s="27" t="str">
        <f t="shared" si="52"/>
        <v>BatchOut_160405_r3979_RIc\0.cibd</v>
      </c>
      <c r="D79" s="27" t="str">
        <f t="shared" si="53"/>
        <v>BatchOut_160405_r3979_RIc\XML\</v>
      </c>
      <c r="E79" s="9" t="e">
        <f t="shared" si="54"/>
        <v>#VALUE!</v>
      </c>
      <c r="F79" s="22"/>
      <c r="G79" s="29"/>
      <c r="H79" s="23" t="str">
        <f>IF(F79&gt;1,1,"")</f>
        <v/>
      </c>
      <c r="I79" s="9" t="s">
        <v>11</v>
      </c>
      <c r="J79"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79" s="15" t="s">
        <v>1</v>
      </c>
      <c r="L79" s="36">
        <f t="shared" si="60"/>
        <v>0</v>
      </c>
      <c r="M79" s="32" t="e">
        <f t="shared" si="64"/>
        <v>#VALUE!</v>
      </c>
      <c r="N79" s="28"/>
      <c r="O79" s="57">
        <f t="shared" si="46"/>
        <v>0</v>
      </c>
      <c r="P79" s="63">
        <f t="shared" si="61"/>
        <v>2</v>
      </c>
      <c r="Q79" s="65">
        <f t="shared" si="55"/>
        <v>1</v>
      </c>
      <c r="R79" s="65">
        <f t="shared" si="55"/>
        <v>0</v>
      </c>
      <c r="S79" s="65">
        <f t="shared" si="55"/>
        <v>1</v>
      </c>
      <c r="T79" s="65">
        <f t="shared" si="55"/>
        <v>0</v>
      </c>
      <c r="U79" s="65">
        <f t="shared" si="55"/>
        <v>11</v>
      </c>
      <c r="V79" s="65">
        <v>11</v>
      </c>
      <c r="W79" s="65">
        <f t="shared" si="62"/>
        <v>1</v>
      </c>
      <c r="X79" s="65">
        <f t="shared" si="62"/>
        <v>0</v>
      </c>
      <c r="Y79" s="65">
        <f t="shared" si="62"/>
        <v>0</v>
      </c>
      <c r="Z79" s="65">
        <f t="shared" si="62"/>
        <v>0</v>
      </c>
      <c r="AA79" s="65">
        <f t="shared" si="62"/>
        <v>0</v>
      </c>
      <c r="AB79" s="65">
        <f t="shared" si="62"/>
        <v>1</v>
      </c>
      <c r="AC79" s="65">
        <f t="shared" si="57"/>
        <v>1</v>
      </c>
      <c r="AD79" s="61">
        <v>1</v>
      </c>
      <c r="AE79" s="63">
        <f t="shared" si="63"/>
        <v>0</v>
      </c>
      <c r="AF79" s="64">
        <f t="shared" si="63"/>
        <v>0</v>
      </c>
      <c r="AG79" s="64">
        <f t="shared" si="58"/>
        <v>0</v>
      </c>
      <c r="AH79" s="64">
        <f t="shared" si="58"/>
        <v>0</v>
      </c>
      <c r="AI79" s="66">
        <f t="shared" si="58"/>
        <v>0</v>
      </c>
      <c r="AJ79" s="63">
        <f t="shared" si="58"/>
        <v>0</v>
      </c>
      <c r="AK79" s="64">
        <f t="shared" si="58"/>
        <v>0</v>
      </c>
      <c r="AL79" s="65">
        <f t="shared" si="58"/>
        <v>0</v>
      </c>
      <c r="AM79" s="66">
        <f t="shared" si="58"/>
        <v>0</v>
      </c>
      <c r="AN79" s="31" t="str">
        <f t="shared" si="48"/>
        <v>SimulationStorage,2,</v>
      </c>
      <c r="AO79" s="31" t="str">
        <f t="shared" si="48"/>
        <v>AnalysisStorage,1,</v>
      </c>
      <c r="AP79" s="31" t="str">
        <f t="shared" si="48"/>
        <v>LogRuleEvaluation,0,</v>
      </c>
      <c r="AQ79" s="31" t="str">
        <f t="shared" si="48"/>
        <v>ParallelSimulations,1,</v>
      </c>
      <c r="AR79" s="31" t="str">
        <f t="shared" si="48"/>
        <v>DurationStats,0,</v>
      </c>
      <c r="AS79" s="31" t="str">
        <f t="shared" si="48"/>
        <v>AnalysisThruStep,11,</v>
      </c>
      <c r="AT79" s="31" t="str">
        <f t="shared" si="48"/>
        <v>DontAbortOnErrorsThruStep,11,</v>
      </c>
      <c r="AU79" s="31" t="str">
        <f t="shared" si="48"/>
        <v>BypassValidFileChecks,1,</v>
      </c>
      <c r="AV79" s="31" t="str">
        <f t="shared" si="48"/>
        <v>BypassInputChecks,0,</v>
      </c>
      <c r="AW79" s="31" t="str">
        <f t="shared" si="48"/>
        <v>BypassUMLHChecks,0,</v>
      </c>
      <c r="AX79" s="31" t="str">
        <f t="shared" si="48"/>
        <v>BypassCheckSimRules,0,</v>
      </c>
      <c r="AY79" s="31" t="str">
        <f t="shared" si="48"/>
        <v>BypassCheckCodeRules,0,</v>
      </c>
      <c r="BA79" s="31" t="str">
        <f t="shared" si="49"/>
        <v>StoreBEMDetails,1,</v>
      </c>
      <c r="BB79" s="31" t="str">
        <f t="shared" si="49"/>
        <v>ModelRpt_ALL,1,</v>
      </c>
      <c r="BC79" s="31" t="str">
        <f t="shared" si="49"/>
        <v>BypassOpenStudio_all,0,</v>
      </c>
      <c r="BD79" s="31" t="str">
        <f t="shared" si="49"/>
        <v>BypassOpenStudio_zp,0,</v>
      </c>
      <c r="BE79" s="31" t="str">
        <f t="shared" si="49"/>
        <v>BypassOpenStudio_zb,0,</v>
      </c>
      <c r="BF79" s="31" t="str">
        <f t="shared" si="49"/>
        <v>BypassOpenStudio_ap,0,</v>
      </c>
      <c r="BG79" s="31" t="str">
        <f t="shared" si="49"/>
        <v>BypassOpenStudio_ab,0,</v>
      </c>
      <c r="BH79" s="31" t="str">
        <f t="shared" si="49"/>
        <v>BypassOpenStudio_zp,0,</v>
      </c>
      <c r="BI79" s="31" t="str">
        <f t="shared" si="49"/>
        <v>BypassOpenStudio_zb,0,</v>
      </c>
      <c r="BJ79" s="31" t="str">
        <f t="shared" si="49"/>
        <v>BypassOpenStudio_ap,0,</v>
      </c>
      <c r="BK79" s="31" t="str">
        <f t="shared" si="50"/>
        <v>BypassOpenStudio_ab,0</v>
      </c>
    </row>
    <row r="80" spans="1:65" x14ac:dyDescent="0.25">
      <c r="A80" s="39">
        <f t="shared" si="44"/>
        <v>0</v>
      </c>
      <c r="B80" s="27" t="str">
        <f t="shared" si="51"/>
        <v>RulesetImplementationTests\\.cibd</v>
      </c>
      <c r="C80" s="27" t="str">
        <f t="shared" si="52"/>
        <v>BatchOut_160405_r3979_RIc\0.cibd</v>
      </c>
      <c r="D80" s="27" t="str">
        <f t="shared" si="53"/>
        <v>BatchOut_160405_r3979_RIc\XML\</v>
      </c>
      <c r="E80" s="9" t="e">
        <f t="shared" si="54"/>
        <v>#VALUE!</v>
      </c>
      <c r="F80" s="22"/>
      <c r="G80" s="29"/>
      <c r="H80" s="23"/>
      <c r="I80" s="9" t="s">
        <v>11</v>
      </c>
      <c r="J80"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0" s="15" t="s">
        <v>1</v>
      </c>
      <c r="L80" s="36">
        <f t="shared" si="60"/>
        <v>0</v>
      </c>
      <c r="M80" s="32" t="e">
        <f>LEFT(N80,SEARCH("-",N80))&amp;RIGHT(N80,5)</f>
        <v>#VALUE!</v>
      </c>
      <c r="N80" s="28"/>
      <c r="O80" s="57">
        <f>N80</f>
        <v>0</v>
      </c>
      <c r="P80" s="63">
        <f t="shared" si="61"/>
        <v>2</v>
      </c>
      <c r="Q80" s="65">
        <f t="shared" si="55"/>
        <v>1</v>
      </c>
      <c r="R80" s="65">
        <f t="shared" si="55"/>
        <v>0</v>
      </c>
      <c r="S80" s="65">
        <f t="shared" si="55"/>
        <v>1</v>
      </c>
      <c r="T80" s="65">
        <f t="shared" si="55"/>
        <v>0</v>
      </c>
      <c r="U80" s="65">
        <f t="shared" si="55"/>
        <v>11</v>
      </c>
      <c r="V80" s="65">
        <v>11</v>
      </c>
      <c r="W80" s="65">
        <f t="shared" si="62"/>
        <v>1</v>
      </c>
      <c r="X80" s="65">
        <f t="shared" si="62"/>
        <v>0</v>
      </c>
      <c r="Y80" s="65">
        <f t="shared" si="62"/>
        <v>0</v>
      </c>
      <c r="Z80" s="65">
        <f t="shared" si="62"/>
        <v>0</v>
      </c>
      <c r="AA80" s="65">
        <f t="shared" si="62"/>
        <v>0</v>
      </c>
      <c r="AB80" s="65">
        <f t="shared" si="62"/>
        <v>1</v>
      </c>
      <c r="AC80" s="65">
        <f t="shared" si="57"/>
        <v>1</v>
      </c>
      <c r="AD80" s="61">
        <v>1</v>
      </c>
      <c r="AE80" s="63">
        <f t="shared" si="63"/>
        <v>0</v>
      </c>
      <c r="AF80" s="64">
        <f t="shared" si="63"/>
        <v>0</v>
      </c>
      <c r="AG80" s="64">
        <f t="shared" si="58"/>
        <v>0</v>
      </c>
      <c r="AH80" s="64">
        <f t="shared" si="58"/>
        <v>0</v>
      </c>
      <c r="AI80" s="66">
        <f t="shared" si="58"/>
        <v>0</v>
      </c>
      <c r="AJ80" s="63">
        <f t="shared" si="58"/>
        <v>0</v>
      </c>
      <c r="AK80" s="64">
        <f t="shared" si="58"/>
        <v>0</v>
      </c>
      <c r="AL80" s="65">
        <f t="shared" si="58"/>
        <v>0</v>
      </c>
      <c r="AM80" s="66">
        <f t="shared" si="58"/>
        <v>0</v>
      </c>
      <c r="AN80" s="31" t="str">
        <f t="shared" si="48"/>
        <v>SimulationStorage,2,</v>
      </c>
      <c r="AO80" s="31" t="str">
        <f t="shared" si="48"/>
        <v>AnalysisStorage,1,</v>
      </c>
      <c r="AP80" s="31" t="str">
        <f t="shared" si="48"/>
        <v>LogRuleEvaluation,0,</v>
      </c>
      <c r="AQ80" s="31" t="str">
        <f t="shared" si="48"/>
        <v>ParallelSimulations,1,</v>
      </c>
      <c r="AR80" s="31" t="str">
        <f t="shared" si="48"/>
        <v>DurationStats,0,</v>
      </c>
      <c r="AS80" s="31" t="str">
        <f t="shared" si="48"/>
        <v>AnalysisThruStep,11,</v>
      </c>
      <c r="AT80" s="31" t="str">
        <f t="shared" si="48"/>
        <v>DontAbortOnErrorsThruStep,11,</v>
      </c>
      <c r="AU80" s="31" t="str">
        <f t="shared" si="48"/>
        <v>BypassValidFileChecks,1,</v>
      </c>
      <c r="AV80" s="31" t="str">
        <f t="shared" si="48"/>
        <v>BypassInputChecks,0,</v>
      </c>
      <c r="AW80" s="31" t="str">
        <f t="shared" si="48"/>
        <v>BypassUMLHChecks,0,</v>
      </c>
      <c r="AX80" s="31" t="str">
        <f t="shared" si="48"/>
        <v>BypassCheckSimRules,0,</v>
      </c>
      <c r="AY80" s="31" t="str">
        <f t="shared" si="48"/>
        <v>BypassCheckCodeRules,0,</v>
      </c>
      <c r="BA80" s="31" t="str">
        <f t="shared" si="49"/>
        <v>StoreBEMDetails,1,</v>
      </c>
      <c r="BB80" s="31" t="str">
        <f t="shared" si="49"/>
        <v>ModelRpt_ALL,1,</v>
      </c>
      <c r="BC80" s="31" t="str">
        <f t="shared" si="49"/>
        <v>BypassOpenStudio_all,0,</v>
      </c>
      <c r="BD80" s="31" t="str">
        <f t="shared" si="49"/>
        <v>BypassOpenStudio_zp,0,</v>
      </c>
      <c r="BE80" s="31" t="str">
        <f t="shared" si="49"/>
        <v>BypassOpenStudio_zb,0,</v>
      </c>
      <c r="BF80" s="31" t="str">
        <f t="shared" si="49"/>
        <v>BypassOpenStudio_ap,0,</v>
      </c>
      <c r="BG80" s="31" t="str">
        <f t="shared" si="49"/>
        <v>BypassOpenStudio_ab,0,</v>
      </c>
      <c r="BH80" s="31" t="str">
        <f t="shared" si="49"/>
        <v>BypassOpenStudio_zp,0,</v>
      </c>
      <c r="BI80" s="31" t="str">
        <f t="shared" si="49"/>
        <v>BypassOpenStudio_zb,0,</v>
      </c>
      <c r="BJ80" s="31" t="str">
        <f t="shared" si="49"/>
        <v>BypassOpenStudio_ap,0,</v>
      </c>
      <c r="BK80" s="31" t="str">
        <f t="shared" si="50"/>
        <v>BypassOpenStudio_ab,0</v>
      </c>
    </row>
    <row r="81" spans="1:63" x14ac:dyDescent="0.25">
      <c r="A81" s="39">
        <f t="shared" si="44"/>
        <v>0</v>
      </c>
      <c r="B81" s="27" t="str">
        <f t="shared" si="51"/>
        <v>RulesetImplementationTests\\.cibd</v>
      </c>
      <c r="C81" s="27" t="str">
        <f t="shared" si="52"/>
        <v>BatchOut_160405_r3979_RIc\0.cibd</v>
      </c>
      <c r="D81" s="27" t="str">
        <f t="shared" si="53"/>
        <v>BatchOut_160405_r3979_RIc\XML\</v>
      </c>
      <c r="E81" s="9" t="e">
        <f t="shared" si="54"/>
        <v>#VALUE!</v>
      </c>
      <c r="F81" s="22"/>
      <c r="G81" s="29"/>
      <c r="H81" s="23"/>
      <c r="I81" s="9" t="s">
        <v>11</v>
      </c>
      <c r="J81"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1" s="15" t="s">
        <v>1</v>
      </c>
      <c r="L81" s="36">
        <f t="shared" si="60"/>
        <v>0</v>
      </c>
      <c r="M81" s="32" t="e">
        <f>LEFT(N81,SEARCH("-",N81))&amp;RIGHT(N81,5)</f>
        <v>#VALUE!</v>
      </c>
      <c r="N81" s="28"/>
      <c r="O81" s="57">
        <f>N81</f>
        <v>0</v>
      </c>
      <c r="P81" s="63">
        <f t="shared" si="61"/>
        <v>2</v>
      </c>
      <c r="Q81" s="65">
        <f t="shared" si="55"/>
        <v>1</v>
      </c>
      <c r="R81" s="65">
        <f t="shared" si="55"/>
        <v>0</v>
      </c>
      <c r="S81" s="65">
        <f t="shared" si="55"/>
        <v>1</v>
      </c>
      <c r="T81" s="65">
        <f t="shared" si="55"/>
        <v>0</v>
      </c>
      <c r="U81" s="65">
        <f t="shared" si="55"/>
        <v>11</v>
      </c>
      <c r="V81" s="65">
        <v>11</v>
      </c>
      <c r="W81" s="65">
        <f t="shared" si="62"/>
        <v>1</v>
      </c>
      <c r="X81" s="65">
        <f t="shared" si="62"/>
        <v>0</v>
      </c>
      <c r="Y81" s="65">
        <f t="shared" si="62"/>
        <v>0</v>
      </c>
      <c r="Z81" s="65">
        <f t="shared" si="62"/>
        <v>0</v>
      </c>
      <c r="AA81" s="65">
        <f t="shared" si="62"/>
        <v>0</v>
      </c>
      <c r="AB81" s="65">
        <f t="shared" si="62"/>
        <v>1</v>
      </c>
      <c r="AC81" s="65">
        <f t="shared" si="57"/>
        <v>1</v>
      </c>
      <c r="AD81" s="61">
        <v>1</v>
      </c>
      <c r="AE81" s="63">
        <f t="shared" si="63"/>
        <v>0</v>
      </c>
      <c r="AF81" s="64">
        <f t="shared" si="63"/>
        <v>0</v>
      </c>
      <c r="AG81" s="64">
        <f t="shared" si="58"/>
        <v>0</v>
      </c>
      <c r="AH81" s="64">
        <f t="shared" si="58"/>
        <v>0</v>
      </c>
      <c r="AI81" s="66">
        <f t="shared" si="58"/>
        <v>0</v>
      </c>
      <c r="AJ81" s="63">
        <f t="shared" si="58"/>
        <v>0</v>
      </c>
      <c r="AK81" s="64">
        <f t="shared" si="58"/>
        <v>0</v>
      </c>
      <c r="AL81" s="65">
        <f t="shared" si="58"/>
        <v>0</v>
      </c>
      <c r="AM81" s="66">
        <f t="shared" si="58"/>
        <v>0</v>
      </c>
      <c r="AN81" s="31" t="str">
        <f t="shared" si="48"/>
        <v>SimulationStorage,2,</v>
      </c>
      <c r="AO81" s="31" t="str">
        <f t="shared" si="48"/>
        <v>AnalysisStorage,1,</v>
      </c>
      <c r="AP81" s="31" t="str">
        <f t="shared" si="48"/>
        <v>LogRuleEvaluation,0,</v>
      </c>
      <c r="AQ81" s="31" t="str">
        <f t="shared" si="48"/>
        <v>ParallelSimulations,1,</v>
      </c>
      <c r="AR81" s="31" t="str">
        <f t="shared" si="48"/>
        <v>DurationStats,0,</v>
      </c>
      <c r="AS81" s="31" t="str">
        <f t="shared" si="48"/>
        <v>AnalysisThruStep,11,</v>
      </c>
      <c r="AT81" s="31" t="str">
        <f t="shared" si="48"/>
        <v>DontAbortOnErrorsThruStep,11,</v>
      </c>
      <c r="AU81" s="31" t="str">
        <f t="shared" si="48"/>
        <v>BypassValidFileChecks,1,</v>
      </c>
      <c r="AV81" s="31" t="str">
        <f t="shared" si="48"/>
        <v>BypassInputChecks,0,</v>
      </c>
      <c r="AW81" s="31" t="str">
        <f t="shared" si="48"/>
        <v>BypassUMLHChecks,0,</v>
      </c>
      <c r="AX81" s="31" t="str">
        <f t="shared" si="48"/>
        <v>BypassCheckSimRules,0,</v>
      </c>
      <c r="AY81" s="31" t="str">
        <f t="shared" si="48"/>
        <v>BypassCheckCodeRules,0,</v>
      </c>
      <c r="BA81" s="31" t="str">
        <f t="shared" si="49"/>
        <v>StoreBEMDetails,1,</v>
      </c>
      <c r="BB81" s="31" t="str">
        <f t="shared" si="49"/>
        <v>ModelRpt_ALL,1,</v>
      </c>
      <c r="BC81" s="31" t="str">
        <f t="shared" si="49"/>
        <v>BypassOpenStudio_all,0,</v>
      </c>
      <c r="BD81" s="31" t="str">
        <f t="shared" si="49"/>
        <v>BypassOpenStudio_zp,0,</v>
      </c>
      <c r="BE81" s="31" t="str">
        <f t="shared" si="49"/>
        <v>BypassOpenStudio_zb,0,</v>
      </c>
      <c r="BF81" s="31" t="str">
        <f t="shared" si="49"/>
        <v>BypassOpenStudio_ap,0,</v>
      </c>
      <c r="BG81" s="31" t="str">
        <f t="shared" si="49"/>
        <v>BypassOpenStudio_ab,0,</v>
      </c>
      <c r="BH81" s="31" t="str">
        <f t="shared" si="49"/>
        <v>BypassOpenStudio_zp,0,</v>
      </c>
      <c r="BI81" s="31" t="str">
        <f t="shared" si="49"/>
        <v>BypassOpenStudio_zb,0,</v>
      </c>
      <c r="BJ81" s="31" t="str">
        <f t="shared" si="49"/>
        <v>BypassOpenStudio_ap,0,</v>
      </c>
      <c r="BK81" s="31" t="str">
        <f t="shared" si="50"/>
        <v>BypassOpenStudio_ab,0</v>
      </c>
    </row>
    <row r="82" spans="1:63" x14ac:dyDescent="0.25">
      <c r="A82" s="39">
        <f t="shared" si="44"/>
        <v>0</v>
      </c>
      <c r="B82" s="27" t="str">
        <f t="shared" si="51"/>
        <v>RulesetImplementationTests\\.cibd</v>
      </c>
      <c r="C82" s="27" t="str">
        <f t="shared" si="52"/>
        <v>BatchOut_160405_r3979_RIc\0.cibd</v>
      </c>
      <c r="D82" s="27" t="str">
        <f t="shared" si="53"/>
        <v>BatchOut_160405_r3979_RIc\XML\</v>
      </c>
      <c r="E82" s="9" t="e">
        <f t="shared" si="54"/>
        <v>#VALUE!</v>
      </c>
      <c r="F82" s="22"/>
      <c r="G82" s="29"/>
      <c r="H82" s="23"/>
      <c r="I82" s="9" t="s">
        <v>11</v>
      </c>
      <c r="J82"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2" s="15" t="s">
        <v>1</v>
      </c>
      <c r="L82" s="36">
        <f t="shared" si="60"/>
        <v>0</v>
      </c>
      <c r="M82" s="32" t="e">
        <f t="shared" ref="M82:M95" si="65">LEFT(N82,SEARCH("-",N82))&amp;RIGHT(N82,5)</f>
        <v>#VALUE!</v>
      </c>
      <c r="N82" s="28"/>
      <c r="O82" s="57">
        <f t="shared" ref="O82:O95" si="66">N82</f>
        <v>0</v>
      </c>
      <c r="P82" s="63">
        <f t="shared" si="61"/>
        <v>2</v>
      </c>
      <c r="Q82" s="65">
        <f t="shared" si="55"/>
        <v>1</v>
      </c>
      <c r="R82" s="65">
        <f t="shared" si="55"/>
        <v>0</v>
      </c>
      <c r="S82" s="65">
        <f t="shared" si="55"/>
        <v>1</v>
      </c>
      <c r="T82" s="65">
        <f t="shared" si="55"/>
        <v>0</v>
      </c>
      <c r="U82" s="65">
        <f t="shared" si="55"/>
        <v>11</v>
      </c>
      <c r="V82" s="65">
        <v>11</v>
      </c>
      <c r="W82" s="65">
        <f t="shared" si="62"/>
        <v>1</v>
      </c>
      <c r="X82" s="65">
        <f t="shared" si="62"/>
        <v>0</v>
      </c>
      <c r="Y82" s="65">
        <f t="shared" si="62"/>
        <v>0</v>
      </c>
      <c r="Z82" s="65">
        <f t="shared" si="62"/>
        <v>0</v>
      </c>
      <c r="AA82" s="65">
        <f t="shared" si="62"/>
        <v>0</v>
      </c>
      <c r="AB82" s="65">
        <f t="shared" si="62"/>
        <v>1</v>
      </c>
      <c r="AC82" s="65">
        <f t="shared" si="57"/>
        <v>1</v>
      </c>
      <c r="AD82" s="61">
        <v>1</v>
      </c>
      <c r="AE82" s="63">
        <f t="shared" si="63"/>
        <v>0</v>
      </c>
      <c r="AF82" s="64">
        <f t="shared" si="63"/>
        <v>0</v>
      </c>
      <c r="AG82" s="64">
        <f t="shared" si="58"/>
        <v>0</v>
      </c>
      <c r="AH82" s="64">
        <f t="shared" si="58"/>
        <v>0</v>
      </c>
      <c r="AI82" s="66">
        <f t="shared" si="58"/>
        <v>0</v>
      </c>
      <c r="AJ82" s="63">
        <f t="shared" si="58"/>
        <v>0</v>
      </c>
      <c r="AK82" s="64">
        <f t="shared" si="58"/>
        <v>0</v>
      </c>
      <c r="AL82" s="65">
        <f t="shared" si="58"/>
        <v>0</v>
      </c>
      <c r="AM82" s="66">
        <f t="shared" si="58"/>
        <v>0</v>
      </c>
      <c r="AN82" s="31" t="str">
        <f t="shared" si="48"/>
        <v>SimulationStorage,2,</v>
      </c>
      <c r="AO82" s="31" t="str">
        <f t="shared" si="48"/>
        <v>AnalysisStorage,1,</v>
      </c>
      <c r="AP82" s="31" t="str">
        <f t="shared" si="48"/>
        <v>LogRuleEvaluation,0,</v>
      </c>
      <c r="AQ82" s="31" t="str">
        <f t="shared" si="48"/>
        <v>ParallelSimulations,1,</v>
      </c>
      <c r="AR82" s="31" t="str">
        <f t="shared" si="48"/>
        <v>DurationStats,0,</v>
      </c>
      <c r="AS82" s="31" t="str">
        <f t="shared" si="48"/>
        <v>AnalysisThruStep,11,</v>
      </c>
      <c r="AT82" s="31" t="str">
        <f t="shared" si="48"/>
        <v>DontAbortOnErrorsThruStep,11,</v>
      </c>
      <c r="AU82" s="31" t="str">
        <f t="shared" si="48"/>
        <v>BypassValidFileChecks,1,</v>
      </c>
      <c r="AV82" s="31" t="str">
        <f t="shared" si="48"/>
        <v>BypassInputChecks,0,</v>
      </c>
      <c r="AW82" s="31" t="str">
        <f t="shared" si="48"/>
        <v>BypassUMLHChecks,0,</v>
      </c>
      <c r="AX82" s="31" t="str">
        <f t="shared" si="48"/>
        <v>BypassCheckSimRules,0,</v>
      </c>
      <c r="AY82" s="31" t="str">
        <f t="shared" si="48"/>
        <v>BypassCheckCodeRules,0,</v>
      </c>
      <c r="BA82" s="31" t="str">
        <f t="shared" si="49"/>
        <v>StoreBEMDetails,1,</v>
      </c>
      <c r="BB82" s="31" t="str">
        <f t="shared" si="49"/>
        <v>ModelRpt_ALL,1,</v>
      </c>
      <c r="BC82" s="31" t="str">
        <f t="shared" si="49"/>
        <v>BypassOpenStudio_all,0,</v>
      </c>
      <c r="BD82" s="31" t="str">
        <f t="shared" si="49"/>
        <v>BypassOpenStudio_zp,0,</v>
      </c>
      <c r="BE82" s="31" t="str">
        <f t="shared" si="49"/>
        <v>BypassOpenStudio_zb,0,</v>
      </c>
      <c r="BF82" s="31" t="str">
        <f t="shared" si="49"/>
        <v>BypassOpenStudio_ap,0,</v>
      </c>
      <c r="BG82" s="31" t="str">
        <f t="shared" si="49"/>
        <v>BypassOpenStudio_ab,0,</v>
      </c>
      <c r="BH82" s="31" t="str">
        <f t="shared" si="49"/>
        <v>BypassOpenStudio_zp,0,</v>
      </c>
      <c r="BI82" s="31" t="str">
        <f t="shared" si="49"/>
        <v>BypassOpenStudio_zb,0,</v>
      </c>
      <c r="BJ82" s="31" t="str">
        <f t="shared" si="49"/>
        <v>BypassOpenStudio_ap,0,</v>
      </c>
      <c r="BK82" s="31" t="str">
        <f t="shared" si="50"/>
        <v>BypassOpenStudio_ab,0</v>
      </c>
    </row>
    <row r="83" spans="1:63" x14ac:dyDescent="0.25">
      <c r="A83" s="39">
        <f t="shared" si="44"/>
        <v>0</v>
      </c>
      <c r="B83" s="27" t="str">
        <f t="shared" si="51"/>
        <v>RulesetImplementationTests\\.cibd</v>
      </c>
      <c r="C83" s="27" t="str">
        <f t="shared" si="52"/>
        <v>BatchOut_160405_r3979_RIc\0.cibd</v>
      </c>
      <c r="D83" s="27" t="str">
        <f t="shared" si="53"/>
        <v>BatchOut_160405_r3979_RIc\XML\</v>
      </c>
      <c r="E83" s="9" t="e">
        <f t="shared" si="54"/>
        <v>#VALUE!</v>
      </c>
      <c r="F83" s="22"/>
      <c r="G83" s="29"/>
      <c r="H83" s="23"/>
      <c r="I83" s="9" t="s">
        <v>11</v>
      </c>
      <c r="J83"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3" s="15" t="s">
        <v>1</v>
      </c>
      <c r="L83" s="36">
        <f t="shared" si="60"/>
        <v>0</v>
      </c>
      <c r="M83" s="32" t="e">
        <f>LEFT(N83,SEARCH("-",N83))&amp;RIGHT(N83,5)</f>
        <v>#VALUE!</v>
      </c>
      <c r="N83" s="28"/>
      <c r="O83" s="57">
        <f t="shared" si="66"/>
        <v>0</v>
      </c>
      <c r="P83" s="63">
        <f t="shared" si="61"/>
        <v>2</v>
      </c>
      <c r="Q83" s="65">
        <f t="shared" si="55"/>
        <v>1</v>
      </c>
      <c r="R83" s="65">
        <f t="shared" si="55"/>
        <v>0</v>
      </c>
      <c r="S83" s="65">
        <f t="shared" si="55"/>
        <v>1</v>
      </c>
      <c r="T83" s="65">
        <f t="shared" si="55"/>
        <v>0</v>
      </c>
      <c r="U83" s="65">
        <f t="shared" si="55"/>
        <v>11</v>
      </c>
      <c r="V83" s="65">
        <v>11</v>
      </c>
      <c r="W83" s="65">
        <f t="shared" si="62"/>
        <v>1</v>
      </c>
      <c r="X83" s="65">
        <f t="shared" si="62"/>
        <v>0</v>
      </c>
      <c r="Y83" s="65">
        <f t="shared" si="62"/>
        <v>0</v>
      </c>
      <c r="Z83" s="65">
        <f t="shared" si="62"/>
        <v>0</v>
      </c>
      <c r="AA83" s="65">
        <f t="shared" si="62"/>
        <v>0</v>
      </c>
      <c r="AB83" s="65">
        <f t="shared" si="62"/>
        <v>1</v>
      </c>
      <c r="AC83" s="65">
        <f t="shared" si="57"/>
        <v>1</v>
      </c>
      <c r="AD83" s="61">
        <v>1</v>
      </c>
      <c r="AE83" s="63">
        <f t="shared" si="63"/>
        <v>0</v>
      </c>
      <c r="AF83" s="64">
        <f t="shared" si="63"/>
        <v>0</v>
      </c>
      <c r="AG83" s="64">
        <f t="shared" si="58"/>
        <v>0</v>
      </c>
      <c r="AH83" s="64">
        <f t="shared" si="58"/>
        <v>0</v>
      </c>
      <c r="AI83" s="66">
        <f t="shared" si="58"/>
        <v>0</v>
      </c>
      <c r="AJ83" s="63">
        <f t="shared" si="58"/>
        <v>0</v>
      </c>
      <c r="AK83" s="64">
        <f t="shared" si="58"/>
        <v>0</v>
      </c>
      <c r="AL83" s="65">
        <f t="shared" si="58"/>
        <v>0</v>
      </c>
      <c r="AM83" s="66">
        <f t="shared" si="58"/>
        <v>0</v>
      </c>
      <c r="AN83" s="31" t="str">
        <f t="shared" si="48"/>
        <v>SimulationStorage,2,</v>
      </c>
      <c r="AO83" s="31" t="str">
        <f t="shared" si="48"/>
        <v>AnalysisStorage,1,</v>
      </c>
      <c r="AP83" s="31" t="str">
        <f t="shared" si="48"/>
        <v>LogRuleEvaluation,0,</v>
      </c>
      <c r="AQ83" s="31" t="str">
        <f t="shared" si="48"/>
        <v>ParallelSimulations,1,</v>
      </c>
      <c r="AR83" s="31" t="str">
        <f t="shared" si="48"/>
        <v>DurationStats,0,</v>
      </c>
      <c r="AS83" s="31" t="str">
        <f t="shared" si="48"/>
        <v>AnalysisThruStep,11,</v>
      </c>
      <c r="AT83" s="31" t="str">
        <f t="shared" si="48"/>
        <v>DontAbortOnErrorsThruStep,11,</v>
      </c>
      <c r="AU83" s="31" t="str">
        <f t="shared" si="48"/>
        <v>BypassValidFileChecks,1,</v>
      </c>
      <c r="AV83" s="31" t="str">
        <f t="shared" si="48"/>
        <v>BypassInputChecks,0,</v>
      </c>
      <c r="AW83" s="31" t="str">
        <f t="shared" si="48"/>
        <v>BypassUMLHChecks,0,</v>
      </c>
      <c r="AX83" s="31" t="str">
        <f t="shared" si="48"/>
        <v>BypassCheckSimRules,0,</v>
      </c>
      <c r="AY83" s="31" t="str">
        <f t="shared" si="48"/>
        <v>BypassCheckCodeRules,0,</v>
      </c>
      <c r="BA83" s="31" t="str">
        <f t="shared" si="49"/>
        <v>StoreBEMDetails,1,</v>
      </c>
      <c r="BB83" s="31" t="str">
        <f t="shared" si="49"/>
        <v>ModelRpt_ALL,1,</v>
      </c>
      <c r="BC83" s="31" t="str">
        <f t="shared" si="49"/>
        <v>BypassOpenStudio_all,0,</v>
      </c>
      <c r="BD83" s="31" t="str">
        <f t="shared" si="49"/>
        <v>BypassOpenStudio_zp,0,</v>
      </c>
      <c r="BE83" s="31" t="str">
        <f t="shared" si="49"/>
        <v>BypassOpenStudio_zb,0,</v>
      </c>
      <c r="BF83" s="31" t="str">
        <f t="shared" si="49"/>
        <v>BypassOpenStudio_ap,0,</v>
      </c>
      <c r="BG83" s="31" t="str">
        <f t="shared" si="49"/>
        <v>BypassOpenStudio_ab,0,</v>
      </c>
      <c r="BH83" s="31" t="str">
        <f t="shared" si="49"/>
        <v>BypassOpenStudio_zp,0,</v>
      </c>
      <c r="BI83" s="31" t="str">
        <f t="shared" si="49"/>
        <v>BypassOpenStudio_zb,0,</v>
      </c>
      <c r="BJ83" s="31" t="str">
        <f t="shared" si="49"/>
        <v>BypassOpenStudio_ap,0,</v>
      </c>
      <c r="BK83" s="31" t="str">
        <f t="shared" si="50"/>
        <v>BypassOpenStudio_ab,0</v>
      </c>
    </row>
    <row r="84" spans="1:63" x14ac:dyDescent="0.25">
      <c r="A84" s="39">
        <f t="shared" si="44"/>
        <v>0</v>
      </c>
      <c r="B84" s="27" t="str">
        <f t="shared" si="51"/>
        <v>RulesetImplementationTests\\.cibd</v>
      </c>
      <c r="C84" s="27" t="str">
        <f t="shared" si="52"/>
        <v>BatchOut_160405_r3979_RIc\0.cibd</v>
      </c>
      <c r="D84" s="27" t="str">
        <f t="shared" si="53"/>
        <v>BatchOut_160405_r3979_RIc\XML\</v>
      </c>
      <c r="E84" s="9" t="e">
        <f t="shared" si="54"/>
        <v>#VALUE!</v>
      </c>
      <c r="F84" s="22"/>
      <c r="G84" s="29"/>
      <c r="H84" s="23"/>
      <c r="I84" s="9" t="s">
        <v>11</v>
      </c>
      <c r="J84"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4" s="15" t="s">
        <v>1</v>
      </c>
      <c r="L84" s="36">
        <f t="shared" si="60"/>
        <v>0</v>
      </c>
      <c r="M84" s="32" t="e">
        <f>LEFT(N84,SEARCH("-",N84))&amp;RIGHT(N84,5)</f>
        <v>#VALUE!</v>
      </c>
      <c r="N84" s="28"/>
      <c r="O84" s="57">
        <f t="shared" si="66"/>
        <v>0</v>
      </c>
      <c r="P84" s="63">
        <f t="shared" si="61"/>
        <v>2</v>
      </c>
      <c r="Q84" s="65">
        <f t="shared" si="61"/>
        <v>1</v>
      </c>
      <c r="R84" s="65">
        <f t="shared" si="61"/>
        <v>0</v>
      </c>
      <c r="S84" s="65">
        <f t="shared" si="61"/>
        <v>1</v>
      </c>
      <c r="T84" s="65">
        <f t="shared" si="61"/>
        <v>0</v>
      </c>
      <c r="U84" s="65">
        <f t="shared" si="61"/>
        <v>11</v>
      </c>
      <c r="V84" s="65">
        <v>11</v>
      </c>
      <c r="W84" s="65">
        <f t="shared" si="62"/>
        <v>1</v>
      </c>
      <c r="X84" s="65">
        <f t="shared" si="62"/>
        <v>0</v>
      </c>
      <c r="Y84" s="65">
        <f t="shared" si="62"/>
        <v>0</v>
      </c>
      <c r="Z84" s="65">
        <f t="shared" si="62"/>
        <v>0</v>
      </c>
      <c r="AA84" s="65">
        <f t="shared" si="62"/>
        <v>0</v>
      </c>
      <c r="AB84" s="65">
        <f t="shared" si="62"/>
        <v>1</v>
      </c>
      <c r="AC84" s="65">
        <f t="shared" si="57"/>
        <v>1</v>
      </c>
      <c r="AD84" s="61">
        <v>1</v>
      </c>
      <c r="AE84" s="63">
        <f t="shared" si="63"/>
        <v>0</v>
      </c>
      <c r="AF84" s="64">
        <f t="shared" si="63"/>
        <v>0</v>
      </c>
      <c r="AG84" s="64">
        <f t="shared" si="63"/>
        <v>0</v>
      </c>
      <c r="AH84" s="64">
        <f t="shared" si="63"/>
        <v>0</v>
      </c>
      <c r="AI84" s="66">
        <f t="shared" si="63"/>
        <v>0</v>
      </c>
      <c r="AJ84" s="63">
        <f t="shared" si="63"/>
        <v>0</v>
      </c>
      <c r="AK84" s="64">
        <f t="shared" si="63"/>
        <v>0</v>
      </c>
      <c r="AL84" s="65">
        <f t="shared" si="63"/>
        <v>0</v>
      </c>
      <c r="AM84" s="66">
        <f t="shared" si="63"/>
        <v>0</v>
      </c>
      <c r="AN84" s="31" t="str">
        <f t="shared" si="48"/>
        <v>SimulationStorage,2,</v>
      </c>
      <c r="AO84" s="31" t="str">
        <f t="shared" si="48"/>
        <v>AnalysisStorage,1,</v>
      </c>
      <c r="AP84" s="31" t="str">
        <f t="shared" si="48"/>
        <v>LogRuleEvaluation,0,</v>
      </c>
      <c r="AQ84" s="31" t="str">
        <f t="shared" si="48"/>
        <v>ParallelSimulations,1,</v>
      </c>
      <c r="AR84" s="31" t="str">
        <f t="shared" si="48"/>
        <v>DurationStats,0,</v>
      </c>
      <c r="AS84" s="31" t="str">
        <f t="shared" si="48"/>
        <v>AnalysisThruStep,11,</v>
      </c>
      <c r="AT84" s="31" t="str">
        <f t="shared" si="48"/>
        <v>DontAbortOnErrorsThruStep,11,</v>
      </c>
      <c r="AU84" s="31" t="str">
        <f t="shared" si="48"/>
        <v>BypassValidFileChecks,1,</v>
      </c>
      <c r="AV84" s="31" t="str">
        <f t="shared" si="48"/>
        <v>BypassInputChecks,0,</v>
      </c>
      <c r="AW84" s="31" t="str">
        <f t="shared" si="48"/>
        <v>BypassUMLHChecks,0,</v>
      </c>
      <c r="AX84" s="31" t="str">
        <f t="shared" si="48"/>
        <v>BypassCheckSimRules,0,</v>
      </c>
      <c r="AY84" s="31" t="str">
        <f t="shared" si="48"/>
        <v>BypassCheckCodeRules,0,</v>
      </c>
      <c r="BA84" s="31" t="str">
        <f t="shared" si="49"/>
        <v>StoreBEMDetails,1,</v>
      </c>
      <c r="BB84" s="31" t="str">
        <f t="shared" si="49"/>
        <v>ModelRpt_ALL,1,</v>
      </c>
      <c r="BC84" s="31" t="str">
        <f t="shared" si="49"/>
        <v>BypassOpenStudio_all,0,</v>
      </c>
      <c r="BD84" s="31" t="str">
        <f t="shared" si="49"/>
        <v>BypassOpenStudio_zp,0,</v>
      </c>
      <c r="BE84" s="31" t="str">
        <f t="shared" si="49"/>
        <v>BypassOpenStudio_zb,0,</v>
      </c>
      <c r="BF84" s="31" t="str">
        <f t="shared" si="49"/>
        <v>BypassOpenStudio_ap,0,</v>
      </c>
      <c r="BG84" s="31" t="str">
        <f t="shared" si="49"/>
        <v>BypassOpenStudio_ab,0,</v>
      </c>
      <c r="BH84" s="31" t="str">
        <f t="shared" si="49"/>
        <v>BypassOpenStudio_zp,0,</v>
      </c>
      <c r="BI84" s="31" t="str">
        <f t="shared" si="49"/>
        <v>BypassOpenStudio_zb,0,</v>
      </c>
      <c r="BJ84" s="31" t="str">
        <f t="shared" si="49"/>
        <v>BypassOpenStudio_ap,0,</v>
      </c>
      <c r="BK84" s="31" t="str">
        <f t="shared" si="50"/>
        <v>BypassOpenStudio_ab,0</v>
      </c>
    </row>
    <row r="85" spans="1:63" x14ac:dyDescent="0.25">
      <c r="A85" s="39">
        <f t="shared" si="44"/>
        <v>0</v>
      </c>
      <c r="B85" s="27" t="str">
        <f t="shared" si="51"/>
        <v>RulesetImplementationTests\\.cibd</v>
      </c>
      <c r="C85" s="27" t="str">
        <f t="shared" si="52"/>
        <v>BatchOut_160405_r3979_RIc\0.cibd</v>
      </c>
      <c r="D85" s="27" t="str">
        <f t="shared" si="53"/>
        <v>BatchOut_160405_r3979_RIc\XML\</v>
      </c>
      <c r="E85" s="9" t="e">
        <f t="shared" si="54"/>
        <v>#VALUE!</v>
      </c>
      <c r="F85" s="22"/>
      <c r="G85" s="29"/>
      <c r="H85" s="23"/>
      <c r="I85" s="9" t="s">
        <v>11</v>
      </c>
      <c r="J85"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5" s="15" t="s">
        <v>1</v>
      </c>
      <c r="L85" s="36">
        <f t="shared" si="60"/>
        <v>0</v>
      </c>
      <c r="M85" s="32" t="e">
        <f>LEFT(N85,SEARCH("-",N85))&amp;RIGHT(N85,5)</f>
        <v>#VALUE!</v>
      </c>
      <c r="N85" s="28"/>
      <c r="O85" s="57">
        <f t="shared" si="66"/>
        <v>0</v>
      </c>
      <c r="P85" s="63">
        <f t="shared" ref="P85:U99" si="67">P84</f>
        <v>2</v>
      </c>
      <c r="Q85" s="65">
        <f t="shared" si="67"/>
        <v>1</v>
      </c>
      <c r="R85" s="65">
        <f t="shared" si="67"/>
        <v>0</v>
      </c>
      <c r="S85" s="65">
        <f t="shared" si="67"/>
        <v>1</v>
      </c>
      <c r="T85" s="65">
        <f t="shared" si="67"/>
        <v>0</v>
      </c>
      <c r="U85" s="65">
        <f t="shared" si="67"/>
        <v>11</v>
      </c>
      <c r="V85" s="65">
        <v>11</v>
      </c>
      <c r="W85" s="65">
        <f t="shared" ref="W85:AB99" si="68">W84</f>
        <v>1</v>
      </c>
      <c r="X85" s="65">
        <f t="shared" si="68"/>
        <v>0</v>
      </c>
      <c r="Y85" s="65">
        <f t="shared" si="68"/>
        <v>0</v>
      </c>
      <c r="Z85" s="65">
        <f t="shared" si="68"/>
        <v>0</v>
      </c>
      <c r="AA85" s="65">
        <f t="shared" si="68"/>
        <v>0</v>
      </c>
      <c r="AB85" s="65">
        <f t="shared" si="68"/>
        <v>1</v>
      </c>
      <c r="AC85" s="65">
        <f t="shared" si="57"/>
        <v>1</v>
      </c>
      <c r="AD85" s="61">
        <v>1</v>
      </c>
      <c r="AE85" s="63">
        <f t="shared" ref="AE85:AM99" si="69">AE84</f>
        <v>0</v>
      </c>
      <c r="AF85" s="64">
        <f t="shared" si="69"/>
        <v>0</v>
      </c>
      <c r="AG85" s="64">
        <f t="shared" si="69"/>
        <v>0</v>
      </c>
      <c r="AH85" s="64">
        <f t="shared" si="69"/>
        <v>0</v>
      </c>
      <c r="AI85" s="66">
        <f t="shared" si="69"/>
        <v>0</v>
      </c>
      <c r="AJ85" s="63">
        <f t="shared" si="69"/>
        <v>0</v>
      </c>
      <c r="AK85" s="64">
        <f t="shared" si="69"/>
        <v>0</v>
      </c>
      <c r="AL85" s="65">
        <f t="shared" si="69"/>
        <v>0</v>
      </c>
      <c r="AM85" s="66">
        <f t="shared" si="69"/>
        <v>0</v>
      </c>
      <c r="AN85" s="31" t="str">
        <f t="shared" si="48"/>
        <v>SimulationStorage,2,</v>
      </c>
      <c r="AO85" s="31" t="str">
        <f t="shared" si="48"/>
        <v>AnalysisStorage,1,</v>
      </c>
      <c r="AP85" s="31" t="str">
        <f t="shared" si="48"/>
        <v>LogRuleEvaluation,0,</v>
      </c>
      <c r="AQ85" s="31" t="str">
        <f t="shared" si="48"/>
        <v>ParallelSimulations,1,</v>
      </c>
      <c r="AR85" s="31" t="str">
        <f t="shared" si="48"/>
        <v>DurationStats,0,</v>
      </c>
      <c r="AS85" s="31" t="str">
        <f t="shared" si="48"/>
        <v>AnalysisThruStep,11,</v>
      </c>
      <c r="AT85" s="31" t="str">
        <f t="shared" si="48"/>
        <v>DontAbortOnErrorsThruStep,11,</v>
      </c>
      <c r="AU85" s="31" t="str">
        <f t="shared" si="48"/>
        <v>BypassValidFileChecks,1,</v>
      </c>
      <c r="AV85" s="31" t="str">
        <f t="shared" si="48"/>
        <v>BypassInputChecks,0,</v>
      </c>
      <c r="AW85" s="31" t="str">
        <f t="shared" si="48"/>
        <v>BypassUMLHChecks,0,</v>
      </c>
      <c r="AX85" s="31" t="str">
        <f t="shared" si="48"/>
        <v>BypassCheckSimRules,0,</v>
      </c>
      <c r="AY85" s="31" t="str">
        <f t="shared" si="48"/>
        <v>BypassCheckCodeRules,0,</v>
      </c>
      <c r="BA85" s="31" t="str">
        <f t="shared" si="49"/>
        <v>StoreBEMDetails,1,</v>
      </c>
      <c r="BB85" s="31" t="str">
        <f t="shared" si="49"/>
        <v>ModelRpt_ALL,1,</v>
      </c>
      <c r="BC85" s="31" t="str">
        <f t="shared" si="49"/>
        <v>BypassOpenStudio_all,0,</v>
      </c>
      <c r="BD85" s="31" t="str">
        <f t="shared" si="49"/>
        <v>BypassOpenStudio_zp,0,</v>
      </c>
      <c r="BE85" s="31" t="str">
        <f t="shared" si="49"/>
        <v>BypassOpenStudio_zb,0,</v>
      </c>
      <c r="BF85" s="31" t="str">
        <f t="shared" si="49"/>
        <v>BypassOpenStudio_ap,0,</v>
      </c>
      <c r="BG85" s="31" t="str">
        <f t="shared" si="49"/>
        <v>BypassOpenStudio_ab,0,</v>
      </c>
      <c r="BH85" s="31" t="str">
        <f t="shared" si="49"/>
        <v>BypassOpenStudio_zp,0,</v>
      </c>
      <c r="BI85" s="31" t="str">
        <f t="shared" si="49"/>
        <v>BypassOpenStudio_zb,0,</v>
      </c>
      <c r="BJ85" s="31" t="str">
        <f t="shared" si="49"/>
        <v>BypassOpenStudio_ap,0,</v>
      </c>
      <c r="BK85" s="31" t="str">
        <f t="shared" si="50"/>
        <v>BypassOpenStudio_ab,0</v>
      </c>
    </row>
    <row r="86" spans="1:63" x14ac:dyDescent="0.25">
      <c r="A86" s="39">
        <f t="shared" si="44"/>
        <v>0</v>
      </c>
      <c r="B86" s="27" t="str">
        <f t="shared" si="51"/>
        <v>RulesetImplementationTests\\.cibd</v>
      </c>
      <c r="C86" s="27" t="str">
        <f t="shared" si="52"/>
        <v>BatchOut_160405_r3979_RIc\0.cibd</v>
      </c>
      <c r="D86" s="27" t="str">
        <f t="shared" si="53"/>
        <v>BatchOut_160405_r3979_RIc\XML\</v>
      </c>
      <c r="E86" s="9" t="e">
        <f t="shared" si="54"/>
        <v>#VALUE!</v>
      </c>
      <c r="F86" s="22"/>
      <c r="G86" s="29"/>
      <c r="H86" s="23"/>
      <c r="I86" s="9" t="s">
        <v>11</v>
      </c>
      <c r="J86"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6" s="15" t="s">
        <v>1</v>
      </c>
      <c r="L86" s="36">
        <f t="shared" si="60"/>
        <v>0</v>
      </c>
      <c r="M86" s="32" t="e">
        <f t="shared" ref="M86:M90" si="70">LEFT(N86,SEARCH("-",N86))&amp;RIGHT(N86,5)</f>
        <v>#VALUE!</v>
      </c>
      <c r="N86" s="28"/>
      <c r="O86" s="57">
        <f t="shared" si="66"/>
        <v>0</v>
      </c>
      <c r="P86" s="63">
        <f t="shared" si="67"/>
        <v>2</v>
      </c>
      <c r="Q86" s="65">
        <f t="shared" si="67"/>
        <v>1</v>
      </c>
      <c r="R86" s="65">
        <f t="shared" si="67"/>
        <v>0</v>
      </c>
      <c r="S86" s="65">
        <f t="shared" si="67"/>
        <v>1</v>
      </c>
      <c r="T86" s="65">
        <f t="shared" si="67"/>
        <v>0</v>
      </c>
      <c r="U86" s="65">
        <f t="shared" si="67"/>
        <v>11</v>
      </c>
      <c r="V86" s="65">
        <v>11</v>
      </c>
      <c r="W86" s="65">
        <f t="shared" si="68"/>
        <v>1</v>
      </c>
      <c r="X86" s="65">
        <f t="shared" si="68"/>
        <v>0</v>
      </c>
      <c r="Y86" s="65">
        <f t="shared" si="68"/>
        <v>0</v>
      </c>
      <c r="Z86" s="65">
        <f t="shared" si="68"/>
        <v>0</v>
      </c>
      <c r="AA86" s="65">
        <f t="shared" si="68"/>
        <v>0</v>
      </c>
      <c r="AB86" s="65">
        <f t="shared" si="68"/>
        <v>1</v>
      </c>
      <c r="AC86" s="65">
        <f t="shared" si="57"/>
        <v>1</v>
      </c>
      <c r="AD86" s="61">
        <v>1</v>
      </c>
      <c r="AE86" s="63">
        <f t="shared" si="69"/>
        <v>0</v>
      </c>
      <c r="AF86" s="64">
        <f t="shared" si="69"/>
        <v>0</v>
      </c>
      <c r="AG86" s="64">
        <f t="shared" si="69"/>
        <v>0</v>
      </c>
      <c r="AH86" s="64">
        <f t="shared" si="69"/>
        <v>0</v>
      </c>
      <c r="AI86" s="66">
        <f t="shared" si="69"/>
        <v>0</v>
      </c>
      <c r="AJ86" s="63">
        <f t="shared" si="69"/>
        <v>0</v>
      </c>
      <c r="AK86" s="64">
        <f t="shared" si="69"/>
        <v>0</v>
      </c>
      <c r="AL86" s="65">
        <f t="shared" si="69"/>
        <v>0</v>
      </c>
      <c r="AM86" s="66">
        <f t="shared" si="69"/>
        <v>0</v>
      </c>
      <c r="AN86" s="31" t="str">
        <f t="shared" si="48"/>
        <v>SimulationStorage,2,</v>
      </c>
      <c r="AO86" s="31" t="str">
        <f t="shared" si="48"/>
        <v>AnalysisStorage,1,</v>
      </c>
      <c r="AP86" s="31" t="str">
        <f t="shared" si="48"/>
        <v>LogRuleEvaluation,0,</v>
      </c>
      <c r="AQ86" s="31" t="str">
        <f t="shared" si="48"/>
        <v>ParallelSimulations,1,</v>
      </c>
      <c r="AR86" s="31" t="str">
        <f t="shared" si="48"/>
        <v>DurationStats,0,</v>
      </c>
      <c r="AS86" s="31" t="str">
        <f t="shared" si="48"/>
        <v>AnalysisThruStep,11,</v>
      </c>
      <c r="AT86" s="31" t="str">
        <f t="shared" si="48"/>
        <v>DontAbortOnErrorsThruStep,11,</v>
      </c>
      <c r="AU86" s="31" t="str">
        <f t="shared" si="48"/>
        <v>BypassValidFileChecks,1,</v>
      </c>
      <c r="AV86" s="31" t="str">
        <f t="shared" si="48"/>
        <v>BypassInputChecks,0,</v>
      </c>
      <c r="AW86" s="31" t="str">
        <f t="shared" si="48"/>
        <v>BypassUMLHChecks,0,</v>
      </c>
      <c r="AX86" s="31" t="str">
        <f t="shared" si="48"/>
        <v>BypassCheckSimRules,0,</v>
      </c>
      <c r="AY86" s="31" t="str">
        <f t="shared" si="48"/>
        <v>BypassCheckCodeRules,0,</v>
      </c>
      <c r="BA86" s="31" t="str">
        <f t="shared" si="49"/>
        <v>StoreBEMDetails,1,</v>
      </c>
      <c r="BB86" s="31" t="str">
        <f t="shared" si="49"/>
        <v>ModelRpt_ALL,1,</v>
      </c>
      <c r="BC86" s="31" t="str">
        <f t="shared" si="49"/>
        <v>BypassOpenStudio_all,0,</v>
      </c>
      <c r="BD86" s="31" t="str">
        <f t="shared" si="49"/>
        <v>BypassOpenStudio_zp,0,</v>
      </c>
      <c r="BE86" s="31" t="str">
        <f t="shared" si="49"/>
        <v>BypassOpenStudio_zb,0,</v>
      </c>
      <c r="BF86" s="31" t="str">
        <f t="shared" si="49"/>
        <v>BypassOpenStudio_ap,0,</v>
      </c>
      <c r="BG86" s="31" t="str">
        <f t="shared" si="49"/>
        <v>BypassOpenStudio_ab,0,</v>
      </c>
      <c r="BH86" s="31" t="str">
        <f t="shared" si="49"/>
        <v>BypassOpenStudio_zp,0,</v>
      </c>
      <c r="BI86" s="31" t="str">
        <f t="shared" si="49"/>
        <v>BypassOpenStudio_zb,0,</v>
      </c>
      <c r="BJ86" s="31" t="str">
        <f t="shared" si="49"/>
        <v>BypassOpenStudio_ap,0,</v>
      </c>
      <c r="BK86" s="31" t="str">
        <f t="shared" si="50"/>
        <v>BypassOpenStudio_ab,0</v>
      </c>
    </row>
    <row r="87" spans="1:63" x14ac:dyDescent="0.25">
      <c r="A87" s="39">
        <f t="shared" si="44"/>
        <v>0</v>
      </c>
      <c r="B87" s="27" t="str">
        <f t="shared" si="51"/>
        <v>RulesetImplementationTests\\.cibd</v>
      </c>
      <c r="C87" s="27" t="str">
        <f t="shared" si="52"/>
        <v>BatchOut_160405_r3979_RIc\0.cibd</v>
      </c>
      <c r="D87" s="27" t="str">
        <f t="shared" si="53"/>
        <v>BatchOut_160405_r3979_RIc\XML\</v>
      </c>
      <c r="E87" s="9" t="e">
        <f t="shared" si="54"/>
        <v>#VALUE!</v>
      </c>
      <c r="F87" s="22"/>
      <c r="G87" s="29"/>
      <c r="H87" s="23"/>
      <c r="I87" s="9" t="s">
        <v>11</v>
      </c>
      <c r="J87"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7" s="15" t="s">
        <v>1</v>
      </c>
      <c r="L87" s="36">
        <f t="shared" si="60"/>
        <v>0</v>
      </c>
      <c r="M87" s="32" t="e">
        <f t="shared" si="70"/>
        <v>#VALUE!</v>
      </c>
      <c r="N87" s="28"/>
      <c r="O87" s="57">
        <f t="shared" si="66"/>
        <v>0</v>
      </c>
      <c r="P87" s="63">
        <f t="shared" si="67"/>
        <v>2</v>
      </c>
      <c r="Q87" s="65">
        <f t="shared" si="67"/>
        <v>1</v>
      </c>
      <c r="R87" s="65">
        <f t="shared" si="67"/>
        <v>0</v>
      </c>
      <c r="S87" s="65">
        <f t="shared" si="67"/>
        <v>1</v>
      </c>
      <c r="T87" s="65">
        <f t="shared" si="67"/>
        <v>0</v>
      </c>
      <c r="U87" s="65">
        <f t="shared" si="67"/>
        <v>11</v>
      </c>
      <c r="V87" s="65">
        <v>11</v>
      </c>
      <c r="W87" s="65">
        <f t="shared" si="68"/>
        <v>1</v>
      </c>
      <c r="X87" s="65">
        <f t="shared" si="68"/>
        <v>0</v>
      </c>
      <c r="Y87" s="65">
        <f t="shared" si="68"/>
        <v>0</v>
      </c>
      <c r="Z87" s="65">
        <f t="shared" si="68"/>
        <v>0</v>
      </c>
      <c r="AA87" s="65">
        <f t="shared" si="68"/>
        <v>0</v>
      </c>
      <c r="AB87" s="65">
        <f t="shared" si="68"/>
        <v>1</v>
      </c>
      <c r="AC87" s="65">
        <f t="shared" si="57"/>
        <v>1</v>
      </c>
      <c r="AD87" s="61">
        <v>1</v>
      </c>
      <c r="AE87" s="63">
        <f t="shared" si="69"/>
        <v>0</v>
      </c>
      <c r="AF87" s="64">
        <f t="shared" si="69"/>
        <v>0</v>
      </c>
      <c r="AG87" s="64">
        <f t="shared" si="69"/>
        <v>0</v>
      </c>
      <c r="AH87" s="64">
        <f t="shared" si="69"/>
        <v>0</v>
      </c>
      <c r="AI87" s="66">
        <f t="shared" si="69"/>
        <v>0</v>
      </c>
      <c r="AJ87" s="63">
        <f t="shared" si="69"/>
        <v>0</v>
      </c>
      <c r="AK87" s="64">
        <f t="shared" si="69"/>
        <v>0</v>
      </c>
      <c r="AL87" s="65">
        <f t="shared" si="69"/>
        <v>0</v>
      </c>
      <c r="AM87" s="66">
        <f t="shared" si="69"/>
        <v>0</v>
      </c>
      <c r="AN87" s="31" t="str">
        <f t="shared" si="48"/>
        <v>SimulationStorage,2,</v>
      </c>
      <c r="AO87" s="31" t="str">
        <f t="shared" si="48"/>
        <v>AnalysisStorage,1,</v>
      </c>
      <c r="AP87" s="31" t="str">
        <f t="shared" si="48"/>
        <v>LogRuleEvaluation,0,</v>
      </c>
      <c r="AQ87" s="31" t="str">
        <f t="shared" si="48"/>
        <v>ParallelSimulations,1,</v>
      </c>
      <c r="AR87" s="31" t="str">
        <f t="shared" si="48"/>
        <v>DurationStats,0,</v>
      </c>
      <c r="AS87" s="31" t="str">
        <f t="shared" si="48"/>
        <v>AnalysisThruStep,11,</v>
      </c>
      <c r="AT87" s="31" t="str">
        <f t="shared" si="48"/>
        <v>DontAbortOnErrorsThruStep,11,</v>
      </c>
      <c r="AU87" s="31" t="str">
        <f t="shared" si="48"/>
        <v>BypassValidFileChecks,1,</v>
      </c>
      <c r="AV87" s="31" t="str">
        <f t="shared" si="48"/>
        <v>BypassInputChecks,0,</v>
      </c>
      <c r="AW87" s="31" t="str">
        <f t="shared" si="48"/>
        <v>BypassUMLHChecks,0,</v>
      </c>
      <c r="AX87" s="31" t="str">
        <f t="shared" si="48"/>
        <v>BypassCheckSimRules,0,</v>
      </c>
      <c r="AY87" s="31" t="str">
        <f t="shared" si="48"/>
        <v>BypassCheckCodeRules,0,</v>
      </c>
      <c r="BA87" s="31" t="str">
        <f t="shared" si="49"/>
        <v>StoreBEMDetails,1,</v>
      </c>
      <c r="BB87" s="31" t="str">
        <f t="shared" si="49"/>
        <v>ModelRpt_ALL,1,</v>
      </c>
      <c r="BC87" s="31" t="str">
        <f t="shared" si="49"/>
        <v>BypassOpenStudio_all,0,</v>
      </c>
      <c r="BD87" s="31" t="str">
        <f t="shared" si="49"/>
        <v>BypassOpenStudio_zp,0,</v>
      </c>
      <c r="BE87" s="31" t="str">
        <f t="shared" si="49"/>
        <v>BypassOpenStudio_zb,0,</v>
      </c>
      <c r="BF87" s="31" t="str">
        <f t="shared" si="49"/>
        <v>BypassOpenStudio_ap,0,</v>
      </c>
      <c r="BG87" s="31" t="str">
        <f t="shared" si="49"/>
        <v>BypassOpenStudio_ab,0,</v>
      </c>
      <c r="BH87" s="31" t="str">
        <f t="shared" si="49"/>
        <v>BypassOpenStudio_zp,0,</v>
      </c>
      <c r="BI87" s="31" t="str">
        <f t="shared" si="49"/>
        <v>BypassOpenStudio_zb,0,</v>
      </c>
      <c r="BJ87" s="31" t="str">
        <f t="shared" si="49"/>
        <v>BypassOpenStudio_ap,0,</v>
      </c>
      <c r="BK87" s="31" t="str">
        <f t="shared" si="50"/>
        <v>BypassOpenStudio_ab,0</v>
      </c>
    </row>
    <row r="88" spans="1:63" x14ac:dyDescent="0.25">
      <c r="A88" s="39">
        <f t="shared" si="44"/>
        <v>0</v>
      </c>
      <c r="B88" s="27" t="str">
        <f t="shared" si="51"/>
        <v>RulesetImplementationTests\\.cibd</v>
      </c>
      <c r="C88" s="27" t="str">
        <f t="shared" si="52"/>
        <v>BatchOut_160405_r3979_RIc\0.cibd</v>
      </c>
      <c r="D88" s="27" t="str">
        <f t="shared" si="53"/>
        <v>BatchOut_160405_r3979_RIc\XML\</v>
      </c>
      <c r="E88" s="9" t="e">
        <f t="shared" si="54"/>
        <v>#VALUE!</v>
      </c>
      <c r="F88" s="22"/>
      <c r="G88" s="29"/>
      <c r="H88" s="23"/>
      <c r="I88" s="9" t="s">
        <v>11</v>
      </c>
      <c r="J88"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8" s="15" t="s">
        <v>1</v>
      </c>
      <c r="L88" s="36">
        <f t="shared" si="60"/>
        <v>0</v>
      </c>
      <c r="M88" s="32" t="e">
        <f t="shared" si="70"/>
        <v>#VALUE!</v>
      </c>
      <c r="N88" s="28"/>
      <c r="O88" s="57">
        <f t="shared" si="66"/>
        <v>0</v>
      </c>
      <c r="P88" s="63">
        <f t="shared" si="67"/>
        <v>2</v>
      </c>
      <c r="Q88" s="65">
        <f t="shared" si="67"/>
        <v>1</v>
      </c>
      <c r="R88" s="65">
        <f t="shared" si="67"/>
        <v>0</v>
      </c>
      <c r="S88" s="65">
        <f t="shared" si="67"/>
        <v>1</v>
      </c>
      <c r="T88" s="65">
        <f t="shared" si="67"/>
        <v>0</v>
      </c>
      <c r="U88" s="65">
        <f t="shared" si="67"/>
        <v>11</v>
      </c>
      <c r="V88" s="65">
        <v>11</v>
      </c>
      <c r="W88" s="65">
        <f t="shared" si="68"/>
        <v>1</v>
      </c>
      <c r="X88" s="65">
        <f t="shared" si="68"/>
        <v>0</v>
      </c>
      <c r="Y88" s="65">
        <f t="shared" si="68"/>
        <v>0</v>
      </c>
      <c r="Z88" s="65">
        <f t="shared" si="68"/>
        <v>0</v>
      </c>
      <c r="AA88" s="65">
        <f t="shared" si="68"/>
        <v>0</v>
      </c>
      <c r="AB88" s="65">
        <f t="shared" si="68"/>
        <v>1</v>
      </c>
      <c r="AC88" s="65">
        <f t="shared" si="57"/>
        <v>1</v>
      </c>
      <c r="AD88" s="61">
        <v>1</v>
      </c>
      <c r="AE88" s="63">
        <f t="shared" si="69"/>
        <v>0</v>
      </c>
      <c r="AF88" s="64">
        <f t="shared" si="69"/>
        <v>0</v>
      </c>
      <c r="AG88" s="64">
        <f t="shared" si="69"/>
        <v>0</v>
      </c>
      <c r="AH88" s="64">
        <f t="shared" si="69"/>
        <v>0</v>
      </c>
      <c r="AI88" s="66">
        <f t="shared" si="69"/>
        <v>0</v>
      </c>
      <c r="AJ88" s="63">
        <f t="shared" si="69"/>
        <v>0</v>
      </c>
      <c r="AK88" s="64">
        <f t="shared" si="69"/>
        <v>0</v>
      </c>
      <c r="AL88" s="65">
        <f t="shared" si="69"/>
        <v>0</v>
      </c>
      <c r="AM88" s="66">
        <f t="shared" si="69"/>
        <v>0</v>
      </c>
      <c r="AN88" s="31" t="str">
        <f t="shared" si="48"/>
        <v>SimulationStorage,2,</v>
      </c>
      <c r="AO88" s="31" t="str">
        <f t="shared" si="48"/>
        <v>AnalysisStorage,1,</v>
      </c>
      <c r="AP88" s="31" t="str">
        <f t="shared" si="48"/>
        <v>LogRuleEvaluation,0,</v>
      </c>
      <c r="AQ88" s="31" t="str">
        <f t="shared" ref="AQ88:AY99" si="71">S$12&amp;S88&amp;","</f>
        <v>ParallelSimulations,1,</v>
      </c>
      <c r="AR88" s="31" t="str">
        <f t="shared" si="71"/>
        <v>DurationStats,0,</v>
      </c>
      <c r="AS88" s="31" t="str">
        <f t="shared" si="71"/>
        <v>AnalysisThruStep,11,</v>
      </c>
      <c r="AT88" s="31" t="str">
        <f t="shared" si="71"/>
        <v>DontAbortOnErrorsThruStep,11,</v>
      </c>
      <c r="AU88" s="31" t="str">
        <f t="shared" si="71"/>
        <v>BypassValidFileChecks,1,</v>
      </c>
      <c r="AV88" s="31" t="str">
        <f t="shared" si="71"/>
        <v>BypassInputChecks,0,</v>
      </c>
      <c r="AW88" s="31" t="str">
        <f t="shared" si="71"/>
        <v>BypassUMLHChecks,0,</v>
      </c>
      <c r="AX88" s="31" t="str">
        <f t="shared" si="71"/>
        <v>BypassCheckSimRules,0,</v>
      </c>
      <c r="AY88" s="31" t="str">
        <f t="shared" si="71"/>
        <v>BypassCheckCodeRules,0,</v>
      </c>
      <c r="BA88" s="31" t="str">
        <f t="shared" si="49"/>
        <v>StoreBEMDetails,1,</v>
      </c>
      <c r="BB88" s="31" t="str">
        <f t="shared" si="49"/>
        <v>ModelRpt_ALL,1,</v>
      </c>
      <c r="BC88" s="31" t="str">
        <f t="shared" si="49"/>
        <v>BypassOpenStudio_all,0,</v>
      </c>
      <c r="BD88" s="31" t="str">
        <f t="shared" si="49"/>
        <v>BypassOpenStudio_zp,0,</v>
      </c>
      <c r="BE88" s="31" t="str">
        <f t="shared" si="49"/>
        <v>BypassOpenStudio_zb,0,</v>
      </c>
      <c r="BF88" s="31" t="str">
        <f t="shared" si="49"/>
        <v>BypassOpenStudio_ap,0,</v>
      </c>
      <c r="BG88" s="31" t="str">
        <f t="shared" si="49"/>
        <v>BypassOpenStudio_ab,0,</v>
      </c>
      <c r="BH88" s="31" t="str">
        <f t="shared" si="49"/>
        <v>BypassOpenStudio_zp,0,</v>
      </c>
      <c r="BI88" s="31" t="str">
        <f t="shared" si="49"/>
        <v>BypassOpenStudio_zb,0,</v>
      </c>
      <c r="BJ88" s="31" t="str">
        <f t="shared" si="49"/>
        <v>BypassOpenStudio_ap,0,</v>
      </c>
      <c r="BK88" s="31" t="str">
        <f t="shared" si="50"/>
        <v>BypassOpenStudio_ab,0</v>
      </c>
    </row>
    <row r="89" spans="1:63" x14ac:dyDescent="0.25">
      <c r="A89" s="39">
        <f t="shared" si="44"/>
        <v>0</v>
      </c>
      <c r="B89" s="27" t="str">
        <f t="shared" si="51"/>
        <v>RulesetImplementationTests\\.cibd</v>
      </c>
      <c r="C89" s="27" t="str">
        <f t="shared" si="52"/>
        <v>BatchOut_160405_r3979_RIc\0.cibd</v>
      </c>
      <c r="D89" s="27" t="str">
        <f t="shared" si="53"/>
        <v>BatchOut_160405_r3979_RIc\XML\</v>
      </c>
      <c r="E89" s="9" t="e">
        <f t="shared" si="54"/>
        <v>#VALUE!</v>
      </c>
      <c r="F89" s="22"/>
      <c r="G89" s="29"/>
      <c r="H89" s="23"/>
      <c r="I89" s="9" t="s">
        <v>11</v>
      </c>
      <c r="J89"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89" s="15" t="s">
        <v>1</v>
      </c>
      <c r="L89" s="36">
        <f t="shared" si="60"/>
        <v>0</v>
      </c>
      <c r="M89" s="32" t="e">
        <f t="shared" si="70"/>
        <v>#VALUE!</v>
      </c>
      <c r="N89" s="28"/>
      <c r="O89" s="57">
        <f t="shared" si="66"/>
        <v>0</v>
      </c>
      <c r="P89" s="63">
        <f t="shared" si="67"/>
        <v>2</v>
      </c>
      <c r="Q89" s="65">
        <f t="shared" si="67"/>
        <v>1</v>
      </c>
      <c r="R89" s="65">
        <f t="shared" si="67"/>
        <v>0</v>
      </c>
      <c r="S89" s="65">
        <f t="shared" si="67"/>
        <v>1</v>
      </c>
      <c r="T89" s="65">
        <f t="shared" si="67"/>
        <v>0</v>
      </c>
      <c r="U89" s="65">
        <f t="shared" si="67"/>
        <v>11</v>
      </c>
      <c r="V89" s="65">
        <v>11</v>
      </c>
      <c r="W89" s="65">
        <f t="shared" si="68"/>
        <v>1</v>
      </c>
      <c r="X89" s="65">
        <f t="shared" si="68"/>
        <v>0</v>
      </c>
      <c r="Y89" s="65">
        <f t="shared" si="68"/>
        <v>0</v>
      </c>
      <c r="Z89" s="65">
        <f t="shared" si="68"/>
        <v>0</v>
      </c>
      <c r="AA89" s="65">
        <f t="shared" si="68"/>
        <v>0</v>
      </c>
      <c r="AB89" s="65">
        <f t="shared" si="68"/>
        <v>1</v>
      </c>
      <c r="AC89" s="65">
        <f t="shared" si="57"/>
        <v>1</v>
      </c>
      <c r="AD89" s="61">
        <v>1</v>
      </c>
      <c r="AE89" s="63">
        <f t="shared" si="69"/>
        <v>0</v>
      </c>
      <c r="AF89" s="64">
        <f t="shared" si="69"/>
        <v>0</v>
      </c>
      <c r="AG89" s="64">
        <f t="shared" si="69"/>
        <v>0</v>
      </c>
      <c r="AH89" s="64">
        <f t="shared" si="69"/>
        <v>0</v>
      </c>
      <c r="AI89" s="66">
        <f t="shared" si="69"/>
        <v>0</v>
      </c>
      <c r="AJ89" s="63">
        <f t="shared" si="69"/>
        <v>0</v>
      </c>
      <c r="AK89" s="64">
        <f t="shared" si="69"/>
        <v>0</v>
      </c>
      <c r="AL89" s="65">
        <f t="shared" si="69"/>
        <v>0</v>
      </c>
      <c r="AM89" s="66">
        <f t="shared" si="69"/>
        <v>0</v>
      </c>
      <c r="AN89" s="31" t="str">
        <f t="shared" ref="AN89:AP99" si="72">P$12&amp;P89&amp;","</f>
        <v>SimulationStorage,2,</v>
      </c>
      <c r="AO89" s="31" t="str">
        <f t="shared" si="72"/>
        <v>AnalysisStorage,1,</v>
      </c>
      <c r="AP89" s="31" t="str">
        <f t="shared" si="72"/>
        <v>LogRuleEvaluation,0,</v>
      </c>
      <c r="AQ89" s="31" t="str">
        <f t="shared" si="71"/>
        <v>ParallelSimulations,1,</v>
      </c>
      <c r="AR89" s="31" t="str">
        <f t="shared" si="71"/>
        <v>DurationStats,0,</v>
      </c>
      <c r="AS89" s="31" t="str">
        <f t="shared" si="71"/>
        <v>AnalysisThruStep,11,</v>
      </c>
      <c r="AT89" s="31" t="str">
        <f t="shared" si="71"/>
        <v>DontAbortOnErrorsThruStep,11,</v>
      </c>
      <c r="AU89" s="31" t="str">
        <f t="shared" si="71"/>
        <v>BypassValidFileChecks,1,</v>
      </c>
      <c r="AV89" s="31" t="str">
        <f t="shared" si="71"/>
        <v>BypassInputChecks,0,</v>
      </c>
      <c r="AW89" s="31" t="str">
        <f t="shared" si="71"/>
        <v>BypassUMLHChecks,0,</v>
      </c>
      <c r="AX89" s="31" t="str">
        <f t="shared" si="71"/>
        <v>BypassCheckSimRules,0,</v>
      </c>
      <c r="AY89" s="31" t="str">
        <f t="shared" si="71"/>
        <v>BypassCheckCodeRules,0,</v>
      </c>
      <c r="BA89" s="31" t="str">
        <f t="shared" si="49"/>
        <v>StoreBEMDetails,1,</v>
      </c>
      <c r="BB89" s="31" t="str">
        <f t="shared" si="49"/>
        <v>ModelRpt_ALL,1,</v>
      </c>
      <c r="BC89" s="31" t="str">
        <f t="shared" si="49"/>
        <v>BypassOpenStudio_all,0,</v>
      </c>
      <c r="BD89" s="31" t="str">
        <f t="shared" si="49"/>
        <v>BypassOpenStudio_zp,0,</v>
      </c>
      <c r="BE89" s="31" t="str">
        <f t="shared" si="49"/>
        <v>BypassOpenStudio_zb,0,</v>
      </c>
      <c r="BF89" s="31" t="str">
        <f t="shared" si="49"/>
        <v>BypassOpenStudio_ap,0,</v>
      </c>
      <c r="BG89" s="31" t="str">
        <f t="shared" si="49"/>
        <v>BypassOpenStudio_ab,0,</v>
      </c>
      <c r="BH89" s="31" t="str">
        <f t="shared" si="49"/>
        <v>BypassOpenStudio_zp,0,</v>
      </c>
      <c r="BI89" s="31" t="str">
        <f t="shared" si="49"/>
        <v>BypassOpenStudio_zb,0,</v>
      </c>
      <c r="BJ89" s="31" t="str">
        <f t="shared" si="49"/>
        <v>BypassOpenStudio_ap,0,</v>
      </c>
      <c r="BK89" s="31" t="str">
        <f t="shared" si="50"/>
        <v>BypassOpenStudio_ab,0</v>
      </c>
    </row>
    <row r="90" spans="1:63" x14ac:dyDescent="0.25">
      <c r="A90" s="39">
        <f t="shared" si="44"/>
        <v>0</v>
      </c>
      <c r="B90" s="27" t="str">
        <f t="shared" si="51"/>
        <v>RulesetImplementationTests\\.cibd</v>
      </c>
      <c r="C90" s="27" t="str">
        <f t="shared" si="52"/>
        <v>BatchOut_160405_r3979_RIc\0.cibd</v>
      </c>
      <c r="D90" s="27" t="str">
        <f t="shared" si="53"/>
        <v>BatchOut_160405_r3979_RIc\XML\</v>
      </c>
      <c r="E90" s="9" t="e">
        <f t="shared" si="54"/>
        <v>#VALUE!</v>
      </c>
      <c r="F90" s="22"/>
      <c r="G90" s="29"/>
      <c r="H90" s="23"/>
      <c r="I90" s="9" t="s">
        <v>11</v>
      </c>
      <c r="J90"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0" s="15" t="s">
        <v>1</v>
      </c>
      <c r="L90" s="36">
        <f t="shared" si="60"/>
        <v>0</v>
      </c>
      <c r="M90" s="32" t="e">
        <f t="shared" si="70"/>
        <v>#VALUE!</v>
      </c>
      <c r="N90" s="28"/>
      <c r="O90" s="57">
        <f t="shared" si="66"/>
        <v>0</v>
      </c>
      <c r="P90" s="63">
        <f t="shared" si="67"/>
        <v>2</v>
      </c>
      <c r="Q90" s="65">
        <f t="shared" si="67"/>
        <v>1</v>
      </c>
      <c r="R90" s="65">
        <f t="shared" si="67"/>
        <v>0</v>
      </c>
      <c r="S90" s="65">
        <f t="shared" si="67"/>
        <v>1</v>
      </c>
      <c r="T90" s="65">
        <f t="shared" si="67"/>
        <v>0</v>
      </c>
      <c r="U90" s="65">
        <f t="shared" si="67"/>
        <v>11</v>
      </c>
      <c r="V90" s="65">
        <v>11</v>
      </c>
      <c r="W90" s="65">
        <f t="shared" si="68"/>
        <v>1</v>
      </c>
      <c r="X90" s="65">
        <f t="shared" si="68"/>
        <v>0</v>
      </c>
      <c r="Y90" s="65">
        <f t="shared" si="68"/>
        <v>0</v>
      </c>
      <c r="Z90" s="65">
        <f t="shared" si="68"/>
        <v>0</v>
      </c>
      <c r="AA90" s="65">
        <f t="shared" si="68"/>
        <v>0</v>
      </c>
      <c r="AB90" s="65">
        <f t="shared" si="68"/>
        <v>1</v>
      </c>
      <c r="AC90" s="65">
        <f t="shared" si="57"/>
        <v>1</v>
      </c>
      <c r="AD90" s="61">
        <v>1</v>
      </c>
      <c r="AE90" s="63">
        <f t="shared" si="69"/>
        <v>0</v>
      </c>
      <c r="AF90" s="64">
        <f t="shared" si="69"/>
        <v>0</v>
      </c>
      <c r="AG90" s="64">
        <f t="shared" si="69"/>
        <v>0</v>
      </c>
      <c r="AH90" s="64">
        <f t="shared" si="69"/>
        <v>0</v>
      </c>
      <c r="AI90" s="66">
        <f t="shared" si="69"/>
        <v>0</v>
      </c>
      <c r="AJ90" s="63">
        <f t="shared" si="69"/>
        <v>0</v>
      </c>
      <c r="AK90" s="64">
        <f t="shared" si="69"/>
        <v>0</v>
      </c>
      <c r="AL90" s="65">
        <f t="shared" si="69"/>
        <v>0</v>
      </c>
      <c r="AM90" s="66">
        <f t="shared" si="69"/>
        <v>0</v>
      </c>
      <c r="AN90" s="31" t="str">
        <f t="shared" si="72"/>
        <v>SimulationStorage,2,</v>
      </c>
      <c r="AO90" s="31" t="str">
        <f t="shared" si="72"/>
        <v>AnalysisStorage,1,</v>
      </c>
      <c r="AP90" s="31" t="str">
        <f t="shared" si="72"/>
        <v>LogRuleEvaluation,0,</v>
      </c>
      <c r="AQ90" s="31" t="str">
        <f t="shared" si="71"/>
        <v>ParallelSimulations,1,</v>
      </c>
      <c r="AR90" s="31" t="str">
        <f t="shared" si="71"/>
        <v>DurationStats,0,</v>
      </c>
      <c r="AS90" s="31" t="str">
        <f t="shared" si="71"/>
        <v>AnalysisThruStep,11,</v>
      </c>
      <c r="AT90" s="31" t="str">
        <f t="shared" si="71"/>
        <v>DontAbortOnErrorsThruStep,11,</v>
      </c>
      <c r="AU90" s="31" t="str">
        <f t="shared" si="71"/>
        <v>BypassValidFileChecks,1,</v>
      </c>
      <c r="AV90" s="31" t="str">
        <f t="shared" si="71"/>
        <v>BypassInputChecks,0,</v>
      </c>
      <c r="AW90" s="31" t="str">
        <f t="shared" si="71"/>
        <v>BypassUMLHChecks,0,</v>
      </c>
      <c r="AX90" s="31" t="str">
        <f t="shared" si="71"/>
        <v>BypassCheckSimRules,0,</v>
      </c>
      <c r="AY90" s="31" t="str">
        <f t="shared" si="71"/>
        <v>BypassCheckCodeRules,0,</v>
      </c>
      <c r="BA90" s="31" t="str">
        <f t="shared" si="49"/>
        <v>StoreBEMDetails,1,</v>
      </c>
      <c r="BB90" s="31" t="str">
        <f t="shared" si="49"/>
        <v>ModelRpt_ALL,1,</v>
      </c>
      <c r="BC90" s="31" t="str">
        <f t="shared" si="49"/>
        <v>BypassOpenStudio_all,0,</v>
      </c>
      <c r="BD90" s="31" t="str">
        <f t="shared" si="49"/>
        <v>BypassOpenStudio_zp,0,</v>
      </c>
      <c r="BE90" s="31" t="str">
        <f t="shared" si="49"/>
        <v>BypassOpenStudio_zb,0,</v>
      </c>
      <c r="BF90" s="31" t="str">
        <f t="shared" si="49"/>
        <v>BypassOpenStudio_ap,0,</v>
      </c>
      <c r="BG90" s="31" t="str">
        <f t="shared" si="49"/>
        <v>BypassOpenStudio_ab,0,</v>
      </c>
      <c r="BH90" s="31" t="str">
        <f t="shared" si="49"/>
        <v>BypassOpenStudio_zp,0,</v>
      </c>
      <c r="BI90" s="31" t="str">
        <f t="shared" si="49"/>
        <v>BypassOpenStudio_zb,0,</v>
      </c>
      <c r="BJ90" s="31" t="str">
        <f t="shared" si="49"/>
        <v>BypassOpenStudio_ap,0,</v>
      </c>
      <c r="BK90" s="31" t="str">
        <f t="shared" si="50"/>
        <v>BypassOpenStudio_ab,0</v>
      </c>
    </row>
    <row r="91" spans="1:63" x14ac:dyDescent="0.25">
      <c r="A91" s="39">
        <f t="shared" si="44"/>
        <v>0</v>
      </c>
      <c r="B91" s="27" t="str">
        <f t="shared" si="51"/>
        <v>RulesetImplementationTests\\.cibd</v>
      </c>
      <c r="C91" s="27" t="str">
        <f t="shared" si="52"/>
        <v>BatchOut_160405_r3979_RIc\0.cibd</v>
      </c>
      <c r="D91" s="27" t="str">
        <f t="shared" si="53"/>
        <v>BatchOut_160405_r3979_RIc\XML\</v>
      </c>
      <c r="E91" s="9" t="e">
        <f t="shared" si="54"/>
        <v>#VALUE!</v>
      </c>
      <c r="F91" s="22"/>
      <c r="G91" s="29"/>
      <c r="H91" s="23"/>
      <c r="I91" s="9" t="s">
        <v>11</v>
      </c>
      <c r="J91"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1" s="15" t="s">
        <v>1</v>
      </c>
      <c r="L91" s="36">
        <f t="shared" si="60"/>
        <v>0</v>
      </c>
      <c r="M91" s="32" t="e">
        <f t="shared" si="65"/>
        <v>#VALUE!</v>
      </c>
      <c r="N91" s="28"/>
      <c r="O91" s="57">
        <f t="shared" si="66"/>
        <v>0</v>
      </c>
      <c r="P91" s="63">
        <f t="shared" si="67"/>
        <v>2</v>
      </c>
      <c r="Q91" s="65">
        <f t="shared" si="67"/>
        <v>1</v>
      </c>
      <c r="R91" s="65">
        <f t="shared" si="67"/>
        <v>0</v>
      </c>
      <c r="S91" s="65">
        <f t="shared" si="67"/>
        <v>1</v>
      </c>
      <c r="T91" s="65">
        <f t="shared" si="67"/>
        <v>0</v>
      </c>
      <c r="U91" s="65">
        <f t="shared" si="67"/>
        <v>11</v>
      </c>
      <c r="V91" s="65">
        <v>11</v>
      </c>
      <c r="W91" s="65">
        <f t="shared" si="68"/>
        <v>1</v>
      </c>
      <c r="X91" s="65">
        <f t="shared" si="68"/>
        <v>0</v>
      </c>
      <c r="Y91" s="65">
        <f t="shared" si="68"/>
        <v>0</v>
      </c>
      <c r="Z91" s="65">
        <f t="shared" si="68"/>
        <v>0</v>
      </c>
      <c r="AA91" s="65">
        <f t="shared" si="68"/>
        <v>0</v>
      </c>
      <c r="AB91" s="65">
        <f t="shared" si="68"/>
        <v>1</v>
      </c>
      <c r="AC91" s="65">
        <f t="shared" si="57"/>
        <v>1</v>
      </c>
      <c r="AD91" s="61">
        <v>1</v>
      </c>
      <c r="AE91" s="63">
        <f t="shared" si="69"/>
        <v>0</v>
      </c>
      <c r="AF91" s="64">
        <f t="shared" si="69"/>
        <v>0</v>
      </c>
      <c r="AG91" s="64">
        <f t="shared" si="69"/>
        <v>0</v>
      </c>
      <c r="AH91" s="64">
        <f t="shared" si="69"/>
        <v>0</v>
      </c>
      <c r="AI91" s="66">
        <f t="shared" si="69"/>
        <v>0</v>
      </c>
      <c r="AJ91" s="63">
        <f t="shared" si="69"/>
        <v>0</v>
      </c>
      <c r="AK91" s="64">
        <f t="shared" si="69"/>
        <v>0</v>
      </c>
      <c r="AL91" s="65">
        <f t="shared" si="69"/>
        <v>0</v>
      </c>
      <c r="AM91" s="66">
        <f t="shared" si="69"/>
        <v>0</v>
      </c>
      <c r="AN91" s="31" t="str">
        <f t="shared" si="72"/>
        <v>SimulationStorage,2,</v>
      </c>
      <c r="AO91" s="31" t="str">
        <f t="shared" si="72"/>
        <v>AnalysisStorage,1,</v>
      </c>
      <c r="AP91" s="31" t="str">
        <f t="shared" si="72"/>
        <v>LogRuleEvaluation,0,</v>
      </c>
      <c r="AQ91" s="31" t="str">
        <f t="shared" si="71"/>
        <v>ParallelSimulations,1,</v>
      </c>
      <c r="AR91" s="31" t="str">
        <f t="shared" si="71"/>
        <v>DurationStats,0,</v>
      </c>
      <c r="AS91" s="31" t="str">
        <f t="shared" si="71"/>
        <v>AnalysisThruStep,11,</v>
      </c>
      <c r="AT91" s="31" t="str">
        <f t="shared" si="71"/>
        <v>DontAbortOnErrorsThruStep,11,</v>
      </c>
      <c r="AU91" s="31" t="str">
        <f t="shared" si="71"/>
        <v>BypassValidFileChecks,1,</v>
      </c>
      <c r="AV91" s="31" t="str">
        <f t="shared" si="71"/>
        <v>BypassInputChecks,0,</v>
      </c>
      <c r="AW91" s="31" t="str">
        <f t="shared" si="71"/>
        <v>BypassUMLHChecks,0,</v>
      </c>
      <c r="AX91" s="31" t="str">
        <f t="shared" si="71"/>
        <v>BypassCheckSimRules,0,</v>
      </c>
      <c r="AY91" s="31" t="str">
        <f t="shared" si="71"/>
        <v>BypassCheckCodeRules,0,</v>
      </c>
      <c r="BA91" s="31" t="str">
        <f t="shared" si="49"/>
        <v>StoreBEMDetails,1,</v>
      </c>
      <c r="BB91" s="31" t="str">
        <f t="shared" si="49"/>
        <v>ModelRpt_ALL,1,</v>
      </c>
      <c r="BC91" s="31" t="str">
        <f t="shared" si="49"/>
        <v>BypassOpenStudio_all,0,</v>
      </c>
      <c r="BD91" s="31" t="str">
        <f t="shared" si="49"/>
        <v>BypassOpenStudio_zp,0,</v>
      </c>
      <c r="BE91" s="31" t="str">
        <f t="shared" si="49"/>
        <v>BypassOpenStudio_zb,0,</v>
      </c>
      <c r="BF91" s="31" t="str">
        <f t="shared" si="49"/>
        <v>BypassOpenStudio_ap,0,</v>
      </c>
      <c r="BG91" s="31" t="str">
        <f t="shared" si="49"/>
        <v>BypassOpenStudio_ab,0,</v>
      </c>
      <c r="BH91" s="31" t="str">
        <f t="shared" si="49"/>
        <v>BypassOpenStudio_zp,0,</v>
      </c>
      <c r="BI91" s="31" t="str">
        <f t="shared" si="49"/>
        <v>BypassOpenStudio_zb,0,</v>
      </c>
      <c r="BJ91" s="31" t="str">
        <f t="shared" si="49"/>
        <v>BypassOpenStudio_ap,0,</v>
      </c>
      <c r="BK91" s="31" t="str">
        <f t="shared" si="50"/>
        <v>BypassOpenStudio_ab,0</v>
      </c>
    </row>
    <row r="92" spans="1:63" x14ac:dyDescent="0.25">
      <c r="A92" s="39">
        <f t="shared" si="44"/>
        <v>0</v>
      </c>
      <c r="B92" s="27" t="str">
        <f t="shared" si="51"/>
        <v>RulesetImplementationTests\\.cibd</v>
      </c>
      <c r="C92" s="27" t="str">
        <f t="shared" si="52"/>
        <v>BatchOut_160405_r3979_RIc\0.cibd</v>
      </c>
      <c r="D92" s="27" t="str">
        <f t="shared" si="53"/>
        <v>BatchOut_160405_r3979_RIc\XML\</v>
      </c>
      <c r="E92" s="9" t="e">
        <f t="shared" si="54"/>
        <v>#VALUE!</v>
      </c>
      <c r="F92" s="22"/>
      <c r="G92" s="29"/>
      <c r="H92" s="23"/>
      <c r="I92" s="9" t="s">
        <v>11</v>
      </c>
      <c r="J92"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2" s="15" t="s">
        <v>1</v>
      </c>
      <c r="L92" s="36">
        <f t="shared" si="60"/>
        <v>0</v>
      </c>
      <c r="M92" s="32" t="e">
        <f t="shared" si="65"/>
        <v>#VALUE!</v>
      </c>
      <c r="N92" s="28"/>
      <c r="O92" s="57">
        <f t="shared" si="66"/>
        <v>0</v>
      </c>
      <c r="P92" s="63">
        <f t="shared" si="67"/>
        <v>2</v>
      </c>
      <c r="Q92" s="65">
        <f t="shared" si="67"/>
        <v>1</v>
      </c>
      <c r="R92" s="65">
        <f t="shared" si="67"/>
        <v>0</v>
      </c>
      <c r="S92" s="65">
        <f t="shared" si="67"/>
        <v>1</v>
      </c>
      <c r="T92" s="65">
        <f t="shared" si="67"/>
        <v>0</v>
      </c>
      <c r="U92" s="65">
        <f t="shared" si="67"/>
        <v>11</v>
      </c>
      <c r="V92" s="65">
        <v>11</v>
      </c>
      <c r="W92" s="65">
        <f t="shared" si="68"/>
        <v>1</v>
      </c>
      <c r="X92" s="65">
        <f t="shared" si="68"/>
        <v>0</v>
      </c>
      <c r="Y92" s="65">
        <f t="shared" si="68"/>
        <v>0</v>
      </c>
      <c r="Z92" s="65">
        <f t="shared" si="68"/>
        <v>0</v>
      </c>
      <c r="AA92" s="65">
        <f t="shared" si="68"/>
        <v>0</v>
      </c>
      <c r="AB92" s="65">
        <f t="shared" si="68"/>
        <v>1</v>
      </c>
      <c r="AC92" s="65">
        <f t="shared" si="57"/>
        <v>1</v>
      </c>
      <c r="AD92" s="61">
        <v>1</v>
      </c>
      <c r="AE92" s="63">
        <f t="shared" si="69"/>
        <v>0</v>
      </c>
      <c r="AF92" s="64">
        <f t="shared" si="69"/>
        <v>0</v>
      </c>
      <c r="AG92" s="64">
        <f t="shared" si="69"/>
        <v>0</v>
      </c>
      <c r="AH92" s="64">
        <f t="shared" si="69"/>
        <v>0</v>
      </c>
      <c r="AI92" s="66">
        <f t="shared" si="69"/>
        <v>0</v>
      </c>
      <c r="AJ92" s="63">
        <f t="shared" si="69"/>
        <v>0</v>
      </c>
      <c r="AK92" s="64">
        <f t="shared" si="69"/>
        <v>0</v>
      </c>
      <c r="AL92" s="65">
        <f t="shared" si="69"/>
        <v>0</v>
      </c>
      <c r="AM92" s="66">
        <f t="shared" si="69"/>
        <v>0</v>
      </c>
      <c r="AN92" s="31" t="str">
        <f t="shared" si="72"/>
        <v>SimulationStorage,2,</v>
      </c>
      <c r="AO92" s="31" t="str">
        <f t="shared" si="72"/>
        <v>AnalysisStorage,1,</v>
      </c>
      <c r="AP92" s="31" t="str">
        <f t="shared" si="72"/>
        <v>LogRuleEvaluation,0,</v>
      </c>
      <c r="AQ92" s="31" t="str">
        <f t="shared" si="71"/>
        <v>ParallelSimulations,1,</v>
      </c>
      <c r="AR92" s="31" t="str">
        <f t="shared" si="71"/>
        <v>DurationStats,0,</v>
      </c>
      <c r="AS92" s="31" t="str">
        <f t="shared" si="71"/>
        <v>AnalysisThruStep,11,</v>
      </c>
      <c r="AT92" s="31" t="str">
        <f t="shared" si="71"/>
        <v>DontAbortOnErrorsThruStep,11,</v>
      </c>
      <c r="AU92" s="31" t="str">
        <f t="shared" si="71"/>
        <v>BypassValidFileChecks,1,</v>
      </c>
      <c r="AV92" s="31" t="str">
        <f t="shared" si="71"/>
        <v>BypassInputChecks,0,</v>
      </c>
      <c r="AW92" s="31" t="str">
        <f t="shared" si="71"/>
        <v>BypassUMLHChecks,0,</v>
      </c>
      <c r="AX92" s="31" t="str">
        <f t="shared" si="71"/>
        <v>BypassCheckSimRules,0,</v>
      </c>
      <c r="AY92" s="31" t="str">
        <f t="shared" si="71"/>
        <v>BypassCheckCodeRules,0,</v>
      </c>
      <c r="BA92" s="31" t="str">
        <f t="shared" si="49"/>
        <v>StoreBEMDetails,1,</v>
      </c>
      <c r="BB92" s="31" t="str">
        <f t="shared" si="49"/>
        <v>ModelRpt_ALL,1,</v>
      </c>
      <c r="BC92" s="31" t="str">
        <f t="shared" si="49"/>
        <v>BypassOpenStudio_all,0,</v>
      </c>
      <c r="BD92" s="31" t="str">
        <f t="shared" si="49"/>
        <v>BypassOpenStudio_zp,0,</v>
      </c>
      <c r="BE92" s="31" t="str">
        <f t="shared" si="49"/>
        <v>BypassOpenStudio_zb,0,</v>
      </c>
      <c r="BF92" s="31" t="str">
        <f t="shared" ref="BF92:BJ99" si="73">AH$12&amp;AH92&amp;","</f>
        <v>BypassOpenStudio_ap,0,</v>
      </c>
      <c r="BG92" s="31" t="str">
        <f t="shared" si="73"/>
        <v>BypassOpenStudio_ab,0,</v>
      </c>
      <c r="BH92" s="31" t="str">
        <f t="shared" si="73"/>
        <v>BypassOpenStudio_zp,0,</v>
      </c>
      <c r="BI92" s="31" t="str">
        <f t="shared" si="73"/>
        <v>BypassOpenStudio_zb,0,</v>
      </c>
      <c r="BJ92" s="31" t="str">
        <f t="shared" si="73"/>
        <v>BypassOpenStudio_ap,0,</v>
      </c>
      <c r="BK92" s="31" t="str">
        <f t="shared" si="50"/>
        <v>BypassOpenStudio_ab,0</v>
      </c>
    </row>
    <row r="93" spans="1:63" x14ac:dyDescent="0.25">
      <c r="A93" s="39">
        <f t="shared" si="44"/>
        <v>0</v>
      </c>
      <c r="B93" s="27" t="str">
        <f t="shared" si="51"/>
        <v>RulesetImplementationTests\\.cibd</v>
      </c>
      <c r="C93" s="27" t="str">
        <f t="shared" si="52"/>
        <v>BatchOut_160405_r3979_RIc\0.cibd</v>
      </c>
      <c r="D93" s="27" t="str">
        <f t="shared" si="53"/>
        <v>BatchOut_160405_r3979_RIc\XML\</v>
      </c>
      <c r="E93" s="9" t="e">
        <f t="shared" si="54"/>
        <v>#VALUE!</v>
      </c>
      <c r="F93" s="22"/>
      <c r="G93" s="29"/>
      <c r="H93" s="23"/>
      <c r="I93" s="9" t="s">
        <v>11</v>
      </c>
      <c r="J93"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3" s="15" t="s">
        <v>1</v>
      </c>
      <c r="L93" s="36">
        <f t="shared" si="60"/>
        <v>0</v>
      </c>
      <c r="M93" s="32" t="e">
        <f t="shared" si="65"/>
        <v>#VALUE!</v>
      </c>
      <c r="N93" s="28"/>
      <c r="O93" s="57">
        <f t="shared" si="66"/>
        <v>0</v>
      </c>
      <c r="P93" s="63">
        <f t="shared" si="67"/>
        <v>2</v>
      </c>
      <c r="Q93" s="65">
        <f t="shared" si="67"/>
        <v>1</v>
      </c>
      <c r="R93" s="65">
        <f t="shared" si="67"/>
        <v>0</v>
      </c>
      <c r="S93" s="65">
        <f t="shared" si="67"/>
        <v>1</v>
      </c>
      <c r="T93" s="65">
        <f t="shared" si="67"/>
        <v>0</v>
      </c>
      <c r="U93" s="65">
        <f t="shared" si="67"/>
        <v>11</v>
      </c>
      <c r="V93" s="65">
        <v>11</v>
      </c>
      <c r="W93" s="65">
        <f t="shared" si="68"/>
        <v>1</v>
      </c>
      <c r="X93" s="65">
        <f t="shared" si="68"/>
        <v>0</v>
      </c>
      <c r="Y93" s="65">
        <f t="shared" si="68"/>
        <v>0</v>
      </c>
      <c r="Z93" s="65">
        <f t="shared" si="68"/>
        <v>0</v>
      </c>
      <c r="AA93" s="65">
        <f t="shared" si="68"/>
        <v>0</v>
      </c>
      <c r="AB93" s="65">
        <f t="shared" si="68"/>
        <v>1</v>
      </c>
      <c r="AC93" s="65">
        <f t="shared" si="57"/>
        <v>1</v>
      </c>
      <c r="AD93" s="61">
        <v>1</v>
      </c>
      <c r="AE93" s="63">
        <f t="shared" si="69"/>
        <v>0</v>
      </c>
      <c r="AF93" s="64">
        <f t="shared" si="69"/>
        <v>0</v>
      </c>
      <c r="AG93" s="64">
        <f t="shared" si="69"/>
        <v>0</v>
      </c>
      <c r="AH93" s="64">
        <f t="shared" si="69"/>
        <v>0</v>
      </c>
      <c r="AI93" s="66">
        <f t="shared" si="69"/>
        <v>0</v>
      </c>
      <c r="AJ93" s="63">
        <f t="shared" si="69"/>
        <v>0</v>
      </c>
      <c r="AK93" s="64">
        <f t="shared" si="69"/>
        <v>0</v>
      </c>
      <c r="AL93" s="65">
        <f t="shared" si="69"/>
        <v>0</v>
      </c>
      <c r="AM93" s="66">
        <f t="shared" si="69"/>
        <v>0</v>
      </c>
      <c r="AN93" s="31" t="str">
        <f t="shared" si="72"/>
        <v>SimulationStorage,2,</v>
      </c>
      <c r="AO93" s="31" t="str">
        <f t="shared" si="72"/>
        <v>AnalysisStorage,1,</v>
      </c>
      <c r="AP93" s="31" t="str">
        <f t="shared" si="72"/>
        <v>LogRuleEvaluation,0,</v>
      </c>
      <c r="AQ93" s="31" t="str">
        <f t="shared" si="71"/>
        <v>ParallelSimulations,1,</v>
      </c>
      <c r="AR93" s="31" t="str">
        <f t="shared" si="71"/>
        <v>DurationStats,0,</v>
      </c>
      <c r="AS93" s="31" t="str">
        <f t="shared" si="71"/>
        <v>AnalysisThruStep,11,</v>
      </c>
      <c r="AT93" s="31" t="str">
        <f t="shared" si="71"/>
        <v>DontAbortOnErrorsThruStep,11,</v>
      </c>
      <c r="AU93" s="31" t="str">
        <f t="shared" si="71"/>
        <v>BypassValidFileChecks,1,</v>
      </c>
      <c r="AV93" s="31" t="str">
        <f t="shared" si="71"/>
        <v>BypassInputChecks,0,</v>
      </c>
      <c r="AW93" s="31" t="str">
        <f t="shared" si="71"/>
        <v>BypassUMLHChecks,0,</v>
      </c>
      <c r="AX93" s="31" t="str">
        <f t="shared" si="71"/>
        <v>BypassCheckSimRules,0,</v>
      </c>
      <c r="AY93" s="31" t="str">
        <f t="shared" si="71"/>
        <v>BypassCheckCodeRules,0,</v>
      </c>
      <c r="BA93" s="31" t="str">
        <f t="shared" ref="BA93:BE99" si="74">AC$12&amp;AC93&amp;","</f>
        <v>StoreBEMDetails,1,</v>
      </c>
      <c r="BB93" s="31" t="str">
        <f t="shared" si="74"/>
        <v>ModelRpt_ALL,1,</v>
      </c>
      <c r="BC93" s="31" t="str">
        <f t="shared" si="74"/>
        <v>BypassOpenStudio_all,0,</v>
      </c>
      <c r="BD93" s="31" t="str">
        <f t="shared" si="74"/>
        <v>BypassOpenStudio_zp,0,</v>
      </c>
      <c r="BE93" s="31" t="str">
        <f t="shared" si="74"/>
        <v>BypassOpenStudio_zb,0,</v>
      </c>
      <c r="BF93" s="31" t="str">
        <f t="shared" si="73"/>
        <v>BypassOpenStudio_ap,0,</v>
      </c>
      <c r="BG93" s="31" t="str">
        <f t="shared" si="73"/>
        <v>BypassOpenStudio_ab,0,</v>
      </c>
      <c r="BH93" s="31" t="str">
        <f t="shared" si="73"/>
        <v>BypassOpenStudio_zp,0,</v>
      </c>
      <c r="BI93" s="31" t="str">
        <f t="shared" si="73"/>
        <v>BypassOpenStudio_zb,0,</v>
      </c>
      <c r="BJ93" s="31" t="str">
        <f t="shared" si="73"/>
        <v>BypassOpenStudio_ap,0,</v>
      </c>
      <c r="BK93" s="31" t="str">
        <f t="shared" si="50"/>
        <v>BypassOpenStudio_ab,0</v>
      </c>
    </row>
    <row r="94" spans="1:63" x14ac:dyDescent="0.25">
      <c r="A94" s="39">
        <f t="shared" si="44"/>
        <v>0</v>
      </c>
      <c r="B94" s="27" t="str">
        <f t="shared" si="51"/>
        <v>RulesetImplementationTests\\.cibd</v>
      </c>
      <c r="C94" s="27" t="str">
        <f t="shared" si="52"/>
        <v>BatchOut_160405_r3979_RIc\0.cibd</v>
      </c>
      <c r="D94" s="27" t="str">
        <f t="shared" si="53"/>
        <v>BatchOut_160405_r3979_RIc\XML\</v>
      </c>
      <c r="E94" s="9" t="e">
        <f t="shared" si="54"/>
        <v>#VALUE!</v>
      </c>
      <c r="F94" s="22"/>
      <c r="G94" s="29"/>
      <c r="H94" s="23"/>
      <c r="I94" s="9" t="s">
        <v>11</v>
      </c>
      <c r="J94"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4" s="15" t="s">
        <v>1</v>
      </c>
      <c r="L94" s="36">
        <f t="shared" si="60"/>
        <v>0</v>
      </c>
      <c r="M94" s="32" t="e">
        <f t="shared" si="65"/>
        <v>#VALUE!</v>
      </c>
      <c r="N94" s="28"/>
      <c r="O94" s="57">
        <f t="shared" si="66"/>
        <v>0</v>
      </c>
      <c r="P94" s="63">
        <f t="shared" si="67"/>
        <v>2</v>
      </c>
      <c r="Q94" s="65">
        <f t="shared" si="67"/>
        <v>1</v>
      </c>
      <c r="R94" s="65">
        <f t="shared" si="67"/>
        <v>0</v>
      </c>
      <c r="S94" s="65">
        <f t="shared" si="67"/>
        <v>1</v>
      </c>
      <c r="T94" s="65">
        <f t="shared" si="67"/>
        <v>0</v>
      </c>
      <c r="U94" s="65">
        <f t="shared" si="67"/>
        <v>11</v>
      </c>
      <c r="V94" s="65">
        <v>11</v>
      </c>
      <c r="W94" s="65">
        <f t="shared" si="68"/>
        <v>1</v>
      </c>
      <c r="X94" s="65">
        <f t="shared" si="68"/>
        <v>0</v>
      </c>
      <c r="Y94" s="65">
        <f t="shared" si="68"/>
        <v>0</v>
      </c>
      <c r="Z94" s="65">
        <f t="shared" si="68"/>
        <v>0</v>
      </c>
      <c r="AA94" s="65">
        <f t="shared" si="68"/>
        <v>0</v>
      </c>
      <c r="AB94" s="65">
        <f t="shared" si="68"/>
        <v>1</v>
      </c>
      <c r="AC94" s="65">
        <f t="shared" si="57"/>
        <v>1</v>
      </c>
      <c r="AD94" s="61">
        <v>1</v>
      </c>
      <c r="AE94" s="63">
        <f t="shared" si="69"/>
        <v>0</v>
      </c>
      <c r="AF94" s="64">
        <f t="shared" si="69"/>
        <v>0</v>
      </c>
      <c r="AG94" s="64">
        <f t="shared" si="69"/>
        <v>0</v>
      </c>
      <c r="AH94" s="64">
        <f t="shared" si="69"/>
        <v>0</v>
      </c>
      <c r="AI94" s="66">
        <f t="shared" si="69"/>
        <v>0</v>
      </c>
      <c r="AJ94" s="63">
        <f t="shared" si="69"/>
        <v>0</v>
      </c>
      <c r="AK94" s="64">
        <f t="shared" si="69"/>
        <v>0</v>
      </c>
      <c r="AL94" s="65">
        <f t="shared" si="69"/>
        <v>0</v>
      </c>
      <c r="AM94" s="66">
        <f t="shared" si="69"/>
        <v>0</v>
      </c>
      <c r="AN94" s="31" t="str">
        <f t="shared" si="72"/>
        <v>SimulationStorage,2,</v>
      </c>
      <c r="AO94" s="31" t="str">
        <f t="shared" si="72"/>
        <v>AnalysisStorage,1,</v>
      </c>
      <c r="AP94" s="31" t="str">
        <f t="shared" si="72"/>
        <v>LogRuleEvaluation,0,</v>
      </c>
      <c r="AQ94" s="31" t="str">
        <f t="shared" si="71"/>
        <v>ParallelSimulations,1,</v>
      </c>
      <c r="AR94" s="31" t="str">
        <f t="shared" si="71"/>
        <v>DurationStats,0,</v>
      </c>
      <c r="AS94" s="31" t="str">
        <f t="shared" si="71"/>
        <v>AnalysisThruStep,11,</v>
      </c>
      <c r="AT94" s="31" t="str">
        <f t="shared" si="71"/>
        <v>DontAbortOnErrorsThruStep,11,</v>
      </c>
      <c r="AU94" s="31" t="str">
        <f t="shared" si="71"/>
        <v>BypassValidFileChecks,1,</v>
      </c>
      <c r="AV94" s="31" t="str">
        <f t="shared" si="71"/>
        <v>BypassInputChecks,0,</v>
      </c>
      <c r="AW94" s="31" t="str">
        <f t="shared" si="71"/>
        <v>BypassUMLHChecks,0,</v>
      </c>
      <c r="AX94" s="31" t="str">
        <f t="shared" si="71"/>
        <v>BypassCheckSimRules,0,</v>
      </c>
      <c r="AY94" s="31" t="str">
        <f t="shared" si="71"/>
        <v>BypassCheckCodeRules,0,</v>
      </c>
      <c r="BA94" s="31" t="str">
        <f t="shared" si="74"/>
        <v>StoreBEMDetails,1,</v>
      </c>
      <c r="BB94" s="31" t="str">
        <f t="shared" si="74"/>
        <v>ModelRpt_ALL,1,</v>
      </c>
      <c r="BC94" s="31" t="str">
        <f t="shared" si="74"/>
        <v>BypassOpenStudio_all,0,</v>
      </c>
      <c r="BD94" s="31" t="str">
        <f t="shared" si="74"/>
        <v>BypassOpenStudio_zp,0,</v>
      </c>
      <c r="BE94" s="31" t="str">
        <f t="shared" si="74"/>
        <v>BypassOpenStudio_zb,0,</v>
      </c>
      <c r="BF94" s="31" t="str">
        <f t="shared" si="73"/>
        <v>BypassOpenStudio_ap,0,</v>
      </c>
      <c r="BG94" s="31" t="str">
        <f t="shared" si="73"/>
        <v>BypassOpenStudio_ab,0,</v>
      </c>
      <c r="BH94" s="31" t="str">
        <f t="shared" si="73"/>
        <v>BypassOpenStudio_zp,0,</v>
      </c>
      <c r="BI94" s="31" t="str">
        <f t="shared" si="73"/>
        <v>BypassOpenStudio_zb,0,</v>
      </c>
      <c r="BJ94" s="31" t="str">
        <f t="shared" si="73"/>
        <v>BypassOpenStudio_ap,0,</v>
      </c>
      <c r="BK94" s="31" t="str">
        <f t="shared" si="50"/>
        <v>BypassOpenStudio_ab,0</v>
      </c>
    </row>
    <row r="95" spans="1:63" x14ac:dyDescent="0.25">
      <c r="A95" s="39">
        <f t="shared" si="44"/>
        <v>0</v>
      </c>
      <c r="B95" s="27" t="str">
        <f t="shared" si="51"/>
        <v>RulesetImplementationTests\\.cibd</v>
      </c>
      <c r="C95" s="27" t="str">
        <f t="shared" si="52"/>
        <v>BatchOut_160405_r3979_RIc\0.cibd</v>
      </c>
      <c r="D95" s="27" t="str">
        <f t="shared" si="53"/>
        <v>BatchOut_160405_r3979_RIc\XML\</v>
      </c>
      <c r="E95" s="9" t="e">
        <f t="shared" si="54"/>
        <v>#VALUE!</v>
      </c>
      <c r="F95" s="22"/>
      <c r="G95" s="29"/>
      <c r="H95" s="23"/>
      <c r="I95" s="9" t="s">
        <v>11</v>
      </c>
      <c r="J95"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5" s="15" t="s">
        <v>1</v>
      </c>
      <c r="L95" s="36">
        <f t="shared" si="60"/>
        <v>0</v>
      </c>
      <c r="M95" s="32" t="e">
        <f t="shared" si="65"/>
        <v>#VALUE!</v>
      </c>
      <c r="N95" s="28"/>
      <c r="O95" s="57">
        <f t="shared" si="66"/>
        <v>0</v>
      </c>
      <c r="P95" s="63">
        <f t="shared" si="67"/>
        <v>2</v>
      </c>
      <c r="Q95" s="65">
        <f t="shared" si="67"/>
        <v>1</v>
      </c>
      <c r="R95" s="65">
        <f t="shared" si="67"/>
        <v>0</v>
      </c>
      <c r="S95" s="65">
        <f t="shared" si="67"/>
        <v>1</v>
      </c>
      <c r="T95" s="65">
        <f t="shared" si="67"/>
        <v>0</v>
      </c>
      <c r="U95" s="65">
        <f t="shared" si="67"/>
        <v>11</v>
      </c>
      <c r="V95" s="65">
        <v>11</v>
      </c>
      <c r="W95" s="65">
        <f t="shared" si="68"/>
        <v>1</v>
      </c>
      <c r="X95" s="65">
        <f t="shared" si="68"/>
        <v>0</v>
      </c>
      <c r="Y95" s="65">
        <f t="shared" si="68"/>
        <v>0</v>
      </c>
      <c r="Z95" s="65">
        <f t="shared" si="68"/>
        <v>0</v>
      </c>
      <c r="AA95" s="65">
        <f t="shared" si="68"/>
        <v>0</v>
      </c>
      <c r="AB95" s="65">
        <f t="shared" si="68"/>
        <v>1</v>
      </c>
      <c r="AC95" s="65">
        <f t="shared" si="57"/>
        <v>1</v>
      </c>
      <c r="AD95" s="61">
        <v>1</v>
      </c>
      <c r="AE95" s="63">
        <f t="shared" si="69"/>
        <v>0</v>
      </c>
      <c r="AF95" s="64">
        <f t="shared" si="69"/>
        <v>0</v>
      </c>
      <c r="AG95" s="64">
        <f t="shared" si="69"/>
        <v>0</v>
      </c>
      <c r="AH95" s="64">
        <f t="shared" si="69"/>
        <v>0</v>
      </c>
      <c r="AI95" s="66">
        <f t="shared" si="69"/>
        <v>0</v>
      </c>
      <c r="AJ95" s="63">
        <f t="shared" si="69"/>
        <v>0</v>
      </c>
      <c r="AK95" s="64">
        <f t="shared" si="69"/>
        <v>0</v>
      </c>
      <c r="AL95" s="65">
        <f t="shared" si="69"/>
        <v>0</v>
      </c>
      <c r="AM95" s="66">
        <f t="shared" si="69"/>
        <v>0</v>
      </c>
      <c r="AN95" s="31" t="str">
        <f t="shared" si="72"/>
        <v>SimulationStorage,2,</v>
      </c>
      <c r="AO95" s="31" t="str">
        <f t="shared" si="72"/>
        <v>AnalysisStorage,1,</v>
      </c>
      <c r="AP95" s="31" t="str">
        <f t="shared" si="72"/>
        <v>LogRuleEvaluation,0,</v>
      </c>
      <c r="AQ95" s="31" t="str">
        <f t="shared" si="71"/>
        <v>ParallelSimulations,1,</v>
      </c>
      <c r="AR95" s="31" t="str">
        <f t="shared" si="71"/>
        <v>DurationStats,0,</v>
      </c>
      <c r="AS95" s="31" t="str">
        <f t="shared" si="71"/>
        <v>AnalysisThruStep,11,</v>
      </c>
      <c r="AT95" s="31" t="str">
        <f t="shared" si="71"/>
        <v>DontAbortOnErrorsThruStep,11,</v>
      </c>
      <c r="AU95" s="31" t="str">
        <f t="shared" si="71"/>
        <v>BypassValidFileChecks,1,</v>
      </c>
      <c r="AV95" s="31" t="str">
        <f t="shared" si="71"/>
        <v>BypassInputChecks,0,</v>
      </c>
      <c r="AW95" s="31" t="str">
        <f t="shared" si="71"/>
        <v>BypassUMLHChecks,0,</v>
      </c>
      <c r="AX95" s="31" t="str">
        <f t="shared" si="71"/>
        <v>BypassCheckSimRules,0,</v>
      </c>
      <c r="AY95" s="31" t="str">
        <f t="shared" si="71"/>
        <v>BypassCheckCodeRules,0,</v>
      </c>
      <c r="BA95" s="31" t="str">
        <f t="shared" si="74"/>
        <v>StoreBEMDetails,1,</v>
      </c>
      <c r="BB95" s="31" t="str">
        <f t="shared" si="74"/>
        <v>ModelRpt_ALL,1,</v>
      </c>
      <c r="BC95" s="31" t="str">
        <f t="shared" si="74"/>
        <v>BypassOpenStudio_all,0,</v>
      </c>
      <c r="BD95" s="31" t="str">
        <f t="shared" si="74"/>
        <v>BypassOpenStudio_zp,0,</v>
      </c>
      <c r="BE95" s="31" t="str">
        <f t="shared" si="74"/>
        <v>BypassOpenStudio_zb,0,</v>
      </c>
      <c r="BF95" s="31" t="str">
        <f t="shared" si="73"/>
        <v>BypassOpenStudio_ap,0,</v>
      </c>
      <c r="BG95" s="31" t="str">
        <f t="shared" si="73"/>
        <v>BypassOpenStudio_ab,0,</v>
      </c>
      <c r="BH95" s="31" t="str">
        <f t="shared" si="73"/>
        <v>BypassOpenStudio_zp,0,</v>
      </c>
      <c r="BI95" s="31" t="str">
        <f t="shared" si="73"/>
        <v>BypassOpenStudio_zb,0,</v>
      </c>
      <c r="BJ95" s="31" t="str">
        <f t="shared" si="73"/>
        <v>BypassOpenStudio_ap,0,</v>
      </c>
      <c r="BK95" s="31" t="str">
        <f t="shared" si="50"/>
        <v>BypassOpenStudio_ab,0</v>
      </c>
    </row>
    <row r="96" spans="1:63" x14ac:dyDescent="0.25">
      <c r="A96" s="39">
        <f t="shared" si="44"/>
        <v>0</v>
      </c>
      <c r="B96" s="27" t="str">
        <f t="shared" si="51"/>
        <v>RulesetImplementationTests\\.cibd</v>
      </c>
      <c r="C96" s="27" t="str">
        <f t="shared" si="52"/>
        <v>BatchOut_160405_r3979_RIc\.cibd</v>
      </c>
      <c r="D96" s="27" t="str">
        <f t="shared" si="53"/>
        <v>BatchOut_160405_r3979_RIc\XML\</v>
      </c>
      <c r="E96" s="9">
        <f t="shared" si="54"/>
        <v>0</v>
      </c>
      <c r="F96" s="22"/>
      <c r="G96" s="29"/>
      <c r="H96" s="23"/>
      <c r="I96" s="9" t="s">
        <v>11</v>
      </c>
      <c r="J96"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6" s="15" t="s">
        <v>1</v>
      </c>
      <c r="L96" s="36">
        <f t="shared" si="60"/>
        <v>0</v>
      </c>
      <c r="M96" s="32"/>
      <c r="N96" s="28"/>
      <c r="O96" s="57"/>
      <c r="P96" s="63">
        <f t="shared" si="67"/>
        <v>2</v>
      </c>
      <c r="Q96" s="65">
        <f t="shared" si="67"/>
        <v>1</v>
      </c>
      <c r="R96" s="65">
        <f t="shared" si="67"/>
        <v>0</v>
      </c>
      <c r="S96" s="65">
        <f t="shared" si="67"/>
        <v>1</v>
      </c>
      <c r="T96" s="65">
        <f t="shared" si="67"/>
        <v>0</v>
      </c>
      <c r="U96" s="65">
        <f t="shared" si="67"/>
        <v>11</v>
      </c>
      <c r="V96" s="65">
        <v>11</v>
      </c>
      <c r="W96" s="65">
        <f t="shared" si="68"/>
        <v>1</v>
      </c>
      <c r="X96" s="65">
        <f t="shared" si="68"/>
        <v>0</v>
      </c>
      <c r="Y96" s="65">
        <f t="shared" si="68"/>
        <v>0</v>
      </c>
      <c r="Z96" s="65">
        <f t="shared" si="68"/>
        <v>0</v>
      </c>
      <c r="AA96" s="65">
        <f t="shared" si="68"/>
        <v>0</v>
      </c>
      <c r="AB96" s="65">
        <f t="shared" si="68"/>
        <v>1</v>
      </c>
      <c r="AC96" s="65">
        <f t="shared" si="57"/>
        <v>1</v>
      </c>
      <c r="AD96" s="61">
        <v>1</v>
      </c>
      <c r="AE96" s="63">
        <f t="shared" si="69"/>
        <v>0</v>
      </c>
      <c r="AF96" s="64">
        <f t="shared" si="69"/>
        <v>0</v>
      </c>
      <c r="AG96" s="64">
        <f t="shared" si="69"/>
        <v>0</v>
      </c>
      <c r="AH96" s="64">
        <f t="shared" si="69"/>
        <v>0</v>
      </c>
      <c r="AI96" s="66">
        <f t="shared" si="69"/>
        <v>0</v>
      </c>
      <c r="AJ96" s="63">
        <f t="shared" si="69"/>
        <v>0</v>
      </c>
      <c r="AK96" s="64">
        <f t="shared" si="69"/>
        <v>0</v>
      </c>
      <c r="AL96" s="65">
        <f t="shared" si="69"/>
        <v>0</v>
      </c>
      <c r="AM96" s="66">
        <f t="shared" si="69"/>
        <v>0</v>
      </c>
      <c r="AN96" s="31" t="str">
        <f t="shared" si="72"/>
        <v>SimulationStorage,2,</v>
      </c>
      <c r="AO96" s="31" t="str">
        <f t="shared" si="72"/>
        <v>AnalysisStorage,1,</v>
      </c>
      <c r="AP96" s="31" t="str">
        <f t="shared" si="72"/>
        <v>LogRuleEvaluation,0,</v>
      </c>
      <c r="AQ96" s="31" t="str">
        <f t="shared" si="71"/>
        <v>ParallelSimulations,1,</v>
      </c>
      <c r="AR96" s="31" t="str">
        <f t="shared" si="71"/>
        <v>DurationStats,0,</v>
      </c>
      <c r="AS96" s="31" t="str">
        <f t="shared" si="71"/>
        <v>AnalysisThruStep,11,</v>
      </c>
      <c r="AT96" s="31" t="str">
        <f t="shared" si="71"/>
        <v>DontAbortOnErrorsThruStep,11,</v>
      </c>
      <c r="AU96" s="31" t="str">
        <f t="shared" si="71"/>
        <v>BypassValidFileChecks,1,</v>
      </c>
      <c r="AV96" s="31" t="str">
        <f t="shared" si="71"/>
        <v>BypassInputChecks,0,</v>
      </c>
      <c r="AW96" s="31" t="str">
        <f t="shared" si="71"/>
        <v>BypassUMLHChecks,0,</v>
      </c>
      <c r="AX96" s="31" t="str">
        <f t="shared" si="71"/>
        <v>BypassCheckSimRules,0,</v>
      </c>
      <c r="AY96" s="31" t="str">
        <f t="shared" si="71"/>
        <v>BypassCheckCodeRules,0,</v>
      </c>
      <c r="BA96" s="31" t="str">
        <f t="shared" si="74"/>
        <v>StoreBEMDetails,1,</v>
      </c>
      <c r="BB96" s="31" t="str">
        <f t="shared" si="74"/>
        <v>ModelRpt_ALL,1,</v>
      </c>
      <c r="BC96" s="31" t="str">
        <f t="shared" si="74"/>
        <v>BypassOpenStudio_all,0,</v>
      </c>
      <c r="BD96" s="31" t="str">
        <f t="shared" si="74"/>
        <v>BypassOpenStudio_zp,0,</v>
      </c>
      <c r="BE96" s="31" t="str">
        <f t="shared" si="74"/>
        <v>BypassOpenStudio_zb,0,</v>
      </c>
      <c r="BF96" s="31" t="str">
        <f t="shared" si="73"/>
        <v>BypassOpenStudio_ap,0,</v>
      </c>
      <c r="BG96" s="31" t="str">
        <f t="shared" si="73"/>
        <v>BypassOpenStudio_ab,0,</v>
      </c>
      <c r="BH96" s="31" t="str">
        <f t="shared" si="73"/>
        <v>BypassOpenStudio_zp,0,</v>
      </c>
      <c r="BI96" s="31" t="str">
        <f t="shared" si="73"/>
        <v>BypassOpenStudio_zb,0,</v>
      </c>
      <c r="BJ96" s="31" t="str">
        <f t="shared" si="73"/>
        <v>BypassOpenStudio_ap,0,</v>
      </c>
      <c r="BK96" s="31" t="str">
        <f t="shared" si="50"/>
        <v>BypassOpenStudio_ab,0</v>
      </c>
    </row>
    <row r="97" spans="1:63" x14ac:dyDescent="0.25">
      <c r="A97" s="39">
        <f t="shared" si="44"/>
        <v>0</v>
      </c>
      <c r="B97" s="27" t="str">
        <f t="shared" si="51"/>
        <v>RulesetImplementationTests\\.cibd</v>
      </c>
      <c r="C97" s="27" t="str">
        <f t="shared" si="52"/>
        <v>BatchOut_160405_r3979_RIc\.cibd</v>
      </c>
      <c r="D97" s="27" t="str">
        <f t="shared" si="53"/>
        <v>BatchOut_160405_r3979_RIc\XML\</v>
      </c>
      <c r="E97" s="9">
        <f t="shared" si="54"/>
        <v>0</v>
      </c>
      <c r="F97" s="22"/>
      <c r="G97" s="29"/>
      <c r="H97" s="23"/>
      <c r="I97" s="9" t="s">
        <v>11</v>
      </c>
      <c r="J97"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7" s="15" t="s">
        <v>1</v>
      </c>
      <c r="L97" s="36">
        <f t="shared" si="60"/>
        <v>0</v>
      </c>
      <c r="M97" s="32"/>
      <c r="N97" s="28"/>
      <c r="O97" s="57"/>
      <c r="P97" s="63">
        <f t="shared" si="67"/>
        <v>2</v>
      </c>
      <c r="Q97" s="65">
        <f t="shared" si="67"/>
        <v>1</v>
      </c>
      <c r="R97" s="65">
        <f t="shared" si="67"/>
        <v>0</v>
      </c>
      <c r="S97" s="65">
        <f t="shared" si="67"/>
        <v>1</v>
      </c>
      <c r="T97" s="65">
        <f t="shared" si="67"/>
        <v>0</v>
      </c>
      <c r="U97" s="65">
        <f t="shared" si="67"/>
        <v>11</v>
      </c>
      <c r="V97" s="65">
        <v>11</v>
      </c>
      <c r="W97" s="65">
        <f t="shared" si="68"/>
        <v>1</v>
      </c>
      <c r="X97" s="65">
        <f t="shared" si="68"/>
        <v>0</v>
      </c>
      <c r="Y97" s="65">
        <f t="shared" si="68"/>
        <v>0</v>
      </c>
      <c r="Z97" s="65">
        <f t="shared" si="68"/>
        <v>0</v>
      </c>
      <c r="AA97" s="65">
        <f t="shared" si="68"/>
        <v>0</v>
      </c>
      <c r="AB97" s="65">
        <f t="shared" si="68"/>
        <v>1</v>
      </c>
      <c r="AC97" s="65">
        <f t="shared" si="57"/>
        <v>1</v>
      </c>
      <c r="AD97" s="61">
        <v>1</v>
      </c>
      <c r="AE97" s="63">
        <f t="shared" si="69"/>
        <v>0</v>
      </c>
      <c r="AF97" s="64">
        <f t="shared" si="69"/>
        <v>0</v>
      </c>
      <c r="AG97" s="64">
        <f t="shared" si="69"/>
        <v>0</v>
      </c>
      <c r="AH97" s="64">
        <f t="shared" si="69"/>
        <v>0</v>
      </c>
      <c r="AI97" s="66">
        <f t="shared" si="69"/>
        <v>0</v>
      </c>
      <c r="AJ97" s="63">
        <f t="shared" si="69"/>
        <v>0</v>
      </c>
      <c r="AK97" s="64">
        <f t="shared" si="69"/>
        <v>0</v>
      </c>
      <c r="AL97" s="65">
        <f t="shared" si="69"/>
        <v>0</v>
      </c>
      <c r="AM97" s="66">
        <f t="shared" si="69"/>
        <v>0</v>
      </c>
      <c r="AN97" s="31" t="str">
        <f t="shared" si="72"/>
        <v>SimulationStorage,2,</v>
      </c>
      <c r="AO97" s="31" t="str">
        <f t="shared" si="72"/>
        <v>AnalysisStorage,1,</v>
      </c>
      <c r="AP97" s="31" t="str">
        <f t="shared" si="72"/>
        <v>LogRuleEvaluation,0,</v>
      </c>
      <c r="AQ97" s="31" t="str">
        <f t="shared" si="71"/>
        <v>ParallelSimulations,1,</v>
      </c>
      <c r="AR97" s="31" t="str">
        <f t="shared" si="71"/>
        <v>DurationStats,0,</v>
      </c>
      <c r="AS97" s="31" t="str">
        <f t="shared" si="71"/>
        <v>AnalysisThruStep,11,</v>
      </c>
      <c r="AT97" s="31" t="str">
        <f t="shared" si="71"/>
        <v>DontAbortOnErrorsThruStep,11,</v>
      </c>
      <c r="AU97" s="31" t="str">
        <f t="shared" si="71"/>
        <v>BypassValidFileChecks,1,</v>
      </c>
      <c r="AV97" s="31" t="str">
        <f t="shared" si="71"/>
        <v>BypassInputChecks,0,</v>
      </c>
      <c r="AW97" s="31" t="str">
        <f t="shared" si="71"/>
        <v>BypassUMLHChecks,0,</v>
      </c>
      <c r="AX97" s="31" t="str">
        <f t="shared" si="71"/>
        <v>BypassCheckSimRules,0,</v>
      </c>
      <c r="AY97" s="31" t="str">
        <f t="shared" si="71"/>
        <v>BypassCheckCodeRules,0,</v>
      </c>
      <c r="BA97" s="31" t="str">
        <f t="shared" si="74"/>
        <v>StoreBEMDetails,1,</v>
      </c>
      <c r="BB97" s="31" t="str">
        <f t="shared" si="74"/>
        <v>ModelRpt_ALL,1,</v>
      </c>
      <c r="BC97" s="31" t="str">
        <f t="shared" si="74"/>
        <v>BypassOpenStudio_all,0,</v>
      </c>
      <c r="BD97" s="31" t="str">
        <f t="shared" si="74"/>
        <v>BypassOpenStudio_zp,0,</v>
      </c>
      <c r="BE97" s="31" t="str">
        <f t="shared" si="74"/>
        <v>BypassOpenStudio_zb,0,</v>
      </c>
      <c r="BF97" s="31" t="str">
        <f t="shared" si="73"/>
        <v>BypassOpenStudio_ap,0,</v>
      </c>
      <c r="BG97" s="31" t="str">
        <f t="shared" si="73"/>
        <v>BypassOpenStudio_ab,0,</v>
      </c>
      <c r="BH97" s="31" t="str">
        <f t="shared" si="73"/>
        <v>BypassOpenStudio_zp,0,</v>
      </c>
      <c r="BI97" s="31" t="str">
        <f t="shared" si="73"/>
        <v>BypassOpenStudio_zb,0,</v>
      </c>
      <c r="BJ97" s="31" t="str">
        <f t="shared" si="73"/>
        <v>BypassOpenStudio_ap,0,</v>
      </c>
      <c r="BK97" s="31" t="str">
        <f t="shared" si="50"/>
        <v>BypassOpenStudio_ab,0</v>
      </c>
    </row>
    <row r="98" spans="1:63" x14ac:dyDescent="0.25">
      <c r="A98" s="39">
        <f t="shared" si="44"/>
        <v>0</v>
      </c>
      <c r="B98" s="27" t="str">
        <f t="shared" si="51"/>
        <v>RulesetImplementationTests\\.cibd</v>
      </c>
      <c r="C98" s="27" t="str">
        <f t="shared" si="52"/>
        <v>BatchOut_160405_r3979_RIc\.cibd</v>
      </c>
      <c r="D98" s="27" t="str">
        <f t="shared" si="53"/>
        <v>BatchOut_160405_r3979_RIc\XML\</v>
      </c>
      <c r="E98" s="9">
        <f t="shared" si="54"/>
        <v>0</v>
      </c>
      <c r="F98" s="22"/>
      <c r="G98" s="29"/>
      <c r="H98" s="23"/>
      <c r="I98" s="9" t="s">
        <v>11</v>
      </c>
      <c r="J98"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8" s="15" t="s">
        <v>1</v>
      </c>
      <c r="L98" s="36">
        <f t="shared" si="60"/>
        <v>0</v>
      </c>
      <c r="M98" s="32"/>
      <c r="N98" s="28"/>
      <c r="O98" s="57"/>
      <c r="P98" s="63">
        <f t="shared" si="67"/>
        <v>2</v>
      </c>
      <c r="Q98" s="65">
        <f t="shared" si="67"/>
        <v>1</v>
      </c>
      <c r="R98" s="65">
        <f t="shared" si="67"/>
        <v>0</v>
      </c>
      <c r="S98" s="65">
        <f t="shared" si="67"/>
        <v>1</v>
      </c>
      <c r="T98" s="65">
        <f t="shared" si="67"/>
        <v>0</v>
      </c>
      <c r="U98" s="65">
        <f t="shared" si="67"/>
        <v>11</v>
      </c>
      <c r="V98" s="65">
        <v>11</v>
      </c>
      <c r="W98" s="65">
        <f t="shared" si="68"/>
        <v>1</v>
      </c>
      <c r="X98" s="65">
        <f t="shared" si="68"/>
        <v>0</v>
      </c>
      <c r="Y98" s="65">
        <f t="shared" si="68"/>
        <v>0</v>
      </c>
      <c r="Z98" s="65">
        <f t="shared" si="68"/>
        <v>0</v>
      </c>
      <c r="AA98" s="65">
        <f t="shared" si="68"/>
        <v>0</v>
      </c>
      <c r="AB98" s="65">
        <f t="shared" si="68"/>
        <v>1</v>
      </c>
      <c r="AC98" s="65">
        <f t="shared" si="57"/>
        <v>1</v>
      </c>
      <c r="AD98" s="61">
        <v>1</v>
      </c>
      <c r="AE98" s="63">
        <f t="shared" si="69"/>
        <v>0</v>
      </c>
      <c r="AF98" s="64">
        <f t="shared" si="69"/>
        <v>0</v>
      </c>
      <c r="AG98" s="64">
        <f t="shared" si="69"/>
        <v>0</v>
      </c>
      <c r="AH98" s="64">
        <f t="shared" si="69"/>
        <v>0</v>
      </c>
      <c r="AI98" s="66">
        <f t="shared" si="69"/>
        <v>0</v>
      </c>
      <c r="AJ98" s="63">
        <f t="shared" si="69"/>
        <v>0</v>
      </c>
      <c r="AK98" s="64">
        <f t="shared" si="69"/>
        <v>0</v>
      </c>
      <c r="AL98" s="65">
        <f t="shared" si="69"/>
        <v>0</v>
      </c>
      <c r="AM98" s="66">
        <f t="shared" si="69"/>
        <v>0</v>
      </c>
      <c r="AN98" s="31" t="str">
        <f t="shared" si="72"/>
        <v>SimulationStorage,2,</v>
      </c>
      <c r="AO98" s="31" t="str">
        <f t="shared" si="72"/>
        <v>AnalysisStorage,1,</v>
      </c>
      <c r="AP98" s="31" t="str">
        <f t="shared" si="72"/>
        <v>LogRuleEvaluation,0,</v>
      </c>
      <c r="AQ98" s="31" t="str">
        <f t="shared" si="71"/>
        <v>ParallelSimulations,1,</v>
      </c>
      <c r="AR98" s="31" t="str">
        <f t="shared" si="71"/>
        <v>DurationStats,0,</v>
      </c>
      <c r="AS98" s="31" t="str">
        <f t="shared" si="71"/>
        <v>AnalysisThruStep,11,</v>
      </c>
      <c r="AT98" s="31" t="str">
        <f t="shared" si="71"/>
        <v>DontAbortOnErrorsThruStep,11,</v>
      </c>
      <c r="AU98" s="31" t="str">
        <f t="shared" si="71"/>
        <v>BypassValidFileChecks,1,</v>
      </c>
      <c r="AV98" s="31" t="str">
        <f t="shared" si="71"/>
        <v>BypassInputChecks,0,</v>
      </c>
      <c r="AW98" s="31" t="str">
        <f t="shared" si="71"/>
        <v>BypassUMLHChecks,0,</v>
      </c>
      <c r="AX98" s="31" t="str">
        <f t="shared" si="71"/>
        <v>BypassCheckSimRules,0,</v>
      </c>
      <c r="AY98" s="31" t="str">
        <f t="shared" si="71"/>
        <v>BypassCheckCodeRules,0,</v>
      </c>
      <c r="BA98" s="31" t="str">
        <f t="shared" si="74"/>
        <v>StoreBEMDetails,1,</v>
      </c>
      <c r="BB98" s="31" t="str">
        <f t="shared" si="74"/>
        <v>ModelRpt_ALL,1,</v>
      </c>
      <c r="BC98" s="31" t="str">
        <f t="shared" si="74"/>
        <v>BypassOpenStudio_all,0,</v>
      </c>
      <c r="BD98" s="31" t="str">
        <f t="shared" si="74"/>
        <v>BypassOpenStudio_zp,0,</v>
      </c>
      <c r="BE98" s="31" t="str">
        <f t="shared" si="74"/>
        <v>BypassOpenStudio_zb,0,</v>
      </c>
      <c r="BF98" s="31" t="str">
        <f t="shared" si="73"/>
        <v>BypassOpenStudio_ap,0,</v>
      </c>
      <c r="BG98" s="31" t="str">
        <f t="shared" si="73"/>
        <v>BypassOpenStudio_ab,0,</v>
      </c>
      <c r="BH98" s="31" t="str">
        <f t="shared" si="73"/>
        <v>BypassOpenStudio_zp,0,</v>
      </c>
      <c r="BI98" s="31" t="str">
        <f t="shared" si="73"/>
        <v>BypassOpenStudio_zb,0,</v>
      </c>
      <c r="BJ98" s="31" t="str">
        <f t="shared" si="73"/>
        <v>BypassOpenStudio_ap,0,</v>
      </c>
      <c r="BK98" s="31" t="str">
        <f t="shared" si="50"/>
        <v>BypassOpenStudio_ab,0</v>
      </c>
    </row>
    <row r="99" spans="1:63" x14ac:dyDescent="0.25">
      <c r="A99" s="39">
        <f t="shared" si="44"/>
        <v>0</v>
      </c>
      <c r="B99" s="27" t="str">
        <f t="shared" si="51"/>
        <v>RulesetImplementationTests\\.cibd</v>
      </c>
      <c r="C99" s="27" t="str">
        <f t="shared" si="52"/>
        <v>BatchOut_160405_r3979_RIc\.cibd</v>
      </c>
      <c r="D99" s="27" t="str">
        <f t="shared" si="53"/>
        <v>BatchOut_160405_r3979_RIc\XML\</v>
      </c>
      <c r="E99" s="9">
        <f t="shared" si="54"/>
        <v>0</v>
      </c>
      <c r="F99" s="22"/>
      <c r="G99" s="29"/>
      <c r="H99" s="23"/>
      <c r="I99" s="9" t="s">
        <v>11</v>
      </c>
      <c r="J99" s="9" t="str">
        <f t="shared" si="45"/>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99" s="15" t="s">
        <v>1</v>
      </c>
      <c r="L99" s="36">
        <f t="shared" si="60"/>
        <v>0</v>
      </c>
      <c r="M99" s="32"/>
      <c r="N99" s="28"/>
      <c r="O99" s="57"/>
      <c r="P99" s="63">
        <f t="shared" si="67"/>
        <v>2</v>
      </c>
      <c r="Q99" s="65">
        <f t="shared" si="67"/>
        <v>1</v>
      </c>
      <c r="R99" s="65">
        <f t="shared" si="67"/>
        <v>0</v>
      </c>
      <c r="S99" s="65">
        <f t="shared" si="67"/>
        <v>1</v>
      </c>
      <c r="T99" s="65">
        <f t="shared" si="67"/>
        <v>0</v>
      </c>
      <c r="U99" s="65">
        <f t="shared" si="67"/>
        <v>11</v>
      </c>
      <c r="V99" s="65">
        <v>11</v>
      </c>
      <c r="W99" s="65">
        <f t="shared" si="68"/>
        <v>1</v>
      </c>
      <c r="X99" s="65">
        <f t="shared" si="68"/>
        <v>0</v>
      </c>
      <c r="Y99" s="65">
        <f t="shared" si="68"/>
        <v>0</v>
      </c>
      <c r="Z99" s="65">
        <f t="shared" si="68"/>
        <v>0</v>
      </c>
      <c r="AA99" s="65">
        <f t="shared" si="68"/>
        <v>0</v>
      </c>
      <c r="AB99" s="65">
        <f t="shared" si="68"/>
        <v>1</v>
      </c>
      <c r="AC99" s="65">
        <f t="shared" si="57"/>
        <v>1</v>
      </c>
      <c r="AD99" s="61">
        <v>1</v>
      </c>
      <c r="AE99" s="63">
        <f t="shared" si="69"/>
        <v>0</v>
      </c>
      <c r="AF99" s="64">
        <f t="shared" si="69"/>
        <v>0</v>
      </c>
      <c r="AG99" s="64">
        <f t="shared" si="69"/>
        <v>0</v>
      </c>
      <c r="AH99" s="64">
        <f t="shared" si="69"/>
        <v>0</v>
      </c>
      <c r="AI99" s="66">
        <f t="shared" si="69"/>
        <v>0</v>
      </c>
      <c r="AJ99" s="63">
        <f t="shared" si="69"/>
        <v>0</v>
      </c>
      <c r="AK99" s="64">
        <f t="shared" si="69"/>
        <v>0</v>
      </c>
      <c r="AL99" s="65">
        <f t="shared" si="69"/>
        <v>0</v>
      </c>
      <c r="AM99" s="66">
        <f t="shared" si="69"/>
        <v>0</v>
      </c>
      <c r="AN99" s="31" t="str">
        <f t="shared" si="72"/>
        <v>SimulationStorage,2,</v>
      </c>
      <c r="AO99" s="31" t="str">
        <f t="shared" si="72"/>
        <v>AnalysisStorage,1,</v>
      </c>
      <c r="AP99" s="31" t="str">
        <f t="shared" si="72"/>
        <v>LogRuleEvaluation,0,</v>
      </c>
      <c r="AQ99" s="31" t="str">
        <f t="shared" si="71"/>
        <v>ParallelSimulations,1,</v>
      </c>
      <c r="AR99" s="31" t="str">
        <f t="shared" si="71"/>
        <v>DurationStats,0,</v>
      </c>
      <c r="AS99" s="31" t="str">
        <f t="shared" si="71"/>
        <v>AnalysisThruStep,11,</v>
      </c>
      <c r="AT99" s="31" t="str">
        <f t="shared" si="71"/>
        <v>DontAbortOnErrorsThruStep,11,</v>
      </c>
      <c r="AU99" s="31" t="str">
        <f t="shared" si="71"/>
        <v>BypassValidFileChecks,1,</v>
      </c>
      <c r="AV99" s="31" t="str">
        <f t="shared" si="71"/>
        <v>BypassInputChecks,0,</v>
      </c>
      <c r="AW99" s="31" t="str">
        <f t="shared" si="71"/>
        <v>BypassUMLHChecks,0,</v>
      </c>
      <c r="AX99" s="31" t="str">
        <f t="shared" si="71"/>
        <v>BypassCheckSimRules,0,</v>
      </c>
      <c r="AY99" s="31" t="str">
        <f t="shared" si="71"/>
        <v>BypassCheckCodeRules,0,</v>
      </c>
      <c r="BA99" s="31" t="str">
        <f t="shared" si="74"/>
        <v>StoreBEMDetails,1,</v>
      </c>
      <c r="BB99" s="31" t="str">
        <f t="shared" si="74"/>
        <v>ModelRpt_ALL,1,</v>
      </c>
      <c r="BC99" s="31" t="str">
        <f t="shared" si="74"/>
        <v>BypassOpenStudio_all,0,</v>
      </c>
      <c r="BD99" s="31" t="str">
        <f t="shared" si="74"/>
        <v>BypassOpenStudio_zp,0,</v>
      </c>
      <c r="BE99" s="31" t="str">
        <f t="shared" si="74"/>
        <v>BypassOpenStudio_zb,0,</v>
      </c>
      <c r="BF99" s="31" t="str">
        <f t="shared" si="73"/>
        <v>BypassOpenStudio_ap,0,</v>
      </c>
      <c r="BG99" s="31" t="str">
        <f t="shared" si="73"/>
        <v>BypassOpenStudio_ab,0,</v>
      </c>
      <c r="BH99" s="31" t="str">
        <f t="shared" si="73"/>
        <v>BypassOpenStudio_zp,0,</v>
      </c>
      <c r="BI99" s="31" t="str">
        <f t="shared" si="73"/>
        <v>BypassOpenStudio_zb,0,</v>
      </c>
      <c r="BJ99" s="31" t="str">
        <f t="shared" si="73"/>
        <v>BypassOpenStudio_ap,0,</v>
      </c>
      <c r="BK99" s="31" t="str">
        <f t="shared" si="50"/>
        <v>BypassOpenStudio_ab,0</v>
      </c>
    </row>
    <row r="100" spans="1:63" x14ac:dyDescent="0.25">
      <c r="A100" s="1" t="s">
        <v>1</v>
      </c>
      <c r="K100" s="15" t="s">
        <v>1</v>
      </c>
    </row>
    <row r="101" spans="1:63" x14ac:dyDescent="0.25">
      <c r="A101" s="1" t="s">
        <v>1</v>
      </c>
      <c r="B101"/>
      <c r="C101"/>
      <c r="D101" s="30"/>
      <c r="E101" s="16"/>
      <c r="F101" s="16"/>
      <c r="G101" s="16"/>
      <c r="H101" s="16"/>
      <c r="K101" s="15" t="s">
        <v>1</v>
      </c>
      <c r="L101" s="36" t="s">
        <v>186</v>
      </c>
      <c r="M101" t="s">
        <v>184</v>
      </c>
    </row>
    <row r="102" spans="1:63" x14ac:dyDescent="0.25">
      <c r="A102" s="1" t="s">
        <v>1</v>
      </c>
      <c r="B102"/>
      <c r="C102"/>
      <c r="D102" s="30"/>
      <c r="K102" s="15" t="s">
        <v>1</v>
      </c>
      <c r="L102" s="37" t="s">
        <v>45</v>
      </c>
      <c r="M102" s="53">
        <f>M60</f>
        <v>160405</v>
      </c>
    </row>
    <row r="103" spans="1:63" x14ac:dyDescent="0.25">
      <c r="A103" s="1" t="s">
        <v>1</v>
      </c>
      <c r="B103"/>
      <c r="C103"/>
      <c r="D103" s="30"/>
      <c r="K103" s="15" t="s">
        <v>1</v>
      </c>
      <c r="L103" s="14" t="s">
        <v>46</v>
      </c>
      <c r="M103" s="53" t="str">
        <f>M61</f>
        <v>r3979</v>
      </c>
      <c r="N103" s="52"/>
    </row>
    <row r="104" spans="1:63" x14ac:dyDescent="0.25">
      <c r="A104" s="1" t="s">
        <v>1</v>
      </c>
      <c r="B104"/>
      <c r="C104"/>
      <c r="D104" s="30"/>
      <c r="E104" s="30"/>
      <c r="F104" s="30"/>
      <c r="G104" s="30"/>
      <c r="H104" s="30"/>
      <c r="I104" s="26"/>
      <c r="K104" s="15" t="s">
        <v>1</v>
      </c>
      <c r="L104" s="35" t="s">
        <v>39</v>
      </c>
      <c r="M104" s="54" t="str">
        <f>M62</f>
        <v>BatchResults_160405_r3979.csv</v>
      </c>
      <c r="N104" s="1" t="s">
        <v>48</v>
      </c>
    </row>
    <row r="105" spans="1:63" x14ac:dyDescent="0.25">
      <c r="A105" s="1" t="s">
        <v>1</v>
      </c>
      <c r="B105"/>
      <c r="C105"/>
      <c r="K105" s="15" t="s">
        <v>1</v>
      </c>
      <c r="L105" s="14" t="s">
        <v>16</v>
      </c>
      <c r="M105" s="28" t="s">
        <v>142</v>
      </c>
      <c r="N105" s="1" t="s">
        <v>47</v>
      </c>
      <c r="AE105" s="104"/>
      <c r="AF105" s="104"/>
      <c r="AG105" s="104"/>
      <c r="AH105" s="104"/>
      <c r="AI105" s="104"/>
      <c r="AJ105" s="104"/>
      <c r="AK105" s="104"/>
      <c r="AL105" s="104"/>
      <c r="AM105" s="104"/>
    </row>
    <row r="106" spans="1:63" x14ac:dyDescent="0.25">
      <c r="A106" s="1" t="s">
        <v>1</v>
      </c>
      <c r="K106" s="15" t="s">
        <v>1</v>
      </c>
      <c r="L106" s="14" t="s">
        <v>17</v>
      </c>
      <c r="M106" s="54" t="str">
        <f>"BatchOut"&amp;"_"&amp;M102&amp;"_"&amp;M103&amp;"_"&amp;L101&amp;"\"</f>
        <v>BatchOut_160405_r3979_RIi\</v>
      </c>
      <c r="N106" s="1" t="s">
        <v>47</v>
      </c>
    </row>
    <row r="107" spans="1:63" x14ac:dyDescent="0.25">
      <c r="A107" s="1" t="s">
        <v>1</v>
      </c>
      <c r="K107" s="15" t="s">
        <v>1</v>
      </c>
      <c r="L107" s="14" t="s">
        <v>42</v>
      </c>
      <c r="M107" s="54" t="str">
        <f>M106&amp;"XML\"</f>
        <v>BatchOut_160405_r3979_RIi\XML\</v>
      </c>
      <c r="N107" s="1" t="s">
        <v>47</v>
      </c>
      <c r="R107" s="31"/>
      <c r="S107" s="31"/>
      <c r="T107" s="31"/>
      <c r="U107" s="31"/>
      <c r="V107" s="31"/>
      <c r="W107" s="31"/>
      <c r="X107" s="31"/>
      <c r="Y107" s="31"/>
      <c r="Z107" s="31"/>
      <c r="AA107" s="31"/>
      <c r="AB107" s="31"/>
      <c r="AC107" s="31"/>
      <c r="AD107" s="31"/>
      <c r="AE107" s="31"/>
      <c r="AF107" s="31"/>
      <c r="AG107" s="31"/>
      <c r="AH107" s="31"/>
      <c r="AI107" s="31"/>
      <c r="AJ107" s="31"/>
      <c r="AK107" s="31"/>
      <c r="AL107" s="31"/>
      <c r="AM107" s="31"/>
    </row>
    <row r="108" spans="1:63" x14ac:dyDescent="0.25">
      <c r="A108" s="11" t="s">
        <v>14</v>
      </c>
      <c r="B108" s="7" t="s">
        <v>6</v>
      </c>
      <c r="C108" s="7" t="s">
        <v>7</v>
      </c>
      <c r="D108" s="7" t="s">
        <v>40</v>
      </c>
      <c r="E108" s="7"/>
      <c r="F108" s="17" t="s">
        <v>21</v>
      </c>
      <c r="G108" s="7"/>
      <c r="H108" s="18"/>
      <c r="I108" s="7" t="s">
        <v>9</v>
      </c>
      <c r="J108" s="7" t="s">
        <v>12</v>
      </c>
      <c r="K108" s="15" t="s">
        <v>1</v>
      </c>
      <c r="L108" s="14"/>
      <c r="N108" s="100"/>
      <c r="O108" s="100"/>
      <c r="P108" s="100"/>
      <c r="Q108"/>
      <c r="R108"/>
      <c r="S108"/>
      <c r="T108"/>
      <c r="U108"/>
      <c r="V108"/>
      <c r="W108"/>
      <c r="X108"/>
      <c r="Y108"/>
      <c r="Z108"/>
      <c r="AA108"/>
      <c r="AB108"/>
      <c r="AC108"/>
      <c r="AD108"/>
      <c r="AE108"/>
      <c r="AF108"/>
      <c r="AG108"/>
      <c r="AH108"/>
      <c r="AI108"/>
      <c r="AJ108"/>
      <c r="AK108"/>
      <c r="AL108"/>
      <c r="AM108"/>
      <c r="AN108"/>
    </row>
    <row r="109" spans="1:63" x14ac:dyDescent="0.25">
      <c r="A109" s="39">
        <f t="shared" ref="A109:A116" si="75">L109</f>
        <v>0</v>
      </c>
      <c r="B109" s="27" t="str">
        <f>M$105&amp;N109&amp;"\"&amp;N109&amp;".cibd"</f>
        <v>RulesetImplementationTests\Incomplete tests\\.cibd</v>
      </c>
      <c r="C109" s="27" t="str">
        <f xml:space="preserve"> M$106 &amp; O109 &amp; ".cibd"</f>
        <v>BatchOut_160405_r3979_RIi\0.cibd</v>
      </c>
      <c r="D109" s="27" t="str">
        <f>$M$107</f>
        <v>BatchOut_160405_r3979_RIi\XML\</v>
      </c>
      <c r="E109" s="9" t="e">
        <f>M109</f>
        <v>#VALUE!</v>
      </c>
      <c r="F109" s="22"/>
      <c r="G109" s="29"/>
      <c r="H109" s="23" t="str">
        <f>IF(F109&gt;1,1,"")</f>
        <v/>
      </c>
      <c r="I109" s="9" t="s">
        <v>11</v>
      </c>
      <c r="J109" s="9" t="str">
        <f t="shared" ref="J109:J116" si="76">CONCATENATE(AN109,AO109,AP109,AQ109,AR109,AS109,AT109,AU109,AV109,AW109,AX109,AY109,AZ109,BA109,BB109,BC109,BD109,BE109,BF109,BG109,BH109,BI109,BJ109,BK109)</f>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09" s="15" t="s">
        <v>1</v>
      </c>
      <c r="L109" s="36">
        <v>0</v>
      </c>
      <c r="M109" s="32" t="e">
        <f>LEFT(N109,SEARCH("-",N109))&amp;RIGHT(N109,5)</f>
        <v>#VALUE!</v>
      </c>
      <c r="N109" s="28"/>
      <c r="O109" s="28">
        <f t="shared" ref="O109:O110" si="77">N109</f>
        <v>0</v>
      </c>
      <c r="P109" s="28">
        <f t="shared" ref="P109:AM109" si="78">P16</f>
        <v>2</v>
      </c>
      <c r="Q109" s="28">
        <f t="shared" si="78"/>
        <v>1</v>
      </c>
      <c r="R109" s="28">
        <f t="shared" si="78"/>
        <v>0</v>
      </c>
      <c r="S109" s="28">
        <f t="shared" si="78"/>
        <v>1</v>
      </c>
      <c r="T109" s="28">
        <f t="shared" si="78"/>
        <v>0</v>
      </c>
      <c r="U109" s="28">
        <f t="shared" si="78"/>
        <v>11</v>
      </c>
      <c r="V109" s="36">
        <f t="shared" si="78"/>
        <v>11</v>
      </c>
      <c r="W109" s="28">
        <f t="shared" si="78"/>
        <v>1</v>
      </c>
      <c r="X109" s="28">
        <f t="shared" si="78"/>
        <v>0</v>
      </c>
      <c r="Y109" s="28">
        <f t="shared" si="78"/>
        <v>0</v>
      </c>
      <c r="Z109" s="28">
        <f t="shared" si="78"/>
        <v>0</v>
      </c>
      <c r="AA109" s="28">
        <f t="shared" si="78"/>
        <v>0</v>
      </c>
      <c r="AB109" s="28">
        <f t="shared" si="78"/>
        <v>1</v>
      </c>
      <c r="AC109" s="28">
        <f t="shared" si="78"/>
        <v>1</v>
      </c>
      <c r="AD109" s="36">
        <f t="shared" si="78"/>
        <v>1</v>
      </c>
      <c r="AE109" s="28">
        <f t="shared" si="78"/>
        <v>0</v>
      </c>
      <c r="AF109" s="28">
        <f t="shared" si="78"/>
        <v>0</v>
      </c>
      <c r="AG109" s="28">
        <f t="shared" si="78"/>
        <v>0</v>
      </c>
      <c r="AH109" s="28">
        <f t="shared" si="78"/>
        <v>0</v>
      </c>
      <c r="AI109" s="28">
        <f t="shared" si="78"/>
        <v>0</v>
      </c>
      <c r="AJ109" s="28">
        <f t="shared" si="78"/>
        <v>0</v>
      </c>
      <c r="AK109" s="28">
        <f t="shared" si="78"/>
        <v>0</v>
      </c>
      <c r="AL109" s="28">
        <f t="shared" si="78"/>
        <v>0</v>
      </c>
      <c r="AM109" s="28">
        <f t="shared" si="78"/>
        <v>0</v>
      </c>
      <c r="AN109" s="31" t="str">
        <f t="shared" ref="AN109:AY116" si="79">P$12&amp;P109&amp;","</f>
        <v>SimulationStorage,2,</v>
      </c>
      <c r="AO109" s="31" t="str">
        <f t="shared" si="79"/>
        <v>AnalysisStorage,1,</v>
      </c>
      <c r="AP109" s="31" t="str">
        <f t="shared" si="79"/>
        <v>LogRuleEvaluation,0,</v>
      </c>
      <c r="AQ109" s="31" t="str">
        <f t="shared" si="79"/>
        <v>ParallelSimulations,1,</v>
      </c>
      <c r="AR109" s="31" t="str">
        <f t="shared" si="79"/>
        <v>DurationStats,0,</v>
      </c>
      <c r="AS109" s="31" t="str">
        <f t="shared" si="79"/>
        <v>AnalysisThruStep,11,</v>
      </c>
      <c r="AT109" s="31" t="str">
        <f t="shared" si="79"/>
        <v>DontAbortOnErrorsThruStep,11,</v>
      </c>
      <c r="AU109" s="31" t="str">
        <f t="shared" si="79"/>
        <v>BypassValidFileChecks,1,</v>
      </c>
      <c r="AV109" s="31" t="str">
        <f t="shared" si="79"/>
        <v>BypassInputChecks,0,</v>
      </c>
      <c r="AW109" s="31" t="str">
        <f t="shared" si="79"/>
        <v>BypassUMLHChecks,0,</v>
      </c>
      <c r="AX109" s="31" t="str">
        <f t="shared" si="79"/>
        <v>BypassCheckSimRules,0,</v>
      </c>
      <c r="AY109" s="31" t="str">
        <f t="shared" si="79"/>
        <v>BypassCheckCodeRules,0,</v>
      </c>
      <c r="BA109" s="31" t="str">
        <f t="shared" ref="BA109:BJ116" si="80">AC$12&amp;AC109&amp;","</f>
        <v>StoreBEMDetails,1,</v>
      </c>
      <c r="BB109" s="31" t="str">
        <f t="shared" si="80"/>
        <v>ModelRpt_ALL,1,</v>
      </c>
      <c r="BC109" s="31" t="str">
        <f t="shared" si="80"/>
        <v>BypassOpenStudio_all,0,</v>
      </c>
      <c r="BD109" s="31" t="str">
        <f t="shared" si="80"/>
        <v>BypassOpenStudio_zp,0,</v>
      </c>
      <c r="BE109" s="31" t="str">
        <f t="shared" si="80"/>
        <v>BypassOpenStudio_zb,0,</v>
      </c>
      <c r="BF109" s="31" t="str">
        <f t="shared" si="80"/>
        <v>BypassOpenStudio_ap,0,</v>
      </c>
      <c r="BG109" s="31" t="str">
        <f t="shared" si="80"/>
        <v>BypassOpenStudio_ab,0,</v>
      </c>
      <c r="BH109" s="31" t="str">
        <f t="shared" si="80"/>
        <v>BypassOpenStudio_zp,0,</v>
      </c>
      <c r="BI109" s="31" t="str">
        <f t="shared" si="80"/>
        <v>BypassOpenStudio_zb,0,</v>
      </c>
      <c r="BJ109" s="31" t="str">
        <f t="shared" si="80"/>
        <v>BypassOpenStudio_ap,0,</v>
      </c>
      <c r="BK109" s="31" t="str">
        <f t="shared" ref="BK109:BK116" si="81">AM$12&amp;AM109</f>
        <v>BypassOpenStudio_ab,0</v>
      </c>
    </row>
    <row r="110" spans="1:63" x14ac:dyDescent="0.25">
      <c r="A110" s="39">
        <f t="shared" si="75"/>
        <v>0</v>
      </c>
      <c r="B110" s="27" t="str">
        <f t="shared" ref="B110:B116" si="82">M$105&amp;N110&amp;"\"&amp;N110&amp;".cibd"</f>
        <v>RulesetImplementationTests\Incomplete tests\\.cibd</v>
      </c>
      <c r="C110" s="27" t="str">
        <f t="shared" ref="C110:C116" si="83" xml:space="preserve"> M$106 &amp; O110 &amp; ".cibd"</f>
        <v>BatchOut_160405_r3979_RIi\0.cibd</v>
      </c>
      <c r="D110" s="27" t="str">
        <f t="shared" ref="D110:D116" si="84">$M$107</f>
        <v>BatchOut_160405_r3979_RIi\XML\</v>
      </c>
      <c r="E110" s="9" t="e">
        <f t="shared" ref="E110:E116" si="85">M110</f>
        <v>#VALUE!</v>
      </c>
      <c r="F110" s="22"/>
      <c r="G110" s="29"/>
      <c r="H110" s="23" t="str">
        <f>IF(F110&gt;1,1,"")</f>
        <v/>
      </c>
      <c r="I110" s="9" t="s">
        <v>11</v>
      </c>
      <c r="J110" s="9" t="str">
        <f t="shared" si="76"/>
        <v>SimulationStorage,2,AnalysisStorage,1,LogRuleEvaluation,0,ParallelSimulations,1,DurationStats,0,AnalysisThruStep,11,DontAbortOnErrorsThruStep,11,BypassValidFileChecks,1,BypassInputChecks,0,BypassUMLHChecks,0,BypassCheckSimRules,0,BypassCheckCodeRules,0,StoreBEMDetails,1,ModelRpt_ALL,1,BypassOpenStudio_all,0,BypassOpenStudio_zp,0,BypassOpenStudio_zb,0,BypassOpenStudio_ap,0,BypassOpenStudio_ab,0,BypassOpenStudio_zp,0,BypassOpenStudio_zb,0,BypassOpenStudio_ap,0,BypassOpenStudio_ab,0</v>
      </c>
      <c r="K110" s="15" t="s">
        <v>1</v>
      </c>
      <c r="L110" s="36">
        <v>0</v>
      </c>
      <c r="M110" s="32" t="e">
        <f>LEFT(N110,SEARCH("-",N110))&amp;RIGHT(N110,5)</f>
        <v>#VALUE!</v>
      </c>
      <c r="N110" s="28"/>
      <c r="O110" s="28">
        <f t="shared" si="77"/>
        <v>0</v>
      </c>
      <c r="P110" s="28">
        <f>P109</f>
        <v>2</v>
      </c>
      <c r="Q110" s="28">
        <f t="shared" ref="Q110:AM110" si="86">Q109</f>
        <v>1</v>
      </c>
      <c r="R110" s="28">
        <f t="shared" si="86"/>
        <v>0</v>
      </c>
      <c r="S110" s="28">
        <f t="shared" si="86"/>
        <v>1</v>
      </c>
      <c r="T110" s="28">
        <f t="shared" si="86"/>
        <v>0</v>
      </c>
      <c r="U110" s="28">
        <f t="shared" si="86"/>
        <v>11</v>
      </c>
      <c r="V110" s="36">
        <f t="shared" si="86"/>
        <v>11</v>
      </c>
      <c r="W110" s="28">
        <f t="shared" si="86"/>
        <v>1</v>
      </c>
      <c r="X110" s="28">
        <f t="shared" si="86"/>
        <v>0</v>
      </c>
      <c r="Y110" s="28">
        <f t="shared" si="86"/>
        <v>0</v>
      </c>
      <c r="Z110" s="28">
        <f t="shared" si="86"/>
        <v>0</v>
      </c>
      <c r="AA110" s="28">
        <f t="shared" si="86"/>
        <v>0</v>
      </c>
      <c r="AB110" s="28">
        <f t="shared" si="86"/>
        <v>1</v>
      </c>
      <c r="AC110" s="28">
        <f t="shared" si="86"/>
        <v>1</v>
      </c>
      <c r="AD110" s="36">
        <f t="shared" si="86"/>
        <v>1</v>
      </c>
      <c r="AE110" s="28">
        <f t="shared" si="86"/>
        <v>0</v>
      </c>
      <c r="AF110" s="28">
        <f t="shared" si="86"/>
        <v>0</v>
      </c>
      <c r="AG110" s="28">
        <f t="shared" si="86"/>
        <v>0</v>
      </c>
      <c r="AH110" s="28">
        <f t="shared" si="86"/>
        <v>0</v>
      </c>
      <c r="AI110" s="28">
        <f t="shared" si="86"/>
        <v>0</v>
      </c>
      <c r="AJ110" s="28">
        <f t="shared" si="86"/>
        <v>0</v>
      </c>
      <c r="AK110" s="28">
        <f t="shared" si="86"/>
        <v>0</v>
      </c>
      <c r="AL110" s="28">
        <f t="shared" si="86"/>
        <v>0</v>
      </c>
      <c r="AM110" s="28">
        <f t="shared" si="86"/>
        <v>0</v>
      </c>
      <c r="AN110" s="31" t="str">
        <f t="shared" si="79"/>
        <v>SimulationStorage,2,</v>
      </c>
      <c r="AO110" s="31" t="str">
        <f t="shared" si="79"/>
        <v>AnalysisStorage,1,</v>
      </c>
      <c r="AP110" s="31" t="str">
        <f t="shared" si="79"/>
        <v>LogRuleEvaluation,0,</v>
      </c>
      <c r="AQ110" s="31" t="str">
        <f t="shared" si="79"/>
        <v>ParallelSimulations,1,</v>
      </c>
      <c r="AR110" s="31" t="str">
        <f t="shared" si="79"/>
        <v>DurationStats,0,</v>
      </c>
      <c r="AS110" s="31" t="str">
        <f t="shared" si="79"/>
        <v>AnalysisThruStep,11,</v>
      </c>
      <c r="AT110" s="31" t="str">
        <f t="shared" si="79"/>
        <v>DontAbortOnErrorsThruStep,11,</v>
      </c>
      <c r="AU110" s="31" t="str">
        <f t="shared" si="79"/>
        <v>BypassValidFileChecks,1,</v>
      </c>
      <c r="AV110" s="31" t="str">
        <f t="shared" si="79"/>
        <v>BypassInputChecks,0,</v>
      </c>
      <c r="AW110" s="31" t="str">
        <f t="shared" si="79"/>
        <v>BypassUMLHChecks,0,</v>
      </c>
      <c r="AX110" s="31" t="str">
        <f t="shared" si="79"/>
        <v>BypassCheckSimRules,0,</v>
      </c>
      <c r="AY110" s="31" t="str">
        <f t="shared" si="79"/>
        <v>BypassCheckCodeRules,0,</v>
      </c>
      <c r="BA110" s="31" t="str">
        <f t="shared" si="80"/>
        <v>StoreBEMDetails,1,</v>
      </c>
      <c r="BB110" s="31" t="str">
        <f t="shared" si="80"/>
        <v>ModelRpt_ALL,1,</v>
      </c>
      <c r="BC110" s="31" t="str">
        <f t="shared" si="80"/>
        <v>BypassOpenStudio_all,0,</v>
      </c>
      <c r="BD110" s="31" t="str">
        <f t="shared" si="80"/>
        <v>BypassOpenStudio_zp,0,</v>
      </c>
      <c r="BE110" s="31" t="str">
        <f t="shared" si="80"/>
        <v>BypassOpenStudio_zb,0,</v>
      </c>
      <c r="BF110" s="31" t="str">
        <f t="shared" si="80"/>
        <v>BypassOpenStudio_ap,0,</v>
      </c>
      <c r="BG110" s="31" t="str">
        <f t="shared" si="80"/>
        <v>BypassOpenStudio_ab,0,</v>
      </c>
      <c r="BH110" s="31" t="str">
        <f t="shared" si="80"/>
        <v>BypassOpenStudio_zp,0,</v>
      </c>
      <c r="BI110" s="31" t="str">
        <f t="shared" si="80"/>
        <v>BypassOpenStudio_zb,0,</v>
      </c>
      <c r="BJ110" s="31" t="str">
        <f t="shared" si="80"/>
        <v>BypassOpenStudio_ap,0,</v>
      </c>
      <c r="BK110" s="31" t="str">
        <f t="shared" si="81"/>
        <v>BypassOpenStudio_ab,0</v>
      </c>
    </row>
    <row r="111" spans="1:63" x14ac:dyDescent="0.25">
      <c r="A111" s="39">
        <f t="shared" si="75"/>
        <v>0</v>
      </c>
      <c r="B111" s="27" t="str">
        <f t="shared" si="82"/>
        <v>RulesetImplementationTests\Incomplete tests\\.cibd</v>
      </c>
      <c r="C111" s="27" t="str">
        <f t="shared" si="83"/>
        <v>BatchOut_160405_r3979_RIi\.cibd</v>
      </c>
      <c r="D111" s="27" t="str">
        <f t="shared" si="84"/>
        <v>BatchOut_160405_r3979_RIi\XML\</v>
      </c>
      <c r="E111" s="9">
        <f t="shared" si="85"/>
        <v>0</v>
      </c>
      <c r="F111" s="22"/>
      <c r="G111" s="29"/>
      <c r="H111" s="23" t="str">
        <f>IF(F111&gt;1,1,"")</f>
        <v/>
      </c>
      <c r="I111" s="9" t="s">
        <v>11</v>
      </c>
      <c r="J111"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1" s="15" t="s">
        <v>1</v>
      </c>
      <c r="L111" s="36"/>
      <c r="M111" s="32"/>
      <c r="N111" s="28"/>
      <c r="O111" s="28"/>
      <c r="P111" s="28"/>
      <c r="Q111" s="28"/>
      <c r="R111" s="28"/>
      <c r="S111" s="28"/>
      <c r="T111" s="28"/>
      <c r="U111" s="28"/>
      <c r="V111" s="36"/>
      <c r="W111" s="28"/>
      <c r="X111" s="28"/>
      <c r="Y111" s="28"/>
      <c r="Z111" s="28"/>
      <c r="AA111" s="28"/>
      <c r="AB111" s="28"/>
      <c r="AC111" s="28"/>
      <c r="AD111" s="36"/>
      <c r="AE111" s="28"/>
      <c r="AF111" s="28"/>
      <c r="AG111" s="28"/>
      <c r="AH111" s="28"/>
      <c r="AI111" s="28"/>
      <c r="AJ111" s="28"/>
      <c r="AK111" s="28"/>
      <c r="AL111" s="28"/>
      <c r="AM111" s="28"/>
      <c r="AN111" s="31" t="str">
        <f t="shared" si="79"/>
        <v>SimulationStorage,,</v>
      </c>
      <c r="AO111" s="31" t="str">
        <f t="shared" si="79"/>
        <v>AnalysisStorage,,</v>
      </c>
      <c r="AP111" s="31" t="str">
        <f t="shared" si="79"/>
        <v>LogRuleEvaluation,,</v>
      </c>
      <c r="AQ111" s="31" t="str">
        <f t="shared" si="79"/>
        <v>ParallelSimulations,,</v>
      </c>
      <c r="AR111" s="31" t="str">
        <f t="shared" si="79"/>
        <v>DurationStats,,</v>
      </c>
      <c r="AS111" s="31" t="str">
        <f t="shared" si="79"/>
        <v>AnalysisThruStep,,</v>
      </c>
      <c r="AT111" s="31" t="str">
        <f t="shared" si="79"/>
        <v>DontAbortOnErrorsThruStep,,</v>
      </c>
      <c r="AU111" s="31" t="str">
        <f t="shared" si="79"/>
        <v>BypassValidFileChecks,,</v>
      </c>
      <c r="AV111" s="31" t="str">
        <f t="shared" si="79"/>
        <v>BypassInputChecks,,</v>
      </c>
      <c r="AW111" s="31" t="str">
        <f t="shared" si="79"/>
        <v>BypassUMLHChecks,,</v>
      </c>
      <c r="AX111" s="31" t="str">
        <f t="shared" si="79"/>
        <v>BypassCheckSimRules,,</v>
      </c>
      <c r="AY111" s="31" t="str">
        <f t="shared" si="79"/>
        <v>BypassCheckCodeRules,,</v>
      </c>
      <c r="BA111" s="31" t="str">
        <f t="shared" si="80"/>
        <v>StoreBEMDetails,,</v>
      </c>
      <c r="BB111" s="31" t="str">
        <f t="shared" si="80"/>
        <v>ModelRpt_ALL,,</v>
      </c>
      <c r="BC111" s="31" t="str">
        <f t="shared" si="80"/>
        <v>BypassOpenStudio_all,,</v>
      </c>
      <c r="BD111" s="31" t="str">
        <f t="shared" si="80"/>
        <v>BypassOpenStudio_zp,,</v>
      </c>
      <c r="BE111" s="31" t="str">
        <f t="shared" si="80"/>
        <v>BypassOpenStudio_zb,,</v>
      </c>
      <c r="BF111" s="31" t="str">
        <f t="shared" si="80"/>
        <v>BypassOpenStudio_ap,,</v>
      </c>
      <c r="BG111" s="31" t="str">
        <f t="shared" si="80"/>
        <v>BypassOpenStudio_ab,,</v>
      </c>
      <c r="BH111" s="31" t="str">
        <f t="shared" si="80"/>
        <v>BypassOpenStudio_zp,,</v>
      </c>
      <c r="BI111" s="31" t="str">
        <f t="shared" si="80"/>
        <v>BypassOpenStudio_zb,,</v>
      </c>
      <c r="BJ111" s="31" t="str">
        <f t="shared" si="80"/>
        <v>BypassOpenStudio_ap,,</v>
      </c>
      <c r="BK111" s="31" t="str">
        <f t="shared" si="81"/>
        <v>BypassOpenStudio_ab,</v>
      </c>
    </row>
    <row r="112" spans="1:63" x14ac:dyDescent="0.25">
      <c r="A112" s="39">
        <f t="shared" si="75"/>
        <v>0</v>
      </c>
      <c r="B112" s="27" t="str">
        <f t="shared" si="82"/>
        <v>RulesetImplementationTests\Incomplete tests\\.cibd</v>
      </c>
      <c r="C112" s="27" t="str">
        <f t="shared" si="83"/>
        <v>BatchOut_160405_r3979_RIi\.cibd</v>
      </c>
      <c r="D112" s="27" t="str">
        <f t="shared" si="84"/>
        <v>BatchOut_160405_r3979_RIi\XML\</v>
      </c>
      <c r="E112" s="9">
        <f t="shared" si="85"/>
        <v>0</v>
      </c>
      <c r="F112" s="22"/>
      <c r="G112" s="29"/>
      <c r="H112" s="23"/>
      <c r="I112" s="9" t="s">
        <v>11</v>
      </c>
      <c r="J112"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2" s="15" t="s">
        <v>1</v>
      </c>
      <c r="L112" s="36"/>
      <c r="M112" s="32"/>
      <c r="N112" s="28"/>
      <c r="O112" s="28"/>
      <c r="P112" s="28"/>
      <c r="Q112" s="28"/>
      <c r="R112" s="28"/>
      <c r="S112" s="28"/>
      <c r="T112" s="28"/>
      <c r="U112" s="28"/>
      <c r="V112" s="36"/>
      <c r="W112" s="28"/>
      <c r="X112" s="28"/>
      <c r="Y112" s="28"/>
      <c r="Z112" s="28"/>
      <c r="AA112" s="28"/>
      <c r="AB112" s="28"/>
      <c r="AC112" s="28"/>
      <c r="AD112" s="36"/>
      <c r="AE112" s="28"/>
      <c r="AF112" s="28"/>
      <c r="AG112" s="28"/>
      <c r="AH112" s="28"/>
      <c r="AI112" s="28"/>
      <c r="AJ112" s="28"/>
      <c r="AK112" s="28"/>
      <c r="AL112" s="28"/>
      <c r="AM112" s="28"/>
      <c r="AN112" s="31" t="str">
        <f t="shared" si="79"/>
        <v>SimulationStorage,,</v>
      </c>
      <c r="AO112" s="31" t="str">
        <f t="shared" si="79"/>
        <v>AnalysisStorage,,</v>
      </c>
      <c r="AP112" s="31" t="str">
        <f t="shared" si="79"/>
        <v>LogRuleEvaluation,,</v>
      </c>
      <c r="AQ112" s="31" t="str">
        <f t="shared" si="79"/>
        <v>ParallelSimulations,,</v>
      </c>
      <c r="AR112" s="31" t="str">
        <f t="shared" si="79"/>
        <v>DurationStats,,</v>
      </c>
      <c r="AS112" s="31" t="str">
        <f t="shared" si="79"/>
        <v>AnalysisThruStep,,</v>
      </c>
      <c r="AT112" s="31" t="str">
        <f t="shared" si="79"/>
        <v>DontAbortOnErrorsThruStep,,</v>
      </c>
      <c r="AU112" s="31" t="str">
        <f t="shared" si="79"/>
        <v>BypassValidFileChecks,,</v>
      </c>
      <c r="AV112" s="31" t="str">
        <f t="shared" si="79"/>
        <v>BypassInputChecks,,</v>
      </c>
      <c r="AW112" s="31" t="str">
        <f t="shared" si="79"/>
        <v>BypassUMLHChecks,,</v>
      </c>
      <c r="AX112" s="31" t="str">
        <f t="shared" si="79"/>
        <v>BypassCheckSimRules,,</v>
      </c>
      <c r="AY112" s="31" t="str">
        <f t="shared" si="79"/>
        <v>BypassCheckCodeRules,,</v>
      </c>
      <c r="BA112" s="31" t="str">
        <f t="shared" si="80"/>
        <v>StoreBEMDetails,,</v>
      </c>
      <c r="BB112" s="31" t="str">
        <f t="shared" si="80"/>
        <v>ModelRpt_ALL,,</v>
      </c>
      <c r="BC112" s="31" t="str">
        <f t="shared" si="80"/>
        <v>BypassOpenStudio_all,,</v>
      </c>
      <c r="BD112" s="31" t="str">
        <f t="shared" si="80"/>
        <v>BypassOpenStudio_zp,,</v>
      </c>
      <c r="BE112" s="31" t="str">
        <f t="shared" si="80"/>
        <v>BypassOpenStudio_zb,,</v>
      </c>
      <c r="BF112" s="31" t="str">
        <f t="shared" si="80"/>
        <v>BypassOpenStudio_ap,,</v>
      </c>
      <c r="BG112" s="31" t="str">
        <f t="shared" si="80"/>
        <v>BypassOpenStudio_ab,,</v>
      </c>
      <c r="BH112" s="31" t="str">
        <f t="shared" si="80"/>
        <v>BypassOpenStudio_zp,,</v>
      </c>
      <c r="BI112" s="31" t="str">
        <f t="shared" si="80"/>
        <v>BypassOpenStudio_zb,,</v>
      </c>
      <c r="BJ112" s="31" t="str">
        <f t="shared" si="80"/>
        <v>BypassOpenStudio_ap,,</v>
      </c>
      <c r="BK112" s="31" t="str">
        <f t="shared" si="81"/>
        <v>BypassOpenStudio_ab,</v>
      </c>
    </row>
    <row r="113" spans="1:63" x14ac:dyDescent="0.25">
      <c r="A113" s="39">
        <f t="shared" si="75"/>
        <v>0</v>
      </c>
      <c r="B113" s="27" t="str">
        <f t="shared" si="82"/>
        <v>RulesetImplementationTests\Incomplete tests\\.cibd</v>
      </c>
      <c r="C113" s="27" t="str">
        <f t="shared" si="83"/>
        <v>BatchOut_160405_r3979_RIi\.cibd</v>
      </c>
      <c r="D113" s="27" t="str">
        <f t="shared" si="84"/>
        <v>BatchOut_160405_r3979_RIi\XML\</v>
      </c>
      <c r="E113" s="9">
        <f t="shared" si="85"/>
        <v>0</v>
      </c>
      <c r="F113" s="22"/>
      <c r="G113" s="29"/>
      <c r="H113" s="23"/>
      <c r="I113" s="9" t="s">
        <v>11</v>
      </c>
      <c r="J113"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3" s="15" t="s">
        <v>1</v>
      </c>
      <c r="L113" s="36"/>
      <c r="M113" s="32"/>
      <c r="N113" s="28"/>
      <c r="O113" s="28"/>
      <c r="P113" s="28"/>
      <c r="Q113" s="28"/>
      <c r="R113" s="28"/>
      <c r="S113" s="28"/>
      <c r="T113" s="28"/>
      <c r="U113" s="28"/>
      <c r="V113" s="36"/>
      <c r="W113" s="28"/>
      <c r="X113" s="28"/>
      <c r="Y113" s="28"/>
      <c r="Z113" s="28"/>
      <c r="AA113" s="28"/>
      <c r="AB113" s="28"/>
      <c r="AC113" s="28"/>
      <c r="AD113" s="36"/>
      <c r="AE113" s="28"/>
      <c r="AF113" s="28"/>
      <c r="AG113" s="28"/>
      <c r="AH113" s="28"/>
      <c r="AI113" s="28"/>
      <c r="AJ113" s="28"/>
      <c r="AK113" s="28"/>
      <c r="AL113" s="28"/>
      <c r="AM113" s="28"/>
      <c r="AN113" s="31" t="str">
        <f t="shared" si="79"/>
        <v>SimulationStorage,,</v>
      </c>
      <c r="AO113" s="31" t="str">
        <f t="shared" si="79"/>
        <v>AnalysisStorage,,</v>
      </c>
      <c r="AP113" s="31" t="str">
        <f t="shared" si="79"/>
        <v>LogRuleEvaluation,,</v>
      </c>
      <c r="AQ113" s="31" t="str">
        <f t="shared" si="79"/>
        <v>ParallelSimulations,,</v>
      </c>
      <c r="AR113" s="31" t="str">
        <f t="shared" si="79"/>
        <v>DurationStats,,</v>
      </c>
      <c r="AS113" s="31" t="str">
        <f t="shared" si="79"/>
        <v>AnalysisThruStep,,</v>
      </c>
      <c r="AT113" s="31" t="str">
        <f t="shared" si="79"/>
        <v>DontAbortOnErrorsThruStep,,</v>
      </c>
      <c r="AU113" s="31" t="str">
        <f t="shared" si="79"/>
        <v>BypassValidFileChecks,,</v>
      </c>
      <c r="AV113" s="31" t="str">
        <f t="shared" si="79"/>
        <v>BypassInputChecks,,</v>
      </c>
      <c r="AW113" s="31" t="str">
        <f t="shared" si="79"/>
        <v>BypassUMLHChecks,,</v>
      </c>
      <c r="AX113" s="31" t="str">
        <f t="shared" si="79"/>
        <v>BypassCheckSimRules,,</v>
      </c>
      <c r="AY113" s="31" t="str">
        <f t="shared" si="79"/>
        <v>BypassCheckCodeRules,,</v>
      </c>
      <c r="BA113" s="31" t="str">
        <f t="shared" si="80"/>
        <v>StoreBEMDetails,,</v>
      </c>
      <c r="BB113" s="31" t="str">
        <f t="shared" si="80"/>
        <v>ModelRpt_ALL,,</v>
      </c>
      <c r="BC113" s="31" t="str">
        <f t="shared" si="80"/>
        <v>BypassOpenStudio_all,,</v>
      </c>
      <c r="BD113" s="31" t="str">
        <f t="shared" si="80"/>
        <v>BypassOpenStudio_zp,,</v>
      </c>
      <c r="BE113" s="31" t="str">
        <f t="shared" si="80"/>
        <v>BypassOpenStudio_zb,,</v>
      </c>
      <c r="BF113" s="31" t="str">
        <f t="shared" si="80"/>
        <v>BypassOpenStudio_ap,,</v>
      </c>
      <c r="BG113" s="31" t="str">
        <f t="shared" si="80"/>
        <v>BypassOpenStudio_ab,,</v>
      </c>
      <c r="BH113" s="31" t="str">
        <f t="shared" si="80"/>
        <v>BypassOpenStudio_zp,,</v>
      </c>
      <c r="BI113" s="31" t="str">
        <f t="shared" si="80"/>
        <v>BypassOpenStudio_zb,,</v>
      </c>
      <c r="BJ113" s="31" t="str">
        <f t="shared" si="80"/>
        <v>BypassOpenStudio_ap,,</v>
      </c>
      <c r="BK113" s="31" t="str">
        <f t="shared" si="81"/>
        <v>BypassOpenStudio_ab,</v>
      </c>
    </row>
    <row r="114" spans="1:63" x14ac:dyDescent="0.25">
      <c r="A114" s="39">
        <f t="shared" si="75"/>
        <v>0</v>
      </c>
      <c r="B114" s="27" t="str">
        <f t="shared" si="82"/>
        <v>RulesetImplementationTests\Incomplete tests\\.cibd</v>
      </c>
      <c r="C114" s="27" t="str">
        <f t="shared" si="83"/>
        <v>BatchOut_160405_r3979_RIi\.cibd</v>
      </c>
      <c r="D114" s="27" t="str">
        <f t="shared" si="84"/>
        <v>BatchOut_160405_r3979_RIi\XML\</v>
      </c>
      <c r="E114" s="9">
        <f t="shared" si="85"/>
        <v>0</v>
      </c>
      <c r="F114" s="22"/>
      <c r="G114" s="29"/>
      <c r="H114" s="23"/>
      <c r="I114" s="9" t="s">
        <v>11</v>
      </c>
      <c r="J114"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4" s="15" t="s">
        <v>1</v>
      </c>
      <c r="L114" s="36"/>
      <c r="M114" s="32"/>
      <c r="N114" s="28"/>
      <c r="O114" s="28"/>
      <c r="P114" s="28"/>
      <c r="Q114" s="28"/>
      <c r="R114" s="28"/>
      <c r="S114" s="28"/>
      <c r="T114" s="28"/>
      <c r="U114" s="28"/>
      <c r="V114" s="36"/>
      <c r="W114" s="28"/>
      <c r="X114" s="28"/>
      <c r="Y114" s="28"/>
      <c r="Z114" s="28"/>
      <c r="AA114" s="28"/>
      <c r="AB114" s="28"/>
      <c r="AC114" s="28"/>
      <c r="AD114" s="36"/>
      <c r="AE114" s="28"/>
      <c r="AF114" s="28"/>
      <c r="AG114" s="28"/>
      <c r="AH114" s="28"/>
      <c r="AI114" s="28"/>
      <c r="AJ114" s="28"/>
      <c r="AK114" s="28"/>
      <c r="AL114" s="28"/>
      <c r="AM114" s="28"/>
      <c r="AN114" s="31" t="str">
        <f t="shared" si="79"/>
        <v>SimulationStorage,,</v>
      </c>
      <c r="AO114" s="31" t="str">
        <f t="shared" si="79"/>
        <v>AnalysisStorage,,</v>
      </c>
      <c r="AP114" s="31" t="str">
        <f t="shared" si="79"/>
        <v>LogRuleEvaluation,,</v>
      </c>
      <c r="AQ114" s="31" t="str">
        <f t="shared" si="79"/>
        <v>ParallelSimulations,,</v>
      </c>
      <c r="AR114" s="31" t="str">
        <f t="shared" si="79"/>
        <v>DurationStats,,</v>
      </c>
      <c r="AS114" s="31" t="str">
        <f t="shared" si="79"/>
        <v>AnalysisThruStep,,</v>
      </c>
      <c r="AT114" s="31" t="str">
        <f t="shared" si="79"/>
        <v>DontAbortOnErrorsThruStep,,</v>
      </c>
      <c r="AU114" s="31" t="str">
        <f t="shared" si="79"/>
        <v>BypassValidFileChecks,,</v>
      </c>
      <c r="AV114" s="31" t="str">
        <f t="shared" si="79"/>
        <v>BypassInputChecks,,</v>
      </c>
      <c r="AW114" s="31" t="str">
        <f t="shared" si="79"/>
        <v>BypassUMLHChecks,,</v>
      </c>
      <c r="AX114" s="31" t="str">
        <f t="shared" si="79"/>
        <v>BypassCheckSimRules,,</v>
      </c>
      <c r="AY114" s="31" t="str">
        <f t="shared" si="79"/>
        <v>BypassCheckCodeRules,,</v>
      </c>
      <c r="BA114" s="31" t="str">
        <f t="shared" si="80"/>
        <v>StoreBEMDetails,,</v>
      </c>
      <c r="BB114" s="31" t="str">
        <f t="shared" si="80"/>
        <v>ModelRpt_ALL,,</v>
      </c>
      <c r="BC114" s="31" t="str">
        <f t="shared" si="80"/>
        <v>BypassOpenStudio_all,,</v>
      </c>
      <c r="BD114" s="31" t="str">
        <f t="shared" si="80"/>
        <v>BypassOpenStudio_zp,,</v>
      </c>
      <c r="BE114" s="31" t="str">
        <f t="shared" si="80"/>
        <v>BypassOpenStudio_zb,,</v>
      </c>
      <c r="BF114" s="31" t="str">
        <f t="shared" si="80"/>
        <v>BypassOpenStudio_ap,,</v>
      </c>
      <c r="BG114" s="31" t="str">
        <f t="shared" si="80"/>
        <v>BypassOpenStudio_ab,,</v>
      </c>
      <c r="BH114" s="31" t="str">
        <f t="shared" si="80"/>
        <v>BypassOpenStudio_zp,,</v>
      </c>
      <c r="BI114" s="31" t="str">
        <f t="shared" si="80"/>
        <v>BypassOpenStudio_zb,,</v>
      </c>
      <c r="BJ114" s="31" t="str">
        <f t="shared" si="80"/>
        <v>BypassOpenStudio_ap,,</v>
      </c>
      <c r="BK114" s="31" t="str">
        <f t="shared" si="81"/>
        <v>BypassOpenStudio_ab,</v>
      </c>
    </row>
    <row r="115" spans="1:63" x14ac:dyDescent="0.25">
      <c r="A115" s="39">
        <f t="shared" si="75"/>
        <v>0</v>
      </c>
      <c r="B115" s="27" t="str">
        <f t="shared" si="82"/>
        <v>RulesetImplementationTests\Incomplete tests\\.cibd</v>
      </c>
      <c r="C115" s="27" t="str">
        <f t="shared" si="83"/>
        <v>BatchOut_160405_r3979_RIi\.cibd</v>
      </c>
      <c r="D115" s="27" t="str">
        <f t="shared" si="84"/>
        <v>BatchOut_160405_r3979_RIi\XML\</v>
      </c>
      <c r="E115" s="9">
        <f t="shared" si="85"/>
        <v>0</v>
      </c>
      <c r="F115" s="22"/>
      <c r="G115" s="29"/>
      <c r="H115" s="23"/>
      <c r="I115" s="9" t="s">
        <v>11</v>
      </c>
      <c r="J115"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5" s="15" t="s">
        <v>1</v>
      </c>
      <c r="L115" s="36"/>
      <c r="M115" s="32"/>
      <c r="N115" s="28"/>
      <c r="O115" s="28"/>
      <c r="P115" s="28"/>
      <c r="Q115" s="28"/>
      <c r="R115" s="28"/>
      <c r="S115" s="28"/>
      <c r="T115" s="28"/>
      <c r="U115" s="28"/>
      <c r="V115" s="36"/>
      <c r="W115" s="28"/>
      <c r="X115" s="28"/>
      <c r="Y115" s="28"/>
      <c r="Z115" s="28"/>
      <c r="AA115" s="28"/>
      <c r="AB115" s="28"/>
      <c r="AC115" s="28"/>
      <c r="AD115" s="36"/>
      <c r="AE115" s="28"/>
      <c r="AF115" s="28"/>
      <c r="AG115" s="28"/>
      <c r="AH115" s="28"/>
      <c r="AI115" s="28"/>
      <c r="AJ115" s="28"/>
      <c r="AK115" s="28"/>
      <c r="AL115" s="28"/>
      <c r="AM115" s="28"/>
      <c r="AN115" s="31" t="str">
        <f t="shared" si="79"/>
        <v>SimulationStorage,,</v>
      </c>
      <c r="AO115" s="31" t="str">
        <f t="shared" si="79"/>
        <v>AnalysisStorage,,</v>
      </c>
      <c r="AP115" s="31" t="str">
        <f t="shared" si="79"/>
        <v>LogRuleEvaluation,,</v>
      </c>
      <c r="AQ115" s="31" t="str">
        <f t="shared" si="79"/>
        <v>ParallelSimulations,,</v>
      </c>
      <c r="AR115" s="31" t="str">
        <f t="shared" si="79"/>
        <v>DurationStats,,</v>
      </c>
      <c r="AS115" s="31" t="str">
        <f t="shared" si="79"/>
        <v>AnalysisThruStep,,</v>
      </c>
      <c r="AT115" s="31" t="str">
        <f t="shared" si="79"/>
        <v>DontAbortOnErrorsThruStep,,</v>
      </c>
      <c r="AU115" s="31" t="str">
        <f t="shared" si="79"/>
        <v>BypassValidFileChecks,,</v>
      </c>
      <c r="AV115" s="31" t="str">
        <f t="shared" si="79"/>
        <v>BypassInputChecks,,</v>
      </c>
      <c r="AW115" s="31" t="str">
        <f t="shared" si="79"/>
        <v>BypassUMLHChecks,,</v>
      </c>
      <c r="AX115" s="31" t="str">
        <f t="shared" si="79"/>
        <v>BypassCheckSimRules,,</v>
      </c>
      <c r="AY115" s="31" t="str">
        <f t="shared" si="79"/>
        <v>BypassCheckCodeRules,,</v>
      </c>
      <c r="BA115" s="31" t="str">
        <f t="shared" si="80"/>
        <v>StoreBEMDetails,,</v>
      </c>
      <c r="BB115" s="31" t="str">
        <f t="shared" si="80"/>
        <v>ModelRpt_ALL,,</v>
      </c>
      <c r="BC115" s="31" t="str">
        <f t="shared" si="80"/>
        <v>BypassOpenStudio_all,,</v>
      </c>
      <c r="BD115" s="31" t="str">
        <f t="shared" si="80"/>
        <v>BypassOpenStudio_zp,,</v>
      </c>
      <c r="BE115" s="31" t="str">
        <f t="shared" si="80"/>
        <v>BypassOpenStudio_zb,,</v>
      </c>
      <c r="BF115" s="31" t="str">
        <f t="shared" si="80"/>
        <v>BypassOpenStudio_ap,,</v>
      </c>
      <c r="BG115" s="31" t="str">
        <f t="shared" si="80"/>
        <v>BypassOpenStudio_ab,,</v>
      </c>
      <c r="BH115" s="31" t="str">
        <f t="shared" si="80"/>
        <v>BypassOpenStudio_zp,,</v>
      </c>
      <c r="BI115" s="31" t="str">
        <f t="shared" si="80"/>
        <v>BypassOpenStudio_zb,,</v>
      </c>
      <c r="BJ115" s="31" t="str">
        <f t="shared" si="80"/>
        <v>BypassOpenStudio_ap,,</v>
      </c>
      <c r="BK115" s="31" t="str">
        <f t="shared" si="81"/>
        <v>BypassOpenStudio_ab,</v>
      </c>
    </row>
    <row r="116" spans="1:63" x14ac:dyDescent="0.25">
      <c r="A116" s="39">
        <f t="shared" si="75"/>
        <v>0</v>
      </c>
      <c r="B116" s="27" t="str">
        <f t="shared" si="82"/>
        <v>RulesetImplementationTests\Incomplete tests\\.cibd</v>
      </c>
      <c r="C116" s="27" t="str">
        <f t="shared" si="83"/>
        <v>BatchOut_160405_r3979_RIi\.cibd</v>
      </c>
      <c r="D116" s="27" t="str">
        <f t="shared" si="84"/>
        <v>BatchOut_160405_r3979_RIi\XML\</v>
      </c>
      <c r="E116" s="9">
        <f t="shared" si="85"/>
        <v>0</v>
      </c>
      <c r="F116" s="22"/>
      <c r="G116" s="29"/>
      <c r="H116" s="23"/>
      <c r="I116" s="9" t="s">
        <v>11</v>
      </c>
      <c r="J116" s="9" t="str">
        <f t="shared" si="76"/>
        <v>SimulationStorage,,AnalysisStorage,,LogRuleEvaluation,,ParallelSimulations,,DurationStats,,AnalysisThruStep,,DontAbortOnErrorsThruStep,,BypassValidFileChecks,,BypassInputChecks,,BypassUMLHChecks,,BypassCheckSimRules,,BypassCheckCodeRules,,StoreBEMDetails,,ModelRpt_ALL,,BypassOpenStudio_all,,BypassOpenStudio_zp,,BypassOpenStudio_zb,,BypassOpenStudio_ap,,BypassOpenStudio_ab,,BypassOpenStudio_zp,,BypassOpenStudio_zb,,BypassOpenStudio_ap,,BypassOpenStudio_ab,</v>
      </c>
      <c r="K116" s="15" t="s">
        <v>1</v>
      </c>
      <c r="L116" s="36"/>
      <c r="M116" s="32"/>
      <c r="N116" s="28"/>
      <c r="O116" s="28"/>
      <c r="P116" s="28"/>
      <c r="Q116" s="28"/>
      <c r="R116" s="28"/>
      <c r="S116" s="28"/>
      <c r="T116" s="28"/>
      <c r="U116" s="28"/>
      <c r="V116" s="36"/>
      <c r="W116" s="28"/>
      <c r="X116" s="28"/>
      <c r="Y116" s="28"/>
      <c r="Z116" s="28"/>
      <c r="AA116" s="28"/>
      <c r="AB116" s="28"/>
      <c r="AC116" s="28"/>
      <c r="AD116" s="36"/>
      <c r="AE116" s="28"/>
      <c r="AF116" s="28"/>
      <c r="AG116" s="28"/>
      <c r="AH116" s="28"/>
      <c r="AI116" s="28"/>
      <c r="AJ116" s="28"/>
      <c r="AK116" s="28"/>
      <c r="AL116" s="28"/>
      <c r="AM116" s="28"/>
      <c r="AN116" s="31" t="str">
        <f t="shared" si="79"/>
        <v>SimulationStorage,,</v>
      </c>
      <c r="AO116" s="31" t="str">
        <f t="shared" si="79"/>
        <v>AnalysisStorage,,</v>
      </c>
      <c r="AP116" s="31" t="str">
        <f t="shared" si="79"/>
        <v>LogRuleEvaluation,,</v>
      </c>
      <c r="AQ116" s="31" t="str">
        <f t="shared" si="79"/>
        <v>ParallelSimulations,,</v>
      </c>
      <c r="AR116" s="31" t="str">
        <f t="shared" si="79"/>
        <v>DurationStats,,</v>
      </c>
      <c r="AS116" s="31" t="str">
        <f t="shared" si="79"/>
        <v>AnalysisThruStep,,</v>
      </c>
      <c r="AT116" s="31" t="str">
        <f t="shared" si="79"/>
        <v>DontAbortOnErrorsThruStep,,</v>
      </c>
      <c r="AU116" s="31" t="str">
        <f t="shared" si="79"/>
        <v>BypassValidFileChecks,,</v>
      </c>
      <c r="AV116" s="31" t="str">
        <f t="shared" si="79"/>
        <v>BypassInputChecks,,</v>
      </c>
      <c r="AW116" s="31" t="str">
        <f t="shared" si="79"/>
        <v>BypassUMLHChecks,,</v>
      </c>
      <c r="AX116" s="31" t="str">
        <f t="shared" si="79"/>
        <v>BypassCheckSimRules,,</v>
      </c>
      <c r="AY116" s="31" t="str">
        <f t="shared" si="79"/>
        <v>BypassCheckCodeRules,,</v>
      </c>
      <c r="BA116" s="31" t="str">
        <f t="shared" si="80"/>
        <v>StoreBEMDetails,,</v>
      </c>
      <c r="BB116" s="31" t="str">
        <f t="shared" si="80"/>
        <v>ModelRpt_ALL,,</v>
      </c>
      <c r="BC116" s="31" t="str">
        <f t="shared" si="80"/>
        <v>BypassOpenStudio_all,,</v>
      </c>
      <c r="BD116" s="31" t="str">
        <f t="shared" si="80"/>
        <v>BypassOpenStudio_zp,,</v>
      </c>
      <c r="BE116" s="31" t="str">
        <f t="shared" si="80"/>
        <v>BypassOpenStudio_zb,,</v>
      </c>
      <c r="BF116" s="31" t="str">
        <f t="shared" si="80"/>
        <v>BypassOpenStudio_ap,,</v>
      </c>
      <c r="BG116" s="31" t="str">
        <f t="shared" si="80"/>
        <v>BypassOpenStudio_ab,,</v>
      </c>
      <c r="BH116" s="31" t="str">
        <f t="shared" si="80"/>
        <v>BypassOpenStudio_zp,,</v>
      </c>
      <c r="BI116" s="31" t="str">
        <f t="shared" si="80"/>
        <v>BypassOpenStudio_zb,,</v>
      </c>
      <c r="BJ116" s="31" t="str">
        <f t="shared" si="80"/>
        <v>BypassOpenStudio_ap,,</v>
      </c>
      <c r="BK116" s="31" t="str">
        <f t="shared" si="81"/>
        <v>BypassOpenStudio_ab,</v>
      </c>
    </row>
    <row r="117" spans="1:63" x14ac:dyDescent="0.25">
      <c r="A117" s="10">
        <v>-1</v>
      </c>
      <c r="B117" s="6"/>
      <c r="C117" s="6"/>
      <c r="D117" s="6"/>
      <c r="E117" s="6"/>
      <c r="F117" s="6"/>
      <c r="G117" s="6"/>
      <c r="H117" s="6"/>
      <c r="I117" s="6"/>
      <c r="J117" s="6"/>
    </row>
  </sheetData>
  <mergeCells count="5">
    <mergeCell ref="AE14:AI14"/>
    <mergeCell ref="AJ14:AM14"/>
    <mergeCell ref="AE36:AM36"/>
    <mergeCell ref="AE63:AM63"/>
    <mergeCell ref="AE105:AM105"/>
  </mergeCells>
  <conditionalFormatting sqref="P16:AM30 P32:AM53 P59:AM95 P102:AM116">
    <cfRule type="cellIs" dxfId="7" priority="4" operator="equal">
      <formula>P15</formula>
    </cfRule>
  </conditionalFormatting>
  <conditionalFormatting sqref="P58:AM58">
    <cfRule type="cellIs" dxfId="6" priority="5" operator="equal">
      <formula>P30</formula>
    </cfRule>
  </conditionalFormatting>
  <conditionalFormatting sqref="P31:AM31">
    <cfRule type="cellIs" dxfId="5" priority="3" operator="equal">
      <formula>P11</formula>
    </cfRule>
  </conditionalFormatting>
  <conditionalFormatting sqref="P57:AM57">
    <cfRule type="cellIs" dxfId="4" priority="6" operator="equal">
      <formula>P53</formula>
    </cfRule>
  </conditionalFormatting>
  <conditionalFormatting sqref="P54:AM56">
    <cfRule type="cellIs" dxfId="3" priority="2" operator="equal">
      <formula>P53</formula>
    </cfRule>
  </conditionalFormatting>
  <conditionalFormatting sqref="P100:AM100">
    <cfRule type="cellIs" dxfId="2" priority="7" operator="equal">
      <formula>P95</formula>
    </cfRule>
  </conditionalFormatting>
  <conditionalFormatting sqref="P96:AM99">
    <cfRule type="cellIs" dxfId="1" priority="1" operator="equal">
      <formula>P95</formula>
    </cfRule>
  </conditionalFormatting>
  <conditionalFormatting sqref="P101:AM101">
    <cfRule type="cellIs" dxfId="0" priority="8" operator="equal">
      <formula>#REF!</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30" r:id="rId3" name="Button 18">
              <controlPr defaultSize="0" print="0" autoFill="0" autoPict="0" macro="[0]!SaveBatchCsvCurrentSheet">
                <anchor moveWithCells="1" sizeWithCells="1">
                  <from>
                    <xdr:col>13</xdr:col>
                    <xdr:colOff>1495425</xdr:colOff>
                    <xdr:row>2</xdr:row>
                    <xdr:rowOff>9525</xdr:rowOff>
                  </from>
                  <to>
                    <xdr:col>14</xdr:col>
                    <xdr:colOff>952500</xdr:colOff>
                    <xdr:row>4</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BatchInput_T24N</vt:lpstr>
      <vt:lpstr>Prototypes</vt:lpstr>
      <vt:lpstr>RulesetImplementation</vt:lpstr>
      <vt:lpstr>HydronicPiping</vt:lpstr>
      <vt:lpstr>IDF</vt:lpstr>
      <vt:lpstr>BatchInput_S901G</vt:lpstr>
      <vt:lpstr>901 DevelopmentTesting</vt:lpstr>
      <vt:lpstr>VRF_Testing</vt:lpstr>
      <vt:lpstr>'901 DevelopmentTesting'!BatchFileName</vt:lpstr>
      <vt:lpstr>BatchInput_S901G!BatchFileName</vt:lpstr>
      <vt:lpstr>BatchInput_T24N!BatchFileName</vt:lpstr>
      <vt:lpstr>VRF_Testing!BatchFileName</vt:lpstr>
    </vt:vector>
  </TitlesOfParts>
  <Company>Wrightsoft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Criswell</dc:creator>
  <cp:lastModifiedBy>Luke</cp:lastModifiedBy>
  <cp:lastPrinted>2013-11-05T03:27:35Z</cp:lastPrinted>
  <dcterms:created xsi:type="dcterms:W3CDTF">2013-05-22T19:50:10Z</dcterms:created>
  <dcterms:modified xsi:type="dcterms:W3CDTF">2016-04-05T22:57:20Z</dcterms:modified>
</cp:coreProperties>
</file>